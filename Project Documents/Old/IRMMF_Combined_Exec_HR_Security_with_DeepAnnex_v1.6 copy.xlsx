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6016a4006044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d1b88392a2d44b92"/>
    <x:sheet xmlns:r="http://schemas.openxmlformats.org/officeDocument/2006/relationships" name="Reference" sheetId="2" r:id="Rf60025dfab684d90"/>
    <x:sheet xmlns:r="http://schemas.openxmlformats.org/officeDocument/2006/relationships" name="Lists" sheetId="3" r:id="Ref16e77418ce428f"/>
    <x:sheet xmlns:r="http://schemas.openxmlformats.org/officeDocument/2006/relationships" name="PackDefinitions" sheetId="4" r:id="R4df3223a6aa5460e"/>
    <x:sheet xmlns:r="http://schemas.openxmlformats.org/officeDocument/2006/relationships" name="PackLayer_Notes" sheetId="5" r:id="R45fa9ad619f740e5"/>
    <x:sheet xmlns:r="http://schemas.openxmlformats.org/officeDocument/2006/relationships" name="PackMap" sheetId="6" r:id="Rc94e2a92026c4d09"/>
    <x:sheet xmlns:r="http://schemas.openxmlformats.org/officeDocument/2006/relationships" name="Questions" sheetId="7" r:id="R7d161f8124034a94"/>
    <x:sheet xmlns:r="http://schemas.openxmlformats.org/officeDocument/2006/relationships" name="AnswerOptions" sheetId="8" r:id="Re5e58154dfde43b0"/>
    <x:sheet xmlns:r="http://schemas.openxmlformats.org/officeDocument/2006/relationships" name="Pack_Table" sheetId="9" r:id="R7cb69a385b4d4dce"/>
    <x:sheet xmlns:r="http://schemas.openxmlformats.org/officeDocument/2006/relationships" name="Response_Template" sheetId="10" r:id="R24d2bbcbb05e43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/>
    <x:xf numFmtId="0" fontId="2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2" fillId="2" borderId="0" xfId="0" applyAlignment="1">
      <x:alignment horizontal="center"/>
    </x:xf>
    <x:xf numFmtId="0" fontId="2" fillId="2" borderId="0" xfId="0" applyAlignment="1">
      <x:alignment horizontal="center" wrapText="1"/>
    </x:xf>
    <x:xf numFmtId="2" fontId="0" fillId="0" borderId="0" xfId="0" applyAlignment="1">
      <x:alignment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d8af0ad7d7433a" /><Relationship Type="http://schemas.openxmlformats.org/officeDocument/2006/relationships/theme" Target="/xl/theme/theme1.xml" Id="R69bda7e5b657422f" /><Relationship Type="http://schemas.openxmlformats.org/officeDocument/2006/relationships/sharedStrings" Target="/xl/sharedStrings.xml" Id="R17f651e827e142a3" /><Relationship Type="http://schemas.openxmlformats.org/officeDocument/2006/relationships/worksheet" Target="/xl/worksheets/sheet1.xml" Id="Rd1b88392a2d44b92" /><Relationship Type="http://schemas.openxmlformats.org/officeDocument/2006/relationships/worksheet" Target="/xl/worksheets/sheet2.xml" Id="Rf60025dfab684d90" /><Relationship Type="http://schemas.openxmlformats.org/officeDocument/2006/relationships/worksheet" Target="/xl/worksheets/sheet3.xml" Id="Ref16e77418ce428f" /><Relationship Type="http://schemas.openxmlformats.org/officeDocument/2006/relationships/worksheet" Target="/xl/worksheets/sheet4.xml" Id="R4df3223a6aa5460e" /><Relationship Type="http://schemas.openxmlformats.org/officeDocument/2006/relationships/worksheet" Target="/xl/worksheets/sheet5.xml" Id="R45fa9ad619f740e5" /><Relationship Type="http://schemas.openxmlformats.org/officeDocument/2006/relationships/worksheet" Target="/xl/worksheets/sheet6.xml" Id="Rc94e2a92026c4d09" /><Relationship Type="http://schemas.openxmlformats.org/officeDocument/2006/relationships/worksheet" Target="/xl/worksheets/sheet7.xml" Id="R7d161f8124034a94" /><Relationship Type="http://schemas.openxmlformats.org/officeDocument/2006/relationships/worksheet" Target="/xl/worksheets/sheet8.xml" Id="Re5e58154dfde43b0" /><Relationship Type="http://schemas.openxmlformats.org/officeDocument/2006/relationships/worksheet" Target="/xl/worksheets/sheet9.xml" Id="R7cb69a385b4d4dce" /><Relationship Type="http://schemas.openxmlformats.org/officeDocument/2006/relationships/worksheet" Target="/xl/worksheets/sheet10.xml" Id="R24d2bbcbb05e437a" /></Relationships>
</file>

<file path=xl/tables/table1.xml><?xml version="1.0" encoding="utf-8"?>
<x:table xmlns:x="http://schemas.openxmlformats.org/spreadsheetml/2006/main" id="1" name="ReferenceTbl" displayName="ReferenceTbl" ref="A1:C148" headerRowCount="1">
  <x:autoFilter ref="A1:C148"/>
  <x:tableColumns count="3">
    <x:tableColumn id="1" name="Section"/>
    <x:tableColumn id="2" name="Key"/>
    <x:tableColumn id="3" name="Value/Description"/>
  </x:tableColumns>
  <x:tableStyleInfo name="TableStyleMedium9" showRowStripes="1"/>
</x:table>
</file>

<file path=xl/tables/table2.xml><?xml version="1.0" encoding="utf-8"?>
<x:table xmlns:x="http://schemas.openxmlformats.org/spreadsheetml/2006/main" id="2" name="ListsTbl" displayName="ListsTbl" ref="A1:I103" headerRowCount="1">
  <x:autoFilter ref="A1:I103"/>
  <x:tableColumns count="9">
    <x:tableColumn id="1" name="Tiers"/>
    <x:tableColumn id="2" name="Axes"/>
    <x:tableColumn id="3" name="EvidencePolicyID"/>
    <x:tableColumn id="4" name="FractureType"/>
    <x:tableColumn id="5" name="FollowUpTrigger"/>
    <x:tableColumn id="6" name="Tags"/>
    <x:tableColumn id="7" name="Modes"/>
    <x:tableColumn id="8" name="Packs"/>
    <x:tableColumn id="9" name="NegativeControl"/>
  </x:tableColumns>
  <x:tableStyleInfo name="TableStyleMedium9" showRowStripes="1"/>
</x:table>
</file>

<file path=xl/tables/table3.xml><?xml version="1.0" encoding="utf-8"?>
<x:table xmlns:x="http://schemas.openxmlformats.org/spreadsheetml/2006/main" id="3" name="QuestionsTbl" displayName="QuestionsTbl" ref="A1:O69" headerRowCount="1">
  <x:autoFilter ref="A1:O69"/>
  <x:tableColumns count="15">
    <x:tableColumn id="1" name="Q-ID"/>
    <x:tableColumn id="2" name="Pack"/>
    <x:tableColumn id="3" name="Tier"/>
    <x:tableColumn id="4" name="Domain"/>
    <x:tableColumn id="5" name="Axis1"/>
    <x:tableColumn id="6" name="W1"/>
    <x:tableColumn id="7" name="Axis2"/>
    <x:tableColumn id="8" name="W2"/>
    <x:tableColumn id="9" name="Question Text"/>
    <x:tableColumn id="10" name="Guidance"/>
    <x:tableColumn id="11" name="Logic/Branching"/>
    <x:tableColumn id="12" name="EvidencePolicyID"/>
    <x:tableColumn id="13" name="CW"/>
    <x:tableColumn id="14" name="TH"/>
    <x:tableColumn id="15" name="Scope"/>
  </x:tableColumns>
  <x:tableStyleInfo name="TableStyleMedium9" showRowStripes="1"/>
</x:table>
</file>

<file path=xl/tables/table4.xml><?xml version="1.0" encoding="utf-8"?>
<x:table xmlns:x="http://schemas.openxmlformats.org/spreadsheetml/2006/main" id="4" name="AnswerOptionsTbl" displayName="AnswerOptionsTbl" ref="A1:K357" headerRowCount="1">
  <x:autoFilter ref="A1:K357"/>
  <x:tableColumns count="11">
    <x:tableColumn id="1" name="Pack"/>
    <x:tableColumn id="2" name="Q-ID"/>
    <x:tableColumn id="3" name="A-ID"/>
    <x:tableColumn id="4" name="Option #"/>
    <x:tableColumn id="5" name="Answer Option Text"/>
    <x:tableColumn id="6" name="BaseScore"/>
    <x:tableColumn id="7" name="Tags"/>
    <x:tableColumn id="8" name="FractureType"/>
    <x:tableColumn id="9" name="FollowUpTrigger"/>
    <x:tableColumn id="10" name="NegativeControl"/>
    <x:tableColumn id="11" name="Evidence Hint"/>
  </x:tableColumns>
  <x:tableStyleInfo name="TableStyleMedium9" showRowStripes="1"/>
</x:table>
</file>

<file path=xl/tables/table5.xml><?xml version="1.0" encoding="utf-8"?>
<x:table xmlns:x="http://schemas.openxmlformats.org/spreadsheetml/2006/main" id="5" name="PackTableTbl" displayName="PackTableTbl" ref="A1:AG357" headerRowCount="1">
  <x:autoFilter ref="A1:AG357"/>
  <x:tableColumns count="33">
    <x:tableColumn id="1" name="Pack"/>
    <x:tableColumn id="2" name="Q-ID"/>
    <x:tableColumn id="3" name="Tier"/>
    <x:tableColumn id="4" name="Domain"/>
    <x:tableColumn id="5" name="Axis1"/>
    <x:tableColumn id="6" name="W1"/>
    <x:tableColumn id="7" name="Axis2"/>
    <x:tableColumn id="8" name="W2"/>
    <x:tableColumn id="9" name="Question Text"/>
    <x:tableColumn id="10" name="Guidance"/>
    <x:tableColumn id="11" name="Logic/Branching"/>
    <x:tableColumn id="12" name="EvidencePolicyID"/>
    <x:tableColumn id="13" name="CW"/>
    <x:tableColumn id="14" name="TH"/>
    <x:tableColumn id="15" name="Scope"/>
    <x:tableColumn id="16" name="A-ID"/>
    <x:tableColumn id="17" name="Option #"/>
    <x:tableColumn id="18" name="Answer Option Text"/>
    <x:tableColumn id="19" name="BaseScore"/>
    <x:tableColumn id="20" name="Tags"/>
    <x:tableColumn id="21" name="FractureType"/>
    <x:tableColumn id="22" name="FollowUpTrigger"/>
    <x:tableColumn id="23" name="NegativeControl"/>
    <x:tableColumn id="24" name="Evidence Hint"/>
    <x:tableColumn id="25" name="Pts_G"/>
    <x:tableColumn id="26" name="Pts_E"/>
    <x:tableColumn id="27" name="Pts_T"/>
    <x:tableColumn id="28" name="Pts_L"/>
    <x:tableColumn id="29" name="Pts_H"/>
    <x:tableColumn id="30" name="Pts_V"/>
    <x:tableColumn id="31" name="Pts_R"/>
    <x:tableColumn id="32" name="Pts_F"/>
    <x:tableColumn id="33" name="Pts_W"/>
  </x:tableColumns>
  <x:tableStyleInfo name="TableStyleMedium9" showRowStripes="1"/>
</x:table>
</file>

<file path=xl/tables/table6.xml><?xml version="1.0" encoding="utf-8"?>
<x:table xmlns:x="http://schemas.openxmlformats.org/spreadsheetml/2006/main" id="6" name="ResponseTbl" displayName="ResponseTbl" ref="A1:M2" headerRowCount="1">
  <x:autoFilter ref="A1:M2"/>
  <x:tableColumns count="13">
    <x:tableColumn id="1" name="AssessmentID"/>
    <x:tableColumn id="2" name="Scope"/>
    <x:tableColumn id="3" name="Pack"/>
    <x:tableColumn id="4" name="RespondentRole"/>
    <x:tableColumn id="5" name="RespondentType"/>
    <x:tableColumn id="6" name="Q-ID"/>
    <x:tableColumn id="7" name="A-ID"/>
    <x:tableColumn id="8" name="EvidenceTier"/>
    <x:tableColumn id="9" name="EvidenceRecencyDays"/>
    <x:tableColumn id="10" name="ScopeCoverage"/>
    <x:tableColumn id="11" name="SamplingN"/>
    <x:tableColumn id="12" name="AssessorConfidence"/>
    <x:tableColumn id="13" name="Notes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301d0d409b41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5a17188f1d43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cb611f6727194e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1b4d2b82697843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56a4026d275141a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022d82ffe7364ed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customWidth="1"/>
    <x:col min="2" max="2" width="120" customWidth="1"/>
  </x:cols>
  <x:sheetData>
    <x:row r="1">
      <x:c r="A1" s="1" t="inlineStr">
        <x:is>
          <x:t xml:space="preserve">Workbook</x:t>
        </x:is>
      </x:c>
      <x:c r="B1" t="inlineStr">
        <x:is>
          <x:t xml:space="preserve">IRMMF Combined Executive + HR + Security Question Packs (Model-Admin Ready)</x:t>
        </x:is>
      </x:c>
    </x:row>
    <x:row r="2">
      <x:c r="A2" s="1" t="inlineStr">
        <x:is>
          <x:t xml:space="preserve">Version</x:t>
        </x:is>
      </x:c>
      <x:c r="B2" t="inlineStr">
        <x:is>
          <x:t xml:space="preserve">v1.6.0</x:t>
        </x:is>
      </x:c>
    </x:row>
    <x:row r="3">
      <x:c r="A3" s="1" t="inlineStr">
        <x:is>
          <x:t xml:space="preserve">Effective Date</x:t>
        </x:is>
      </x:c>
      <x:c r="B3" t="inlineStr">
        <x:is>
          <x:t xml:space="preserve">2026-01-08</x:t>
        </x:is>
      </x:c>
    </x:row>
    <x:row r="4">
      <x:c r="A4" s="1" t="inlineStr">
        <x:is>
          <x:t xml:space="preserve">Description</x:t>
        </x:is>
      </x:c>
      <x:c r="B4" t="inlineStr">
        <x:is>
          <x:t xml:space="preserve">Combined question bank for Executive, HR, and Security packs aligned to IRMMF methodology (tiers, evidence policies, CW/TH, modes, segmentation-ready).</x:t>
        </x:is>
      </x:c>
    </x:row>
    <x:row r="5">
      <x:c r="A5" s="1" t="inlineStr">
        <x:is>
          <x:t xml:space="preserve">Change Log</x:t>
        </x:is>
      </x:c>
      <x:c r="B5" t="inlineStr">
        <x:is>
          <x:t xml:space="preserve">v1.3.0: Added Security pack (semi-final), merged into Questions/AnswerOptions/Pack_Table; kept CW/TH, modes, Scope, evidence policies; business-proofed wording for low-maturity respondents.
v1.4.0: Added PackQuestionMap + PackDefinitions; added structured branching fields to Questions (BranchType, GateThreshold, NextIfLow/High, NextDefault); extended Lists with BranchType and PackID enums; preserved all existing data.
v1.5.0: Added optional Security Deep Drill-down annex (T3/T4) covering telemetry/log integrity, identity attribution, containment automation, cloud/SaaS depth, and detection QA; expanded Lists (Packs/Tags/Triggers); updated Reference notes.</x:t>
        </x:is>
      </x:c>
    </x:row>
    <x:row r="10">
      <x:c r="A10" t="inlineStr">
        <x:is>
          <x:t xml:space="preserve">2026-01-08</x:t>
        </x:is>
      </x:c>
      <x:c r="B10" t="inlineStr">
        <x:is>
          <x:t xml:space="preserve">v1.6.0</x:t>
        </x:is>
      </x:c>
      <x:c r="C10" t="inlineStr">
        <x:is>
          <x:t xml:space="preserve">Refactored workbook towards canonical bank + pack mapping layer: renamed PackQuestionMap→PackMap; added Order/RequiredRole &amp; mapping fields; deprecated Pack columns in Questions/AnswerOptions; added PackLayer_Notes.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" customWidth="1"/>
    <x:col min="2" max="2" width="38" customWidth="1"/>
    <x:col min="3" max="3" width="90" customWidth="1"/>
  </x:cols>
  <x:sheetData>
    <x:row r="1">
      <x:c r="A1" s="2" t="inlineStr">
        <x:is>
          <x:t xml:space="preserve">Section</x:t>
        </x:is>
      </x:c>
      <x:c r="B1" s="2" t="inlineStr">
        <x:is>
          <x:t xml:space="preserve">Key</x:t>
        </x:is>
      </x:c>
      <x:c r="C1" s="2" t="inlineStr">
        <x:is>
          <x:t xml:space="preserve">Value/Description</x:t>
        </x:is>
      </x:c>
    </x:row>
    <x:row r="2">
      <x:c r="A2" s="3" t="inlineStr">
        <x:is>
          <x:t xml:space="preserve">Axes</x:t>
        </x:is>
      </x:c>
      <x:c r="B2" s="3" t="inlineStr">
        <x:is>
          <x:t xml:space="preserve">G</x:t>
        </x:is>
      </x:c>
      <x:c r="C2" s="3" t="inlineStr">
        <x:is>
          <x:t xml:space="preserve">Governance — Mandate, sponsorship, funding, decision rights, oversight cadence.</x:t>
        </x:is>
      </x:c>
    </x:row>
    <x:row r="3">
      <x:c r="A3" s="3" t="inlineStr">
        <x:is>
          <x:t xml:space="preserve">Axes</x:t>
        </x:is>
      </x:c>
      <x:c r="B3" s="3" t="inlineStr">
        <x:is>
          <x:t xml:space="preserve">E</x:t>
        </x:is>
      </x:c>
      <x:c r="C3" s="3" t="inlineStr">
        <x:is>
          <x:t xml:space="preserve">Execution — Operational consistency; repeatable habits and adoption.</x:t>
        </x:is>
      </x:c>
    </x:row>
    <x:row r="4">
      <x:c r="A4" s="3" t="inlineStr">
        <x:is>
          <x:t xml:space="preserve">Axes</x:t>
        </x:is>
      </x:c>
      <x:c r="B4" s="3" t="inlineStr">
        <x:is>
          <x:t xml:space="preserve">T</x:t>
        </x:is>
      </x:c>
      <x:c r="C4" s="3" t="inlineStr">
        <x:is>
          <x:t xml:space="preserve">Technical Orchestration — Automation and integration of monitoring/detection/respond.</x:t>
        </x:is>
      </x:c>
    </x:row>
    <x:row r="5">
      <x:c r="A5" s="3" t="inlineStr">
        <x:is>
          <x:t xml:space="preserve">Axes</x:t>
        </x:is>
      </x:c>
      <x:c r="B5" s="3" t="inlineStr">
        <x:is>
          <x:t xml:space="preserve">L</x:t>
        </x:is>
      </x:c>
      <x:c r="C5" s="3" t="inlineStr">
        <x:is>
          <x:t xml:space="preserve">Legal &amp; Privacy — Defensibility, proportionality, transparency, lawful basis, auditability.</x:t>
        </x:is>
      </x:c>
    </x:row>
    <x:row r="6">
      <x:c r="A6" s="3" t="inlineStr">
        <x:is>
          <x:t xml:space="preserve">Axes</x:t>
        </x:is>
      </x:c>
      <x:c r="B6" s="3" t="inlineStr">
        <x:is>
          <x:t xml:space="preserve">H</x:t>
        </x:is>
      </x:c>
      <x:c r="C6" s="3" t="inlineStr">
        <x:is>
          <x:t xml:space="preserve">Human Sentiment — Psychological safety, speak-up culture, fairness perception.</x:t>
        </x:is>
      </x:c>
    </x:row>
    <x:row r="7">
      <x:c r="A7" s="3" t="inlineStr">
        <x:is>
          <x:t xml:space="preserve">Axes</x:t>
        </x:is>
      </x:c>
      <x:c r="B7" s="3" t="inlineStr">
        <x:is>
          <x:t xml:space="preserve">V</x:t>
        </x:is>
      </x:c>
      <x:c r="C7" s="3" t="inlineStr">
        <x:is>
          <x:t xml:space="preserve">Visibility — Sensitive assets/systems, data flows, access concentration.</x:t>
        </x:is>
      </x:c>
    </x:row>
    <x:row r="8">
      <x:c r="A8" s="3" t="inlineStr">
        <x:is>
          <x:t xml:space="preserve">Axes</x:t>
        </x:is>
      </x:c>
      <x:c r="B8" s="3" t="inlineStr">
        <x:is>
          <x:t xml:space="preserve">R</x:t>
        </x:is>
      </x:c>
      <x:c r="C8" s="3" t="inlineStr">
        <x:is>
          <x:t xml:space="preserve">Resilience — Case handling, investigations, exercises, recovery and learning.</x:t>
        </x:is>
      </x:c>
    </x:row>
    <x:row r="9">
      <x:c r="A9" s="3" t="inlineStr">
        <x:is>
          <x:t xml:space="preserve">Axes</x:t>
        </x:is>
      </x:c>
      <x:c r="B9" s="3" t="inlineStr">
        <x:is>
          <x:t xml:space="preserve">F</x:t>
        </x:is>
      </x:c>
      <x:c r="C9" s="3" t="inlineStr">
        <x:is>
          <x:t xml:space="preserve">Friction Management — Ability to reduce bypass pressure; usability and exception management.</x:t>
        </x:is>
      </x:c>
    </x:row>
    <x:row r="10">
      <x:c r="A10" s="3" t="inlineStr">
        <x:is>
          <x:t xml:space="preserve">Axes</x:t>
        </x:is>
      </x:c>
      <x:c r="B10" s="3" t="inlineStr">
        <x:is>
          <x:t xml:space="preserve">W</x:t>
        </x:is>
      </x:c>
      <x:c r="C10" s="3" t="inlineStr">
        <x:is>
          <x:t xml:space="preserve">Control Lag Management — Ability to adapt controls quickly during change events.</x:t>
        </x:is>
      </x:c>
    </x:row>
    <x:row r="11">
      <x:c r="A11" s="3" t="inlineStr">
        <x:is>
          <x:t xml:space="preserve">Tiers</x:t>
        </x:is>
      </x:c>
      <x:c r="B11" s="3" t="inlineStr">
        <x:is>
          <x:t xml:space="preserve">T1</x:t>
        </x:is>
      </x:c>
      <x:c r="C11" s="3" t="inlineStr">
        <x:is>
          <x:t xml:space="preserve">Gatekeeper — High-level question used for Lightweight Mode and routing.</x:t>
        </x:is>
      </x:c>
    </x:row>
    <x:row r="12">
      <x:c r="A12" s="3" t="inlineStr">
        <x:is>
          <x:t xml:space="preserve">Tiers</x:t>
        </x:is>
      </x:c>
      <x:c r="B12" s="3" t="inlineStr">
        <x:is>
          <x:t xml:space="preserve">T2</x:t>
        </x:is>
      </x:c>
      <x:c r="C12" s="3" t="inlineStr">
        <x:is>
          <x:t xml:space="preserve">Drill-down / Shadow probe — Adds nuance and checks reality without survey fatigue.</x:t>
        </x:is>
      </x:c>
    </x:row>
    <x:row r="13">
      <x:c r="A13" s="3" t="inlineStr">
        <x:is>
          <x:t xml:space="preserve">Tiers</x:t>
        </x:is>
      </x:c>
      <x:c r="B13" s="3" t="inlineStr">
        <x:is>
          <x:t xml:space="preserve">T3</x:t>
        </x:is>
      </x:c>
      <x:c r="C13" s="3" t="inlineStr">
        <x:is>
          <x:t xml:space="preserve">Business-proofing — Introduces evidence expectations and operational examples.</x:t>
        </x:is>
      </x:c>
    </x:row>
    <x:row r="14">
      <x:c r="A14" s="3" t="inlineStr">
        <x:is>
          <x:t xml:space="preserve">EvidencePolicyID</x:t>
        </x:is>
      </x:c>
      <x:c r="B14" s="3" t="inlineStr">
        <x:is>
          <x:t xml:space="preserve">GOV_STD</x:t>
        </x:is>
      </x:c>
      <x:c r="C14" s="3" t="inlineStr">
        <x:is>
          <x:t xml:space="preserve">Governance standard — Prefer artifact evidence for BaseScore≥3; recency class: governance.</x:t>
        </x:is>
      </x:c>
    </x:row>
    <x:row r="15">
      <x:c r="A15" s="3" t="inlineStr">
        <x:is>
          <x:t xml:space="preserve">EvidencePolicyID</x:t>
        </x:is>
      </x:c>
      <x:c r="B15" s="3" t="inlineStr">
        <x:is>
          <x:t xml:space="preserve">RISK_STD</x:t>
        </x:is>
      </x:c>
      <x:c r="C15" s="3" t="inlineStr">
        <x:is>
          <x:t xml:space="preserve">Risk/targeting standard — Prefer evidence for BaseScore≥3; sample outputs encouraged.</x:t>
        </x:is>
      </x:c>
    </x:row>
    <x:row r="16">
      <x:c r="A16" s="3" t="inlineStr">
        <x:is>
          <x:t xml:space="preserve">EvidencePolicyID</x:t>
        </x:is>
      </x:c>
      <x:c r="B16" s="3" t="inlineStr">
        <x:is>
          <x:t xml:space="preserve">OPS_STD</x:t>
        </x:is>
      </x:c>
      <x:c r="C16" s="3" t="inlineStr">
        <x:is>
          <x:t xml:space="preserve">Operational standard — Operational examples acceptable for BaseScore 2–3; evidence for 4.</x:t>
        </x:is>
      </x:c>
    </x:row>
    <x:row r="17">
      <x:c r="A17" s="3" t="inlineStr">
        <x:is>
          <x:t xml:space="preserve">EvidencePolicyID</x:t>
        </x:is>
      </x:c>
      <x:c r="B17" s="3" t="inlineStr">
        <x:is>
          <x:t xml:space="preserve">CULT_SOFT</x:t>
        </x:is>
      </x:c>
      <x:c r="C17" s="3" t="inlineStr">
        <x:is>
          <x:t xml:space="preserve">Culture soft — Self-report acceptable up to 3; evidence strengthens CI, not required for 3.</x:t>
        </x:is>
      </x:c>
    </x:row>
    <x:row r="18">
      <x:c r="A18" s="3" t="inlineStr">
        <x:is>
          <x:t xml:space="preserve">EvidencePolicyID</x:t>
        </x:is>
      </x:c>
      <x:c r="B18" s="3" t="inlineStr">
        <x:is>
          <x:t xml:space="preserve">LEG_STRICT</x:t>
        </x:is>
      </x:c>
      <x:c r="C18" s="3" t="inlineStr">
        <x:is>
          <x:t xml:space="preserve">Legal strict — Tier A cap low; BaseScore≥3 expects at least artifacts; 4 expects proof/audit.</x:t>
        </x:is>
      </x:c>
    </x:row>
    <x:row r="19">
      <x:c r="A19" s="3" t="inlineStr">
        <x:is>
          <x:t xml:space="preserve">FractureType</x:t>
        </x:is>
      </x:c>
      <x:c r="B19" s="3" t="inlineStr">
        <x:is>
          <x:t xml:space="preserve">Bypass Pressure</x:t>
        </x:is>
      </x:c>
      <x:c r="C19" s="3" t="inlineStr">
        <x:is>
          <x:t xml:space="preserve">Narrative classification used for executive reporting and service triggers.</x:t>
        </x:is>
      </x:c>
    </x:row>
    <x:row r="20">
      <x:c r="A20" s="3" t="inlineStr">
        <x:is>
          <x:t xml:space="preserve">FractureType</x:t>
        </x:is>
      </x:c>
      <x:c r="B20" s="3" t="inlineStr">
        <x:is>
          <x:t xml:space="preserve">Control Lag</x:t>
        </x:is>
      </x:c>
      <x:c r="C20" s="3" t="inlineStr">
        <x:is>
          <x:t xml:space="preserve">Narrative classification used for executive reporting and service triggers.</x:t>
        </x:is>
      </x:c>
    </x:row>
    <x:row r="21">
      <x:c r="A21" s="3" t="inlineStr">
        <x:is>
          <x:t xml:space="preserve">FractureType</x:t>
        </x:is>
      </x:c>
      <x:c r="B21" s="3" t="inlineStr">
        <x:is>
          <x:t xml:space="preserve">Culture Risk</x:t>
        </x:is>
      </x:c>
      <x:c r="C21" s="3" t="inlineStr">
        <x:is>
          <x:t xml:space="preserve">Narrative classification used for executive reporting and service triggers.</x:t>
        </x:is>
      </x:c>
    </x:row>
    <x:row r="22">
      <x:c r="A22" s="3" t="inlineStr">
        <x:is>
          <x:t xml:space="preserve">FractureType</x:t>
        </x:is>
      </x:c>
      <x:c r="B22" s="3" t="inlineStr">
        <x:is>
          <x:t xml:space="preserve">Legal Exposure</x:t>
        </x:is>
      </x:c>
      <x:c r="C22" s="3" t="inlineStr">
        <x:is>
          <x:t xml:space="preserve">Narrative classification used for executive reporting and service triggers.</x:t>
        </x:is>
      </x:c>
    </x:row>
    <x:row r="23">
      <x:c r="A23" s="3" t="inlineStr">
        <x:is>
          <x:t xml:space="preserve">FractureType</x:t>
        </x:is>
      </x:c>
      <x:c r="B23" s="3" t="inlineStr">
        <x:is>
          <x:t xml:space="preserve">Operating Model Gap</x:t>
        </x:is>
      </x:c>
      <x:c r="C23" s="3" t="inlineStr">
        <x:is>
          <x:t xml:space="preserve">Narrative classification used for executive reporting and service triggers.</x:t>
        </x:is>
      </x:c>
    </x:row>
    <x:row r="24">
      <x:c r="A24" s="3" t="inlineStr">
        <x:is>
          <x:t xml:space="preserve">FractureType</x:t>
        </x:is>
      </x:c>
      <x:c r="B24" s="3" t="inlineStr">
        <x:is>
          <x:t xml:space="preserve">Paper Dragon</x:t>
        </x:is>
      </x:c>
      <x:c r="C24" s="3" t="inlineStr">
        <x:is>
          <x:t xml:space="preserve">Narrative classification used for executive reporting and service triggers.</x:t>
        </x:is>
      </x:c>
    </x:row>
    <x:row r="25">
      <x:c r="A25" s="3" t="inlineStr">
        <x:is>
          <x:t xml:space="preserve">FractureType</x:t>
        </x:is>
      </x:c>
      <x:c r="B25" s="3" t="inlineStr">
        <x:is>
          <x:t xml:space="preserve">Resilience Gap</x:t>
        </x:is>
      </x:c>
      <x:c r="C25" s="3" t="inlineStr">
        <x:is>
          <x:t xml:space="preserve">Narrative classification used for executive reporting and service triggers.</x:t>
        </x:is>
      </x:c>
    </x:row>
    <x:row r="26">
      <x:c r="A26" s="3" t="inlineStr">
        <x:is>
          <x:t xml:space="preserve">FractureType</x:t>
        </x:is>
      </x:c>
      <x:c r="B26" s="3" t="inlineStr">
        <x:is>
          <x:t xml:space="preserve">Shadow Mature</x:t>
        </x:is>
      </x:c>
      <x:c r="C26" s="3" t="inlineStr">
        <x:is>
          <x:t xml:space="preserve">Narrative classification used for executive reporting and service triggers.</x:t>
        </x:is>
      </x:c>
    </x:row>
    <x:row r="27">
      <x:c r="A27" s="3" t="inlineStr">
        <x:is>
          <x:t xml:space="preserve">FractureType</x:t>
        </x:is>
      </x:c>
      <x:c r="B27" s="3" t="inlineStr">
        <x:is>
          <x:t xml:space="preserve">Toxic Enforcer</x:t>
        </x:is>
      </x:c>
      <x:c r="C27" s="3" t="inlineStr">
        <x:is>
          <x:t xml:space="preserve">Narrative classification used for executive reporting and service triggers.</x:t>
        </x:is>
      </x:c>
    </x:row>
    <x:row r="28">
      <x:c r="A28" s="3" t="inlineStr">
        <x:is>
          <x:t xml:space="preserve">FractureType</x:t>
        </x:is>
      </x:c>
      <x:c r="B28" s="3" t="inlineStr">
        <x:is>
          <x:t xml:space="preserve">Unknown</x:t>
        </x:is>
      </x:c>
      <x:c r="C28" s="3" t="inlineStr">
        <x:is>
          <x:t xml:space="preserve">Narrative classification used for executive reporting and service triggers.</x:t>
        </x:is>
      </x:c>
    </x:row>
    <x:row r="29">
      <x:c r="A29" s="3" t="inlineStr">
        <x:is>
          <x:t xml:space="preserve">FractureType</x:t>
        </x:is>
      </x:c>
      <x:c r="B29" s="3" t="inlineStr">
        <x:is>
          <x:t xml:space="preserve">Visibility Gap</x:t>
        </x:is>
      </x:c>
      <x:c r="C29" s="3" t="inlineStr">
        <x:is>
          <x:t xml:space="preserve">Narrative classification used for executive reporting and service triggers.</x:t>
        </x:is>
      </x:c>
    </x:row>
    <x:row r="30">
      <x:c r="A30" s="3" t="inlineStr">
        <x:is>
          <x:t xml:space="preserve">FollowUpTrigger</x:t>
        </x:is>
      </x:c>
      <x:c r="B30" s="3" t="inlineStr">
        <x:is>
          <x:t xml:space="preserve">Add_Appeals_Process</x:t>
        </x:is>
      </x:c>
      <x:c r="C30" s="3" t="inlineStr">
        <x:is>
          <x:t xml:space="preserve">Recommended next action or advisory trigger.</x:t>
        </x:is>
      </x:c>
    </x:row>
    <x:row r="31">
      <x:c r="A31" s="3" t="inlineStr">
        <x:is>
          <x:t xml:space="preserve">FollowUpTrigger</x:t>
        </x:is>
      </x:c>
      <x:c r="B31" s="3" t="inlineStr">
        <x:is>
          <x:t xml:space="preserve">Align_Funding_Governance</x:t>
        </x:is>
      </x:c>
      <x:c r="C31" s="3" t="inlineStr">
        <x:is>
          <x:t xml:space="preserve">Recommended next action or advisory trigger.</x:t>
        </x:is>
      </x:c>
    </x:row>
    <x:row r="32">
      <x:c r="A32" s="3" t="inlineStr">
        <x:is>
          <x:t xml:space="preserve">FollowUpTrigger</x:t>
        </x:is>
      </x:c>
      <x:c r="B32" s="3" t="inlineStr">
        <x:is>
          <x:t xml:space="preserve">Align_On_Crown_Jewels</x:t>
        </x:is>
      </x:c>
      <x:c r="C32" s="3" t="inlineStr">
        <x:is>
          <x:t xml:space="preserve">Recommended next action or advisory trigger.</x:t>
        </x:is>
      </x:c>
    </x:row>
    <x:row r="33">
      <x:c r="A33" s="3" t="inlineStr">
        <x:is>
          <x:t xml:space="preserve">FollowUpTrigger</x:t>
        </x:is>
      </x:c>
      <x:c r="B33" s="3" t="inlineStr">
        <x:is>
          <x:t xml:space="preserve">Align_On_Scenarios</x:t>
        </x:is>
      </x:c>
      <x:c r="C33" s="3" t="inlineStr">
        <x:is>
          <x:t xml:space="preserve">Recommended next action or advisory trigger.</x:t>
        </x:is>
      </x:c>
    </x:row>
    <x:row r="34">
      <x:c r="A34" s="3" t="inlineStr">
        <x:is>
          <x:t xml:space="preserve">FollowUpTrigger</x:t>
        </x:is>
      </x:c>
      <x:c r="B34" s="3" t="inlineStr">
        <x:is>
          <x:t xml:space="preserve">Align_Policy_To_Reality</x:t>
        </x:is>
      </x:c>
      <x:c r="C34" s="3" t="inlineStr">
        <x:is>
          <x:t xml:space="preserve">Recommended next action or advisory trigger.</x:t>
        </x:is>
      </x:c>
    </x:row>
    <x:row r="35">
      <x:c r="A35" s="3" t="inlineStr">
        <x:is>
          <x:t xml:space="preserve">FollowUpTrigger</x:t>
        </x:is>
      </x:c>
      <x:c r="B35" s="3" t="inlineStr">
        <x:is>
          <x:t xml:space="preserve">Assess_Case_Model</x:t>
        </x:is>
      </x:c>
      <x:c r="C35" s="3" t="inlineStr">
        <x:is>
          <x:t xml:space="preserve">Recommended next action or advisory trigger.</x:t>
        </x:is>
      </x:c>
    </x:row>
    <x:row r="36">
      <x:c r="A36" s="3" t="inlineStr">
        <x:is>
          <x:t xml:space="preserve">FollowUpTrigger</x:t>
        </x:is>
      </x:c>
      <x:c r="B36" s="3" t="inlineStr">
        <x:is>
          <x:t xml:space="preserve">Assess_Control_Lag</x:t>
        </x:is>
      </x:c>
      <x:c r="C36" s="3" t="inlineStr">
        <x:is>
          <x:t xml:space="preserve">Recommended next action or advisory trigger.</x:t>
        </x:is>
      </x:c>
    </x:row>
    <x:row r="37">
      <x:c r="A37" s="3" t="inlineStr">
        <x:is>
          <x:t xml:space="preserve">FollowUpTrigger</x:t>
        </x:is>
      </x:c>
      <x:c r="B37" s="3" t="inlineStr">
        <x:is>
          <x:t xml:space="preserve">Assess_Data_Residency</x:t>
        </x:is>
      </x:c>
      <x:c r="C37" s="3" t="inlineStr">
        <x:is>
          <x:t xml:space="preserve">Recommended next action or advisory trigger.</x:t>
        </x:is>
      </x:c>
    </x:row>
    <x:row r="38">
      <x:c r="A38" s="3" t="inlineStr">
        <x:is>
          <x:t xml:space="preserve">FollowUpTrigger</x:t>
        </x:is>
      </x:c>
      <x:c r="B38" s="3" t="inlineStr">
        <x:is>
          <x:t xml:space="preserve">Assess_Detection</x:t>
        </x:is>
      </x:c>
      <x:c r="C38" s="3" t="inlineStr">
        <x:is>
          <x:t xml:space="preserve">Recommended next action or advisory trigger.</x:t>
        </x:is>
      </x:c>
    </x:row>
    <x:row r="39">
      <x:c r="A39" s="3" t="inlineStr">
        <x:is>
          <x:t xml:space="preserve">FollowUpTrigger</x:t>
        </x:is>
      </x:c>
      <x:c r="B39" s="3" t="inlineStr">
        <x:is>
          <x:t xml:space="preserve">Assess_Evidence_Handling</x:t>
        </x:is>
      </x:c>
      <x:c r="C39" s="3" t="inlineStr">
        <x:is>
          <x:t xml:space="preserve">Recommended next action or advisory trigger.</x:t>
        </x:is>
      </x:c>
    </x:row>
    <x:row r="40">
      <x:c r="A40" s="3" t="inlineStr">
        <x:is>
          <x:t xml:space="preserve">FollowUpTrigger</x:t>
        </x:is>
      </x:c>
      <x:c r="B40" s="3" t="inlineStr">
        <x:is>
          <x:t xml:space="preserve">Assess_Friction</x:t>
        </x:is>
      </x:c>
      <x:c r="C40" s="3" t="inlineStr">
        <x:is>
          <x:t xml:space="preserve">Recommended next action or advisory trigger.</x:t>
        </x:is>
      </x:c>
    </x:row>
    <x:row r="41">
      <x:c r="A41" s="3" t="inlineStr">
        <x:is>
          <x:t xml:space="preserve">FollowUpTrigger</x:t>
        </x:is>
      </x:c>
      <x:c r="B41" s="3" t="inlineStr">
        <x:is>
          <x:t xml:space="preserve">Assess_ThirdParty</x:t>
        </x:is>
      </x:c>
      <x:c r="C41" s="3" t="inlineStr">
        <x:is>
          <x:t xml:space="preserve">Recommended next action or advisory trigger.</x:t>
        </x:is>
      </x:c>
    </x:row>
    <x:row r="42">
      <x:c r="A42" s="3" t="inlineStr">
        <x:is>
          <x:t xml:space="preserve">FollowUpTrigger</x:t>
        </x:is>
      </x:c>
      <x:c r="B42" s="3" t="inlineStr">
        <x:is>
          <x:t xml:space="preserve">Assurance_On_Reality</x:t>
        </x:is>
      </x:c>
      <x:c r="C42" s="3" t="inlineStr">
        <x:is>
          <x:t xml:space="preserve">Recommended next action or advisory trigger.</x:t>
        </x:is>
      </x:c>
    </x:row>
    <x:row r="43">
      <x:c r="A43" s="3" t="inlineStr">
        <x:is>
          <x:t xml:space="preserve">FollowUpTrigger</x:t>
        </x:is>
      </x:c>
      <x:c r="B43" s="3" t="inlineStr">
        <x:is>
          <x:t xml:space="preserve">Behavioral_Design</x:t>
        </x:is>
      </x:c>
      <x:c r="C43" s="3" t="inlineStr">
        <x:is>
          <x:t xml:space="preserve">Recommended next action or advisory trigger.</x:t>
        </x:is>
      </x:c>
    </x:row>
    <x:row r="44">
      <x:c r="A44" s="3" t="inlineStr">
        <x:is>
          <x:t xml:space="preserve">FollowUpTrigger</x:t>
        </x:is>
      </x:c>
      <x:c r="B44" s="3" t="inlineStr">
        <x:is>
          <x:t xml:space="preserve">Build_Detection_Strategy</x:t>
        </x:is>
      </x:c>
      <x:c r="C44" s="3" t="inlineStr">
        <x:is>
          <x:t xml:space="preserve">Recommended next action or advisory trigger.</x:t>
        </x:is>
      </x:c>
    </x:row>
    <x:row r="45">
      <x:c r="A45" s="3" t="inlineStr">
        <x:is>
          <x:t xml:space="preserve">FollowUpTrigger</x:t>
        </x:is>
      </x:c>
      <x:c r="B45" s="3" t="inlineStr">
        <x:is>
          <x:t xml:space="preserve">Capture_Informal_Practices</x:t>
        </x:is>
      </x:c>
      <x:c r="C45" s="3" t="inlineStr">
        <x:is>
          <x:t xml:space="preserve">Recommended next action or advisory trigger.</x:t>
        </x:is>
      </x:c>
    </x:row>
    <x:row r="46">
      <x:c r="A46" s="3" t="inlineStr">
        <x:is>
          <x:t xml:space="preserve">FollowUpTrigger</x:t>
        </x:is>
      </x:c>
      <x:c r="B46" s="3" t="inlineStr">
        <x:is>
          <x:t xml:space="preserve">Capture_Playbook</x:t>
        </x:is>
      </x:c>
      <x:c r="C46" s="3" t="inlineStr">
        <x:is>
          <x:t xml:space="preserve">Recommended next action or advisory trigger.</x:t>
        </x:is>
      </x:c>
    </x:row>
    <x:row r="47">
      <x:c r="A47" s="3" t="inlineStr">
        <x:is>
          <x:t xml:space="preserve">FollowUpTrigger</x:t>
        </x:is>
      </x:c>
      <x:c r="B47" s="3" t="inlineStr">
        <x:is>
          <x:t xml:space="preserve">Clarify_Budget</x:t>
        </x:is>
      </x:c>
      <x:c r="C47" s="3" t="inlineStr">
        <x:is>
          <x:t xml:space="preserve">Recommended next action or advisory trigger.</x:t>
        </x:is>
      </x:c>
    </x:row>
    <x:row r="48">
      <x:c r="A48" s="3" t="inlineStr">
        <x:is>
          <x:t xml:space="preserve">FollowUpTrigger</x:t>
        </x:is>
      </x:c>
      <x:c r="B48" s="3" t="inlineStr">
        <x:is>
          <x:t xml:space="preserve">Clarify_Roadmap</x:t>
        </x:is>
      </x:c>
      <x:c r="C48" s="3" t="inlineStr">
        <x:is>
          <x:t xml:space="preserve">Recommended next action or advisory trigger.</x:t>
        </x:is>
      </x:c>
    </x:row>
    <x:row r="49">
      <x:c r="A49" s="3" t="inlineStr">
        <x:is>
          <x:t xml:space="preserve">FollowUpTrigger</x:t>
        </x:is>
      </x:c>
      <x:c r="B49" s="3" t="inlineStr">
        <x:is>
          <x:t xml:space="preserve">Clarify_Stakeholders</x:t>
        </x:is>
      </x:c>
      <x:c r="C49" s="3" t="inlineStr">
        <x:is>
          <x:t xml:space="preserve">Recommended next action or advisory trigger.</x:t>
        </x:is>
      </x:c>
    </x:row>
    <x:row r="50">
      <x:c r="A50" s="3" t="inlineStr">
        <x:is>
          <x:t xml:space="preserve">FollowUpTrigger</x:t>
        </x:is>
      </x:c>
      <x:c r="B50" s="3" t="inlineStr">
        <x:is>
          <x:t xml:space="preserve">Close_Learning_Loop</x:t>
        </x:is>
      </x:c>
      <x:c r="C50" s="3" t="inlineStr">
        <x:is>
          <x:t xml:space="preserve">Recommended next action or advisory trigger.</x:t>
        </x:is>
      </x:c>
    </x:row>
    <x:row r="51">
      <x:c r="A51" s="3" t="inlineStr">
        <x:is>
          <x:t xml:space="preserve">FollowUpTrigger</x:t>
        </x:is>
      </x:c>
      <x:c r="B51" s="3" t="inlineStr">
        <x:is>
          <x:t xml:space="preserve">ControlLag_Sprint</x:t>
        </x:is>
      </x:c>
      <x:c r="C51" s="3" t="inlineStr">
        <x:is>
          <x:t xml:space="preserve">Recommended next action or advisory trigger.</x:t>
        </x:is>
      </x:c>
    </x:row>
    <x:row r="52">
      <x:c r="A52" s="3" t="inlineStr">
        <x:is>
          <x:t xml:space="preserve">FollowUpTrigger</x:t>
        </x:is>
      </x:c>
      <x:c r="B52" s="3" t="inlineStr">
        <x:is>
          <x:t xml:space="preserve">Convert_To_Playbooks</x:t>
        </x:is>
      </x:c>
      <x:c r="C52" s="3" t="inlineStr">
        <x:is>
          <x:t xml:space="preserve">Recommended next action or advisory trigger.</x:t>
        </x:is>
      </x:c>
    </x:row>
    <x:row r="53">
      <x:c r="A53" s="3" t="inlineStr">
        <x:is>
          <x:t xml:space="preserve">FollowUpTrigger</x:t>
        </x:is>
      </x:c>
      <x:c r="B53" s="3" t="inlineStr">
        <x:is>
          <x:t xml:space="preserve">Create_NearMiss_Process</x:t>
        </x:is>
      </x:c>
      <x:c r="C53" s="3" t="inlineStr">
        <x:is>
          <x:t xml:space="preserve">Recommended next action or advisory trigger.</x:t>
        </x:is>
      </x:c>
    </x:row>
    <x:row r="54">
      <x:c r="A54" s="3" t="inlineStr">
        <x:is>
          <x:t xml:space="preserve">FollowUpTrigger</x:t>
        </x:is>
      </x:c>
      <x:c r="B54" s="3" t="inlineStr">
        <x:is>
          <x:t xml:space="preserve">Create_Roadmap</x:t>
        </x:is>
      </x:c>
      <x:c r="C54" s="3" t="inlineStr">
        <x:is>
          <x:t xml:space="preserve">Recommended next action or advisory trigger.</x:t>
        </x:is>
      </x:c>
    </x:row>
    <x:row r="55">
      <x:c r="A55" s="3" t="inlineStr">
        <x:is>
          <x:t xml:space="preserve">FollowUpTrigger</x:t>
        </x:is>
      </x:c>
      <x:c r="B55" s="3" t="inlineStr">
        <x:is>
          <x:t xml:space="preserve">Create_Scenarios</x:t>
        </x:is>
      </x:c>
      <x:c r="C55" s="3" t="inlineStr">
        <x:is>
          <x:t xml:space="preserve">Recommended next action or advisory trigger.</x:t>
        </x:is>
      </x:c>
    </x:row>
    <x:row r="56">
      <x:c r="A56" s="3" t="inlineStr">
        <x:is>
          <x:t xml:space="preserve">FollowUpTrigger</x:t>
        </x:is>
      </x:c>
      <x:c r="B56" s="3" t="inlineStr">
        <x:is>
          <x:t xml:space="preserve">Create_Trust_Playbook</x:t>
        </x:is>
      </x:c>
      <x:c r="C56" s="3" t="inlineStr">
        <x:is>
          <x:t xml:space="preserve">Recommended next action or advisory trigger.</x:t>
        </x:is>
      </x:c>
    </x:row>
    <x:row r="57">
      <x:c r="A57" s="3" t="inlineStr">
        <x:is>
          <x:t xml:space="preserve">FollowUpTrigger</x:t>
        </x:is>
      </x:c>
      <x:c r="B57" s="3" t="inlineStr">
        <x:is>
          <x:t xml:space="preserve">Create_Working_Group</x:t>
        </x:is>
      </x:c>
      <x:c r="C57" s="3" t="inlineStr">
        <x:is>
          <x:t xml:space="preserve">Recommended next action or advisory trigger.</x:t>
        </x:is>
      </x:c>
    </x:row>
    <x:row r="58">
      <x:c r="A58" s="3" t="inlineStr">
        <x:is>
          <x:t xml:space="preserve">FollowUpTrigger</x:t>
        </x:is>
      </x:c>
      <x:c r="B58" s="3" t="inlineStr">
        <x:is>
          <x:t xml:space="preserve">Culture_Diagnostics</x:t>
        </x:is>
      </x:c>
      <x:c r="C58" s="3" t="inlineStr">
        <x:is>
          <x:t xml:space="preserve">Recommended next action or advisory trigger.</x:t>
        </x:is>
      </x:c>
    </x:row>
    <x:row r="59">
      <x:c r="A59" s="3" t="inlineStr">
        <x:is>
          <x:t xml:space="preserve">FollowUpTrigger</x:t>
        </x:is>
      </x:c>
      <x:c r="B59" s="3" t="inlineStr">
        <x:is>
          <x:t xml:space="preserve">Culture_Workshop</x:t>
        </x:is>
      </x:c>
      <x:c r="C59" s="3" t="inlineStr">
        <x:is>
          <x:t xml:space="preserve">Recommended next action or advisory trigger.</x:t>
        </x:is>
      </x:c>
    </x:row>
    <x:row r="60">
      <x:c r="A60" s="3" t="inlineStr">
        <x:is>
          <x:t xml:space="preserve">FollowUpTrigger</x:t>
        </x:is>
      </x:c>
      <x:c r="B60" s="3" t="inlineStr">
        <x:is>
          <x:t xml:space="preserve">Define_Cadence</x:t>
        </x:is>
      </x:c>
      <x:c r="C60" s="3" t="inlineStr">
        <x:is>
          <x:t xml:space="preserve">Recommended next action or advisory trigger.</x:t>
        </x:is>
      </x:c>
    </x:row>
    <x:row r="61">
      <x:c r="A61" s="3" t="inlineStr">
        <x:is>
          <x:t xml:space="preserve">FollowUpTrigger</x:t>
        </x:is>
      </x:c>
      <x:c r="B61" s="3" t="inlineStr">
        <x:is>
          <x:t xml:space="preserve">Define_Escalation</x:t>
        </x:is>
      </x:c>
      <x:c r="C61" s="3" t="inlineStr">
        <x:is>
          <x:t xml:space="preserve">Recommended next action or advisory trigger.</x:t>
        </x:is>
      </x:c>
    </x:row>
    <x:row r="62">
      <x:c r="A62" s="3" t="inlineStr">
        <x:is>
          <x:t xml:space="preserve">FollowUpTrigger</x:t>
        </x:is>
      </x:c>
      <x:c r="B62" s="3" t="inlineStr">
        <x:is>
          <x:t xml:space="preserve">Define_Funding_Model</x:t>
        </x:is>
      </x:c>
      <x:c r="C62" s="3" t="inlineStr">
        <x:is>
          <x:t xml:space="preserve">Recommended next action or advisory trigger.</x:t>
        </x:is>
      </x:c>
    </x:row>
    <x:row r="63">
      <x:c r="A63" s="3" t="inlineStr">
        <x:is>
          <x:t xml:space="preserve">FollowUpTrigger</x:t>
        </x:is>
      </x:c>
      <x:c r="B63" s="3" t="inlineStr">
        <x:is>
          <x:t xml:space="preserve">Define_KPIs</x:t>
        </x:is>
      </x:c>
      <x:c r="C63" s="3" t="inlineStr">
        <x:is>
          <x:t xml:space="preserve">Recommended next action or advisory trigger.</x:t>
        </x:is>
      </x:c>
    </x:row>
    <x:row r="64">
      <x:c r="A64" s="3" t="inlineStr">
        <x:is>
          <x:t xml:space="preserve">FollowUpTrigger</x:t>
        </x:is>
      </x:c>
      <x:c r="B64" s="3" t="inlineStr">
        <x:is>
          <x:t xml:space="preserve">Define_LE_Plan</x:t>
        </x:is>
      </x:c>
      <x:c r="C64" s="3" t="inlineStr">
        <x:is>
          <x:t xml:space="preserve">Recommended next action or advisory trigger.</x:t>
        </x:is>
      </x:c>
    </x:row>
    <x:row r="65">
      <x:c r="A65" s="3" t="inlineStr">
        <x:is>
          <x:t xml:space="preserve">FollowUpTrigger</x:t>
        </x:is>
      </x:c>
      <x:c r="B65" s="3" t="inlineStr">
        <x:is>
          <x:t xml:space="preserve">Define_Ownership</x:t>
        </x:is>
      </x:c>
      <x:c r="C65" s="3" t="inlineStr">
        <x:is>
          <x:t xml:space="preserve">Recommended next action or advisory trigger.</x:t>
        </x:is>
      </x:c>
    </x:row>
    <x:row r="66">
      <x:c r="A66" s="3" t="inlineStr">
        <x:is>
          <x:t xml:space="preserve">FollowUpTrigger</x:t>
        </x:is>
      </x:c>
      <x:c r="B66" s="3" t="inlineStr">
        <x:is>
          <x:t xml:space="preserve">Design_Case_Model</x:t>
        </x:is>
      </x:c>
      <x:c r="C66" s="3" t="inlineStr">
        <x:is>
          <x:t xml:space="preserve">Recommended next action or advisory trigger.</x:t>
        </x:is>
      </x:c>
    </x:row>
    <x:row r="67">
      <x:c r="A67" s="3" t="inlineStr">
        <x:is>
          <x:t xml:space="preserve">FollowUpTrigger</x:t>
        </x:is>
      </x:c>
      <x:c r="B67" s="3" t="inlineStr">
        <x:is>
          <x:t xml:space="preserve">Design_Fairness_Process</x:t>
        </x:is>
      </x:c>
      <x:c r="C67" s="3" t="inlineStr">
        <x:is>
          <x:t xml:space="preserve">Recommended next action or advisory trigger.</x:t>
        </x:is>
      </x:c>
    </x:row>
    <x:row r="68">
      <x:c r="A68" s="3" t="inlineStr">
        <x:is>
          <x:t xml:space="preserve">FollowUpTrigger</x:t>
        </x:is>
      </x:c>
      <x:c r="B68" s="3" t="inlineStr">
        <x:is>
          <x:t xml:space="preserve">Design_Ops_Model</x:t>
        </x:is>
      </x:c>
      <x:c r="C68" s="3" t="inlineStr">
        <x:is>
          <x:t xml:space="preserve">Recommended next action or advisory trigger.</x:t>
        </x:is>
      </x:c>
    </x:row>
    <x:row r="69">
      <x:c r="A69" s="3" t="inlineStr">
        <x:is>
          <x:t xml:space="preserve">FollowUpTrigger</x:t>
        </x:is>
      </x:c>
      <x:c r="B69" s="3" t="inlineStr">
        <x:is>
          <x:t xml:space="preserve">Document_Crown_Jewels</x:t>
        </x:is>
      </x:c>
      <x:c r="C69" s="3" t="inlineStr">
        <x:is>
          <x:t xml:space="preserve">Recommended next action or advisory trigger.</x:t>
        </x:is>
      </x:c>
    </x:row>
    <x:row r="70">
      <x:c r="A70" s="3" t="inlineStr">
        <x:is>
          <x:t xml:space="preserve">FollowUpTrigger</x:t>
        </x:is>
      </x:c>
      <x:c r="B70" s="3" t="inlineStr">
        <x:is>
          <x:t xml:space="preserve">Document_NA</x:t>
        </x:is>
      </x:c>
      <x:c r="C70" s="3" t="inlineStr">
        <x:is>
          <x:t xml:space="preserve">Recommended next action or advisory trigger.</x:t>
        </x:is>
      </x:c>
    </x:row>
    <x:row r="71">
      <x:c r="A71" s="3" t="inlineStr">
        <x:is>
          <x:t xml:space="preserve">FollowUpTrigger</x:t>
        </x:is>
      </x:c>
      <x:c r="B71" s="3" t="inlineStr">
        <x:is>
          <x:t xml:space="preserve">Document_Scenarios</x:t>
        </x:is>
      </x:c>
      <x:c r="C71" s="3" t="inlineStr">
        <x:is>
          <x:t xml:space="preserve">Recommended next action or advisory trigger.</x:t>
        </x:is>
      </x:c>
    </x:row>
    <x:row r="72">
      <x:c r="A72" s="3" t="inlineStr">
        <x:is>
          <x:t xml:space="preserve">FollowUpTrigger</x:t>
        </x:is>
      </x:c>
      <x:c r="B72" s="3" t="inlineStr">
        <x:is>
          <x:t xml:space="preserve">Enforce_Custody_Process</x:t>
        </x:is>
      </x:c>
      <x:c r="C72" s="3" t="inlineStr">
        <x:is>
          <x:t xml:space="preserve">Recommended next action or advisory trigger.</x:t>
        </x:is>
      </x:c>
    </x:row>
    <x:row r="73">
      <x:c r="A73" s="3" t="inlineStr">
        <x:is>
          <x:t xml:space="preserve">FollowUpTrigger</x:t>
        </x:is>
      </x:c>
      <x:c r="B73" s="3" t="inlineStr">
        <x:is>
          <x:t xml:space="preserve">Evidence_Upgrade</x:t>
        </x:is>
      </x:c>
      <x:c r="C73" s="3" t="inlineStr">
        <x:is>
          <x:t xml:space="preserve">Recommended next action or advisory trigger.</x:t>
        </x:is>
      </x:c>
    </x:row>
    <x:row r="74">
      <x:c r="A74" s="3" t="inlineStr">
        <x:is>
          <x:t xml:space="preserve">FollowUpTrigger</x:t>
        </x:is>
      </x:c>
      <x:c r="B74" s="3" t="inlineStr">
        <x:is>
          <x:t xml:space="preserve">Exercise_LE_Plan</x:t>
        </x:is>
      </x:c>
      <x:c r="C74" s="3" t="inlineStr">
        <x:is>
          <x:t xml:space="preserve">Recommended next action or advisory trigger.</x:t>
        </x:is>
      </x:c>
    </x:row>
    <x:row r="75">
      <x:c r="A75" s="3" t="inlineStr">
        <x:is>
          <x:t xml:space="preserve">FollowUpTrigger</x:t>
        </x:is>
      </x:c>
      <x:c r="B75" s="3" t="inlineStr">
        <x:is>
          <x:t xml:space="preserve">Exercise_Scenarios</x:t>
        </x:is>
      </x:c>
      <x:c r="C75" s="3" t="inlineStr">
        <x:is>
          <x:t xml:space="preserve">Recommended next action or advisory trigger.</x:t>
        </x:is>
      </x:c>
    </x:row>
    <x:row r="76">
      <x:c r="A76" s="3" t="inlineStr">
        <x:is>
          <x:t xml:space="preserve">FollowUpTrigger</x:t>
        </x:is>
      </x:c>
      <x:c r="B76" s="3" t="inlineStr">
        <x:is>
          <x:t xml:space="preserve">Expand_Role_Mapping</x:t>
        </x:is>
      </x:c>
      <x:c r="C76" s="3" t="inlineStr">
        <x:is>
          <x:t xml:space="preserve">Recommended next action or advisory trigger.</x:t>
        </x:is>
      </x:c>
    </x:row>
    <x:row r="77">
      <x:c r="A77" s="3" t="inlineStr">
        <x:is>
          <x:t xml:space="preserve">FollowUpTrigger</x:t>
        </x:is>
      </x:c>
      <x:c r="B77" s="3" t="inlineStr">
        <x:is>
          <x:t xml:space="preserve">Expand_Scope</x:t>
        </x:is>
      </x:c>
      <x:c r="C77" s="3" t="inlineStr">
        <x:is>
          <x:t xml:space="preserve">Recommended next action or advisory trigger.</x:t>
        </x:is>
      </x:c>
    </x:row>
    <x:row r="78">
      <x:c r="A78" s="3" t="inlineStr">
        <x:is>
          <x:t xml:space="preserve">FollowUpTrigger</x:t>
        </x:is>
      </x:c>
      <x:c r="B78" s="3" t="inlineStr">
        <x:is>
          <x:t xml:space="preserve">Extend_To_ThirdParty</x:t>
        </x:is>
      </x:c>
      <x:c r="C78" s="3" t="inlineStr">
        <x:is>
          <x:t xml:space="preserve">Recommended next action or advisory trigger.</x:t>
        </x:is>
      </x:c>
    </x:row>
    <x:row r="79">
      <x:c r="A79" s="3" t="inlineStr">
        <x:is>
          <x:t xml:space="preserve">FollowUpTrigger</x:t>
        </x:is>
      </x:c>
      <x:c r="B79" s="3" t="inlineStr">
        <x:is>
          <x:t xml:space="preserve">Formalize_Access_Reviews</x:t>
        </x:is>
      </x:c>
      <x:c r="C79" s="3" t="inlineStr">
        <x:is>
          <x:t xml:space="preserve">Recommended next action or advisory trigger.</x:t>
        </x:is>
      </x:c>
    </x:row>
    <x:row r="80">
      <x:c r="A80" s="3" t="inlineStr">
        <x:is>
          <x:t xml:space="preserve">FollowUpTrigger</x:t>
        </x:is>
      </x:c>
      <x:c r="B80" s="3" t="inlineStr">
        <x:is>
          <x:t xml:space="preserve">Formalize_Cadence</x:t>
        </x:is>
      </x:c>
      <x:c r="C80" s="3" t="inlineStr">
        <x:is>
          <x:t xml:space="preserve">Recommended next action or advisory trigger.</x:t>
        </x:is>
      </x:c>
    </x:row>
    <x:row r="81">
      <x:c r="A81" s="3" t="inlineStr">
        <x:is>
          <x:t xml:space="preserve">FollowUpTrigger</x:t>
        </x:is>
      </x:c>
      <x:c r="B81" s="3" t="inlineStr">
        <x:is>
          <x:t xml:space="preserve">Formalize_Case_Model</x:t>
        </x:is>
      </x:c>
      <x:c r="C81" s="3" t="inlineStr">
        <x:is>
          <x:t xml:space="preserve">Recommended next action or advisory trigger.</x:t>
        </x:is>
      </x:c>
    </x:row>
    <x:row r="82">
      <x:c r="A82" s="3" t="inlineStr">
        <x:is>
          <x:t xml:space="preserve">FollowUpTrigger</x:t>
        </x:is>
      </x:c>
      <x:c r="B82" s="3" t="inlineStr">
        <x:is>
          <x:t xml:space="preserve">Formalize_Escalation</x:t>
        </x:is>
      </x:c>
      <x:c r="C82" s="3" t="inlineStr">
        <x:is>
          <x:t xml:space="preserve">Recommended next action or advisory trigger.</x:t>
        </x:is>
      </x:c>
    </x:row>
    <x:row r="83">
      <x:c r="A83" s="3" t="inlineStr">
        <x:is>
          <x:t xml:space="preserve">FollowUpTrigger</x:t>
        </x:is>
      </x:c>
      <x:c r="B83" s="3" t="inlineStr">
        <x:is>
          <x:t xml:space="preserve">Formalize_NearMiss_Process</x:t>
        </x:is>
      </x:c>
      <x:c r="C83" s="3" t="inlineStr">
        <x:is>
          <x:t xml:space="preserve">Recommended next action or advisory trigger.</x:t>
        </x:is>
      </x:c>
    </x:row>
    <x:row r="84">
      <x:c r="A84" s="3" t="inlineStr">
        <x:is>
          <x:t xml:space="preserve">FollowUpTrigger</x:t>
        </x:is>
      </x:c>
      <x:c r="B84" s="3" t="inlineStr">
        <x:is>
          <x:t xml:space="preserve">Formalize_Playbook</x:t>
        </x:is>
      </x:c>
      <x:c r="C84" s="3" t="inlineStr">
        <x:is>
          <x:t xml:space="preserve">Recommended next action or advisory trigger.</x:t>
        </x:is>
      </x:c>
    </x:row>
    <x:row r="85">
      <x:c r="A85" s="3" t="inlineStr">
        <x:is>
          <x:t xml:space="preserve">FollowUpTrigger</x:t>
        </x:is>
      </x:c>
      <x:c r="B85" s="3" t="inlineStr">
        <x:is>
          <x:t xml:space="preserve">Formalize_Reinforcement</x:t>
        </x:is>
      </x:c>
      <x:c r="C85" s="3" t="inlineStr">
        <x:is>
          <x:t xml:space="preserve">Recommended next action or advisory trigger.</x:t>
        </x:is>
      </x:c>
    </x:row>
    <x:row r="86">
      <x:c r="A86" s="3" t="inlineStr">
        <x:is>
          <x:t xml:space="preserve">FollowUpTrigger</x:t>
        </x:is>
      </x:c>
      <x:c r="B86" s="3" t="inlineStr">
        <x:is>
          <x:t xml:space="preserve">Formalize_Roadmap</x:t>
        </x:is>
      </x:c>
      <x:c r="C86" s="3" t="inlineStr">
        <x:is>
          <x:t xml:space="preserve">Recommended next action or advisory trigger.</x:t>
        </x:is>
      </x:c>
    </x:row>
    <x:row r="87">
      <x:c r="A87" s="3" t="inlineStr">
        <x:is>
          <x:t xml:space="preserve">FollowUpTrigger</x:t>
        </x:is>
      </x:c>
      <x:c r="B87" s="3" t="inlineStr">
        <x:is>
          <x:t xml:space="preserve">Formalize_Trust_Playbook</x:t>
        </x:is>
      </x:c>
      <x:c r="C87" s="3" t="inlineStr">
        <x:is>
          <x:t xml:space="preserve">Recommended next action or advisory trigger.</x:t>
        </x:is>
      </x:c>
    </x:row>
    <x:row r="88">
      <x:c r="A88" s="3" t="inlineStr">
        <x:is>
          <x:t xml:space="preserve">FollowUpTrigger</x:t>
        </x:is>
      </x:c>
      <x:c r="B88" s="3" t="inlineStr">
        <x:is>
          <x:t xml:space="preserve">Foundational_Setup</x:t>
        </x:is>
      </x:c>
      <x:c r="C88" s="3" t="inlineStr">
        <x:is>
          <x:t xml:space="preserve">Recommended next action or advisory trigger.</x:t>
        </x:is>
      </x:c>
    </x:row>
    <x:row r="89">
      <x:c r="A89" s="3" t="inlineStr">
        <x:is>
          <x:t xml:space="preserve">FollowUpTrigger</x:t>
        </x:is>
      </x:c>
      <x:c r="B89" s="3" t="inlineStr">
        <x:is>
          <x:t xml:space="preserve">Improve_Adoption</x:t>
        </x:is>
      </x:c>
      <x:c r="C89" s="3" t="inlineStr">
        <x:is>
          <x:t xml:space="preserve">Recommended next action or advisory trigger.</x:t>
        </x:is>
      </x:c>
    </x:row>
    <x:row r="90">
      <x:c r="A90" s="3" t="inlineStr">
        <x:is>
          <x:t xml:space="preserve">FollowUpTrigger</x:t>
        </x:is>
      </x:c>
      <x:c r="B90" s="3" t="inlineStr">
        <x:is>
          <x:t xml:space="preserve">Improve_Auditability</x:t>
        </x:is>
      </x:c>
      <x:c r="C90" s="3" t="inlineStr">
        <x:is>
          <x:t xml:space="preserve">Recommended next action or advisory trigger.</x:t>
        </x:is>
      </x:c>
    </x:row>
    <x:row r="91">
      <x:c r="A91" s="3" t="inlineStr">
        <x:is>
          <x:t xml:space="preserve">FollowUpTrigger</x:t>
        </x:is>
      </x:c>
      <x:c r="B91" s="3" t="inlineStr">
        <x:is>
          <x:t xml:space="preserve">Improve_Cadence</x:t>
        </x:is>
      </x:c>
      <x:c r="C91" s="3" t="inlineStr">
        <x:is>
          <x:t xml:space="preserve">Recommended next action or advisory trigger.</x:t>
        </x:is>
      </x:c>
    </x:row>
    <x:row r="92">
      <x:c r="A92" s="3" t="inlineStr">
        <x:is>
          <x:t xml:space="preserve">FollowUpTrigger</x:t>
        </x:is>
      </x:c>
      <x:c r="B92" s="3" t="inlineStr">
        <x:is>
          <x:t xml:space="preserve">Improve_Exercise_Loop</x:t>
        </x:is>
      </x:c>
      <x:c r="C92" s="3" t="inlineStr">
        <x:is>
          <x:t xml:space="preserve">Recommended next action or advisory trigger.</x:t>
        </x:is>
      </x:c>
    </x:row>
    <x:row r="93">
      <x:c r="A93" s="3" t="inlineStr">
        <x:is>
          <x:t xml:space="preserve">FollowUpTrigger</x:t>
        </x:is>
      </x:c>
      <x:c r="B93" s="3" t="inlineStr">
        <x:is>
          <x:t xml:space="preserve">Improve_Metrics</x:t>
        </x:is>
      </x:c>
      <x:c r="C93" s="3" t="inlineStr">
        <x:is>
          <x:t xml:space="preserve">Recommended next action or advisory trigger.</x:t>
        </x:is>
      </x:c>
    </x:row>
    <x:row r="94">
      <x:c r="A94" s="3" t="inlineStr">
        <x:is>
          <x:t xml:space="preserve">FollowUpTrigger</x:t>
        </x:is>
      </x:c>
      <x:c r="B94" s="3" t="inlineStr">
        <x:is>
          <x:t xml:space="preserve">Improve_SpeakUp_System</x:t>
        </x:is>
      </x:c>
      <x:c r="C94" s="3" t="inlineStr">
        <x:is>
          <x:t xml:space="preserve">Recommended next action or advisory trigger.</x:t>
        </x:is>
      </x:c>
    </x:row>
    <x:row r="95">
      <x:c r="A95" s="3" t="inlineStr">
        <x:is>
          <x:t xml:space="preserve">FollowUpTrigger</x:t>
        </x:is>
      </x:c>
      <x:c r="B95" s="3" t="inlineStr">
        <x:is>
          <x:t xml:space="preserve">Improve_Transparency</x:t>
        </x:is>
      </x:c>
      <x:c r="C95" s="3" t="inlineStr">
        <x:is>
          <x:t xml:space="preserve">Recommended next action or advisory trigger.</x:t>
        </x:is>
      </x:c>
    </x:row>
    <x:row r="96">
      <x:c r="A96" s="3" t="inlineStr">
        <x:is>
          <x:t xml:space="preserve">FollowUpTrigger</x:t>
        </x:is>
      </x:c>
      <x:c r="B96" s="3" t="inlineStr">
        <x:is>
          <x:t xml:space="preserve">Improve_Visibility</x:t>
        </x:is>
      </x:c>
      <x:c r="C96" s="3" t="inlineStr">
        <x:is>
          <x:t xml:space="preserve">Recommended next action or advisory trigger.</x:t>
        </x:is>
      </x:c>
    </x:row>
    <x:row r="97">
      <x:c r="A97" s="3" t="inlineStr">
        <x:is>
          <x:t xml:space="preserve">FollowUpTrigger</x:t>
        </x:is>
      </x:c>
      <x:c r="B97" s="3" t="inlineStr">
        <x:is>
          <x:t xml:space="preserve">Insider_Playbooks</x:t>
        </x:is>
      </x:c>
      <x:c r="C97" s="3" t="inlineStr">
        <x:is>
          <x:t xml:space="preserve">Recommended next action or advisory trigger.</x:t>
        </x:is>
      </x:c>
    </x:row>
    <x:row r="98">
      <x:c r="A98" s="3" t="inlineStr">
        <x:is>
          <x:t xml:space="preserve">FollowUpTrigger</x:t>
        </x:is>
      </x:c>
      <x:c r="B98" s="3" t="inlineStr">
        <x:is>
          <x:t xml:space="preserve">Integrate_HR_Security</x:t>
        </x:is>
      </x:c>
      <x:c r="C98" s="3" t="inlineStr">
        <x:is>
          <x:t xml:space="preserve">Recommended next action or advisory trigger.</x:t>
        </x:is>
      </x:c>
    </x:row>
    <x:row r="99">
      <x:c r="A99" s="3" t="inlineStr">
        <x:is>
          <x:t xml:space="preserve">FollowUpTrigger</x:t>
        </x:is>
      </x:c>
      <x:c r="B99" s="3" t="inlineStr">
        <x:is>
          <x:t xml:space="preserve">Legal_Clarification</x:t>
        </x:is>
      </x:c>
      <x:c r="C99" s="3" t="inlineStr">
        <x:is>
          <x:t xml:space="preserve">Recommended next action or advisory trigger.</x:t>
        </x:is>
      </x:c>
    </x:row>
    <x:row r="100">
      <x:c r="A100" s="3" t="inlineStr">
        <x:is>
          <x:t xml:space="preserve">FollowUpTrigger</x:t>
        </x:is>
      </x:c>
      <x:c r="B100" s="3" t="inlineStr">
        <x:is>
          <x:t xml:space="preserve">Legal_Defensibility_Audit</x:t>
        </x:is>
      </x:c>
      <x:c r="C100" s="3" t="inlineStr">
        <x:is>
          <x:t xml:space="preserve">Recommended next action or advisory trigger.</x:t>
        </x:is>
      </x:c>
    </x:row>
    <x:row r="101">
      <x:c r="A101" s="3" t="inlineStr">
        <x:is>
          <x:t xml:space="preserve">FollowUpTrigger</x:t>
        </x:is>
      </x:c>
      <x:c r="B101" s="3" t="inlineStr">
        <x:is>
          <x:t xml:space="preserve">Link_To_Priorities</x:t>
        </x:is>
      </x:c>
      <x:c r="C101" s="3" t="inlineStr">
        <x:is>
          <x:t xml:space="preserve">Recommended next action or advisory trigger.</x:t>
        </x:is>
      </x:c>
    </x:row>
    <x:row r="102">
      <x:c r="A102" s="3" t="inlineStr">
        <x:is>
          <x:t xml:space="preserve">FollowUpTrigger</x:t>
        </x:is>
      </x:c>
      <x:c r="B102" s="3" t="inlineStr">
        <x:is>
          <x:t xml:space="preserve">Manager_Enablement</x:t>
        </x:is>
      </x:c>
      <x:c r="C102" s="3" t="inlineStr">
        <x:is>
          <x:t xml:space="preserve">Recommended next action or advisory trigger.</x:t>
        </x:is>
      </x:c>
    </x:row>
    <x:row r="103">
      <x:c r="A103" s="3" t="inlineStr">
        <x:is>
          <x:t xml:space="preserve">FollowUpTrigger</x:t>
        </x:is>
      </x:c>
      <x:c r="B103" s="3" t="inlineStr">
        <x:is>
          <x:t xml:space="preserve">Manager_Training</x:t>
        </x:is>
      </x:c>
      <x:c r="C103" s="3" t="inlineStr">
        <x:is>
          <x:t xml:space="preserve">Recommended next action or advisory trigger.</x:t>
        </x:is>
      </x:c>
    </x:row>
    <x:row r="104">
      <x:c r="A104" s="3" t="inlineStr">
        <x:is>
          <x:t xml:space="preserve">FollowUpTrigger</x:t>
        </x:is>
      </x:c>
      <x:c r="B104" s="3" t="inlineStr">
        <x:is>
          <x:t xml:space="preserve">Measure_Alt_Delivery</x:t>
        </x:is>
      </x:c>
      <x:c r="C104" s="3" t="inlineStr">
        <x:is>
          <x:t xml:space="preserve">Recommended next action or advisory trigger.</x:t>
        </x:is>
      </x:c>
    </x:row>
    <x:row r="105">
      <x:c r="A105" s="3" t="inlineStr">
        <x:is>
          <x:t xml:space="preserve">FollowUpTrigger</x:t>
        </x:is>
      </x:c>
      <x:c r="B105" s="3" t="inlineStr">
        <x:is>
          <x:t xml:space="preserve">Measure_Control_Lag</x:t>
        </x:is>
      </x:c>
      <x:c r="C105" s="3" t="inlineStr">
        <x:is>
          <x:t xml:space="preserve">Recommended next action or advisory trigger.</x:t>
        </x:is>
      </x:c>
    </x:row>
    <x:row r="106">
      <x:c r="A106" s="3" t="inlineStr">
        <x:is>
          <x:t xml:space="preserve">FollowUpTrigger</x:t>
        </x:is>
      </x:c>
      <x:c r="B106" s="3" t="inlineStr">
        <x:is>
          <x:t xml:space="preserve">Measure_Friction</x:t>
        </x:is>
      </x:c>
      <x:c r="C106" s="3" t="inlineStr">
        <x:is>
          <x:t xml:space="preserve">Recommended next action or advisory trigger.</x:t>
        </x:is>
      </x:c>
    </x:row>
    <x:row r="107">
      <x:c r="A107" s="3" t="inlineStr">
        <x:is>
          <x:t xml:space="preserve">FollowUpTrigger</x:t>
        </x:is>
      </x:c>
      <x:c r="B107" s="3" t="inlineStr">
        <x:is>
          <x:t xml:space="preserve">Plan_Assurance</x:t>
        </x:is>
      </x:c>
      <x:c r="C107" s="3" t="inlineStr">
        <x:is>
          <x:t xml:space="preserve">Recommended next action or advisory trigger.</x:t>
        </x:is>
      </x:c>
    </x:row>
    <x:row r="108">
      <x:c r="A108" s="3" t="inlineStr">
        <x:is>
          <x:t xml:space="preserve">FollowUpTrigger</x:t>
        </x:is>
      </x:c>
      <x:c r="B108" s="3" t="inlineStr">
        <x:is>
          <x:t xml:space="preserve">Plan_Exercises</x:t>
        </x:is>
      </x:c>
      <x:c r="C108" s="3" t="inlineStr">
        <x:is>
          <x:t xml:space="preserve">Recommended next action or advisory trigger.</x:t>
        </x:is>
      </x:c>
    </x:row>
    <x:row r="109">
      <x:c r="A109" s="3" t="inlineStr">
        <x:is>
          <x:t xml:space="preserve">FollowUpTrigger</x:t>
        </x:is>
      </x:c>
      <x:c r="B109" s="3" t="inlineStr">
        <x:is>
          <x:t xml:space="preserve">Request_Evidence</x:t>
        </x:is>
      </x:c>
      <x:c r="C109" s="3" t="inlineStr">
        <x:is>
          <x:t xml:space="preserve">Recommended next action or advisory trigger.</x:t>
        </x:is>
      </x:c>
    </x:row>
    <x:row r="110">
      <x:c r="A110" s="3" t="inlineStr">
        <x:is>
          <x:t xml:space="preserve">FollowUpTrigger</x:t>
        </x:is>
      </x:c>
      <x:c r="B110" s="3" t="inlineStr">
        <x:is>
          <x:t xml:space="preserve">Residency_Retention_Remediation</x:t>
        </x:is>
      </x:c>
      <x:c r="C110" s="3" t="inlineStr">
        <x:is>
          <x:t xml:space="preserve">Recommended next action or advisory trigger.</x:t>
        </x:is>
      </x:c>
    </x:row>
    <x:row r="111">
      <x:c r="A111" s="3" t="inlineStr">
        <x:is>
          <x:t xml:space="preserve">FollowUpTrigger</x:t>
        </x:is>
      </x:c>
      <x:c r="B111" s="3" t="inlineStr">
        <x:is>
          <x:t xml:space="preserve">Role_Mapping</x:t>
        </x:is>
      </x:c>
      <x:c r="C111" s="3" t="inlineStr">
        <x:is>
          <x:t xml:space="preserve">Recommended next action or advisory trigger.</x:t>
        </x:is>
      </x:c>
    </x:row>
    <x:row r="112">
      <x:c r="A112" s="3" t="inlineStr">
        <x:is>
          <x:t xml:space="preserve">FollowUpTrigger</x:t>
        </x:is>
      </x:c>
      <x:c r="B112" s="3" t="inlineStr">
        <x:is>
          <x:t xml:space="preserve">Run_Crown_Jewel_Workshop</x:t>
        </x:is>
      </x:c>
      <x:c r="C112" s="3" t="inlineStr">
        <x:is>
          <x:t xml:space="preserve">Recommended next action or advisory trigger.</x:t>
        </x:is>
      </x:c>
    </x:row>
    <x:row r="113">
      <x:c r="A113" s="3" t="inlineStr">
        <x:is>
          <x:t xml:space="preserve">FollowUpTrigger</x:t>
        </x:is>
      </x:c>
      <x:c r="B113" s="3" t="inlineStr">
        <x:is>
          <x:t xml:space="preserve">Run_Shadow_Probe</x:t>
        </x:is>
      </x:c>
      <x:c r="C113" s="3" t="inlineStr">
        <x:is>
          <x:t xml:space="preserve">Recommended next action or advisory trigger.</x:t>
        </x:is>
      </x:c>
    </x:row>
    <x:row r="114">
      <x:c r="A114" s="3" t="inlineStr">
        <x:is>
          <x:t xml:space="preserve">FollowUpTrigger</x:t>
        </x:is>
      </x:c>
      <x:c r="B114" s="3" t="inlineStr">
        <x:is>
          <x:t xml:space="preserve">Scale_And_Govern</x:t>
        </x:is>
      </x:c>
      <x:c r="C114" s="3" t="inlineStr">
        <x:is>
          <x:t xml:space="preserve">Recommended next action or advisory trigger.</x:t>
        </x:is>
      </x:c>
    </x:row>
    <x:row r="115">
      <x:c r="A115" s="3" t="inlineStr">
        <x:is>
          <x:t xml:space="preserve">FollowUpTrigger</x:t>
        </x:is>
      </x:c>
      <x:c r="B115" s="3" t="inlineStr">
        <x:is>
          <x:t xml:space="preserve">Security_UX_Review</x:t>
        </x:is>
      </x:c>
      <x:c r="C115" s="3" t="inlineStr">
        <x:is>
          <x:t xml:space="preserve">Recommended next action or advisory trigger.</x:t>
        </x:is>
      </x:c>
    </x:row>
    <x:row r="116">
      <x:c r="A116" s="3" t="inlineStr">
        <x:is>
          <x:t xml:space="preserve">FollowUpTrigger</x:t>
        </x:is>
      </x:c>
      <x:c r="B116" s="3" t="inlineStr">
        <x:is>
          <x:t xml:space="preserve">Set_Cadence</x:t>
        </x:is>
      </x:c>
      <x:c r="C116" s="3" t="inlineStr">
        <x:is>
          <x:t xml:space="preserve">Recommended next action or advisory trigger.</x:t>
        </x:is>
      </x:c>
    </x:row>
    <x:row r="117">
      <x:c r="A117" s="3" t="inlineStr">
        <x:is>
          <x:t xml:space="preserve">FollowUpTrigger</x:t>
        </x:is>
      </x:c>
      <x:c r="B117" s="3" t="inlineStr">
        <x:is>
          <x:t xml:space="preserve">ShadowIT_Discovery</x:t>
        </x:is>
      </x:c>
      <x:c r="C117" s="3" t="inlineStr">
        <x:is>
          <x:t xml:space="preserve">Recommended next action or advisory trigger.</x:t>
        </x:is>
      </x:c>
    </x:row>
    <x:row r="118">
      <x:c r="A118" s="3" t="inlineStr">
        <x:is>
          <x:t xml:space="preserve">FollowUpTrigger</x:t>
        </x:is>
      </x:c>
      <x:c r="B118" s="3" t="inlineStr">
        <x:is>
          <x:t xml:space="preserve">ShadowIT_Process</x:t>
        </x:is>
      </x:c>
      <x:c r="C118" s="3" t="inlineStr">
        <x:is>
          <x:t xml:space="preserve">Recommended next action or advisory trigger.</x:t>
        </x:is>
      </x:c>
    </x:row>
    <x:row r="119">
      <x:c r="A119" s="3" t="inlineStr">
        <x:is>
          <x:t xml:space="preserve">FollowUpTrigger</x:t>
        </x:is>
      </x:c>
      <x:c r="B119" s="3" t="inlineStr">
        <x:is>
          <x:t xml:space="preserve">Speed_Alternatives</x:t>
        </x:is>
      </x:c>
      <x:c r="C119" s="3" t="inlineStr">
        <x:is>
          <x:t xml:space="preserve">Recommended next action or advisory trigger.</x:t>
        </x:is>
      </x:c>
    </x:row>
    <x:row r="120">
      <x:c r="A120" s="3" t="inlineStr">
        <x:is>
          <x:t xml:space="preserve">FollowUpTrigger</x:t>
        </x:is>
      </x:c>
      <x:c r="B120" s="3" t="inlineStr">
        <x:is>
          <x:t xml:space="preserve">Stabilize_Funding</x:t>
        </x:is>
      </x:c>
      <x:c r="C120" s="3" t="inlineStr">
        <x:is>
          <x:t xml:space="preserve">Recommended next action or advisory trigger.</x:t>
        </x:is>
      </x:c>
    </x:row>
    <x:row r="121">
      <x:c r="A121" s="3" t="inlineStr">
        <x:is>
          <x:t xml:space="preserve">FollowUpTrigger</x:t>
        </x:is>
      </x:c>
      <x:c r="B121" s="3" t="inlineStr">
        <x:is>
          <x:t xml:space="preserve">Stakeholder_Engagement</x:t>
        </x:is>
      </x:c>
      <x:c r="C121" s="3" t="inlineStr">
        <x:is>
          <x:t xml:space="preserve">Recommended next action or advisory trigger.</x:t>
        </x:is>
      </x:c>
    </x:row>
    <x:row r="122">
      <x:c r="A122" s="3" t="inlineStr">
        <x:is>
          <x:t xml:space="preserve">FollowUpTrigger</x:t>
        </x:is>
      </x:c>
      <x:c r="B122" s="3" t="inlineStr">
        <x:is>
          <x:t xml:space="preserve">Standardize_Governance</x:t>
        </x:is>
      </x:c>
      <x:c r="C122" s="3" t="inlineStr">
        <x:is>
          <x:t xml:space="preserve">Recommended next action or advisory trigger.</x:t>
        </x:is>
      </x:c>
    </x:row>
    <x:row r="123">
      <x:c r="A123" s="3" t="inlineStr">
        <x:is>
          <x:t xml:space="preserve">FollowUpTrigger</x:t>
        </x:is>
      </x:c>
      <x:c r="B123" s="3" t="inlineStr">
        <x:is>
          <x:t xml:space="preserve">Standardize_ThirdParty</x:t>
        </x:is>
      </x:c>
      <x:c r="C123" s="3" t="inlineStr">
        <x:is>
          <x:t xml:space="preserve">Recommended next action or advisory trigger.</x:t>
        </x:is>
      </x:c>
    </x:row>
    <x:row r="124">
      <x:c r="A124" s="3" t="inlineStr">
        <x:is>
          <x:t xml:space="preserve">FollowUpTrigger</x:t>
        </x:is>
      </x:c>
      <x:c r="B124" s="3" t="inlineStr">
        <x:is>
          <x:t xml:space="preserve">Start_Mapping</x:t>
        </x:is>
      </x:c>
      <x:c r="C124" s="3" t="inlineStr">
        <x:is>
          <x:t xml:space="preserve">Recommended next action or advisory trigger.</x:t>
        </x:is>
      </x:c>
    </x:row>
    <x:row r="125">
      <x:c r="A125" s="3" t="inlineStr">
        <x:is>
          <x:t xml:space="preserve">FollowUpTrigger</x:t>
        </x:is>
      </x:c>
      <x:c r="B125" s="3" t="inlineStr">
        <x:is>
          <x:t xml:space="preserve">Strengthen_Governance</x:t>
        </x:is>
      </x:c>
      <x:c r="C125" s="3" t="inlineStr">
        <x:is>
          <x:t xml:space="preserve">Recommended next action or advisory trigger.</x:t>
        </x:is>
      </x:c>
    </x:row>
    <x:row r="126">
      <x:c r="A126" s="3" t="inlineStr">
        <x:is>
          <x:t xml:space="preserve">FollowUpTrigger</x:t>
        </x:is>
      </x:c>
      <x:c r="B126" s="3" t="inlineStr">
        <x:is>
          <x:t xml:space="preserve">Strengthen_SpeakUp</x:t>
        </x:is>
      </x:c>
      <x:c r="C126" s="3" t="inlineStr">
        <x:is>
          <x:t xml:space="preserve">Recommended next action or advisory trigger.</x:t>
        </x:is>
      </x:c>
    </x:row>
    <x:row r="127">
      <x:c r="A127" s="3" t="inlineStr">
        <x:is>
          <x:t xml:space="preserve">FollowUpTrigger</x:t>
        </x:is>
      </x:c>
      <x:c r="B127" s="3" t="inlineStr">
        <x:is>
          <x:t xml:space="preserve">Systematize_Detection</x:t>
        </x:is>
      </x:c>
      <x:c r="C127" s="3" t="inlineStr">
        <x:is>
          <x:t xml:space="preserve">Recommended next action or advisory trigger.</x:t>
        </x:is>
      </x:c>
    </x:row>
    <x:row r="128">
      <x:c r="A128" s="3" t="inlineStr">
        <x:is>
          <x:t xml:space="preserve">FollowUpTrigger</x:t>
        </x:is>
      </x:c>
      <x:c r="B128" s="3" t="inlineStr">
        <x:is>
          <x:t xml:space="preserve">Transparency_Remediation</x:t>
        </x:is>
      </x:c>
      <x:c r="C128" s="3" t="inlineStr">
        <x:is>
          <x:t xml:space="preserve">Recommended next action or advisory trigger.</x:t>
        </x:is>
      </x:c>
    </x:row>
    <x:row r="129">
      <x:c r="A129" s="3" t="inlineStr">
        <x:is>
          <x:t xml:space="preserve">FollowUpTrigger</x:t>
        </x:is>
      </x:c>
      <x:c r="B129" s="3" t="inlineStr">
        <x:is>
          <x:t xml:space="preserve">Upgrade_KPIs</x:t>
        </x:is>
      </x:c>
      <x:c r="C129" s="3" t="inlineStr">
        <x:is>
          <x:t xml:space="preserve">Recommended next action or advisory trigger.</x:t>
        </x:is>
      </x:c>
    </x:row>
    <x:row r="130">
      <x:c r="A130" s="3" t="inlineStr">
        <x:is>
          <x:t xml:space="preserve">FollowUpTrigger</x:t>
        </x:is>
      </x:c>
      <x:c r="B130" s="3" t="inlineStr">
        <x:is>
          <x:t xml:space="preserve">Validate_Tech_Reality</x:t>
        </x:is>
      </x:c>
      <x:c r="C130" s="3" t="inlineStr">
        <x:is>
          <x:t xml:space="preserve">Recommended next action or advisory trigger.</x:t>
        </x:is>
      </x:c>
    </x:row>
    <x:row r="131">
      <x:c r="A131" s="3" t="inlineStr">
        <x:is>
          <x:t xml:space="preserve">FollowUpTrigger</x:t>
        </x:is>
      </x:c>
      <x:c r="B131" s="3" t="inlineStr">
        <x:is>
          <x:t xml:space="preserve">Verify_ThirdParty</x:t>
        </x:is>
      </x:c>
      <x:c r="C131" s="3" t="inlineStr">
        <x:is>
          <x:t xml:space="preserve">Recommended next action or advisory trigger.</x:t>
        </x:is>
      </x:c>
    </x:row>
    <x:row r="132">
      <x:c r="A132" s="3" t="inlineStr">
        <x:is>
          <x:t xml:space="preserve">Tags</x:t>
        </x:is>
      </x:c>
      <x:c r="B132" s="3" t="inlineStr">
        <x:is>
          <x:t xml:space="preserve">paper_dragon_signal</x:t>
        </x:is>
      </x:c>
      <x:c r="C132" s="3" t="inlineStr">
        <x:is>
          <x:t xml:space="preserve">Policy exists but weak execution/evidence; likely posture&gt;reality.</x:t>
        </x:is>
      </x:c>
    </x:row>
    <x:row r="133">
      <x:c r="A133" s="3" t="inlineStr">
        <x:is>
          <x:t xml:space="preserve">Tags</x:t>
        </x:is>
      </x:c>
      <x:c r="B133" s="3" t="inlineStr">
        <x:is>
          <x:t xml:space="preserve">shadow_mature_signal</x:t>
        </x:is>
      </x:c>
      <x:c r="C133" s="3" t="inlineStr">
        <x:is>
          <x:t xml:space="preserve">Informal execution exists without governance; hidden operational maturity.</x:t>
        </x:is>
      </x:c>
    </x:row>
    <x:row r="134">
      <x:c r="A134" s="3" t="inlineStr">
        <x:is>
          <x:t xml:space="preserve">Tags</x:t>
        </x:is>
      </x:c>
      <x:c r="B134" s="3" t="inlineStr">
        <x:is>
          <x:t xml:space="preserve">toxic_enforcer_signal</x:t>
        </x:is>
      </x:c>
      <x:c r="C134" s="3" t="inlineStr">
        <x:is>
          <x:t xml:space="preserve">Secrecy/punitive approach; culture risk increases insider risk.</x:t>
        </x:is>
      </x:c>
    </x:row>
    <x:row r="135">
      <x:c r="A135" s="3" t="inlineStr">
        <x:is>
          <x:t xml:space="preserve">Tags</x:t>
        </x:is>
      </x:c>
      <x:c r="B135" s="3" t="inlineStr">
        <x:is>
          <x:t xml:space="preserve">bypass_pressure</x:t>
        </x:is>
      </x:c>
      <x:c r="C135" s="3" t="inlineStr">
        <x:is>
          <x:t xml:space="preserve">Workarounds likely; security friction driving risky behaviour.</x:t>
        </x:is>
      </x:c>
    </x:row>
    <x:row r="136">
      <x:c r="A136" s="3" t="inlineStr">
        <x:is>
          <x:t xml:space="preserve">Tags</x:t>
        </x:is>
      </x:c>
      <x:c r="B136" s="3" t="inlineStr">
        <x:is>
          <x:t xml:space="preserve">control_lag_high</x:t>
        </x:is>
      </x:c>
      <x:c r="C136" s="3" t="inlineStr">
        <x:is>
          <x:t xml:space="preserve">Slow adaptation during change; risk spikes during M&amp;A/layoffs.</x:t>
        </x:is>
      </x:c>
    </x:row>
    <x:row r="137">
      <x:c r="A137" s="3" t="inlineStr">
        <x:is>
          <x:t xml:space="preserve">Modes</x:t>
        </x:is>
      </x:c>
      <x:c r="B137" s="3" t="inlineStr">
        <x:is>
          <x:t xml:space="preserve">Lightweight</x:t>
        </x:is>
      </x:c>
      <x:c r="C137" s="3" t="inlineStr">
        <x:is>
          <x:t xml:space="preserve">T1 only (Gatekeepers + minimal shadow probes). Intended for SME/quick scan.</x:t>
        </x:is>
      </x:c>
    </x:row>
    <x:row r="138">
      <x:c r="A138" s="3" t="inlineStr">
        <x:is>
          <x:t xml:space="preserve">Modes</x:t>
        </x:is>
      </x:c>
      <x:c r="B138" s="3" t="inlineStr">
        <x:is>
          <x:t xml:space="preserve">Standard</x:t>
        </x:is>
      </x:c>
      <x:c r="C138" s="3" t="inlineStr">
        <x:is>
          <x:t xml:space="preserve">T1+T2 (Gatekeepers + Shadow Probes + key drill-down). Default assessment mode.</x:t>
        </x:is>
      </x:c>
    </x:row>
    <x:row r="139">
      <x:c r="A139" s="3" t="inlineStr">
        <x:is>
          <x:t xml:space="preserve">Modes</x:t>
        </x:is>
      </x:c>
      <x:c r="B139" s="3" t="inlineStr">
        <x:is>
          <x:t xml:space="preserve">Full</x:t>
        </x:is>
      </x:c>
      <x:c r="C139" s="3" t="inlineStr">
        <x:is>
          <x:t xml:space="preserve">T1+T2+T3 (Includes deeper drill-down and verification prompts).</x:t>
        </x:is>
      </x:c>
    </x:row>
    <x:row r="140">
      <x:c r="A140" s="3" t="inlineStr">
        <x:is>
          <x:t xml:space="preserve">ImplementationNotes</x:t>
        </x:is>
      </x:c>
      <x:c r="B140" s="3" t="inlineStr">
        <x:is>
          <x:t xml:space="preserve">CriticalityWeight (CW)</x:t>
        </x:is>
      </x:c>
      <x:c r="C140" s="3" t="inlineStr">
        <x:is>
          <x:t xml:space="preserve">Add CW per question (default 1.0) for harmonic aggregation and prioritization.</x:t>
        </x:is>
      </x:c>
    </x:row>
    <x:row r="141">
      <x:c r="A141" s="3" t="inlineStr">
        <x:is>
          <x:t xml:space="preserve">ImplementationNotes</x:t>
        </x:is>
      </x:c>
      <x:c r="B141" s="3" t="inlineStr">
        <x:is>
          <x:t xml:space="preserve">Threshold (TH) for Critical Controls</x:t>
        </x:is>
      </x:c>
      <x:c r="C141" s="3" t="inlineStr">
        <x:is>
          <x:t xml:space="preserve">Optional TH per critical question; apply floor penalty when CNS(q) &lt; TH(q). Blank = no threshold.</x:t>
        </x:is>
      </x:c>
    </x:row>
    <x:row r="142">
      <x:c r="A142" s="3" t="inlineStr">
        <x:is>
          <x:t xml:space="preserve">ImplementationNotes</x:t>
        </x:is>
      </x:c>
      <x:c r="B142" s="3" t="inlineStr">
        <x:is>
          <x:t xml:space="preserve">Regional/BU Segmentation</x:t>
        </x:is>
      </x:c>
      <x:c r="C142" s="3" t="inlineStr">
        <x:is>
          <x:t xml:space="preserve">Add optional Scope field (Region/BU) to response capture to support segmentation and roll-ups in one dataset.</x:t>
        </x:is>
      </x:c>
    </x:row>
    <x:row r="143">
      <x:c r="A143" s="3" t="inlineStr">
        <x:is>
          <x:t xml:space="preserve">ImplementationNotes</x:t>
        </x:is>
      </x:c>
      <x:c r="B143" s="3" t="inlineStr">
        <x:is>
          <x:t xml:space="preserve">Version Control</x:t>
        </x:is>
      </x:c>
      <x:c r="C143" s="3" t="inlineStr">
        <x:is>
          <x:t xml:space="preserve">Maintain Metadata sheet with version number, effective date, and change log; store model_version per assessment run.</x:t>
        </x:is>
      </x:c>
    </x:row>
    <x:row r="144">
      <x:c r="A144" s="3" t="inlineStr">
        <x:is>
          <x:t xml:space="preserve">ScoringEngineNotes</x:t>
        </x:is>
      </x:c>
      <x:c r="B144" s="3" t="inlineStr">
        <x:is>
          <x:t xml:space="preserve">Branching State Machine</x:t>
        </x:is>
      </x:c>
      <x:c r="C144" s="3" t="inlineStr">
        <x:is>
          <x:t xml:space="preserve">Implement branching rules: Tier-1 gatekeepers route to drill-down or shadow probe path when BaseScore &lt; 2.</x:t>
        </x:is>
      </x:c>
    </x:row>
    <x:row r="145">
      <x:c r="A145" s="3" t="inlineStr">
        <x:is>
          <x:t xml:space="preserve">ScoringEngineNotes</x:t>
        </x:is>
      </x:c>
      <x:c r="B145" s="3" t="inlineStr">
        <x:is>
          <x:t xml:space="preserve">EvidencePolicyID</x:t>
        </x:is>
      </x:c>
      <x:c r="C145" s="3" t="inlineStr">
        <x:is>
          <x:t xml:space="preserve">Use EvidencePolicyID to compute evidence caps and CI adjustments (axis-specific policy matrix).</x:t>
        </x:is>
      </x:c>
    </x:row>
    <x:row r="146">
      <x:c r="A146" s="3" t="inlineStr">
        <x:is>
          <x:t xml:space="preserve">ScoringEngineNotes</x:t>
        </x:is>
      </x:c>
      <x:c r="B146" s="3" t="inlineStr">
        <x:is>
          <x:t xml:space="preserve">Dual-Axis Contribution</x:t>
        </x:is>
      </x:c>
      <x:c r="C146" s="3" t="inlineStr">
        <x:is>
          <x:t xml:space="preserve">CNS(q) contributes W1×score to Axis1 and W2×score to Axis2 (when Axis2 exists).</x:t>
        </x:is>
      </x:c>
    </x:row>
    <x:row r="147">
      <x:c r="A147" s="3" t="inlineStr">
        <x:is>
          <x:t xml:space="preserve">ScoringEngineNotes</x:t>
        </x:is>
      </x:c>
      <x:c r="B147" s="3" t="inlineStr">
        <x:is>
          <x:t xml:space="preserve">Fracture/Achetype Signals</x:t>
        </x:is>
      </x:c>
      <x:c r="C147" s="3" t="inlineStr">
        <x:is>
          <x:t xml:space="preserve">Aggregate FractureType and Tags counts for narrative archetype probabilities and advisory triggers.</x:t>
        </x:is>
      </x:c>
    </x:row>
    <x:row r="148">
      <x:c r="A148" s="3" t="inlineStr">
        <x:is>
          <x:t xml:space="preserve">ScoringEngineNotes</x:t>
        </x:is>
      </x:c>
      <x:c r="B148" s="3" t="inlineStr">
        <x:is>
          <x:t xml:space="preserve">FollowUpTrigger Roadmap</x:t>
        </x:is>
      </x:c>
      <x:c r="C148" s="3" t="inlineStr">
        <x:is>
          <x:t xml:space="preserve">Aggregate top triggers to produce service roadmap; prioritize by CW and evidence gaps.</x:t>
        </x:is>
      </x:c>
    </x:row>
    <x:row r="149">
      <x:c r="A149" s="3" t="inlineStr">
        <x:is>
          <x:t xml:space="preserve">ScoringEngineNotes</x:t>
        </x:is>
      </x:c>
      <x:c r="B149" s="3" t="inlineStr">
        <x:is>
          <x:t xml:space="preserve">Annex Questions</x:t>
        </x:is>
      </x:c>
      <x:c r="C149" s="3" t="inlineStr">
        <x:is>
          <x:t xml:space="preserve">Treat BranchType='Annex' as optional deep drill-down. Include only in Full/Deep mode or when gatekeepers indicate sufficient baseline capability. Publish annex results as 'Technical Depth' addendum without altering lightweight gatekeeper narrative.</x:t>
        </x:is>
      </x:c>
    </x:row>
    <x:row r="150">
      <x:c r="A150" s="3" t="inlineStr">
        <x:is>
          <x:t xml:space="preserve">ScoringEngineNotes</x:t>
        </x:is>
      </x:c>
      <x:c r="B150" s="3" t="inlineStr">
        <x:is>
          <x:t xml:space="preserve">Security Deep Annex</x:t>
        </x:is>
      </x:c>
      <x:c r="C150" s="3" t="inlineStr">
        <x:is>
          <x:t xml:space="preserve">This annex validates telemetry integrity, identity attribution, containment automation, and detection QA. Use CW/TH to prioritize critical technical weaknesses that undermine investigations and recovery.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0301d0d409b410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customWidth="1"/>
    <x:col min="2" max="2" width="10" customWidth="1"/>
    <x:col min="3" max="3" width="18" customWidth="1"/>
    <x:col min="4" max="4" width="21" customWidth="1"/>
    <x:col min="5" max="5" width="33" customWidth="1"/>
    <x:col min="6" max="6" width="23" customWidth="1"/>
    <x:col min="7" max="7" width="13" customWidth="1"/>
    <x:col min="8" max="8" width="11" customWidth="1"/>
    <x:col min="9" max="9" width="17" customWidth="1"/>
  </x:cols>
  <x:sheetData>
    <x:row r="1">
      <x:c r="A1" s="4" t="inlineStr">
        <x:is>
          <x:t xml:space="preserve">Tiers</x:t>
        </x:is>
      </x:c>
      <x:c r="B1" s="4" t="inlineStr">
        <x:is>
          <x:t xml:space="preserve">Axes</x:t>
        </x:is>
      </x:c>
      <x:c r="C1" s="4" t="inlineStr">
        <x:is>
          <x:t xml:space="preserve">EvidencePolicyID</x:t>
        </x:is>
      </x:c>
      <x:c r="D1" s="4" t="inlineStr">
        <x:is>
          <x:t xml:space="preserve">FractureType</x:t>
        </x:is>
      </x:c>
      <x:c r="E1" s="4" t="inlineStr">
        <x:is>
          <x:t xml:space="preserve">FollowUpTrigger</x:t>
        </x:is>
      </x:c>
      <x:c r="F1" s="4" t="inlineStr">
        <x:is>
          <x:t xml:space="preserve">Tags</x:t>
        </x:is>
      </x:c>
      <x:c r="G1" s="4" t="inlineStr">
        <x:is>
          <x:t xml:space="preserve">Modes</x:t>
        </x:is>
      </x:c>
      <x:c r="H1" s="4" t="inlineStr">
        <x:is>
          <x:t xml:space="preserve">Packs</x:t>
        </x:is>
      </x:c>
      <x:c r="I1" s="4" t="inlineStr">
        <x:is>
          <x:t xml:space="preserve">NegativeControl</x:t>
        </x:is>
      </x:c>
      <x:c r="K1" t="inlineStr">
        <x:is>
          <x:t xml:space="preserve">BranchType_List</x:t>
        </x:is>
      </x:c>
      <x:c r="L1" t="inlineStr">
        <x:is>
          <x:t xml:space="preserve">PackID_List</x:t>
        </x:is>
      </x:c>
    </x:row>
    <x:row r="2">
      <x:c r="A2" t="inlineStr">
        <x:is>
          <x:t xml:space="preserve">T1</x:t>
        </x:is>
      </x:c>
      <x:c r="B2" t="inlineStr">
        <x:is>
          <x:t xml:space="preserve">G</x:t>
        </x:is>
      </x:c>
      <x:c r="C2" t="inlineStr">
        <x:is>
          <x:t xml:space="preserve">GOV_STD</x:t>
        </x:is>
      </x:c>
      <x:c r="D2" t="inlineStr">
        <x:is>
          <x:t xml:space="preserve">Bypass Pressure</x:t>
        </x:is>
      </x:c>
      <x:c r="E2" t="inlineStr">
        <x:is>
          <x:t xml:space="preserve">Add_Appeals_Process</x:t>
        </x:is>
      </x:c>
      <x:c r="F2" t="inlineStr">
        <x:is>
          <x:t xml:space="preserve">ad_hoc</x:t>
        </x:is>
      </x:c>
      <x:c r="G2" t="inlineStr">
        <x:is>
          <x:t xml:space="preserve">Lightweight</x:t>
        </x:is>
      </x:c>
      <x:c r="H2" t="inlineStr">
        <x:is>
          <x:t xml:space="preserve">Executive</x:t>
        </x:is>
      </x:c>
      <x:c r="I2" t="inlineStr">
        <x:is>
          <x:t xml:space="preserve">Y</x:t>
        </x:is>
      </x:c>
      <x:c r="K2" t="inlineStr">
        <x:is>
          <x:t xml:space="preserve">Gatekeeper</x:t>
        </x:is>
      </x:c>
      <x:c r="L2" t="inlineStr">
        <x:is>
          <x:t xml:space="preserve">Executive</x:t>
        </x:is>
      </x:c>
    </x:row>
    <x:row r="3">
      <x:c r="A3" t="inlineStr">
        <x:is>
          <x:t xml:space="preserve">T2</x:t>
        </x:is>
      </x:c>
      <x:c r="B3" t="inlineStr">
        <x:is>
          <x:t xml:space="preserve">E</x:t>
        </x:is>
      </x:c>
      <x:c r="C3" t="inlineStr">
        <x:is>
          <x:t xml:space="preserve">RISK_STD</x:t>
        </x:is>
      </x:c>
      <x:c r="D3" t="inlineStr">
        <x:is>
          <x:t xml:space="preserve">Control Lag</x:t>
        </x:is>
      </x:c>
      <x:c r="E3" t="inlineStr">
        <x:is>
          <x:t xml:space="preserve">Align_Funding_Governance</x:t>
        </x:is>
      </x:c>
      <x:c r="F3" t="inlineStr">
        <x:is>
          <x:t xml:space="preserve">alert_fatigue</x:t>
        </x:is>
      </x:c>
      <x:c r="G3" t="inlineStr">
        <x:is>
          <x:t xml:space="preserve">Standard</x:t>
        </x:is>
      </x:c>
      <x:c r="H3" t="inlineStr">
        <x:is>
          <x:t xml:space="preserve">HR</x:t>
        </x:is>
      </x:c>
      <x:c r="I3" t="inlineStr">
        <x:is>
          <x:t xml:space="preserve">N</x:t>
        </x:is>
      </x:c>
      <x:c r="K3" t="inlineStr">
        <x:is>
          <x:t xml:space="preserve">ShadowProbe</x:t>
        </x:is>
      </x:c>
      <x:c r="L3" t="inlineStr">
        <x:is>
          <x:t xml:space="preserve">HR</x:t>
        </x:is>
      </x:c>
    </x:row>
    <x:row r="4">
      <x:c r="A4" t="inlineStr">
        <x:is>
          <x:t xml:space="preserve">T3</x:t>
        </x:is>
      </x:c>
      <x:c r="B4" t="inlineStr">
        <x:is>
          <x:t xml:space="preserve">T</x:t>
        </x:is>
      </x:c>
      <x:c r="C4" t="inlineStr">
        <x:is>
          <x:t xml:space="preserve">OPS_STD</x:t>
        </x:is>
      </x:c>
      <x:c r="D4" t="inlineStr">
        <x:is>
          <x:t xml:space="preserve">Culture Risk</x:t>
        </x:is>
      </x:c>
      <x:c r="E4" t="inlineStr">
        <x:is>
          <x:t xml:space="preserve">Align_On_Crown_Jewels</x:t>
        </x:is>
      </x:c>
      <x:c r="F4" t="inlineStr">
        <x:is>
          <x:t xml:space="preserve">blind_spot</x:t>
        </x:is>
      </x:c>
      <x:c r="G4" t="inlineStr">
        <x:is>
          <x:t xml:space="preserve">Full</x:t>
        </x:is>
      </x:c>
      <x:c r="H4" t="inlineStr">
        <x:is>
          <x:t xml:space="preserve">Security</x:t>
        </x:is>
      </x:c>
      <x:c r="K4" t="inlineStr">
        <x:is>
          <x:t xml:space="preserve">DrillDown</x:t>
        </x:is>
      </x:c>
      <x:c r="L4" t="inlineStr">
        <x:is>
          <x:t xml:space="preserve">Security</x:t>
        </x:is>
      </x:c>
    </x:row>
    <x:row r="5">
      <x:c r="A5" t="inlineStr">
        <x:is>
          <x:t xml:space="preserve">T4</x:t>
        </x:is>
      </x:c>
      <x:c r="B5" t="inlineStr">
        <x:is>
          <x:t xml:space="preserve">L</x:t>
        </x:is>
      </x:c>
      <x:c r="C5" t="inlineStr">
        <x:is>
          <x:t xml:space="preserve">CULT_SOFT</x:t>
        </x:is>
      </x:c>
      <x:c r="D5" t="inlineStr">
        <x:is>
          <x:t xml:space="preserve">Legal Exposure</x:t>
        </x:is>
      </x:c>
      <x:c r="E5" t="inlineStr">
        <x:is>
          <x:t xml:space="preserve">Align_On_Scenarios</x:t>
        </x:is>
      </x:c>
      <x:c r="F5" t="inlineStr">
        <x:is>
          <x:t xml:space="preserve">business_disruption</x:t>
        </x:is>
      </x:c>
      <x:c r="K5" t="inlineStr">
        <x:is>
          <x:t xml:space="preserve">End</x:t>
        </x:is>
      </x:c>
    </x:row>
    <x:row r="6">
      <x:c r="B6" t="inlineStr">
        <x:is>
          <x:t xml:space="preserve">H</x:t>
        </x:is>
      </x:c>
      <x:c r="C6" t="inlineStr">
        <x:is>
          <x:t xml:space="preserve">LEG_STRICT</x:t>
        </x:is>
      </x:c>
      <x:c r="D6" t="inlineStr">
        <x:is>
          <x:t xml:space="preserve">Operating Model Gap</x:t>
        </x:is>
      </x:c>
      <x:c r="E6" t="inlineStr">
        <x:is>
          <x:t xml:space="preserve">Align_Policy_To_Reality</x:t>
        </x:is>
      </x:c>
      <x:c r="F6" t="inlineStr">
        <x:is>
          <x:t xml:space="preserve">bypass_pressure</x:t>
        </x:is>
      </x:c>
    </x:row>
    <x:row r="7">
      <x:c r="B7" t="inlineStr">
        <x:is>
          <x:t xml:space="preserve">V</x:t>
        </x:is>
      </x:c>
      <x:c r="D7" t="inlineStr">
        <x:is>
          <x:t xml:space="preserve">Paper Dragon</x:t>
        </x:is>
      </x:c>
      <x:c r="E7" t="inlineStr">
        <x:is>
          <x:t xml:space="preserve">Assess_Case_Model</x:t>
        </x:is>
      </x:c>
      <x:c r="F7" t="inlineStr">
        <x:is>
          <x:t xml:space="preserve">cloud_visibility_gap</x:t>
        </x:is>
      </x:c>
    </x:row>
    <x:row r="8">
      <x:c r="B8" t="inlineStr">
        <x:is>
          <x:t xml:space="preserve">R</x:t>
        </x:is>
      </x:c>
      <x:c r="D8" t="inlineStr">
        <x:is>
          <x:t xml:space="preserve">Resilience Gap</x:t>
        </x:is>
      </x:c>
      <x:c r="E8" t="inlineStr">
        <x:is>
          <x:t xml:space="preserve">Assess_Control_Lag</x:t>
        </x:is>
      </x:c>
      <x:c r="F8" t="inlineStr">
        <x:is>
          <x:t xml:space="preserve">compliance_only</x:t>
        </x:is>
      </x:c>
    </x:row>
    <x:row r="9">
      <x:c r="B9" t="inlineStr">
        <x:is>
          <x:t xml:space="preserve">F</x:t>
        </x:is>
      </x:c>
      <x:c r="D9" t="inlineStr">
        <x:is>
          <x:t xml:space="preserve">Shadow Mature</x:t>
        </x:is>
      </x:c>
      <x:c r="E9" t="inlineStr">
        <x:is>
          <x:t xml:space="preserve">Assess_Data_Residency</x:t>
        </x:is>
      </x:c>
      <x:c r="F9" t="inlineStr">
        <x:is>
          <x:t xml:space="preserve">control_lag</x:t>
        </x:is>
      </x:c>
    </x:row>
    <x:row r="10">
      <x:c r="B10" t="inlineStr">
        <x:is>
          <x:t xml:space="preserve">W</x:t>
        </x:is>
      </x:c>
      <x:c r="D10" t="inlineStr">
        <x:is>
          <x:t xml:space="preserve">Toxic Enforcer</x:t>
        </x:is>
      </x:c>
      <x:c r="E10" t="inlineStr">
        <x:is>
          <x:t xml:space="preserve">Assess_Detection</x:t>
        </x:is>
      </x:c>
      <x:c r="F10" t="inlineStr">
        <x:is>
          <x:t xml:space="preserve">control_lag_high</x:t>
        </x:is>
      </x:c>
    </x:row>
    <x:row r="11">
      <x:c r="D11" t="inlineStr">
        <x:is>
          <x:t xml:space="preserve">Unknown</x:t>
        </x:is>
      </x:c>
      <x:c r="E11" t="inlineStr">
        <x:is>
          <x:t xml:space="preserve">Assess_Evidence_Handling</x:t>
        </x:is>
      </x:c>
      <x:c r="F11" t="inlineStr">
        <x:is>
          <x:t xml:space="preserve">culture_risk</x:t>
        </x:is>
      </x:c>
    </x:row>
    <x:row r="12">
      <x:c r="D12" t="inlineStr">
        <x:is>
          <x:t xml:space="preserve">Visibility Gap</x:t>
        </x:is>
      </x:c>
      <x:c r="E12" t="inlineStr">
        <x:is>
          <x:t xml:space="preserve">Assess_Friction</x:t>
        </x:is>
      </x:c>
      <x:c r="F12" t="inlineStr">
        <x:is>
          <x:t xml:space="preserve">dlp_tuning_gap</x:t>
        </x:is>
      </x:c>
    </x:row>
    <x:row r="13">
      <x:c r="E13" t="inlineStr">
        <x:is>
          <x:t xml:space="preserve">Assess_ThirdParty</x:t>
        </x:is>
      </x:c>
      <x:c r="F13" t="inlineStr">
        <x:is>
          <x:t xml:space="preserve">execution_strength</x:t>
        </x:is>
      </x:c>
    </x:row>
    <x:row r="14">
      <x:c r="E14" t="inlineStr">
        <x:is>
          <x:t xml:space="preserve">Assurance_On_Reality</x:t>
        </x:is>
      </x:c>
      <x:c r="F14" t="inlineStr">
        <x:is>
          <x:t xml:space="preserve">forensic_gap</x:t>
        </x:is>
      </x:c>
    </x:row>
    <x:row r="15">
      <x:c r="E15" t="inlineStr">
        <x:is>
          <x:t xml:space="preserve">Behavioral_Design</x:t>
        </x:is>
      </x:c>
      <x:c r="F15" t="inlineStr">
        <x:is>
          <x:t xml:space="preserve">forensic_ready</x:t>
        </x:is>
      </x:c>
    </x:row>
    <x:row r="16">
      <x:c r="E16" t="inlineStr">
        <x:is>
          <x:t xml:space="preserve">Build_Detection_Strategy</x:t>
        </x:is>
      </x:c>
      <x:c r="F16" t="inlineStr">
        <x:is>
          <x:t xml:space="preserve">foundational_gap</x:t>
        </x:is>
      </x:c>
    </x:row>
    <x:row r="17">
      <x:c r="E17" t="inlineStr">
        <x:is>
          <x:t xml:space="preserve">Capture_Informal_Practices</x:t>
        </x:is>
      </x:c>
      <x:c r="F17" t="inlineStr">
        <x:is>
          <x:t xml:space="preserve">good_practice</x:t>
        </x:is>
      </x:c>
    </x:row>
    <x:row r="18">
      <x:c r="E18" t="inlineStr">
        <x:is>
          <x:t xml:space="preserve">Capture_Playbook</x:t>
        </x:is>
      </x:c>
      <x:c r="F18" t="inlineStr">
        <x:is>
          <x:t xml:space="preserve">identity_gap</x:t>
        </x:is>
      </x:c>
    </x:row>
    <x:row r="19">
      <x:c r="E19" t="inlineStr">
        <x:is>
          <x:t xml:space="preserve">Clarify_Budget</x:t>
        </x:is>
      </x:c>
      <x:c r="F19" t="inlineStr">
        <x:is>
          <x:t xml:space="preserve">inconsistent_execution</x:t>
        </x:is>
      </x:c>
    </x:row>
    <x:row r="20">
      <x:c r="E20" t="inlineStr">
        <x:is>
          <x:t xml:space="preserve">Clarify_Roadmap</x:t>
        </x:is>
      </x:c>
      <x:c r="F20" t="inlineStr">
        <x:is>
          <x:t xml:space="preserve">informal_only</x:t>
        </x:is>
      </x:c>
    </x:row>
    <x:row r="21">
      <x:c r="E21" t="inlineStr">
        <x:is>
          <x:t xml:space="preserve">Clarify_Stakeholders</x:t>
        </x:is>
      </x:c>
      <x:c r="F21" t="inlineStr">
        <x:is>
          <x:t xml:space="preserve">key_person_dependency</x:t>
        </x:is>
      </x:c>
    </x:row>
    <x:row r="22">
      <x:c r="E22" t="inlineStr">
        <x:is>
          <x:t xml:space="preserve">Close_Learning_Loop</x:t>
        </x:is>
      </x:c>
      <x:c r="F22" t="inlineStr">
        <x:is>
          <x:t xml:space="preserve">legal_exposure</x:t>
        </x:is>
      </x:c>
    </x:row>
    <x:row r="23">
      <x:c r="E23" t="inlineStr">
        <x:is>
          <x:t xml:space="preserve">ControlLag_Sprint</x:t>
        </x:is>
      </x:c>
      <x:c r="F23" t="inlineStr">
        <x:is>
          <x:t xml:space="preserve">legal_red_flag</x:t>
        </x:is>
      </x:c>
    </x:row>
    <x:row r="24">
      <x:c r="E24" t="inlineStr">
        <x:is>
          <x:t xml:space="preserve">Convert_To_Playbooks</x:t>
        </x:is>
      </x:c>
      <x:c r="F24" t="inlineStr">
        <x:is>
          <x:t xml:space="preserve">log_gap</x:t>
        </x:is>
      </x:c>
    </x:row>
    <x:row r="25">
      <x:c r="E25" t="inlineStr">
        <x:is>
          <x:t xml:space="preserve">Create_NearMiss_Process</x:t>
        </x:is>
      </x:c>
      <x:c r="F25" t="inlineStr">
        <x:is>
          <x:t xml:space="preserve">low-confidence</x:t>
        </x:is>
      </x:c>
    </x:row>
    <x:row r="26">
      <x:c r="E26" t="inlineStr">
        <x:is>
          <x:t xml:space="preserve">Create_Roadmap</x:t>
        </x:is>
      </x:c>
      <x:c r="F26" t="inlineStr">
        <x:is>
          <x:t xml:space="preserve">low_cadence</x:t>
        </x:is>
      </x:c>
    </x:row>
    <x:row r="27">
      <x:c r="E27" t="inlineStr">
        <x:is>
          <x:t xml:space="preserve">Create_Scenarios</x:t>
        </x:is>
      </x:c>
      <x:c r="F27" t="inlineStr">
        <x:is>
          <x:t xml:space="preserve">misalignment_signal</x:t>
        </x:is>
      </x:c>
    </x:row>
    <x:row r="28">
      <x:c r="E28" t="inlineStr">
        <x:is>
          <x:t xml:space="preserve">Create_Trust_Playbook</x:t>
        </x:is>
      </x:c>
      <x:c r="F28" t="inlineStr">
        <x:is>
          <x:t xml:space="preserve">n_a</x:t>
        </x:is>
      </x:c>
    </x:row>
    <x:row r="29">
      <x:c r="E29" t="inlineStr">
        <x:is>
          <x:t xml:space="preserve">Create_Working_Group</x:t>
        </x:is>
      </x:c>
      <x:c r="F29" t="inlineStr">
        <x:is>
          <x:t xml:space="preserve">operating_model_gap</x:t>
        </x:is>
      </x:c>
    </x:row>
    <x:row r="30">
      <x:c r="E30" t="inlineStr">
        <x:is>
          <x:t xml:space="preserve">Culture_Diagnostics</x:t>
        </x:is>
      </x:c>
      <x:c r="F30" t="inlineStr">
        <x:is>
          <x:t xml:space="preserve">optimized</x:t>
        </x:is>
      </x:c>
    </x:row>
    <x:row r="31">
      <x:c r="E31" t="inlineStr">
        <x:is>
          <x:t xml:space="preserve">Culture_Workshop</x:t>
        </x:is>
      </x:c>
      <x:c r="F31" t="inlineStr">
        <x:is>
          <x:t xml:space="preserve">pam_gap</x:t>
        </x:is>
      </x:c>
    </x:row>
    <x:row r="32">
      <x:c r="E32" t="inlineStr">
        <x:is>
          <x:t xml:space="preserve">Define_Cadence</x:t>
        </x:is>
      </x:c>
      <x:c r="F32" t="inlineStr">
        <x:is>
          <x:t xml:space="preserve">paper_budget</x:t>
        </x:is>
      </x:c>
    </x:row>
    <x:row r="33">
      <x:c r="E33" t="inlineStr">
        <x:is>
          <x:t xml:space="preserve">Define_Escalation</x:t>
        </x:is>
      </x:c>
      <x:c r="F33" t="inlineStr">
        <x:is>
          <x:t xml:space="preserve">paper_dragon_signal</x:t>
        </x:is>
      </x:c>
    </x:row>
    <x:row r="34">
      <x:c r="E34" t="inlineStr">
        <x:is>
          <x:t xml:space="preserve">Define_Funding_Model</x:t>
        </x:is>
      </x:c>
      <x:c r="F34" t="inlineStr">
        <x:is>
          <x:t xml:space="preserve">paper_process</x:t>
        </x:is>
      </x:c>
    </x:row>
    <x:row r="35">
      <x:c r="E35" t="inlineStr">
        <x:is>
          <x:t xml:space="preserve">Define_KPIs</x:t>
        </x:is>
      </x:c>
      <x:c r="F35" t="inlineStr">
        <x:is>
          <x:t xml:space="preserve">paper_roadmap</x:t>
        </x:is>
      </x:c>
    </x:row>
    <x:row r="36">
      <x:c r="E36" t="inlineStr">
        <x:is>
          <x:t xml:space="preserve">Define_LE_Plan</x:t>
        </x:is>
      </x:c>
      <x:c r="F36" t="inlineStr">
        <x:is>
          <x:t xml:space="preserve">partial_maturity</x:t>
        </x:is>
      </x:c>
    </x:row>
    <x:row r="37">
      <x:c r="E37" t="inlineStr">
        <x:is>
          <x:t xml:space="preserve">Define_Ownership</x:t>
        </x:is>
      </x:c>
      <x:c r="F37" t="inlineStr">
        <x:is>
          <x:t xml:space="preserve">partial_visibility</x:t>
        </x:is>
      </x:c>
    </x:row>
    <x:row r="38">
      <x:c r="E38" t="inlineStr">
        <x:is>
          <x:t xml:space="preserve">Design_Case_Model</x:t>
        </x:is>
      </x:c>
      <x:c r="F38" t="inlineStr">
        <x:is>
          <x:t xml:space="preserve">privileged_gap</x:t>
        </x:is>
      </x:c>
    </x:row>
    <x:row r="39">
      <x:c r="E39" t="inlineStr">
        <x:is>
          <x:t xml:space="preserve">Design_Fairness_Process</x:t>
        </x:is>
      </x:c>
      <x:c r="F39" t="inlineStr">
        <x:is>
          <x:t xml:space="preserve">reactive</x:t>
        </x:is>
      </x:c>
    </x:row>
    <x:row r="40">
      <x:c r="E40" t="inlineStr">
        <x:is>
          <x:t xml:space="preserve">Design_Ops_Model</x:t>
        </x:is>
      </x:c>
      <x:c r="F40" t="inlineStr">
        <x:is>
          <x:t xml:space="preserve">resilience_gap</x:t>
        </x:is>
      </x:c>
    </x:row>
    <x:row r="41">
      <x:c r="E41" t="inlineStr">
        <x:is>
          <x:t xml:space="preserve">Document_Crown_Jewels</x:t>
        </x:is>
      </x:c>
      <x:c r="F41" t="inlineStr">
        <x:is>
          <x:t xml:space="preserve">shadow_mature_signal</x:t>
        </x:is>
      </x:c>
    </x:row>
    <x:row r="42">
      <x:c r="E42" t="inlineStr">
        <x:is>
          <x:t xml:space="preserve">Document_NA</x:t>
        </x:is>
      </x:c>
      <x:c r="F42" t="inlineStr">
        <x:is>
          <x:t xml:space="preserve">shadow_signal</x:t>
        </x:is>
      </x:c>
    </x:row>
    <x:row r="43">
      <x:c r="E43" t="inlineStr">
        <x:is>
          <x:t xml:space="preserve">Document_Scenarios</x:t>
        </x:is>
      </x:c>
      <x:c r="F43" t="inlineStr">
        <x:is>
          <x:t xml:space="preserve">siloed</x:t>
        </x:is>
      </x:c>
    </x:row>
    <x:row r="44">
      <x:c r="E44" t="inlineStr">
        <x:is>
          <x:t xml:space="preserve">Enforce_Custody_Process</x:t>
        </x:is>
      </x:c>
      <x:c r="F44" t="inlineStr">
        <x:is>
          <x:t xml:space="preserve">tamper_risk</x:t>
        </x:is>
      </x:c>
    </x:row>
    <x:row r="45">
      <x:c r="E45" t="inlineStr">
        <x:is>
          <x:t xml:space="preserve">Evidence_Upgrade</x:t>
        </x:is>
      </x:c>
      <x:c r="F45" t="inlineStr">
        <x:is>
          <x:t xml:space="preserve">testing_gap</x:t>
        </x:is>
      </x:c>
    </x:row>
    <x:row r="46">
      <x:c r="E46" t="inlineStr">
        <x:is>
          <x:t xml:space="preserve">Exercise_LE_Plan</x:t>
        </x:is>
      </x:c>
      <x:c r="F46" t="inlineStr">
        <x:is>
          <x:t xml:space="preserve">third_party_gap</x:t>
        </x:is>
      </x:c>
    </x:row>
    <x:row r="47">
      <x:c r="E47" t="inlineStr">
        <x:is>
          <x:t xml:space="preserve">Exercise_Scenarios</x:t>
        </x:is>
      </x:c>
      <x:c r="F47" t="inlineStr">
        <x:is>
          <x:t xml:space="preserve">toxic_enforcer_signal</x:t>
        </x:is>
      </x:c>
    </x:row>
    <x:row r="48">
      <x:c r="E48" t="inlineStr">
        <x:is>
          <x:t xml:space="preserve">Expand_Role_Mapping</x:t>
        </x:is>
      </x:c>
      <x:c r="F48" t="inlineStr">
        <x:is>
          <x:t xml:space="preserve">triage_quality_gap</x:t>
        </x:is>
      </x:c>
    </x:row>
    <x:row r="49">
      <x:c r="E49" t="inlineStr">
        <x:is>
          <x:t xml:space="preserve">Expand_Scope</x:t>
        </x:is>
      </x:c>
      <x:c r="F49" t="inlineStr">
        <x:is>
          <x:t xml:space="preserve">tribal_knowledge</x:t>
        </x:is>
      </x:c>
    </x:row>
    <x:row r="50">
      <x:c r="E50" t="inlineStr">
        <x:is>
          <x:t xml:space="preserve">Extend_To_ThirdParty</x:t>
        </x:is>
      </x:c>
      <x:c r="F50" t="inlineStr">
        <x:is>
          <x:t xml:space="preserve">unknown</x:t>
        </x:is>
      </x:c>
    </x:row>
    <x:row r="51">
      <x:c r="E51" t="inlineStr">
        <x:is>
          <x:t xml:space="preserve">Formalize_Access_Reviews</x:t>
        </x:is>
      </x:c>
      <x:c r="F51" t="inlineStr">
        <x:is>
          <x:t xml:space="preserve">unstable_funding</x:t>
        </x:is>
      </x:c>
    </x:row>
    <x:row r="52">
      <x:c r="E52" t="inlineStr">
        <x:is>
          <x:t xml:space="preserve">Formalize_Cadence</x:t>
        </x:is>
      </x:c>
      <x:c r="F52" t="inlineStr">
        <x:is>
          <x:t xml:space="preserve">vanity_metrics</x:t>
        </x:is>
      </x:c>
    </x:row>
    <x:row r="53">
      <x:c r="E53" t="inlineStr">
        <x:is>
          <x:t xml:space="preserve">Formalize_Case_Model</x:t>
        </x:is>
      </x:c>
      <x:c r="F53" t="inlineStr">
        <x:is>
          <x:t xml:space="preserve">visibility_gap</x:t>
        </x:is>
      </x:c>
    </x:row>
    <x:row r="54">
      <x:c r="E54" t="inlineStr">
        <x:is>
          <x:t xml:space="preserve">Formalize_Escalation</x:t>
        </x:is>
      </x:c>
    </x:row>
    <x:row r="55">
      <x:c r="E55" t="inlineStr">
        <x:is>
          <x:t xml:space="preserve">Formalize_NearMiss_Process</x:t>
        </x:is>
      </x:c>
    </x:row>
    <x:row r="56">
      <x:c r="E56" t="inlineStr">
        <x:is>
          <x:t xml:space="preserve">Formalize_Playbook</x:t>
        </x:is>
      </x:c>
    </x:row>
    <x:row r="57">
      <x:c r="E57" t="inlineStr">
        <x:is>
          <x:t xml:space="preserve">Formalize_Reinforcement</x:t>
        </x:is>
      </x:c>
    </x:row>
    <x:row r="58">
      <x:c r="E58" t="inlineStr">
        <x:is>
          <x:t xml:space="preserve">Formalize_Roadmap</x:t>
        </x:is>
      </x:c>
    </x:row>
    <x:row r="59">
      <x:c r="E59" t="inlineStr">
        <x:is>
          <x:t xml:space="preserve">Formalize_Trust_Playbook</x:t>
        </x:is>
      </x:c>
    </x:row>
    <x:row r="60">
      <x:c r="E60" t="inlineStr">
        <x:is>
          <x:t xml:space="preserve">Foundational_Setup</x:t>
        </x:is>
      </x:c>
    </x:row>
    <x:row r="61">
      <x:c r="E61" t="inlineStr">
        <x:is>
          <x:t xml:space="preserve">Improve_Adoption</x:t>
        </x:is>
      </x:c>
    </x:row>
    <x:row r="62">
      <x:c r="E62" t="inlineStr">
        <x:is>
          <x:t xml:space="preserve">Improve_Auditability</x:t>
        </x:is>
      </x:c>
    </x:row>
    <x:row r="63">
      <x:c r="E63" t="inlineStr">
        <x:is>
          <x:t xml:space="preserve">Improve_Cadence</x:t>
        </x:is>
      </x:c>
    </x:row>
    <x:row r="64">
      <x:c r="E64" t="inlineStr">
        <x:is>
          <x:t xml:space="preserve">Improve_Exercise_Loop</x:t>
        </x:is>
      </x:c>
    </x:row>
    <x:row r="65">
      <x:c r="E65" t="inlineStr">
        <x:is>
          <x:t xml:space="preserve">Improve_Metrics</x:t>
        </x:is>
      </x:c>
    </x:row>
    <x:row r="66">
      <x:c r="E66" t="inlineStr">
        <x:is>
          <x:t xml:space="preserve">Improve_SpeakUp_System</x:t>
        </x:is>
      </x:c>
    </x:row>
    <x:row r="67">
      <x:c r="E67" t="inlineStr">
        <x:is>
          <x:t xml:space="preserve">Improve_Transparency</x:t>
        </x:is>
      </x:c>
    </x:row>
    <x:row r="68">
      <x:c r="E68" t="inlineStr">
        <x:is>
          <x:t xml:space="preserve">Improve_Visibility</x:t>
        </x:is>
      </x:c>
    </x:row>
    <x:row r="69">
      <x:c r="E69" t="inlineStr">
        <x:is>
          <x:t xml:space="preserve">Insider_Playbooks</x:t>
        </x:is>
      </x:c>
    </x:row>
    <x:row r="70">
      <x:c r="E70" t="inlineStr">
        <x:is>
          <x:t xml:space="preserve">Integrate_HR_Security</x:t>
        </x:is>
      </x:c>
    </x:row>
    <x:row r="71">
      <x:c r="E71" t="inlineStr">
        <x:is>
          <x:t xml:space="preserve">Legal_Clarification</x:t>
        </x:is>
      </x:c>
    </x:row>
    <x:row r="72">
      <x:c r="E72" t="inlineStr">
        <x:is>
          <x:t xml:space="preserve">Legal_Defensibility_Audit</x:t>
        </x:is>
      </x:c>
    </x:row>
    <x:row r="73">
      <x:c r="E73" t="inlineStr">
        <x:is>
          <x:t xml:space="preserve">Link_To_Priorities</x:t>
        </x:is>
      </x:c>
    </x:row>
    <x:row r="74">
      <x:c r="E74" t="inlineStr">
        <x:is>
          <x:t xml:space="preserve">Manager_Enablement</x:t>
        </x:is>
      </x:c>
    </x:row>
    <x:row r="75">
      <x:c r="E75" t="inlineStr">
        <x:is>
          <x:t xml:space="preserve">Manager_Training</x:t>
        </x:is>
      </x:c>
    </x:row>
    <x:row r="76">
      <x:c r="E76" t="inlineStr">
        <x:is>
          <x:t xml:space="preserve">Measure_Alt_Delivery</x:t>
        </x:is>
      </x:c>
    </x:row>
    <x:row r="77">
      <x:c r="E77" t="inlineStr">
        <x:is>
          <x:t xml:space="preserve">Measure_Control_Lag</x:t>
        </x:is>
      </x:c>
    </x:row>
    <x:row r="78">
      <x:c r="E78" t="inlineStr">
        <x:is>
          <x:t xml:space="preserve">Measure_Friction</x:t>
        </x:is>
      </x:c>
    </x:row>
    <x:row r="79">
      <x:c r="E79" t="inlineStr">
        <x:is>
          <x:t xml:space="preserve">Plan_Assurance</x:t>
        </x:is>
      </x:c>
    </x:row>
    <x:row r="80">
      <x:c r="E80" t="inlineStr">
        <x:is>
          <x:t xml:space="preserve">Plan_Exercises</x:t>
        </x:is>
      </x:c>
    </x:row>
    <x:row r="81">
      <x:c r="E81" t="inlineStr">
        <x:is>
          <x:t xml:space="preserve">Request_Evidence</x:t>
        </x:is>
      </x:c>
    </x:row>
    <x:row r="82">
      <x:c r="E82" t="inlineStr">
        <x:is>
          <x:t xml:space="preserve">Residency_Retention_Remediation</x:t>
        </x:is>
      </x:c>
    </x:row>
    <x:row r="83">
      <x:c r="E83" t="inlineStr">
        <x:is>
          <x:t xml:space="preserve">Role_Mapping</x:t>
        </x:is>
      </x:c>
    </x:row>
    <x:row r="84">
      <x:c r="E84" t="inlineStr">
        <x:is>
          <x:t xml:space="preserve">Run_Crown_Jewel_Workshop</x:t>
        </x:is>
      </x:c>
    </x:row>
    <x:row r="85">
      <x:c r="E85" t="inlineStr">
        <x:is>
          <x:t xml:space="preserve">Run_Shadow_Probe</x:t>
        </x:is>
      </x:c>
    </x:row>
    <x:row r="86">
      <x:c r="E86" t="inlineStr">
        <x:is>
          <x:t xml:space="preserve">Scale_And_Govern</x:t>
        </x:is>
      </x:c>
    </x:row>
    <x:row r="87">
      <x:c r="E87" t="inlineStr">
        <x:is>
          <x:t xml:space="preserve">Security_UX_Review</x:t>
        </x:is>
      </x:c>
    </x:row>
    <x:row r="88">
      <x:c r="E88" t="inlineStr">
        <x:is>
          <x:t xml:space="preserve">Set_Cadence</x:t>
        </x:is>
      </x:c>
    </x:row>
    <x:row r="89">
      <x:c r="E89" t="inlineStr">
        <x:is>
          <x:t xml:space="preserve">ShadowIT_Discovery</x:t>
        </x:is>
      </x:c>
    </x:row>
    <x:row r="90">
      <x:c r="E90" t="inlineStr">
        <x:is>
          <x:t xml:space="preserve">ShadowIT_Process</x:t>
        </x:is>
      </x:c>
    </x:row>
    <x:row r="91">
      <x:c r="E91" t="inlineStr">
        <x:is>
          <x:t xml:space="preserve">Speed_Alternatives</x:t>
        </x:is>
      </x:c>
    </x:row>
    <x:row r="92">
      <x:c r="E92" t="inlineStr">
        <x:is>
          <x:t xml:space="preserve">Stabilize_Funding</x:t>
        </x:is>
      </x:c>
    </x:row>
    <x:row r="93">
      <x:c r="E93" t="inlineStr">
        <x:is>
          <x:t xml:space="preserve">Stakeholder_Engagement</x:t>
        </x:is>
      </x:c>
    </x:row>
    <x:row r="94">
      <x:c r="E94" t="inlineStr">
        <x:is>
          <x:t xml:space="preserve">Standardize_Governance</x:t>
        </x:is>
      </x:c>
    </x:row>
    <x:row r="95">
      <x:c r="E95" t="inlineStr">
        <x:is>
          <x:t xml:space="preserve">Standardize_ThirdParty</x:t>
        </x:is>
      </x:c>
    </x:row>
    <x:row r="96">
      <x:c r="E96" t="inlineStr">
        <x:is>
          <x:t xml:space="preserve">Start_Mapping</x:t>
        </x:is>
      </x:c>
    </x:row>
    <x:row r="97">
      <x:c r="E97" t="inlineStr">
        <x:is>
          <x:t xml:space="preserve">Strengthen_Governance</x:t>
        </x:is>
      </x:c>
    </x:row>
    <x:row r="98">
      <x:c r="E98" t="inlineStr">
        <x:is>
          <x:t xml:space="preserve">Strengthen_SpeakUp</x:t>
        </x:is>
      </x:c>
    </x:row>
    <x:row r="99">
      <x:c r="E99" t="inlineStr">
        <x:is>
          <x:t xml:space="preserve">Systematize_Detection</x:t>
        </x:is>
      </x:c>
    </x:row>
    <x:row r="100">
      <x:c r="E100" t="inlineStr">
        <x:is>
          <x:t xml:space="preserve">Transparency_Remediation</x:t>
        </x:is>
      </x:c>
    </x:row>
    <x:row r="101">
      <x:c r="E101" t="inlineStr">
        <x:is>
          <x:t xml:space="preserve">Upgrade_KPIs</x:t>
        </x:is>
      </x:c>
    </x:row>
    <x:row r="102">
      <x:c r="E102" t="inlineStr">
        <x:is>
          <x:t xml:space="preserve">Validate_Tech_Reality</x:t>
        </x:is>
      </x:c>
    </x:row>
    <x:row r="103">
      <x:c r="E103" t="inlineStr">
        <x:is>
          <x:t xml:space="preserve">Verify_ThirdParty</x:t>
        </x:is>
      </x:c>
    </x:row>
    <x:row r="104">
      <x:c r="E104" t="inlineStr">
        <x:is>
          <x:t xml:space="preserve">Expand_Cloud_SaaS_Logging</x:t>
        </x:is>
      </x:c>
    </x:row>
    <x:row r="105">
      <x:c r="E105" t="inlineStr">
        <x:is>
          <x:t xml:space="preserve">Implement_PAM_JIT</x:t>
        </x:is>
      </x:c>
    </x:row>
    <x:row r="106">
      <x:c r="E106" t="inlineStr">
        <x:is>
          <x:t xml:space="preserve">Implement_SOAR_Containment</x:t>
        </x:is>
      </x:c>
    </x:row>
    <x:row r="107">
      <x:c r="E107" t="inlineStr">
        <x:is>
          <x:t xml:space="preserve">Improve_Identity_Correlation</x:t>
        </x:is>
      </x:c>
    </x:row>
    <x:row r="108">
      <x:c r="E108" t="inlineStr">
        <x:is>
          <x:t xml:space="preserve">Improve_Triage_QA</x:t>
        </x:is>
      </x:c>
    </x:row>
    <x:row r="109">
      <x:c r="E109" t="inlineStr">
        <x:is>
          <x:t xml:space="preserve">Integrate_JML_Automation</x:t>
        </x:is>
      </x:c>
    </x:row>
    <x:row r="110">
      <x:c r="E110" t="inlineStr">
        <x:is>
          <x:t xml:space="preserve">Run_Purple_Team</x:t>
        </x:is>
      </x:c>
    </x:row>
    <x:row r="111">
      <x:c r="E111" t="inlineStr">
        <x:is>
          <x:t xml:space="preserve">Tune_DLP_Crown_Jewels</x:t>
        </x:is>
      </x:c>
    </x:row>
    <x:row r="112">
      <x:c r="E112" t="inlineStr">
        <x:is>
          <x:t xml:space="preserve">Tune_Detections_Reduce_Friction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d5a17188f1d43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customWidth="1"/>
    <x:col min="2" max="2" width="18" customWidth="1"/>
    <x:col min="3" max="3" width="18" customWidth="1"/>
    <x:col min="4" max="4" width="48" customWidth="1"/>
    <x:col min="5" max="5" width="18" customWidth="1"/>
    <x:col min="6" max="6" width="28" customWidth="1"/>
  </x:cols>
  <x:sheetData>
    <x:row r="1">
      <x:c r="A1" t="inlineStr">
        <x:is>
          <x:t xml:space="preserve">PackID</x:t>
        </x:is>
      </x:c>
      <x:c r="B1" t="inlineStr">
        <x:is>
          <x:t xml:space="preserve">PackName</x:t>
        </x:is>
      </x:c>
      <x:c r="C1" t="inlineStr">
        <x:is>
          <x:t xml:space="preserve">TargetRoles</x:t>
        </x:is>
      </x:c>
      <x:c r="D1" t="inlineStr">
        <x:is>
          <x:t xml:space="preserve">Description</x:t>
        </x:is>
      </x:c>
      <x:c r="E1" t="inlineStr">
        <x:is>
          <x:t xml:space="preserve">DefaultModes</x:t>
        </x:is>
      </x:c>
      <x:c r="F1" t="inlineStr">
        <x:is>
          <x:t xml:space="preserve">Notes</x:t>
        </x:is>
      </x:c>
    </x:row>
    <x:row r="2">
      <x:c r="A2" t="inlineStr">
        <x:is>
          <x:t xml:space="preserve">Executive</x:t>
        </x:is>
      </x:c>
      <x:c r="B2" t="inlineStr">
        <x:is>
          <x:t xml:space="preserve">Executive Pack</x:t>
        </x:is>
      </x:c>
      <x:c r="C2" t="inlineStr">
        <x:is>
          <x:t xml:space="preserve">exec</x:t>
        </x:is>
      </x:c>
      <x:c r="D2" t="inlineStr">
        <x:is>
          <x:t xml:space="preserve">Board/sponsor-facing assessment focusing on mandate, targeting, and resilience narrative.</x:t>
        </x:is>
      </x:c>
      <x:c r="E2" t="inlineStr">
        <x:is>
          <x:t xml:space="preserve">Lightweight;Standard;Deep</x:t>
        </x:is>
      </x:c>
    </x:row>
    <x:row r="3">
      <x:c r="A3" t="inlineStr">
        <x:is>
          <x:t xml:space="preserve">HR</x:t>
        </x:is>
      </x:c>
      <x:c r="B3" t="inlineStr">
        <x:is>
          <x:t xml:space="preserve">HR Pack</x:t>
        </x:is>
      </x:c>
      <x:c r="C3" t="inlineStr">
        <x:is>
          <x:t xml:space="preserve">hr</x:t>
        </x:is>
      </x:c>
      <x:c r="D3" t="inlineStr">
        <x:is>
          <x:t xml:space="preserve">HR/Employee Relations-focused assessment on culture, speak-up, fairness, interventions and coordination.</x:t>
        </x:is>
      </x:c>
      <x:c r="E3" t="inlineStr">
        <x:is>
          <x:t xml:space="preserve">Lightweight;Standard;Deep</x:t>
        </x:is>
      </x:c>
    </x:row>
    <x:row r="4">
      <x:c r="A4" t="inlineStr">
        <x:is>
          <x:t xml:space="preserve">Security</x:t>
        </x:is>
      </x:c>
      <x:c r="B4" t="inlineStr">
        <x:is>
          <x:t xml:space="preserve">Security Pack</x:t>
        </x:is>
      </x:c>
      <x:c r="C4" t="inlineStr">
        <x:is>
          <x:t xml:space="preserve">security</x:t>
        </x:is>
      </x:c>
      <x:c r="D4" t="inlineStr">
        <x:is>
          <x:t xml:space="preserve">Security/SOC/IR-focused assessment on telemetry, detection, orchestration and response operations.</x:t>
        </x:is>
      </x:c>
      <x:c r="E4" t="inlineStr">
        <x:is>
          <x:t xml:space="preserve">Lightweight;Standard;Deep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>
      <x:c r="A1" t="inlineStr">
        <x:is>
          <x:t xml:space="preserve">Pack architecture (v1.6)</x:t>
        </x:is>
      </x:c>
    </x:row>
    <x:row r="3">
      <x:c r="A3" t="inlineStr">
        <x:is>
          <x:t xml:space="preserve">Canonical content lives in: Questions + AnswerOptions.</x:t>
        </x:is>
      </x:c>
    </x:row>
    <x:row r="4">
      <x:c r="A4" t="inlineStr">
        <x:is>
          <x:t xml:space="preserve">Packs are defined ONLY in: PackDefinitions + PackMap (mapping layer).</x:t>
        </x:is>
      </x:c>
    </x:row>
    <x:row r="5">
      <x:c r="A5" t="inlineStr">
        <x:is>
          <x:t xml:space="preserve">Do not duplicate questions/answers per pack. Add a new question once, then map it to packs.</x:t>
        </x:is>
      </x:c>
    </x:row>
    <x:row r="6">
      <x:c r="A6" t="inlineStr">
        <x:is>
          <x:t xml:space="preserve">Pack_Table is a derived publish/export view (regenerate from canonical sheets).</x:t>
        </x:is>
      </x:c>
    </x:row>
    <x:row r="7">
      <x:c r="A7" t="inlineStr">
        <x:is>
          <x:t xml:space="preserve">PackMap fields added: Order, RequiredRole, ScopeApplicability, PrereqQID, GateCondition.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28" customWidth="1"/>
    <x:col min="10" max="10" width="18" customWidth="1"/>
    <x:col min="11" max="11" width="48" customWidth="1"/>
    <x:col min="12" max="12" width="18" customWidth="1"/>
    <x:col min="13" max="13" width="18" customWidth="1"/>
    <x:col min="14" max="14" width="24" customWidth="1"/>
    <x:col min="15" max="15" width="24" customWidth="1"/>
    <x:col min="16" max="16" width="24" customWidth="1"/>
    <x:col min="17" max="17" width="24" customWidth="1"/>
  </x:cols>
  <x:sheetData>
    <x:row r="1">
      <x:c r="A1" t="inlineStr">
        <x:is>
          <x:t xml:space="preserve">PackID</x:t>
        </x:is>
      </x:c>
      <x:c r="B1" t="inlineStr">
        <x:is>
          <x:t xml:space="preserve">Q-ID</x:t>
        </x:is>
      </x:c>
      <x:c r="C1" t="inlineStr">
        <x:is>
          <x:t xml:space="preserve">IsRequired</x:t>
        </x:is>
      </x:c>
      <x:c r="D1" t="inlineStr">
        <x:is>
          <x:t xml:space="preserve">Include_Lightweight</x:t>
        </x:is>
      </x:c>
      <x:c r="E1" t="inlineStr">
        <x:is>
          <x:t xml:space="preserve">Include_Standard</x:t>
        </x:is>
      </x:c>
      <x:c r="F1" t="inlineStr">
        <x:is>
          <x:t xml:space="preserve">Include_Deep</x:t>
        </x:is>
      </x:c>
      <x:c r="G1" t="inlineStr">
        <x:is>
          <x:t xml:space="preserve">RoleTargetOverride</x:t>
        </x:is>
      </x:c>
      <x:c r="H1" t="inlineStr">
        <x:is>
          <x:t xml:space="preserve">PackWeightOverride</x:t>
        </x:is>
      </x:c>
      <x:c r="I1" t="inlineStr">
        <x:is>
          <x:t xml:space="preserve">Notes</x:t>
        </x:is>
      </x:c>
      <x:c r="K1" t="inlineStr">
        <x:is>
          <x:t xml:space="preserve">Guidance</x:t>
        </x:is>
      </x:c>
      <x:c r="L1" t="inlineStr">
        <x:is>
          <x:t xml:space="preserve">Order</x:t>
        </x:is>
      </x:c>
      <x:c r="M1" t="inlineStr">
        <x:is>
          <x:t xml:space="preserve">PackTierOverride</x:t>
        </x:is>
      </x:c>
      <x:c r="N1" t="inlineStr">
        <x:is>
          <x:t xml:space="preserve">RequiredRole</x:t>
        </x:is>
      </x:c>
      <x:c r="O1" t="inlineStr">
        <x:is>
          <x:t xml:space="preserve">ScopeApplicability</x:t>
        </x:is>
      </x:c>
      <x:c r="P1" t="inlineStr">
        <x:is>
          <x:t xml:space="preserve">PrereqQID</x:t>
        </x:is>
      </x:c>
      <x:c r="Q1" t="inlineStr">
        <x:is>
          <x:t xml:space="preserve">GateCondition</x:t>
        </x:is>
      </x:c>
    </x:row>
    <x:row r="2">
      <x:c r="A2" t="inlineStr">
        <x:is>
          <x:t xml:space="preserve">Executive</x:t>
        </x:is>
      </x:c>
      <x:c r="B2" t="inlineStr">
        <x:is>
          <x:t xml:space="preserve">EXCO-D1-Q01</x:t>
        </x:is>
      </x:c>
      <x:c r="C2" t="inlineStr">
        <x:is>
          <x:t xml:space="preserve">Y</x:t>
        </x:is>
      </x:c>
      <x:c r="D2" t="inlineStr">
        <x:is>
          <x:t xml:space="preserve">Y</x:t>
        </x:is>
      </x:c>
      <x:c r="E2" t="inlineStr">
        <x:is>
          <x:t xml:space="preserve">Y</x:t>
        </x:is>
      </x:c>
      <x:c r="F2" t="inlineStr">
        <x:is>
          <x:t xml:space="preserve">Y</x:t>
        </x:is>
      </x:c>
      <x:c r="I2" t="inlineStr">
        <x:is>
          <x:t xml:space="preserve">(Optional) To include a question in multiple packs, add additional rows with different PackID for the same Q-ID.</x:t>
        </x:is>
      </x:c>
      <x:c r="K2" t="inlineStr">
        <x:is>
          <x:t xml:space="preserve">Use this sheet as the single place to define which questions belong to which pack and which assessment mode includes them. Questions/AnswerOptions remain the master truth.</x:t>
        </x:is>
      </x:c>
      <x:c r="L2" t="n">
        <x:v>1</x:v>
      </x:c>
      <x:c r="N2" t="inlineStr">
        <x:is>
          <x:t xml:space="preserve">exec</x:t>
        </x:is>
      </x:c>
    </x:row>
    <x:row r="3">
      <x:c r="A3" t="inlineStr">
        <x:is>
          <x:t xml:space="preserve">Executive</x:t>
        </x:is>
      </x:c>
      <x:c r="B3" t="inlineStr">
        <x:is>
          <x:t xml:space="preserve">EXCO-D1-Q02</x:t>
        </x:is>
      </x:c>
      <x:c r="C3" t="inlineStr">
        <x:is>
          <x:t xml:space="preserve">Y</x:t>
        </x:is>
      </x:c>
      <x:c r="D3" t="inlineStr">
        <x:is>
          <x:t xml:space="preserve">N</x:t>
        </x:is>
      </x:c>
      <x:c r="E3" t="inlineStr">
        <x:is>
          <x:t xml:space="preserve">Y</x:t>
        </x:is>
      </x:c>
      <x:c r="F3" t="inlineStr">
        <x:is>
          <x:t xml:space="preserve">Y</x:t>
        </x:is>
      </x:c>
      <x:c r="L3" t="n">
        <x:v>2</x:v>
      </x:c>
      <x:c r="N3" t="inlineStr">
        <x:is>
          <x:t xml:space="preserve">exec</x:t>
        </x:is>
      </x:c>
    </x:row>
    <x:row r="4">
      <x:c r="A4" t="inlineStr">
        <x:is>
          <x:t xml:space="preserve">Executive</x:t>
        </x:is>
      </x:c>
      <x:c r="B4" t="inlineStr">
        <x:is>
          <x:t xml:space="preserve">EXCO-D1-Q03</x:t>
        </x:is>
      </x:c>
      <x:c r="C4" t="inlineStr">
        <x:is>
          <x:t xml:space="preserve">Y</x:t>
        </x:is>
      </x:c>
      <x:c r="D4" t="inlineStr">
        <x:is>
          <x:t xml:space="preserve">N</x:t>
        </x:is>
      </x:c>
      <x:c r="E4" t="inlineStr">
        <x:is>
          <x:t xml:space="preserve">Y</x:t>
        </x:is>
      </x:c>
      <x:c r="F4" t="inlineStr">
        <x:is>
          <x:t xml:space="preserve">Y</x:t>
        </x:is>
      </x:c>
      <x:c r="L4" t="n">
        <x:v>3</x:v>
      </x:c>
      <x:c r="N4" t="inlineStr">
        <x:is>
          <x:t xml:space="preserve">exec</x:t>
        </x:is>
      </x:c>
    </x:row>
    <x:row r="5">
      <x:c r="A5" t="inlineStr">
        <x:is>
          <x:t xml:space="preserve">Executive</x:t>
        </x:is>
      </x:c>
      <x:c r="B5" t="inlineStr">
        <x:is>
          <x:t xml:space="preserve">EXCO-D1-Q04</x:t>
        </x:is>
      </x:c>
      <x:c r="C5" t="inlineStr">
        <x:is>
          <x:t xml:space="preserve">Y</x:t>
        </x:is>
      </x:c>
      <x:c r="D5" t="inlineStr">
        <x:is>
          <x:t xml:space="preserve">N</x:t>
        </x:is>
      </x:c>
      <x:c r="E5" t="inlineStr">
        <x:is>
          <x:t xml:space="preserve">Y</x:t>
        </x:is>
      </x:c>
      <x:c r="F5" t="inlineStr">
        <x:is>
          <x:t xml:space="preserve">Y</x:t>
        </x:is>
      </x:c>
      <x:c r="L5" t="n">
        <x:v>4</x:v>
      </x:c>
      <x:c r="N5" t="inlineStr">
        <x:is>
          <x:t xml:space="preserve">exec</x:t>
        </x:is>
      </x:c>
    </x:row>
    <x:row r="6">
      <x:c r="A6" t="inlineStr">
        <x:is>
          <x:t xml:space="preserve">Executive</x:t>
        </x:is>
      </x:c>
      <x:c r="B6" t="inlineStr">
        <x:is>
          <x:t xml:space="preserve">EXCO-D1-Q05</x:t>
        </x:is>
      </x:c>
      <x:c r="C6" t="inlineStr">
        <x:is>
          <x:t xml:space="preserve">Y</x:t>
        </x:is>
      </x:c>
      <x:c r="D6" t="inlineStr">
        <x:is>
          <x:t xml:space="preserve">N</x:t>
        </x:is>
      </x:c>
      <x:c r="E6" t="inlineStr">
        <x:is>
          <x:t xml:space="preserve">N</x:t>
        </x:is>
      </x:c>
      <x:c r="F6" t="inlineStr">
        <x:is>
          <x:t xml:space="preserve">Y</x:t>
        </x:is>
      </x:c>
      <x:c r="L6" t="n">
        <x:v>5</x:v>
      </x:c>
      <x:c r="N6" t="inlineStr">
        <x:is>
          <x:t xml:space="preserve">exec</x:t>
        </x:is>
      </x:c>
    </x:row>
    <x:row r="7">
      <x:c r="A7" t="inlineStr">
        <x:is>
          <x:t xml:space="preserve">Executive</x:t>
        </x:is>
      </x:c>
      <x:c r="B7" t="inlineStr">
        <x:is>
          <x:t xml:space="preserve">EXCO-D1-Q06</x:t>
        </x:is>
      </x:c>
      <x:c r="C7" t="inlineStr">
        <x:is>
          <x:t xml:space="preserve">Y</x:t>
        </x:is>
      </x:c>
      <x:c r="D7" t="inlineStr">
        <x:is>
          <x:t xml:space="preserve">N</x:t>
        </x:is>
      </x:c>
      <x:c r="E7" t="inlineStr">
        <x:is>
          <x:t xml:space="preserve">Y</x:t>
        </x:is>
      </x:c>
      <x:c r="F7" t="inlineStr">
        <x:is>
          <x:t xml:space="preserve">Y</x:t>
        </x:is>
      </x:c>
      <x:c r="L7" t="n">
        <x:v>6</x:v>
      </x:c>
      <x:c r="N7" t="inlineStr">
        <x:is>
          <x:t xml:space="preserve">exec</x:t>
        </x:is>
      </x:c>
    </x:row>
    <x:row r="8">
      <x:c r="A8" t="inlineStr">
        <x:is>
          <x:t xml:space="preserve">Executive</x:t>
        </x:is>
      </x:c>
      <x:c r="B8" t="inlineStr">
        <x:is>
          <x:t xml:space="preserve">EXCO-D2-Q01</x:t>
        </x:is>
      </x:c>
      <x:c r="C8" t="inlineStr">
        <x:is>
          <x:t xml:space="preserve">Y</x:t>
        </x:is>
      </x:c>
      <x:c r="D8" t="inlineStr">
        <x:is>
          <x:t xml:space="preserve">Y</x:t>
        </x:is>
      </x:c>
      <x:c r="E8" t="inlineStr">
        <x:is>
          <x:t xml:space="preserve">Y</x:t>
        </x:is>
      </x:c>
      <x:c r="F8" t="inlineStr">
        <x:is>
          <x:t xml:space="preserve">Y</x:t>
        </x:is>
      </x:c>
      <x:c r="L8" t="n">
        <x:v>7</x:v>
      </x:c>
      <x:c r="N8" t="inlineStr">
        <x:is>
          <x:t xml:space="preserve">exec</x:t>
        </x:is>
      </x:c>
    </x:row>
    <x:row r="9">
      <x:c r="A9" t="inlineStr">
        <x:is>
          <x:t xml:space="preserve">Executive</x:t>
        </x:is>
      </x:c>
      <x:c r="B9" t="inlineStr">
        <x:is>
          <x:t xml:space="preserve">EXCO-D2-Q02</x:t>
        </x:is>
      </x:c>
      <x:c r="C9" t="inlineStr">
        <x:is>
          <x:t xml:space="preserve">Y</x:t>
        </x:is>
      </x:c>
      <x:c r="D9" t="inlineStr">
        <x:is>
          <x:t xml:space="preserve">N</x:t>
        </x:is>
      </x:c>
      <x:c r="E9" t="inlineStr">
        <x:is>
          <x:t xml:space="preserve">Y</x:t>
        </x:is>
      </x:c>
      <x:c r="F9" t="inlineStr">
        <x:is>
          <x:t xml:space="preserve">Y</x:t>
        </x:is>
      </x:c>
      <x:c r="L9" t="n">
        <x:v>8</x:v>
      </x:c>
      <x:c r="N9" t="inlineStr">
        <x:is>
          <x:t xml:space="preserve">exec</x:t>
        </x:is>
      </x:c>
    </x:row>
    <x:row r="10">
      <x:c r="A10" t="inlineStr">
        <x:is>
          <x:t xml:space="preserve">Executive</x:t>
        </x:is>
      </x:c>
      <x:c r="B10" t="inlineStr">
        <x:is>
          <x:t xml:space="preserve">EXCO-D2-Q03</x:t>
        </x:is>
      </x:c>
      <x:c r="C10" t="inlineStr">
        <x:is>
          <x:t xml:space="preserve">Y</x:t>
        </x:is>
      </x:c>
      <x:c r="D10" t="inlineStr">
        <x:is>
          <x:t xml:space="preserve">N</x:t>
        </x:is>
      </x:c>
      <x:c r="E10" t="inlineStr">
        <x:is>
          <x:t xml:space="preserve">Y</x:t>
        </x:is>
      </x:c>
      <x:c r="F10" t="inlineStr">
        <x:is>
          <x:t xml:space="preserve">Y</x:t>
        </x:is>
      </x:c>
      <x:c r="L10" t="n">
        <x:v>9</x:v>
      </x:c>
      <x:c r="N10" t="inlineStr">
        <x:is>
          <x:t xml:space="preserve">exec</x:t>
        </x:is>
      </x:c>
    </x:row>
    <x:row r="11">
      <x:c r="A11" t="inlineStr">
        <x:is>
          <x:t xml:space="preserve">Executive</x:t>
        </x:is>
      </x:c>
      <x:c r="B11" t="inlineStr">
        <x:is>
          <x:t xml:space="preserve">EXCO-D2-Q04</x:t>
        </x:is>
      </x:c>
      <x:c r="C11" t="inlineStr">
        <x:is>
          <x:t xml:space="preserve">Y</x:t>
        </x:is>
      </x:c>
      <x:c r="D11" t="inlineStr">
        <x:is>
          <x:t xml:space="preserve">N</x:t>
        </x:is>
      </x:c>
      <x:c r="E11" t="inlineStr">
        <x:is>
          <x:t xml:space="preserve">Y</x:t>
        </x:is>
      </x:c>
      <x:c r="F11" t="inlineStr">
        <x:is>
          <x:t xml:space="preserve">Y</x:t>
        </x:is>
      </x:c>
      <x:c r="L11" t="n">
        <x:v>10</x:v>
      </x:c>
      <x:c r="N11" t="inlineStr">
        <x:is>
          <x:t xml:space="preserve">exec</x:t>
        </x:is>
      </x:c>
    </x:row>
    <x:row r="12">
      <x:c r="A12" t="inlineStr">
        <x:is>
          <x:t xml:space="preserve">Executive</x:t>
        </x:is>
      </x:c>
      <x:c r="B12" t="inlineStr">
        <x:is>
          <x:t xml:space="preserve">EXCO-D2-Q05</x:t>
        </x:is>
      </x:c>
      <x:c r="C12" t="inlineStr">
        <x:is>
          <x:t xml:space="preserve">Y</x:t>
        </x:is>
      </x:c>
      <x:c r="D12" t="inlineStr">
        <x:is>
          <x:t xml:space="preserve">N</x:t>
        </x:is>
      </x:c>
      <x:c r="E12" t="inlineStr">
        <x:is>
          <x:t xml:space="preserve">Y</x:t>
        </x:is>
      </x:c>
      <x:c r="F12" t="inlineStr">
        <x:is>
          <x:t xml:space="preserve">Y</x:t>
        </x:is>
      </x:c>
      <x:c r="L12" t="n">
        <x:v>11</x:v>
      </x:c>
      <x:c r="N12" t="inlineStr">
        <x:is>
          <x:t xml:space="preserve">exec</x:t>
        </x:is>
      </x:c>
    </x:row>
    <x:row r="13">
      <x:c r="A13" t="inlineStr">
        <x:is>
          <x:t xml:space="preserve">Executive</x:t>
        </x:is>
      </x:c>
      <x:c r="B13" t="inlineStr">
        <x:is>
          <x:t xml:space="preserve">EXCO-D2-Q06</x:t>
        </x:is>
      </x:c>
      <x:c r="C13" t="inlineStr">
        <x:is>
          <x:t xml:space="preserve">Y</x:t>
        </x:is>
      </x:c>
      <x:c r="D13" t="inlineStr">
        <x:is>
          <x:t xml:space="preserve">N</x:t>
        </x:is>
      </x:c>
      <x:c r="E13" t="inlineStr">
        <x:is>
          <x:t xml:space="preserve">Y</x:t>
        </x:is>
      </x:c>
      <x:c r="F13" t="inlineStr">
        <x:is>
          <x:t xml:space="preserve">Y</x:t>
        </x:is>
      </x:c>
      <x:c r="L13" t="n">
        <x:v>12</x:v>
      </x:c>
      <x:c r="N13" t="inlineStr">
        <x:is>
          <x:t xml:space="preserve">exec</x:t>
        </x:is>
      </x:c>
    </x:row>
    <x:row r="14">
      <x:c r="A14" t="inlineStr">
        <x:is>
          <x:t xml:space="preserve">Executive</x:t>
        </x:is>
      </x:c>
      <x:c r="B14" t="inlineStr">
        <x:is>
          <x:t xml:space="preserve">EXCO-D2-Q07</x:t>
        </x:is>
      </x:c>
      <x:c r="C14" t="inlineStr">
        <x:is>
          <x:t xml:space="preserve">Y</x:t>
        </x:is>
      </x:c>
      <x:c r="D14" t="inlineStr">
        <x:is>
          <x:t xml:space="preserve">N</x:t>
        </x:is>
      </x:c>
      <x:c r="E14" t="inlineStr">
        <x:is>
          <x:t xml:space="preserve">Y</x:t>
        </x:is>
      </x:c>
      <x:c r="F14" t="inlineStr">
        <x:is>
          <x:t xml:space="preserve">Y</x:t>
        </x:is>
      </x:c>
      <x:c r="L14" t="n">
        <x:v>13</x:v>
      </x:c>
      <x:c r="N14" t="inlineStr">
        <x:is>
          <x:t xml:space="preserve">exec</x:t>
        </x:is>
      </x:c>
    </x:row>
    <x:row r="15">
      <x:c r="A15" t="inlineStr">
        <x:is>
          <x:t xml:space="preserve">Executive</x:t>
        </x:is>
      </x:c>
      <x:c r="B15" t="inlineStr">
        <x:is>
          <x:t xml:space="preserve">EXCO-D2-Q08</x:t>
        </x:is>
      </x:c>
      <x:c r="C15" t="inlineStr">
        <x:is>
          <x:t xml:space="preserve">Y</x:t>
        </x:is>
      </x:c>
      <x:c r="D15" t="inlineStr">
        <x:is>
          <x:t xml:space="preserve">N</x:t>
        </x:is>
      </x:c>
      <x:c r="E15" t="inlineStr">
        <x:is>
          <x:t xml:space="preserve">Y</x:t>
        </x:is>
      </x:c>
      <x:c r="F15" t="inlineStr">
        <x:is>
          <x:t xml:space="preserve">Y</x:t>
        </x:is>
      </x:c>
      <x:c r="L15" t="n">
        <x:v>14</x:v>
      </x:c>
      <x:c r="N15" t="inlineStr">
        <x:is>
          <x:t xml:space="preserve">exec</x:t>
        </x:is>
      </x:c>
    </x:row>
    <x:row r="16">
      <x:c r="A16" t="inlineStr">
        <x:is>
          <x:t xml:space="preserve">Executive</x:t>
        </x:is>
      </x:c>
      <x:c r="B16" t="inlineStr">
        <x:is>
          <x:t xml:space="preserve">EXCO-D3-Q01</x:t>
        </x:is>
      </x:c>
      <x:c r="C16" t="inlineStr">
        <x:is>
          <x:t xml:space="preserve">Y</x:t>
        </x:is>
      </x:c>
      <x:c r="D16" t="inlineStr">
        <x:is>
          <x:t xml:space="preserve">Y</x:t>
        </x:is>
      </x:c>
      <x:c r="E16" t="inlineStr">
        <x:is>
          <x:t xml:space="preserve">Y</x:t>
        </x:is>
      </x:c>
      <x:c r="F16" t="inlineStr">
        <x:is>
          <x:t xml:space="preserve">Y</x:t>
        </x:is>
      </x:c>
      <x:c r="L16" t="n">
        <x:v>15</x:v>
      </x:c>
      <x:c r="N16" t="inlineStr">
        <x:is>
          <x:t xml:space="preserve">exec</x:t>
        </x:is>
      </x:c>
    </x:row>
    <x:row r="17">
      <x:c r="A17" t="inlineStr">
        <x:is>
          <x:t xml:space="preserve">Executive</x:t>
        </x:is>
      </x:c>
      <x:c r="B17" t="inlineStr">
        <x:is>
          <x:t xml:space="preserve">EXCO-D3-Q02</x:t>
        </x:is>
      </x:c>
      <x:c r="C17" t="inlineStr">
        <x:is>
          <x:t xml:space="preserve">Y</x:t>
        </x:is>
      </x:c>
      <x:c r="D17" t="inlineStr">
        <x:is>
          <x:t xml:space="preserve">N</x:t>
        </x:is>
      </x:c>
      <x:c r="E17" t="inlineStr">
        <x:is>
          <x:t xml:space="preserve">Y</x:t>
        </x:is>
      </x:c>
      <x:c r="F17" t="inlineStr">
        <x:is>
          <x:t xml:space="preserve">Y</x:t>
        </x:is>
      </x:c>
      <x:c r="L17" t="n">
        <x:v>16</x:v>
      </x:c>
      <x:c r="N17" t="inlineStr">
        <x:is>
          <x:t xml:space="preserve">exec</x:t>
        </x:is>
      </x:c>
    </x:row>
    <x:row r="18">
      <x:c r="A18" t="inlineStr">
        <x:is>
          <x:t xml:space="preserve">Executive</x:t>
        </x:is>
      </x:c>
      <x:c r="B18" t="inlineStr">
        <x:is>
          <x:t xml:space="preserve">EXCO-D3-Q03</x:t>
        </x:is>
      </x:c>
      <x:c r="C18" t="inlineStr">
        <x:is>
          <x:t xml:space="preserve">Y</x:t>
        </x:is>
      </x:c>
      <x:c r="D18" t="inlineStr">
        <x:is>
          <x:t xml:space="preserve">N</x:t>
        </x:is>
      </x:c>
      <x:c r="E18" t="inlineStr">
        <x:is>
          <x:t xml:space="preserve">Y</x:t>
        </x:is>
      </x:c>
      <x:c r="F18" t="inlineStr">
        <x:is>
          <x:t xml:space="preserve">Y</x:t>
        </x:is>
      </x:c>
      <x:c r="L18" t="n">
        <x:v>17</x:v>
      </x:c>
      <x:c r="N18" t="inlineStr">
        <x:is>
          <x:t xml:space="preserve">exec</x:t>
        </x:is>
      </x:c>
    </x:row>
    <x:row r="19">
      <x:c r="A19" t="inlineStr">
        <x:is>
          <x:t xml:space="preserve">Executive</x:t>
        </x:is>
      </x:c>
      <x:c r="B19" t="inlineStr">
        <x:is>
          <x:t xml:space="preserve">EXCO-D3-Q04</x:t>
        </x:is>
      </x:c>
      <x:c r="C19" t="inlineStr">
        <x:is>
          <x:t xml:space="preserve">Y</x:t>
        </x:is>
      </x:c>
      <x:c r="D19" t="inlineStr">
        <x:is>
          <x:t xml:space="preserve">N</x:t>
        </x:is>
      </x:c>
      <x:c r="E19" t="inlineStr">
        <x:is>
          <x:t xml:space="preserve">Y</x:t>
        </x:is>
      </x:c>
      <x:c r="F19" t="inlineStr">
        <x:is>
          <x:t xml:space="preserve">Y</x:t>
        </x:is>
      </x:c>
      <x:c r="L19" t="n">
        <x:v>18</x:v>
      </x:c>
      <x:c r="N19" t="inlineStr">
        <x:is>
          <x:t xml:space="preserve">exec</x:t>
        </x:is>
      </x:c>
    </x:row>
    <x:row r="20">
      <x:c r="A20" t="inlineStr">
        <x:is>
          <x:t xml:space="preserve">Executive</x:t>
        </x:is>
      </x:c>
      <x:c r="B20" t="inlineStr">
        <x:is>
          <x:t xml:space="preserve">EXCO-D3-Q05</x:t>
        </x:is>
      </x:c>
      <x:c r="C20" t="inlineStr">
        <x:is>
          <x:t xml:space="preserve">Y</x:t>
        </x:is>
      </x:c>
      <x:c r="D20" t="inlineStr">
        <x:is>
          <x:t xml:space="preserve">N</x:t>
        </x:is>
      </x:c>
      <x:c r="E20" t="inlineStr">
        <x:is>
          <x:t xml:space="preserve">N</x:t>
        </x:is>
      </x:c>
      <x:c r="F20" t="inlineStr">
        <x:is>
          <x:t xml:space="preserve">Y</x:t>
        </x:is>
      </x:c>
      <x:c r="L20" t="n">
        <x:v>19</x:v>
      </x:c>
      <x:c r="N20" t="inlineStr">
        <x:is>
          <x:t xml:space="preserve">exec</x:t>
        </x:is>
      </x:c>
    </x:row>
    <x:row r="21">
      <x:c r="A21" t="inlineStr">
        <x:is>
          <x:t xml:space="preserve">Executive</x:t>
        </x:is>
      </x:c>
      <x:c r="B21" t="inlineStr">
        <x:is>
          <x:t xml:space="preserve">EXCO-D3-Q06</x:t>
        </x:is>
      </x:c>
      <x:c r="C21" t="inlineStr">
        <x:is>
          <x:t xml:space="preserve">Y</x:t>
        </x:is>
      </x:c>
      <x:c r="D21" t="inlineStr">
        <x:is>
          <x:t xml:space="preserve">N</x:t>
        </x:is>
      </x:c>
      <x:c r="E21" t="inlineStr">
        <x:is>
          <x:t xml:space="preserve">Y</x:t>
        </x:is>
      </x:c>
      <x:c r="F21" t="inlineStr">
        <x:is>
          <x:t xml:space="preserve">Y</x:t>
        </x:is>
      </x:c>
      <x:c r="L21" t="n">
        <x:v>20</x:v>
      </x:c>
      <x:c r="N21" t="inlineStr">
        <x:is>
          <x:t xml:space="preserve">exec</x:t>
        </x:is>
      </x:c>
    </x:row>
    <x:row r="22">
      <x:c r="A22" t="inlineStr">
        <x:is>
          <x:t xml:space="preserve">Executive</x:t>
        </x:is>
      </x:c>
      <x:c r="B22" t="inlineStr">
        <x:is>
          <x:t xml:space="preserve">EXCO-D4-Q01</x:t>
        </x:is>
      </x:c>
      <x:c r="C22" t="inlineStr">
        <x:is>
          <x:t xml:space="preserve">Y</x:t>
        </x:is>
      </x:c>
      <x:c r="D22" t="inlineStr">
        <x:is>
          <x:t xml:space="preserve">Y</x:t>
        </x:is>
      </x:c>
      <x:c r="E22" t="inlineStr">
        <x:is>
          <x:t xml:space="preserve">Y</x:t>
        </x:is>
      </x:c>
      <x:c r="F22" t="inlineStr">
        <x:is>
          <x:t xml:space="preserve">Y</x:t>
        </x:is>
      </x:c>
      <x:c r="L22" t="n">
        <x:v>21</x:v>
      </x:c>
      <x:c r="N22" t="inlineStr">
        <x:is>
          <x:t xml:space="preserve">exec</x:t>
        </x:is>
      </x:c>
    </x:row>
    <x:row r="23">
      <x:c r="A23" t="inlineStr">
        <x:is>
          <x:t xml:space="preserve">Executive</x:t>
        </x:is>
      </x:c>
      <x:c r="B23" t="inlineStr">
        <x:is>
          <x:t xml:space="preserve">EXCO-D4-Q02</x:t>
        </x:is>
      </x:c>
      <x:c r="C23" t="inlineStr">
        <x:is>
          <x:t xml:space="preserve">Y</x:t>
        </x:is>
      </x:c>
      <x:c r="D23" t="inlineStr">
        <x:is>
          <x:t xml:space="preserve">N</x:t>
        </x:is>
      </x:c>
      <x:c r="E23" t="inlineStr">
        <x:is>
          <x:t xml:space="preserve">Y</x:t>
        </x:is>
      </x:c>
      <x:c r="F23" t="inlineStr">
        <x:is>
          <x:t xml:space="preserve">Y</x:t>
        </x:is>
      </x:c>
      <x:c r="L23" t="n">
        <x:v>22</x:v>
      </x:c>
      <x:c r="N23" t="inlineStr">
        <x:is>
          <x:t xml:space="preserve">exec</x:t>
        </x:is>
      </x:c>
    </x:row>
    <x:row r="24">
      <x:c r="A24" t="inlineStr">
        <x:is>
          <x:t xml:space="preserve">Executive</x:t>
        </x:is>
      </x:c>
      <x:c r="B24" t="inlineStr">
        <x:is>
          <x:t xml:space="preserve">EXCO-D4-Q03</x:t>
        </x:is>
      </x:c>
      <x:c r="C24" t="inlineStr">
        <x:is>
          <x:t xml:space="preserve">Y</x:t>
        </x:is>
      </x:c>
      <x:c r="D24" t="inlineStr">
        <x:is>
          <x:t xml:space="preserve">N</x:t>
        </x:is>
      </x:c>
      <x:c r="E24" t="inlineStr">
        <x:is>
          <x:t xml:space="preserve">Y</x:t>
        </x:is>
      </x:c>
      <x:c r="F24" t="inlineStr">
        <x:is>
          <x:t xml:space="preserve">Y</x:t>
        </x:is>
      </x:c>
      <x:c r="L24" t="n">
        <x:v>23</x:v>
      </x:c>
      <x:c r="N24" t="inlineStr">
        <x:is>
          <x:t xml:space="preserve">exec</x:t>
        </x:is>
      </x:c>
    </x:row>
    <x:row r="25">
      <x:c r="A25" t="inlineStr">
        <x:is>
          <x:t xml:space="preserve">Executive</x:t>
        </x:is>
      </x:c>
      <x:c r="B25" t="inlineStr">
        <x:is>
          <x:t xml:space="preserve">EXCO-D4-Q04</x:t>
        </x:is>
      </x:c>
      <x:c r="C25" t="inlineStr">
        <x:is>
          <x:t xml:space="preserve">Y</x:t>
        </x:is>
      </x:c>
      <x:c r="D25" t="inlineStr">
        <x:is>
          <x:t xml:space="preserve">N</x:t>
        </x:is>
      </x:c>
      <x:c r="E25" t="inlineStr">
        <x:is>
          <x:t xml:space="preserve">Y</x:t>
        </x:is>
      </x:c>
      <x:c r="F25" t="inlineStr">
        <x:is>
          <x:t xml:space="preserve">Y</x:t>
        </x:is>
      </x:c>
      <x:c r="L25" t="n">
        <x:v>24</x:v>
      </x:c>
      <x:c r="N25" t="inlineStr">
        <x:is>
          <x:t xml:space="preserve">exec</x:t>
        </x:is>
      </x:c>
    </x:row>
    <x:row r="26">
      <x:c r="A26" t="inlineStr">
        <x:is>
          <x:t xml:space="preserve">Executive</x:t>
        </x:is>
      </x:c>
      <x:c r="B26" t="inlineStr">
        <x:is>
          <x:t xml:space="preserve">EXCO-D5-Q01</x:t>
        </x:is>
      </x:c>
      <x:c r="C26" t="inlineStr">
        <x:is>
          <x:t xml:space="preserve">Y</x:t>
        </x:is>
      </x:c>
      <x:c r="D26" t="inlineStr">
        <x:is>
          <x:t xml:space="preserve">Y</x:t>
        </x:is>
      </x:c>
      <x:c r="E26" t="inlineStr">
        <x:is>
          <x:t xml:space="preserve">Y</x:t>
        </x:is>
      </x:c>
      <x:c r="F26" t="inlineStr">
        <x:is>
          <x:t xml:space="preserve">Y</x:t>
        </x:is>
      </x:c>
      <x:c r="L26" t="n">
        <x:v>25</x:v>
      </x:c>
      <x:c r="N26" t="inlineStr">
        <x:is>
          <x:t xml:space="preserve">exec</x:t>
        </x:is>
      </x:c>
    </x:row>
    <x:row r="27">
      <x:c r="A27" t="inlineStr">
        <x:is>
          <x:t xml:space="preserve">Executive</x:t>
        </x:is>
      </x:c>
      <x:c r="B27" t="inlineStr">
        <x:is>
          <x:t xml:space="preserve">EXCO-D5-Q02</x:t>
        </x:is>
      </x:c>
      <x:c r="C27" t="inlineStr">
        <x:is>
          <x:t xml:space="preserve">Y</x:t>
        </x:is>
      </x:c>
      <x:c r="D27" t="inlineStr">
        <x:is>
          <x:t xml:space="preserve">N</x:t>
        </x:is>
      </x:c>
      <x:c r="E27" t="inlineStr">
        <x:is>
          <x:t xml:space="preserve">Y</x:t>
        </x:is>
      </x:c>
      <x:c r="F27" t="inlineStr">
        <x:is>
          <x:t xml:space="preserve">Y</x:t>
        </x:is>
      </x:c>
      <x:c r="L27" t="n">
        <x:v>26</x:v>
      </x:c>
      <x:c r="N27" t="inlineStr">
        <x:is>
          <x:t xml:space="preserve">exec</x:t>
        </x:is>
      </x:c>
    </x:row>
    <x:row r="28">
      <x:c r="A28" t="inlineStr">
        <x:is>
          <x:t xml:space="preserve">Executive</x:t>
        </x:is>
      </x:c>
      <x:c r="B28" t="inlineStr">
        <x:is>
          <x:t xml:space="preserve">EXCO-D5-Q03</x:t>
        </x:is>
      </x:c>
      <x:c r="C28" t="inlineStr">
        <x:is>
          <x:t xml:space="preserve">Y</x:t>
        </x:is>
      </x:c>
      <x:c r="D28" t="inlineStr">
        <x:is>
          <x:t xml:space="preserve">N</x:t>
        </x:is>
      </x:c>
      <x:c r="E28" t="inlineStr">
        <x:is>
          <x:t xml:space="preserve">Y</x:t>
        </x:is>
      </x:c>
      <x:c r="F28" t="inlineStr">
        <x:is>
          <x:t xml:space="preserve">Y</x:t>
        </x:is>
      </x:c>
      <x:c r="L28" t="n">
        <x:v>27</x:v>
      </x:c>
      <x:c r="N28" t="inlineStr">
        <x:is>
          <x:t xml:space="preserve">exec</x:t>
        </x:is>
      </x:c>
    </x:row>
    <x:row r="29">
      <x:c r="A29" t="inlineStr">
        <x:is>
          <x:t xml:space="preserve">Executive</x:t>
        </x:is>
      </x:c>
      <x:c r="B29" t="inlineStr">
        <x:is>
          <x:t xml:space="preserve">EXCO-D6-Q01</x:t>
        </x:is>
      </x:c>
      <x:c r="C29" t="inlineStr">
        <x:is>
          <x:t xml:space="preserve">Y</x:t>
        </x:is>
      </x:c>
      <x:c r="D29" t="inlineStr">
        <x:is>
          <x:t xml:space="preserve">Y</x:t>
        </x:is>
      </x:c>
      <x:c r="E29" t="inlineStr">
        <x:is>
          <x:t xml:space="preserve">Y</x:t>
        </x:is>
      </x:c>
      <x:c r="F29" t="inlineStr">
        <x:is>
          <x:t xml:space="preserve">Y</x:t>
        </x:is>
      </x:c>
      <x:c r="L29" t="n">
        <x:v>28</x:v>
      </x:c>
      <x:c r="N29" t="inlineStr">
        <x:is>
          <x:t xml:space="preserve">exec</x:t>
        </x:is>
      </x:c>
    </x:row>
    <x:row r="30">
      <x:c r="A30" t="inlineStr">
        <x:is>
          <x:t xml:space="preserve">Executive</x:t>
        </x:is>
      </x:c>
      <x:c r="B30" t="inlineStr">
        <x:is>
          <x:t xml:space="preserve">EXCO-D6-Q02</x:t>
        </x:is>
      </x:c>
      <x:c r="C30" t="inlineStr">
        <x:is>
          <x:t xml:space="preserve">Y</x:t>
        </x:is>
      </x:c>
      <x:c r="D30" t="inlineStr">
        <x:is>
          <x:t xml:space="preserve">N</x:t>
        </x:is>
      </x:c>
      <x:c r="E30" t="inlineStr">
        <x:is>
          <x:t xml:space="preserve">Y</x:t>
        </x:is>
      </x:c>
      <x:c r="F30" t="inlineStr">
        <x:is>
          <x:t xml:space="preserve">Y</x:t>
        </x:is>
      </x:c>
      <x:c r="L30" t="n">
        <x:v>29</x:v>
      </x:c>
      <x:c r="N30" t="inlineStr">
        <x:is>
          <x:t xml:space="preserve">exec</x:t>
        </x:is>
      </x:c>
    </x:row>
    <x:row r="31">
      <x:c r="A31" t="inlineStr">
        <x:is>
          <x:t xml:space="preserve">Executive</x:t>
        </x:is>
      </x:c>
      <x:c r="B31" t="inlineStr">
        <x:is>
          <x:t xml:space="preserve">EXCO-D6-Q03</x:t>
        </x:is>
      </x:c>
      <x:c r="C31" t="inlineStr">
        <x:is>
          <x:t xml:space="preserve">Y</x:t>
        </x:is>
      </x:c>
      <x:c r="D31" t="inlineStr">
        <x:is>
          <x:t xml:space="preserve">N</x:t>
        </x:is>
      </x:c>
      <x:c r="E31" t="inlineStr">
        <x:is>
          <x:t xml:space="preserve">Y</x:t>
        </x:is>
      </x:c>
      <x:c r="F31" t="inlineStr">
        <x:is>
          <x:t xml:space="preserve">Y</x:t>
        </x:is>
      </x:c>
      <x:c r="L31" t="n">
        <x:v>30</x:v>
      </x:c>
      <x:c r="N31" t="inlineStr">
        <x:is>
          <x:t xml:space="preserve">exec</x:t>
        </x:is>
      </x:c>
    </x:row>
    <x:row r="32">
      <x:c r="A32" t="inlineStr">
        <x:is>
          <x:t xml:space="preserve">Executive</x:t>
        </x:is>
      </x:c>
      <x:c r="B32" t="inlineStr">
        <x:is>
          <x:t xml:space="preserve">EXCO-D7-Q01</x:t>
        </x:is>
      </x:c>
      <x:c r="C32" t="inlineStr">
        <x:is>
          <x:t xml:space="preserve">Y</x:t>
        </x:is>
      </x:c>
      <x:c r="D32" t="inlineStr">
        <x:is>
          <x:t xml:space="preserve">Y</x:t>
        </x:is>
      </x:c>
      <x:c r="E32" t="inlineStr">
        <x:is>
          <x:t xml:space="preserve">Y</x:t>
        </x:is>
      </x:c>
      <x:c r="F32" t="inlineStr">
        <x:is>
          <x:t xml:space="preserve">Y</x:t>
        </x:is>
      </x:c>
      <x:c r="L32" t="n">
        <x:v>31</x:v>
      </x:c>
      <x:c r="N32" t="inlineStr">
        <x:is>
          <x:t xml:space="preserve">exec</x:t>
        </x:is>
      </x:c>
    </x:row>
    <x:row r="33">
      <x:c r="A33" t="inlineStr">
        <x:is>
          <x:t xml:space="preserve">Executive</x:t>
        </x:is>
      </x:c>
      <x:c r="B33" t="inlineStr">
        <x:is>
          <x:t xml:space="preserve">EXCO-D7-Q02</x:t>
        </x:is>
      </x:c>
      <x:c r="C33" t="inlineStr">
        <x:is>
          <x:t xml:space="preserve">Y</x:t>
        </x:is>
      </x:c>
      <x:c r="D33" t="inlineStr">
        <x:is>
          <x:t xml:space="preserve">N</x:t>
        </x:is>
      </x:c>
      <x:c r="E33" t="inlineStr">
        <x:is>
          <x:t xml:space="preserve">Y</x:t>
        </x:is>
      </x:c>
      <x:c r="F33" t="inlineStr">
        <x:is>
          <x:t xml:space="preserve">Y</x:t>
        </x:is>
      </x:c>
      <x:c r="L33" t="n">
        <x:v>32</x:v>
      </x:c>
      <x:c r="N33" t="inlineStr">
        <x:is>
          <x:t xml:space="preserve">exec</x:t>
        </x:is>
      </x:c>
    </x:row>
    <x:row r="34">
      <x:c r="A34" t="inlineStr">
        <x:is>
          <x:t xml:space="preserve">Executive</x:t>
        </x:is>
      </x:c>
      <x:c r="B34" t="inlineStr">
        <x:is>
          <x:t xml:space="preserve">EXCO-D7-Q03</x:t>
        </x:is>
      </x:c>
      <x:c r="C34" t="inlineStr">
        <x:is>
          <x:t xml:space="preserve">Y</x:t>
        </x:is>
      </x:c>
      <x:c r="D34" t="inlineStr">
        <x:is>
          <x:t xml:space="preserve">N</x:t>
        </x:is>
      </x:c>
      <x:c r="E34" t="inlineStr">
        <x:is>
          <x:t xml:space="preserve">Y</x:t>
        </x:is>
      </x:c>
      <x:c r="F34" t="inlineStr">
        <x:is>
          <x:t xml:space="preserve">Y</x:t>
        </x:is>
      </x:c>
      <x:c r="L34" t="n">
        <x:v>33</x:v>
      </x:c>
      <x:c r="N34" t="inlineStr">
        <x:is>
          <x:t xml:space="preserve">exec</x:t>
        </x:is>
      </x:c>
    </x:row>
    <x:row r="35">
      <x:c r="A35" t="inlineStr">
        <x:is>
          <x:t xml:space="preserve">Executive</x:t>
        </x:is>
      </x:c>
      <x:c r="B35" t="inlineStr">
        <x:is>
          <x:t xml:space="preserve">EXCO-D7-Q04</x:t>
        </x:is>
      </x:c>
      <x:c r="C35" t="inlineStr">
        <x:is>
          <x:t xml:space="preserve">Y</x:t>
        </x:is>
      </x:c>
      <x:c r="D35" t="inlineStr">
        <x:is>
          <x:t xml:space="preserve">N</x:t>
        </x:is>
      </x:c>
      <x:c r="E35" t="inlineStr">
        <x:is>
          <x:t xml:space="preserve">Y</x:t>
        </x:is>
      </x:c>
      <x:c r="F35" t="inlineStr">
        <x:is>
          <x:t xml:space="preserve">Y</x:t>
        </x:is>
      </x:c>
      <x:c r="L35" t="n">
        <x:v>34</x:v>
      </x:c>
      <x:c r="N35" t="inlineStr">
        <x:is>
          <x:t xml:space="preserve">exec</x:t>
        </x:is>
      </x:c>
    </x:row>
    <x:row r="36">
      <x:c r="A36" t="inlineStr">
        <x:is>
          <x:t xml:space="preserve">Executive</x:t>
        </x:is>
      </x:c>
      <x:c r="B36" t="inlineStr">
        <x:is>
          <x:t xml:space="preserve">EXCO-D7-Q05</x:t>
        </x:is>
      </x:c>
      <x:c r="C36" t="inlineStr">
        <x:is>
          <x:t xml:space="preserve">Y</x:t>
        </x:is>
      </x:c>
      <x:c r="D36" t="inlineStr">
        <x:is>
          <x:t xml:space="preserve">N</x:t>
        </x:is>
      </x:c>
      <x:c r="E36" t="inlineStr">
        <x:is>
          <x:t xml:space="preserve">Y</x:t>
        </x:is>
      </x:c>
      <x:c r="F36" t="inlineStr">
        <x:is>
          <x:t xml:space="preserve">Y</x:t>
        </x:is>
      </x:c>
      <x:c r="L36" t="n">
        <x:v>35</x:v>
      </x:c>
      <x:c r="N36" t="inlineStr">
        <x:is>
          <x:t xml:space="preserve">exec</x:t>
        </x:is>
      </x:c>
    </x:row>
    <x:row r="37">
      <x:c r="A37" t="inlineStr">
        <x:is>
          <x:t xml:space="preserve">Executive</x:t>
        </x:is>
      </x:c>
      <x:c r="B37" t="inlineStr">
        <x:is>
          <x:t xml:space="preserve">EXCO-D8-Q01</x:t>
        </x:is>
      </x:c>
      <x:c r="C37" t="inlineStr">
        <x:is>
          <x:t xml:space="preserve">Y</x:t>
        </x:is>
      </x:c>
      <x:c r="D37" t="inlineStr">
        <x:is>
          <x:t xml:space="preserve">Y</x:t>
        </x:is>
      </x:c>
      <x:c r="E37" t="inlineStr">
        <x:is>
          <x:t xml:space="preserve">Y</x:t>
        </x:is>
      </x:c>
      <x:c r="F37" t="inlineStr">
        <x:is>
          <x:t xml:space="preserve">Y</x:t>
        </x:is>
      </x:c>
      <x:c r="L37" t="n">
        <x:v>36</x:v>
      </x:c>
      <x:c r="N37" t="inlineStr">
        <x:is>
          <x:t xml:space="preserve">exec</x:t>
        </x:is>
      </x:c>
    </x:row>
    <x:row r="38">
      <x:c r="A38" t="inlineStr">
        <x:is>
          <x:t xml:space="preserve">Executive</x:t>
        </x:is>
      </x:c>
      <x:c r="B38" t="inlineStr">
        <x:is>
          <x:t xml:space="preserve">EXCO-D8-Q02</x:t>
        </x:is>
      </x:c>
      <x:c r="C38" t="inlineStr">
        <x:is>
          <x:t xml:space="preserve">Y</x:t>
        </x:is>
      </x:c>
      <x:c r="D38" t="inlineStr">
        <x:is>
          <x:t xml:space="preserve">N</x:t>
        </x:is>
      </x:c>
      <x:c r="E38" t="inlineStr">
        <x:is>
          <x:t xml:space="preserve">Y</x:t>
        </x:is>
      </x:c>
      <x:c r="F38" t="inlineStr">
        <x:is>
          <x:t xml:space="preserve">Y</x:t>
        </x:is>
      </x:c>
      <x:c r="L38" t="n">
        <x:v>37</x:v>
      </x:c>
      <x:c r="N38" t="inlineStr">
        <x:is>
          <x:t xml:space="preserve">exec</x:t>
        </x:is>
      </x:c>
    </x:row>
    <x:row r="39">
      <x:c r="A39" t="inlineStr">
        <x:is>
          <x:t xml:space="preserve">Executive</x:t>
        </x:is>
      </x:c>
      <x:c r="B39" t="inlineStr">
        <x:is>
          <x:t xml:space="preserve">EXCO-D8-Q03</x:t>
        </x:is>
      </x:c>
      <x:c r="C39" t="inlineStr">
        <x:is>
          <x:t xml:space="preserve">Y</x:t>
        </x:is>
      </x:c>
      <x:c r="D39" t="inlineStr">
        <x:is>
          <x:t xml:space="preserve">N</x:t>
        </x:is>
      </x:c>
      <x:c r="E39" t="inlineStr">
        <x:is>
          <x:t xml:space="preserve">Y</x:t>
        </x:is>
      </x:c>
      <x:c r="F39" t="inlineStr">
        <x:is>
          <x:t xml:space="preserve">Y</x:t>
        </x:is>
      </x:c>
      <x:c r="L39" t="n">
        <x:v>38</x:v>
      </x:c>
      <x:c r="N39" t="inlineStr">
        <x:is>
          <x:t xml:space="preserve">exec</x:t>
        </x:is>
      </x:c>
    </x:row>
    <x:row r="40">
      <x:c r="A40" t="inlineStr">
        <x:is>
          <x:t xml:space="preserve">Executive</x:t>
        </x:is>
      </x:c>
      <x:c r="B40" t="inlineStr">
        <x:is>
          <x:t xml:space="preserve">EXCO-D8-Q04</x:t>
        </x:is>
      </x:c>
      <x:c r="C40" t="inlineStr">
        <x:is>
          <x:t xml:space="preserve">Y</x:t>
        </x:is>
      </x:c>
      <x:c r="D40" t="inlineStr">
        <x:is>
          <x:t xml:space="preserve">N</x:t>
        </x:is>
      </x:c>
      <x:c r="E40" t="inlineStr">
        <x:is>
          <x:t xml:space="preserve">N</x:t>
        </x:is>
      </x:c>
      <x:c r="F40" t="inlineStr">
        <x:is>
          <x:t xml:space="preserve">Y</x:t>
        </x:is>
      </x:c>
      <x:c r="L40" t="n">
        <x:v>39</x:v>
      </x:c>
      <x:c r="N40" t="inlineStr">
        <x:is>
          <x:t xml:space="preserve">exec</x:t>
        </x:is>
      </x:c>
    </x:row>
    <x:row r="41">
      <x:c r="A41" t="inlineStr">
        <x:is>
          <x:t xml:space="preserve">HR</x:t>
        </x:is>
      </x:c>
      <x:c r="B41" t="inlineStr">
        <x:is>
          <x:t xml:space="preserve">HR-D1-Q01</x:t>
        </x:is>
      </x:c>
      <x:c r="C41" t="inlineStr">
        <x:is>
          <x:t xml:space="preserve">Y</x:t>
        </x:is>
      </x:c>
      <x:c r="D41" t="inlineStr">
        <x:is>
          <x:t xml:space="preserve">Y</x:t>
        </x:is>
      </x:c>
      <x:c r="E41" t="inlineStr">
        <x:is>
          <x:t xml:space="preserve">Y</x:t>
        </x:is>
      </x:c>
      <x:c r="F41" t="inlineStr">
        <x:is>
          <x:t xml:space="preserve">Y</x:t>
        </x:is>
      </x:c>
      <x:c r="L41" t="n">
        <x:v>1</x:v>
      </x:c>
      <x:c r="N41" t="inlineStr">
        <x:is>
          <x:t xml:space="preserve">hr</x:t>
        </x:is>
      </x:c>
    </x:row>
    <x:row r="42">
      <x:c r="A42" t="inlineStr">
        <x:is>
          <x:t xml:space="preserve">HR</x:t>
        </x:is>
      </x:c>
      <x:c r="B42" t="inlineStr">
        <x:is>
          <x:t xml:space="preserve">HR-D1-Q02</x:t>
        </x:is>
      </x:c>
      <x:c r="C42" t="inlineStr">
        <x:is>
          <x:t xml:space="preserve">Y</x:t>
        </x:is>
      </x:c>
      <x:c r="D42" t="inlineStr">
        <x:is>
          <x:t xml:space="preserve">N</x:t>
        </x:is>
      </x:c>
      <x:c r="E42" t="inlineStr">
        <x:is>
          <x:t xml:space="preserve">Y</x:t>
        </x:is>
      </x:c>
      <x:c r="F42" t="inlineStr">
        <x:is>
          <x:t xml:space="preserve">Y</x:t>
        </x:is>
      </x:c>
      <x:c r="L42" t="n">
        <x:v>2</x:v>
      </x:c>
      <x:c r="N42" t="inlineStr">
        <x:is>
          <x:t xml:space="preserve">hr</x:t>
        </x:is>
      </x:c>
    </x:row>
    <x:row r="43">
      <x:c r="A43" t="inlineStr">
        <x:is>
          <x:t xml:space="preserve">HR</x:t>
        </x:is>
      </x:c>
      <x:c r="B43" t="inlineStr">
        <x:is>
          <x:t xml:space="preserve">HR-D1-Q03</x:t>
        </x:is>
      </x:c>
      <x:c r="C43" t="inlineStr">
        <x:is>
          <x:t xml:space="preserve">Y</x:t>
        </x:is>
      </x:c>
      <x:c r="D43" t="inlineStr">
        <x:is>
          <x:t xml:space="preserve">N</x:t>
        </x:is>
      </x:c>
      <x:c r="E43" t="inlineStr">
        <x:is>
          <x:t xml:space="preserve">Y</x:t>
        </x:is>
      </x:c>
      <x:c r="F43" t="inlineStr">
        <x:is>
          <x:t xml:space="preserve">Y</x:t>
        </x:is>
      </x:c>
      <x:c r="L43" t="n">
        <x:v>3</x:v>
      </x:c>
      <x:c r="N43" t="inlineStr">
        <x:is>
          <x:t xml:space="preserve">hr</x:t>
        </x:is>
      </x:c>
    </x:row>
    <x:row r="44">
      <x:c r="A44" t="inlineStr">
        <x:is>
          <x:t xml:space="preserve">HR</x:t>
        </x:is>
      </x:c>
      <x:c r="B44" t="inlineStr">
        <x:is>
          <x:t xml:space="preserve">HR-D1-Q04</x:t>
        </x:is>
      </x:c>
      <x:c r="C44" t="inlineStr">
        <x:is>
          <x:t xml:space="preserve">Y</x:t>
        </x:is>
      </x:c>
      <x:c r="D44" t="inlineStr">
        <x:is>
          <x:t xml:space="preserve">N</x:t>
        </x:is>
      </x:c>
      <x:c r="E44" t="inlineStr">
        <x:is>
          <x:t xml:space="preserve">N</x:t>
        </x:is>
      </x:c>
      <x:c r="F44" t="inlineStr">
        <x:is>
          <x:t xml:space="preserve">Y</x:t>
        </x:is>
      </x:c>
      <x:c r="L44" t="n">
        <x:v>4</x:v>
      </x:c>
      <x:c r="N44" t="inlineStr">
        <x:is>
          <x:t xml:space="preserve">hr</x:t>
        </x:is>
      </x:c>
    </x:row>
    <x:row r="45">
      <x:c r="A45" t="inlineStr">
        <x:is>
          <x:t xml:space="preserve">HR</x:t>
        </x:is>
      </x:c>
      <x:c r="B45" t="inlineStr">
        <x:is>
          <x:t xml:space="preserve">HR-D2-Q05</x:t>
        </x:is>
      </x:c>
      <x:c r="C45" t="inlineStr">
        <x:is>
          <x:t xml:space="preserve">Y</x:t>
        </x:is>
      </x:c>
      <x:c r="D45" t="inlineStr">
        <x:is>
          <x:t xml:space="preserve">Y</x:t>
        </x:is>
      </x:c>
      <x:c r="E45" t="inlineStr">
        <x:is>
          <x:t xml:space="preserve">Y</x:t>
        </x:is>
      </x:c>
      <x:c r="F45" t="inlineStr">
        <x:is>
          <x:t xml:space="preserve">Y</x:t>
        </x:is>
      </x:c>
      <x:c r="L45" t="n">
        <x:v>5</x:v>
      </x:c>
      <x:c r="N45" t="inlineStr">
        <x:is>
          <x:t xml:space="preserve">hr</x:t>
        </x:is>
      </x:c>
    </x:row>
    <x:row r="46">
      <x:c r="A46" t="inlineStr">
        <x:is>
          <x:t xml:space="preserve">HR</x:t>
        </x:is>
      </x:c>
      <x:c r="B46" t="inlineStr">
        <x:is>
          <x:t xml:space="preserve">HR-D2-Q06</x:t>
        </x:is>
      </x:c>
      <x:c r="C46" t="inlineStr">
        <x:is>
          <x:t xml:space="preserve">Y</x:t>
        </x:is>
      </x:c>
      <x:c r="D46" t="inlineStr">
        <x:is>
          <x:t xml:space="preserve">N</x:t>
        </x:is>
      </x:c>
      <x:c r="E46" t="inlineStr">
        <x:is>
          <x:t xml:space="preserve">Y</x:t>
        </x:is>
      </x:c>
      <x:c r="F46" t="inlineStr">
        <x:is>
          <x:t xml:space="preserve">Y</x:t>
        </x:is>
      </x:c>
      <x:c r="L46" t="n">
        <x:v>6</x:v>
      </x:c>
      <x:c r="N46" t="inlineStr">
        <x:is>
          <x:t xml:space="preserve">hr</x:t>
        </x:is>
      </x:c>
    </x:row>
    <x:row r="47">
      <x:c r="A47" t="inlineStr">
        <x:is>
          <x:t xml:space="preserve">HR</x:t>
        </x:is>
      </x:c>
      <x:c r="B47" t="inlineStr">
        <x:is>
          <x:t xml:space="preserve">HR-D2-Q07</x:t>
        </x:is>
      </x:c>
      <x:c r="C47" t="inlineStr">
        <x:is>
          <x:t xml:space="preserve">Y</x:t>
        </x:is>
      </x:c>
      <x:c r="D47" t="inlineStr">
        <x:is>
          <x:t xml:space="preserve">N</x:t>
        </x:is>
      </x:c>
      <x:c r="E47" t="inlineStr">
        <x:is>
          <x:t xml:space="preserve">Y</x:t>
        </x:is>
      </x:c>
      <x:c r="F47" t="inlineStr">
        <x:is>
          <x:t xml:space="preserve">Y</x:t>
        </x:is>
      </x:c>
      <x:c r="L47" t="n">
        <x:v>7</x:v>
      </x:c>
      <x:c r="N47" t="inlineStr">
        <x:is>
          <x:t xml:space="preserve">hr</x:t>
        </x:is>
      </x:c>
    </x:row>
    <x:row r="48">
      <x:c r="A48" t="inlineStr">
        <x:is>
          <x:t xml:space="preserve">HR</x:t>
        </x:is>
      </x:c>
      <x:c r="B48" t="inlineStr">
        <x:is>
          <x:t xml:space="preserve">HR-D2-Q08</x:t>
        </x:is>
      </x:c>
      <x:c r="C48" t="inlineStr">
        <x:is>
          <x:t xml:space="preserve">Y</x:t>
        </x:is>
      </x:c>
      <x:c r="D48" t="inlineStr">
        <x:is>
          <x:t xml:space="preserve">N</x:t>
        </x:is>
      </x:c>
      <x:c r="E48" t="inlineStr">
        <x:is>
          <x:t xml:space="preserve">N</x:t>
        </x:is>
      </x:c>
      <x:c r="F48" t="inlineStr">
        <x:is>
          <x:t xml:space="preserve">Y</x:t>
        </x:is>
      </x:c>
      <x:c r="L48" t="n">
        <x:v>8</x:v>
      </x:c>
      <x:c r="N48" t="inlineStr">
        <x:is>
          <x:t xml:space="preserve">hr</x:t>
        </x:is>
      </x:c>
    </x:row>
    <x:row r="49">
      <x:c r="A49" t="inlineStr">
        <x:is>
          <x:t xml:space="preserve">HR</x:t>
        </x:is>
      </x:c>
      <x:c r="B49" t="inlineStr">
        <x:is>
          <x:t xml:space="preserve">HR-D3-Q09</x:t>
        </x:is>
      </x:c>
      <x:c r="C49" t="inlineStr">
        <x:is>
          <x:t xml:space="preserve">Y</x:t>
        </x:is>
      </x:c>
      <x:c r="D49" t="inlineStr">
        <x:is>
          <x:t xml:space="preserve">Y</x:t>
        </x:is>
      </x:c>
      <x:c r="E49" t="inlineStr">
        <x:is>
          <x:t xml:space="preserve">Y</x:t>
        </x:is>
      </x:c>
      <x:c r="F49" t="inlineStr">
        <x:is>
          <x:t xml:space="preserve">Y</x:t>
        </x:is>
      </x:c>
      <x:c r="L49" t="n">
        <x:v>9</x:v>
      </x:c>
      <x:c r="N49" t="inlineStr">
        <x:is>
          <x:t xml:space="preserve">hr</x:t>
        </x:is>
      </x:c>
    </x:row>
    <x:row r="50">
      <x:c r="A50" t="inlineStr">
        <x:is>
          <x:t xml:space="preserve">HR</x:t>
        </x:is>
      </x:c>
      <x:c r="B50" t="inlineStr">
        <x:is>
          <x:t xml:space="preserve">HR-D3-Q10</x:t>
        </x:is>
      </x:c>
      <x:c r="C50" t="inlineStr">
        <x:is>
          <x:t xml:space="preserve">Y</x:t>
        </x:is>
      </x:c>
      <x:c r="D50" t="inlineStr">
        <x:is>
          <x:t xml:space="preserve">N</x:t>
        </x:is>
      </x:c>
      <x:c r="E50" t="inlineStr">
        <x:is>
          <x:t xml:space="preserve">Y</x:t>
        </x:is>
      </x:c>
      <x:c r="F50" t="inlineStr">
        <x:is>
          <x:t xml:space="preserve">Y</x:t>
        </x:is>
      </x:c>
      <x:c r="L50" t="n">
        <x:v>10</x:v>
      </x:c>
      <x:c r="N50" t="inlineStr">
        <x:is>
          <x:t xml:space="preserve">hr</x:t>
        </x:is>
      </x:c>
    </x:row>
    <x:row r="51">
      <x:c r="A51" t="inlineStr">
        <x:is>
          <x:t xml:space="preserve">HR</x:t>
        </x:is>
      </x:c>
      <x:c r="B51" t="inlineStr">
        <x:is>
          <x:t xml:space="preserve">HR-D3-Q11</x:t>
        </x:is>
      </x:c>
      <x:c r="C51" t="inlineStr">
        <x:is>
          <x:t xml:space="preserve">Y</x:t>
        </x:is>
      </x:c>
      <x:c r="D51" t="inlineStr">
        <x:is>
          <x:t xml:space="preserve">N</x:t>
        </x:is>
      </x:c>
      <x:c r="E51" t="inlineStr">
        <x:is>
          <x:t xml:space="preserve">Y</x:t>
        </x:is>
      </x:c>
      <x:c r="F51" t="inlineStr">
        <x:is>
          <x:t xml:space="preserve">Y</x:t>
        </x:is>
      </x:c>
      <x:c r="L51" t="n">
        <x:v>11</x:v>
      </x:c>
      <x:c r="N51" t="inlineStr">
        <x:is>
          <x:t xml:space="preserve">hr</x:t>
        </x:is>
      </x:c>
    </x:row>
    <x:row r="52">
      <x:c r="A52" t="inlineStr">
        <x:is>
          <x:t xml:space="preserve">HR</x:t>
        </x:is>
      </x:c>
      <x:c r="B52" t="inlineStr">
        <x:is>
          <x:t xml:space="preserve">HR-D3-Q12</x:t>
        </x:is>
      </x:c>
      <x:c r="C52" t="inlineStr">
        <x:is>
          <x:t xml:space="preserve">Y</x:t>
        </x:is>
      </x:c>
      <x:c r="D52" t="inlineStr">
        <x:is>
          <x:t xml:space="preserve">N</x:t>
        </x:is>
      </x:c>
      <x:c r="E52" t="inlineStr">
        <x:is>
          <x:t xml:space="preserve">N</x:t>
        </x:is>
      </x:c>
      <x:c r="F52" t="inlineStr">
        <x:is>
          <x:t xml:space="preserve">Y</x:t>
        </x:is>
      </x:c>
      <x:c r="L52" t="n">
        <x:v>12</x:v>
      </x:c>
      <x:c r="N52" t="inlineStr">
        <x:is>
          <x:t xml:space="preserve">hr</x:t>
        </x:is>
      </x:c>
    </x:row>
    <x:row r="53">
      <x:c r="A53" t="inlineStr">
        <x:is>
          <x:t xml:space="preserve">HR</x:t>
        </x:is>
      </x:c>
      <x:c r="B53" t="inlineStr">
        <x:is>
          <x:t xml:space="preserve">HR-D4-Q13</x:t>
        </x:is>
      </x:c>
      <x:c r="C53" t="inlineStr">
        <x:is>
          <x:t xml:space="preserve">Y</x:t>
        </x:is>
      </x:c>
      <x:c r="D53" t="inlineStr">
        <x:is>
          <x:t xml:space="preserve">Y</x:t>
        </x:is>
      </x:c>
      <x:c r="E53" t="inlineStr">
        <x:is>
          <x:t xml:space="preserve">Y</x:t>
        </x:is>
      </x:c>
      <x:c r="F53" t="inlineStr">
        <x:is>
          <x:t xml:space="preserve">Y</x:t>
        </x:is>
      </x:c>
      <x:c r="L53" t="n">
        <x:v>13</x:v>
      </x:c>
      <x:c r="N53" t="inlineStr">
        <x:is>
          <x:t xml:space="preserve">hr</x:t>
        </x:is>
      </x:c>
    </x:row>
    <x:row r="54">
      <x:c r="A54" t="inlineStr">
        <x:is>
          <x:t xml:space="preserve">HR</x:t>
        </x:is>
      </x:c>
      <x:c r="B54" t="inlineStr">
        <x:is>
          <x:t xml:space="preserve">HR-D4-Q14</x:t>
        </x:is>
      </x:c>
      <x:c r="C54" t="inlineStr">
        <x:is>
          <x:t xml:space="preserve">Y</x:t>
        </x:is>
      </x:c>
      <x:c r="D54" t="inlineStr">
        <x:is>
          <x:t xml:space="preserve">N</x:t>
        </x:is>
      </x:c>
      <x:c r="E54" t="inlineStr">
        <x:is>
          <x:t xml:space="preserve">Y</x:t>
        </x:is>
      </x:c>
      <x:c r="F54" t="inlineStr">
        <x:is>
          <x:t xml:space="preserve">Y</x:t>
        </x:is>
      </x:c>
      <x:c r="L54" t="n">
        <x:v>14</x:v>
      </x:c>
      <x:c r="N54" t="inlineStr">
        <x:is>
          <x:t xml:space="preserve">hr</x:t>
        </x:is>
      </x:c>
    </x:row>
    <x:row r="55">
      <x:c r="A55" t="inlineStr">
        <x:is>
          <x:t xml:space="preserve">HR</x:t>
        </x:is>
      </x:c>
      <x:c r="B55" t="inlineStr">
        <x:is>
          <x:t xml:space="preserve">HR-D4-Q15</x:t>
        </x:is>
      </x:c>
      <x:c r="C55" t="inlineStr">
        <x:is>
          <x:t xml:space="preserve">Y</x:t>
        </x:is>
      </x:c>
      <x:c r="D55" t="inlineStr">
        <x:is>
          <x:t xml:space="preserve">N</x:t>
        </x:is>
      </x:c>
      <x:c r="E55" t="inlineStr">
        <x:is>
          <x:t xml:space="preserve">Y</x:t>
        </x:is>
      </x:c>
      <x:c r="F55" t="inlineStr">
        <x:is>
          <x:t xml:space="preserve">Y</x:t>
        </x:is>
      </x:c>
      <x:c r="L55" t="n">
        <x:v>15</x:v>
      </x:c>
      <x:c r="N55" t="inlineStr">
        <x:is>
          <x:t xml:space="preserve">hr</x:t>
        </x:is>
      </x:c>
    </x:row>
    <x:row r="56">
      <x:c r="A56" t="inlineStr">
        <x:is>
          <x:t xml:space="preserve">HR</x:t>
        </x:is>
      </x:c>
      <x:c r="B56" t="inlineStr">
        <x:is>
          <x:t xml:space="preserve">HR-D4-Q16</x:t>
        </x:is>
      </x:c>
      <x:c r="C56" t="inlineStr">
        <x:is>
          <x:t xml:space="preserve">Y</x:t>
        </x:is>
      </x:c>
      <x:c r="D56" t="inlineStr">
        <x:is>
          <x:t xml:space="preserve">N</x:t>
        </x:is>
      </x:c>
      <x:c r="E56" t="inlineStr">
        <x:is>
          <x:t xml:space="preserve">N</x:t>
        </x:is>
      </x:c>
      <x:c r="F56" t="inlineStr">
        <x:is>
          <x:t xml:space="preserve">Y</x:t>
        </x:is>
      </x:c>
      <x:c r="L56" t="n">
        <x:v>16</x:v>
      </x:c>
      <x:c r="N56" t="inlineStr">
        <x:is>
          <x:t xml:space="preserve">hr</x:t>
        </x:is>
      </x:c>
    </x:row>
    <x:row r="57">
      <x:c r="A57" t="inlineStr">
        <x:is>
          <x:t xml:space="preserve">HR</x:t>
        </x:is>
      </x:c>
      <x:c r="B57" t="inlineStr">
        <x:is>
          <x:t xml:space="preserve">HR-D5-Q17</x:t>
        </x:is>
      </x:c>
      <x:c r="C57" t="inlineStr">
        <x:is>
          <x:t xml:space="preserve">Y</x:t>
        </x:is>
      </x:c>
      <x:c r="D57" t="inlineStr">
        <x:is>
          <x:t xml:space="preserve">Y</x:t>
        </x:is>
      </x:c>
      <x:c r="E57" t="inlineStr">
        <x:is>
          <x:t xml:space="preserve">Y</x:t>
        </x:is>
      </x:c>
      <x:c r="F57" t="inlineStr">
        <x:is>
          <x:t xml:space="preserve">Y</x:t>
        </x:is>
      </x:c>
      <x:c r="L57" t="n">
        <x:v>17</x:v>
      </x:c>
      <x:c r="N57" t="inlineStr">
        <x:is>
          <x:t xml:space="preserve">hr</x:t>
        </x:is>
      </x:c>
    </x:row>
    <x:row r="58">
      <x:c r="A58" t="inlineStr">
        <x:is>
          <x:t xml:space="preserve">HR</x:t>
        </x:is>
      </x:c>
      <x:c r="B58" t="inlineStr">
        <x:is>
          <x:t xml:space="preserve">HR-D5-Q18</x:t>
        </x:is>
      </x:c>
      <x:c r="C58" t="inlineStr">
        <x:is>
          <x:t xml:space="preserve">Y</x:t>
        </x:is>
      </x:c>
      <x:c r="D58" t="inlineStr">
        <x:is>
          <x:t xml:space="preserve">N</x:t>
        </x:is>
      </x:c>
      <x:c r="E58" t="inlineStr">
        <x:is>
          <x:t xml:space="preserve">Y</x:t>
        </x:is>
      </x:c>
      <x:c r="F58" t="inlineStr">
        <x:is>
          <x:t xml:space="preserve">Y</x:t>
        </x:is>
      </x:c>
      <x:c r="L58" t="n">
        <x:v>18</x:v>
      </x:c>
      <x:c r="N58" t="inlineStr">
        <x:is>
          <x:t xml:space="preserve">hr</x:t>
        </x:is>
      </x:c>
    </x:row>
    <x:row r="59">
      <x:c r="A59" t="inlineStr">
        <x:is>
          <x:t xml:space="preserve">HR</x:t>
        </x:is>
      </x:c>
      <x:c r="B59" t="inlineStr">
        <x:is>
          <x:t xml:space="preserve">HR-D5-Q19</x:t>
        </x:is>
      </x:c>
      <x:c r="C59" t="inlineStr">
        <x:is>
          <x:t xml:space="preserve">Y</x:t>
        </x:is>
      </x:c>
      <x:c r="D59" t="inlineStr">
        <x:is>
          <x:t xml:space="preserve">N</x:t>
        </x:is>
      </x:c>
      <x:c r="E59" t="inlineStr">
        <x:is>
          <x:t xml:space="preserve">Y</x:t>
        </x:is>
      </x:c>
      <x:c r="F59" t="inlineStr">
        <x:is>
          <x:t xml:space="preserve">Y</x:t>
        </x:is>
      </x:c>
      <x:c r="L59" t="n">
        <x:v>19</x:v>
      </x:c>
      <x:c r="N59" t="inlineStr">
        <x:is>
          <x:t xml:space="preserve">hr</x:t>
        </x:is>
      </x:c>
    </x:row>
    <x:row r="60">
      <x:c r="A60" t="inlineStr">
        <x:is>
          <x:t xml:space="preserve">HR</x:t>
        </x:is>
      </x:c>
      <x:c r="B60" t="inlineStr">
        <x:is>
          <x:t xml:space="preserve">HR-D6-Q20</x:t>
        </x:is>
      </x:c>
      <x:c r="C60" t="inlineStr">
        <x:is>
          <x:t xml:space="preserve">Y</x:t>
        </x:is>
      </x:c>
      <x:c r="D60" t="inlineStr">
        <x:is>
          <x:t xml:space="preserve">Y</x:t>
        </x:is>
      </x:c>
      <x:c r="E60" t="inlineStr">
        <x:is>
          <x:t xml:space="preserve">Y</x:t>
        </x:is>
      </x:c>
      <x:c r="F60" t="inlineStr">
        <x:is>
          <x:t xml:space="preserve">Y</x:t>
        </x:is>
      </x:c>
      <x:c r="L60" t="n">
        <x:v>20</x:v>
      </x:c>
      <x:c r="N60" t="inlineStr">
        <x:is>
          <x:t xml:space="preserve">hr</x:t>
        </x:is>
      </x:c>
    </x:row>
    <x:row r="61">
      <x:c r="A61" t="inlineStr">
        <x:is>
          <x:t xml:space="preserve">HR</x:t>
        </x:is>
      </x:c>
      <x:c r="B61" t="inlineStr">
        <x:is>
          <x:t xml:space="preserve">HR-D6-Q21</x:t>
        </x:is>
      </x:c>
      <x:c r="C61" t="inlineStr">
        <x:is>
          <x:t xml:space="preserve">Y</x:t>
        </x:is>
      </x:c>
      <x:c r="D61" t="inlineStr">
        <x:is>
          <x:t xml:space="preserve">N</x:t>
        </x:is>
      </x:c>
      <x:c r="E61" t="inlineStr">
        <x:is>
          <x:t xml:space="preserve">Y</x:t>
        </x:is>
      </x:c>
      <x:c r="F61" t="inlineStr">
        <x:is>
          <x:t xml:space="preserve">Y</x:t>
        </x:is>
      </x:c>
      <x:c r="L61" t="n">
        <x:v>21</x:v>
      </x:c>
      <x:c r="N61" t="inlineStr">
        <x:is>
          <x:t xml:space="preserve">hr</x:t>
        </x:is>
      </x:c>
    </x:row>
    <x:row r="62">
      <x:c r="A62" t="inlineStr">
        <x:is>
          <x:t xml:space="preserve">HR</x:t>
        </x:is>
      </x:c>
      <x:c r="B62" t="inlineStr">
        <x:is>
          <x:t xml:space="preserve">HR-D6-Q22</x:t>
        </x:is>
      </x:c>
      <x:c r="C62" t="inlineStr">
        <x:is>
          <x:t xml:space="preserve">Y</x:t>
        </x:is>
      </x:c>
      <x:c r="D62" t="inlineStr">
        <x:is>
          <x:t xml:space="preserve">N</x:t>
        </x:is>
      </x:c>
      <x:c r="E62" t="inlineStr">
        <x:is>
          <x:t xml:space="preserve">Y</x:t>
        </x:is>
      </x:c>
      <x:c r="F62" t="inlineStr">
        <x:is>
          <x:t xml:space="preserve">Y</x:t>
        </x:is>
      </x:c>
      <x:c r="L62" t="n">
        <x:v>22</x:v>
      </x:c>
      <x:c r="N62" t="inlineStr">
        <x:is>
          <x:t xml:space="preserve">hr</x:t>
        </x:is>
      </x:c>
    </x:row>
    <x:row r="63">
      <x:c r="A63" t="inlineStr">
        <x:is>
          <x:t xml:space="preserve">HR</x:t>
        </x:is>
      </x:c>
      <x:c r="B63" t="inlineStr">
        <x:is>
          <x:t xml:space="preserve">HR-D7-Q23</x:t>
        </x:is>
      </x:c>
      <x:c r="C63" t="inlineStr">
        <x:is>
          <x:t xml:space="preserve">Y</x:t>
        </x:is>
      </x:c>
      <x:c r="D63" t="inlineStr">
        <x:is>
          <x:t xml:space="preserve">Y</x:t>
        </x:is>
      </x:c>
      <x:c r="E63" t="inlineStr">
        <x:is>
          <x:t xml:space="preserve">Y</x:t>
        </x:is>
      </x:c>
      <x:c r="F63" t="inlineStr">
        <x:is>
          <x:t xml:space="preserve">Y</x:t>
        </x:is>
      </x:c>
      <x:c r="L63" t="n">
        <x:v>23</x:v>
      </x:c>
      <x:c r="N63" t="inlineStr">
        <x:is>
          <x:t xml:space="preserve">hr</x:t>
        </x:is>
      </x:c>
    </x:row>
    <x:row r="64">
      <x:c r="A64" t="inlineStr">
        <x:is>
          <x:t xml:space="preserve">HR</x:t>
        </x:is>
      </x:c>
      <x:c r="B64" t="inlineStr">
        <x:is>
          <x:t xml:space="preserve">HR-D7-Q24</x:t>
        </x:is>
      </x:c>
      <x:c r="C64" t="inlineStr">
        <x:is>
          <x:t xml:space="preserve">Y</x:t>
        </x:is>
      </x:c>
      <x:c r="D64" t="inlineStr">
        <x:is>
          <x:t xml:space="preserve">N</x:t>
        </x:is>
      </x:c>
      <x:c r="E64" t="inlineStr">
        <x:is>
          <x:t xml:space="preserve">Y</x:t>
        </x:is>
      </x:c>
      <x:c r="F64" t="inlineStr">
        <x:is>
          <x:t xml:space="preserve">Y</x:t>
        </x:is>
      </x:c>
      <x:c r="L64" t="n">
        <x:v>24</x:v>
      </x:c>
      <x:c r="N64" t="inlineStr">
        <x:is>
          <x:t xml:space="preserve">hr</x:t>
        </x:is>
      </x:c>
    </x:row>
    <x:row r="65">
      <x:c r="A65" t="inlineStr">
        <x:is>
          <x:t xml:space="preserve">HR</x:t>
        </x:is>
      </x:c>
      <x:c r="B65" t="inlineStr">
        <x:is>
          <x:t xml:space="preserve">HR-D7-Q25</x:t>
        </x:is>
      </x:c>
      <x:c r="C65" t="inlineStr">
        <x:is>
          <x:t xml:space="preserve">Y</x:t>
        </x:is>
      </x:c>
      <x:c r="D65" t="inlineStr">
        <x:is>
          <x:t xml:space="preserve">N</x:t>
        </x:is>
      </x:c>
      <x:c r="E65" t="inlineStr">
        <x:is>
          <x:t xml:space="preserve">Y</x:t>
        </x:is>
      </x:c>
      <x:c r="F65" t="inlineStr">
        <x:is>
          <x:t xml:space="preserve">Y</x:t>
        </x:is>
      </x:c>
      <x:c r="L65" t="n">
        <x:v>25</x:v>
      </x:c>
      <x:c r="N65" t="inlineStr">
        <x:is>
          <x:t xml:space="preserve">hr</x:t>
        </x:is>
      </x:c>
    </x:row>
    <x:row r="66">
      <x:c r="A66" t="inlineStr">
        <x:is>
          <x:t xml:space="preserve">HR</x:t>
        </x:is>
      </x:c>
      <x:c r="B66" t="inlineStr">
        <x:is>
          <x:t xml:space="preserve">HR-D7-Q26</x:t>
        </x:is>
      </x:c>
      <x:c r="C66" t="inlineStr">
        <x:is>
          <x:t xml:space="preserve">Y</x:t>
        </x:is>
      </x:c>
      <x:c r="D66" t="inlineStr">
        <x:is>
          <x:t xml:space="preserve">N</x:t>
        </x:is>
      </x:c>
      <x:c r="E66" t="inlineStr">
        <x:is>
          <x:t xml:space="preserve">N</x:t>
        </x:is>
      </x:c>
      <x:c r="F66" t="inlineStr">
        <x:is>
          <x:t xml:space="preserve">Y</x:t>
        </x:is>
      </x:c>
      <x:c r="L66" t="n">
        <x:v>26</x:v>
      </x:c>
      <x:c r="N66" t="inlineStr">
        <x:is>
          <x:t xml:space="preserve">hr</x:t>
        </x:is>
      </x:c>
    </x:row>
    <x:row r="67">
      <x:c r="A67" t="inlineStr">
        <x:is>
          <x:t xml:space="preserve">HR</x:t>
        </x:is>
      </x:c>
      <x:c r="B67" t="inlineStr">
        <x:is>
          <x:t xml:space="preserve">HR-D8-Q27</x:t>
        </x:is>
      </x:c>
      <x:c r="C67" t="inlineStr">
        <x:is>
          <x:t xml:space="preserve">Y</x:t>
        </x:is>
      </x:c>
      <x:c r="D67" t="inlineStr">
        <x:is>
          <x:t xml:space="preserve">Y</x:t>
        </x:is>
      </x:c>
      <x:c r="E67" t="inlineStr">
        <x:is>
          <x:t xml:space="preserve">Y</x:t>
        </x:is>
      </x:c>
      <x:c r="F67" t="inlineStr">
        <x:is>
          <x:t xml:space="preserve">Y</x:t>
        </x:is>
      </x:c>
      <x:c r="L67" t="n">
        <x:v>27</x:v>
      </x:c>
      <x:c r="N67" t="inlineStr">
        <x:is>
          <x:t xml:space="preserve">hr</x:t>
        </x:is>
      </x:c>
    </x:row>
    <x:row r="68">
      <x:c r="A68" t="inlineStr">
        <x:is>
          <x:t xml:space="preserve">HR</x:t>
        </x:is>
      </x:c>
      <x:c r="B68" t="inlineStr">
        <x:is>
          <x:t xml:space="preserve">HR-D8-Q28</x:t>
        </x:is>
      </x:c>
      <x:c r="C68" t="inlineStr">
        <x:is>
          <x:t xml:space="preserve">Y</x:t>
        </x:is>
      </x:c>
      <x:c r="D68" t="inlineStr">
        <x:is>
          <x:t xml:space="preserve">N</x:t>
        </x:is>
      </x:c>
      <x:c r="E68" t="inlineStr">
        <x:is>
          <x:t xml:space="preserve">Y</x:t>
        </x:is>
      </x:c>
      <x:c r="F68" t="inlineStr">
        <x:is>
          <x:t xml:space="preserve">Y</x:t>
        </x:is>
      </x:c>
      <x:c r="L68" t="n">
        <x:v>28</x:v>
      </x:c>
      <x:c r="N68" t="inlineStr">
        <x:is>
          <x:t xml:space="preserve">hr</x:t>
        </x:is>
      </x:c>
    </x:row>
    <x:row r="69">
      <x:c r="A69" t="inlineStr">
        <x:is>
          <x:t xml:space="preserve">HR</x:t>
        </x:is>
      </x:c>
      <x:c r="B69" t="inlineStr">
        <x:is>
          <x:t xml:space="preserve">HR-D8-Q29</x:t>
        </x:is>
      </x:c>
      <x:c r="C69" t="inlineStr">
        <x:is>
          <x:t xml:space="preserve">Y</x:t>
        </x:is>
      </x:c>
      <x:c r="D69" t="inlineStr">
        <x:is>
          <x:t xml:space="preserve">N</x:t>
        </x:is>
      </x:c>
      <x:c r="E69" t="inlineStr">
        <x:is>
          <x:t xml:space="preserve">N</x:t>
        </x:is>
      </x:c>
      <x:c r="F69" t="inlineStr">
        <x:is>
          <x:t xml:space="preserve">Y</x:t>
        </x:is>
      </x:c>
      <x:c r="L69" t="n">
        <x:v>29</x:v>
      </x:c>
      <x:c r="N69" t="inlineStr">
        <x:is>
          <x:t xml:space="preserve">hr</x:t>
        </x:is>
      </x:c>
    </x:row>
    <x:row r="70">
      <x:c r="A70" t="inlineStr">
        <x:is>
          <x:t xml:space="preserve">Security</x:t>
        </x:is>
      </x:c>
      <x:c r="B70" t="inlineStr">
        <x:is>
          <x:t xml:space="preserve">SEC-D1-Q01</x:t>
        </x:is>
      </x:c>
      <x:c r="C70" t="inlineStr">
        <x:is>
          <x:t xml:space="preserve">Y</x:t>
        </x:is>
      </x:c>
      <x:c r="D70" t="inlineStr">
        <x:is>
          <x:t xml:space="preserve">Y</x:t>
        </x:is>
      </x:c>
      <x:c r="E70" t="inlineStr">
        <x:is>
          <x:t xml:space="preserve">Y</x:t>
        </x:is>
      </x:c>
      <x:c r="F70" t="inlineStr">
        <x:is>
          <x:t xml:space="preserve">Y</x:t>
        </x:is>
      </x:c>
      <x:c r="L70" t="n">
        <x:v>1</x:v>
      </x:c>
      <x:c r="N70" t="inlineStr">
        <x:is>
          <x:t xml:space="preserve">security</x:t>
        </x:is>
      </x:c>
    </x:row>
    <x:row r="71">
      <x:c r="A71" t="inlineStr">
        <x:is>
          <x:t xml:space="preserve">Security</x:t>
        </x:is>
      </x:c>
      <x:c r="B71" t="inlineStr">
        <x:is>
          <x:t xml:space="preserve">SEC-D1-Q02</x:t>
        </x:is>
      </x:c>
      <x:c r="C71" t="inlineStr">
        <x:is>
          <x:t xml:space="preserve">Y</x:t>
        </x:is>
      </x:c>
      <x:c r="D71" t="inlineStr">
        <x:is>
          <x:t xml:space="preserve">N</x:t>
        </x:is>
      </x:c>
      <x:c r="E71" t="inlineStr">
        <x:is>
          <x:t xml:space="preserve">Y</x:t>
        </x:is>
      </x:c>
      <x:c r="F71" t="inlineStr">
        <x:is>
          <x:t xml:space="preserve">Y</x:t>
        </x:is>
      </x:c>
      <x:c r="L71" t="n">
        <x:v>2</x:v>
      </x:c>
      <x:c r="N71" t="inlineStr">
        <x:is>
          <x:t xml:space="preserve">security</x:t>
        </x:is>
      </x:c>
    </x:row>
    <x:row r="72">
      <x:c r="A72" t="inlineStr">
        <x:is>
          <x:t xml:space="preserve">Security</x:t>
        </x:is>
      </x:c>
      <x:c r="B72" t="inlineStr">
        <x:is>
          <x:t xml:space="preserve">SEC-D1-Q03</x:t>
        </x:is>
      </x:c>
      <x:c r="C72" t="inlineStr">
        <x:is>
          <x:t xml:space="preserve">Y</x:t>
        </x:is>
      </x:c>
      <x:c r="D72" t="inlineStr">
        <x:is>
          <x:t xml:space="preserve">N</x:t>
        </x:is>
      </x:c>
      <x:c r="E72" t="inlineStr">
        <x:is>
          <x:t xml:space="preserve">Y</x:t>
        </x:is>
      </x:c>
      <x:c r="F72" t="inlineStr">
        <x:is>
          <x:t xml:space="preserve">Y</x:t>
        </x:is>
      </x:c>
      <x:c r="L72" t="n">
        <x:v>3</x:v>
      </x:c>
      <x:c r="N72" t="inlineStr">
        <x:is>
          <x:t xml:space="preserve">security</x:t>
        </x:is>
      </x:c>
    </x:row>
    <x:row r="73">
      <x:c r="A73" t="inlineStr">
        <x:is>
          <x:t xml:space="preserve">Security</x:t>
        </x:is>
      </x:c>
      <x:c r="B73" t="inlineStr">
        <x:is>
          <x:t xml:space="preserve">SEC-D2-Q04</x:t>
        </x:is>
      </x:c>
      <x:c r="C73" t="inlineStr">
        <x:is>
          <x:t xml:space="preserve">Y</x:t>
        </x:is>
      </x:c>
      <x:c r="D73" t="inlineStr">
        <x:is>
          <x:t xml:space="preserve">Y</x:t>
        </x:is>
      </x:c>
      <x:c r="E73" t="inlineStr">
        <x:is>
          <x:t xml:space="preserve">Y</x:t>
        </x:is>
      </x:c>
      <x:c r="F73" t="inlineStr">
        <x:is>
          <x:t xml:space="preserve">Y</x:t>
        </x:is>
      </x:c>
      <x:c r="L73" t="n">
        <x:v>4</x:v>
      </x:c>
      <x:c r="N73" t="inlineStr">
        <x:is>
          <x:t xml:space="preserve">security</x:t>
        </x:is>
      </x:c>
    </x:row>
    <x:row r="74">
      <x:c r="A74" t="inlineStr">
        <x:is>
          <x:t xml:space="preserve">Security</x:t>
        </x:is>
      </x:c>
      <x:c r="B74" t="inlineStr">
        <x:is>
          <x:t xml:space="preserve">SEC-D2-Q05</x:t>
        </x:is>
      </x:c>
      <x:c r="C74" t="inlineStr">
        <x:is>
          <x:t xml:space="preserve">Y</x:t>
        </x:is>
      </x:c>
      <x:c r="D74" t="inlineStr">
        <x:is>
          <x:t xml:space="preserve">N</x:t>
        </x:is>
      </x:c>
      <x:c r="E74" t="inlineStr">
        <x:is>
          <x:t xml:space="preserve">Y</x:t>
        </x:is>
      </x:c>
      <x:c r="F74" t="inlineStr">
        <x:is>
          <x:t xml:space="preserve">Y</x:t>
        </x:is>
      </x:c>
      <x:c r="L74" t="n">
        <x:v>5</x:v>
      </x:c>
      <x:c r="N74" t="inlineStr">
        <x:is>
          <x:t xml:space="preserve">security</x:t>
        </x:is>
      </x:c>
    </x:row>
    <x:row r="75">
      <x:c r="A75" t="inlineStr">
        <x:is>
          <x:t xml:space="preserve">Security</x:t>
        </x:is>
      </x:c>
      <x:c r="B75" t="inlineStr">
        <x:is>
          <x:t xml:space="preserve">SEC-D2-Q06</x:t>
        </x:is>
      </x:c>
      <x:c r="C75" t="inlineStr">
        <x:is>
          <x:t xml:space="preserve">Y</x:t>
        </x:is>
      </x:c>
      <x:c r="D75" t="inlineStr">
        <x:is>
          <x:t xml:space="preserve">N</x:t>
        </x:is>
      </x:c>
      <x:c r="E75" t="inlineStr">
        <x:is>
          <x:t xml:space="preserve">Y</x:t>
        </x:is>
      </x:c>
      <x:c r="F75" t="inlineStr">
        <x:is>
          <x:t xml:space="preserve">Y</x:t>
        </x:is>
      </x:c>
      <x:c r="L75" t="n">
        <x:v>6</x:v>
      </x:c>
      <x:c r="N75" t="inlineStr">
        <x:is>
          <x:t xml:space="preserve">security</x:t>
        </x:is>
      </x:c>
    </x:row>
    <x:row r="76">
      <x:c r="A76" t="inlineStr">
        <x:is>
          <x:t xml:space="preserve">Security</x:t>
        </x:is>
      </x:c>
      <x:c r="B76" t="inlineStr">
        <x:is>
          <x:t xml:space="preserve">SEC-D3-Q07</x:t>
        </x:is>
      </x:c>
      <x:c r="C76" t="inlineStr">
        <x:is>
          <x:t xml:space="preserve">Y</x:t>
        </x:is>
      </x:c>
      <x:c r="D76" t="inlineStr">
        <x:is>
          <x:t xml:space="preserve">Y</x:t>
        </x:is>
      </x:c>
      <x:c r="E76" t="inlineStr">
        <x:is>
          <x:t xml:space="preserve">Y</x:t>
        </x:is>
      </x:c>
      <x:c r="F76" t="inlineStr">
        <x:is>
          <x:t xml:space="preserve">Y</x:t>
        </x:is>
      </x:c>
      <x:c r="L76" t="n">
        <x:v>7</x:v>
      </x:c>
      <x:c r="N76" t="inlineStr">
        <x:is>
          <x:t xml:space="preserve">security</x:t>
        </x:is>
      </x:c>
    </x:row>
    <x:row r="77">
      <x:c r="A77" t="inlineStr">
        <x:is>
          <x:t xml:space="preserve">Security</x:t>
        </x:is>
      </x:c>
      <x:c r="B77" t="inlineStr">
        <x:is>
          <x:t xml:space="preserve">SEC-D3-Q08</x:t>
        </x:is>
      </x:c>
      <x:c r="C77" t="inlineStr">
        <x:is>
          <x:t xml:space="preserve">Y</x:t>
        </x:is>
      </x:c>
      <x:c r="D77" t="inlineStr">
        <x:is>
          <x:t xml:space="preserve">N</x:t>
        </x:is>
      </x:c>
      <x:c r="E77" t="inlineStr">
        <x:is>
          <x:t xml:space="preserve">Y</x:t>
        </x:is>
      </x:c>
      <x:c r="F77" t="inlineStr">
        <x:is>
          <x:t xml:space="preserve">Y</x:t>
        </x:is>
      </x:c>
      <x:c r="L77" t="n">
        <x:v>8</x:v>
      </x:c>
      <x:c r="N77" t="inlineStr">
        <x:is>
          <x:t xml:space="preserve">security</x:t>
        </x:is>
      </x:c>
    </x:row>
    <x:row r="78">
      <x:c r="A78" t="inlineStr">
        <x:is>
          <x:t xml:space="preserve">Security</x:t>
        </x:is>
      </x:c>
      <x:c r="B78" t="inlineStr">
        <x:is>
          <x:t xml:space="preserve">SEC-D3-Q09</x:t>
        </x:is>
      </x:c>
      <x:c r="C78" t="inlineStr">
        <x:is>
          <x:t xml:space="preserve">Y</x:t>
        </x:is>
      </x:c>
      <x:c r="D78" t="inlineStr">
        <x:is>
          <x:t xml:space="preserve">N</x:t>
        </x:is>
      </x:c>
      <x:c r="E78" t="inlineStr">
        <x:is>
          <x:t xml:space="preserve">Y</x:t>
        </x:is>
      </x:c>
      <x:c r="F78" t="inlineStr">
        <x:is>
          <x:t xml:space="preserve">Y</x:t>
        </x:is>
      </x:c>
      <x:c r="L78" t="n">
        <x:v>9</x:v>
      </x:c>
      <x:c r="N78" t="inlineStr">
        <x:is>
          <x:t xml:space="preserve">security</x:t>
        </x:is>
      </x:c>
    </x:row>
    <x:row r="79">
      <x:c r="A79" t="inlineStr">
        <x:is>
          <x:t xml:space="preserve">Security</x:t>
        </x:is>
      </x:c>
      <x:c r="B79" t="inlineStr">
        <x:is>
          <x:t xml:space="preserve">SEC-D4-Q10</x:t>
        </x:is>
      </x:c>
      <x:c r="C79" t="inlineStr">
        <x:is>
          <x:t xml:space="preserve">Y</x:t>
        </x:is>
      </x:c>
      <x:c r="D79" t="inlineStr">
        <x:is>
          <x:t xml:space="preserve">Y</x:t>
        </x:is>
      </x:c>
      <x:c r="E79" t="inlineStr">
        <x:is>
          <x:t xml:space="preserve">Y</x:t>
        </x:is>
      </x:c>
      <x:c r="F79" t="inlineStr">
        <x:is>
          <x:t xml:space="preserve">Y</x:t>
        </x:is>
      </x:c>
      <x:c r="L79" t="n">
        <x:v>10</x:v>
      </x:c>
      <x:c r="N79" t="inlineStr">
        <x:is>
          <x:t xml:space="preserve">security</x:t>
        </x:is>
      </x:c>
    </x:row>
    <x:row r="80">
      <x:c r="A80" t="inlineStr">
        <x:is>
          <x:t xml:space="preserve">Security</x:t>
        </x:is>
      </x:c>
      <x:c r="B80" t="inlineStr">
        <x:is>
          <x:t xml:space="preserve">SEC-D4-Q11</x:t>
        </x:is>
      </x:c>
      <x:c r="C80" t="inlineStr">
        <x:is>
          <x:t xml:space="preserve">Y</x:t>
        </x:is>
      </x:c>
      <x:c r="D80" t="inlineStr">
        <x:is>
          <x:t xml:space="preserve">N</x:t>
        </x:is>
      </x:c>
      <x:c r="E80" t="inlineStr">
        <x:is>
          <x:t xml:space="preserve">Y</x:t>
        </x:is>
      </x:c>
      <x:c r="F80" t="inlineStr">
        <x:is>
          <x:t xml:space="preserve">Y</x:t>
        </x:is>
      </x:c>
      <x:c r="L80" t="n">
        <x:v>11</x:v>
      </x:c>
      <x:c r="N80" t="inlineStr">
        <x:is>
          <x:t xml:space="preserve">security</x:t>
        </x:is>
      </x:c>
    </x:row>
    <x:row r="81">
      <x:c r="A81" t="inlineStr">
        <x:is>
          <x:t xml:space="preserve">Security</x:t>
        </x:is>
      </x:c>
      <x:c r="B81" t="inlineStr">
        <x:is>
          <x:t xml:space="preserve">SEC-D4-Q12</x:t>
        </x:is>
      </x:c>
      <x:c r="C81" t="inlineStr">
        <x:is>
          <x:t xml:space="preserve">Y</x:t>
        </x:is>
      </x:c>
      <x:c r="D81" t="inlineStr">
        <x:is>
          <x:t xml:space="preserve">N</x:t>
        </x:is>
      </x:c>
      <x:c r="E81" t="inlineStr">
        <x:is>
          <x:t xml:space="preserve">Y</x:t>
        </x:is>
      </x:c>
      <x:c r="F81" t="inlineStr">
        <x:is>
          <x:t xml:space="preserve">Y</x:t>
        </x:is>
      </x:c>
      <x:c r="L81" t="n">
        <x:v>12</x:v>
      </x:c>
      <x:c r="N81" t="inlineStr">
        <x:is>
          <x:t xml:space="preserve">security</x:t>
        </x:is>
      </x:c>
    </x:row>
    <x:row r="82">
      <x:c r="A82" t="inlineStr">
        <x:is>
          <x:t xml:space="preserve">Security</x:t>
        </x:is>
      </x:c>
      <x:c r="B82" t="inlineStr">
        <x:is>
          <x:t xml:space="preserve">SEC-D5-Q13</x:t>
        </x:is>
      </x:c>
      <x:c r="C82" t="inlineStr">
        <x:is>
          <x:t xml:space="preserve">Y</x:t>
        </x:is>
      </x:c>
      <x:c r="D82" t="inlineStr">
        <x:is>
          <x:t xml:space="preserve">Y</x:t>
        </x:is>
      </x:c>
      <x:c r="E82" t="inlineStr">
        <x:is>
          <x:t xml:space="preserve">Y</x:t>
        </x:is>
      </x:c>
      <x:c r="F82" t="inlineStr">
        <x:is>
          <x:t xml:space="preserve">Y</x:t>
        </x:is>
      </x:c>
      <x:c r="L82" t="n">
        <x:v>13</x:v>
      </x:c>
      <x:c r="N82" t="inlineStr">
        <x:is>
          <x:t xml:space="preserve">security</x:t>
        </x:is>
      </x:c>
    </x:row>
    <x:row r="83">
      <x:c r="A83" t="inlineStr">
        <x:is>
          <x:t xml:space="preserve">Security</x:t>
        </x:is>
      </x:c>
      <x:c r="B83" t="inlineStr">
        <x:is>
          <x:t xml:space="preserve">SEC-D5-Q14</x:t>
        </x:is>
      </x:c>
      <x:c r="C83" t="inlineStr">
        <x:is>
          <x:t xml:space="preserve">Y</x:t>
        </x:is>
      </x:c>
      <x:c r="D83" t="inlineStr">
        <x:is>
          <x:t xml:space="preserve">N</x:t>
        </x:is>
      </x:c>
      <x:c r="E83" t="inlineStr">
        <x:is>
          <x:t xml:space="preserve">Y</x:t>
        </x:is>
      </x:c>
      <x:c r="F83" t="inlineStr">
        <x:is>
          <x:t xml:space="preserve">Y</x:t>
        </x:is>
      </x:c>
      <x:c r="L83" t="n">
        <x:v>14</x:v>
      </x:c>
      <x:c r="N83" t="inlineStr">
        <x:is>
          <x:t xml:space="preserve">security</x:t>
        </x:is>
      </x:c>
    </x:row>
    <x:row r="84">
      <x:c r="A84" t="inlineStr">
        <x:is>
          <x:t xml:space="preserve">Security</x:t>
        </x:is>
      </x:c>
      <x:c r="B84" t="inlineStr">
        <x:is>
          <x:t xml:space="preserve">SEC-D5-Q15</x:t>
        </x:is>
      </x:c>
      <x:c r="C84" t="inlineStr">
        <x:is>
          <x:t xml:space="preserve">Y</x:t>
        </x:is>
      </x:c>
      <x:c r="D84" t="inlineStr">
        <x:is>
          <x:t xml:space="preserve">N</x:t>
        </x:is>
      </x:c>
      <x:c r="E84" t="inlineStr">
        <x:is>
          <x:t xml:space="preserve">Y</x:t>
        </x:is>
      </x:c>
      <x:c r="F84" t="inlineStr">
        <x:is>
          <x:t xml:space="preserve">Y</x:t>
        </x:is>
      </x:c>
      <x:c r="L84" t="n">
        <x:v>15</x:v>
      </x:c>
      <x:c r="N84" t="inlineStr">
        <x:is>
          <x:t xml:space="preserve">security</x:t>
        </x:is>
      </x:c>
    </x:row>
    <x:row r="85">
      <x:c r="A85" t="inlineStr">
        <x:is>
          <x:t xml:space="preserve">Security</x:t>
        </x:is>
      </x:c>
      <x:c r="B85" t="inlineStr">
        <x:is>
          <x:t xml:space="preserve">SEC-D6-Q16</x:t>
        </x:is>
      </x:c>
      <x:c r="C85" t="inlineStr">
        <x:is>
          <x:t xml:space="preserve">Y</x:t>
        </x:is>
      </x:c>
      <x:c r="D85" t="inlineStr">
        <x:is>
          <x:t xml:space="preserve">Y</x:t>
        </x:is>
      </x:c>
      <x:c r="E85" t="inlineStr">
        <x:is>
          <x:t xml:space="preserve">Y</x:t>
        </x:is>
      </x:c>
      <x:c r="F85" t="inlineStr">
        <x:is>
          <x:t xml:space="preserve">Y</x:t>
        </x:is>
      </x:c>
      <x:c r="L85" t="n">
        <x:v>16</x:v>
      </x:c>
      <x:c r="N85" t="inlineStr">
        <x:is>
          <x:t xml:space="preserve">security</x:t>
        </x:is>
      </x:c>
    </x:row>
    <x:row r="86">
      <x:c r="A86" t="inlineStr">
        <x:is>
          <x:t xml:space="preserve">Security</x:t>
        </x:is>
      </x:c>
      <x:c r="B86" t="inlineStr">
        <x:is>
          <x:t xml:space="preserve">SEC-D6-Q17</x:t>
        </x:is>
      </x:c>
      <x:c r="C86" t="inlineStr">
        <x:is>
          <x:t xml:space="preserve">Y</x:t>
        </x:is>
      </x:c>
      <x:c r="D86" t="inlineStr">
        <x:is>
          <x:t xml:space="preserve">N</x:t>
        </x:is>
      </x:c>
      <x:c r="E86" t="inlineStr">
        <x:is>
          <x:t xml:space="preserve">Y</x:t>
        </x:is>
      </x:c>
      <x:c r="F86" t="inlineStr">
        <x:is>
          <x:t xml:space="preserve">Y</x:t>
        </x:is>
      </x:c>
      <x:c r="L86" t="n">
        <x:v>17</x:v>
      </x:c>
      <x:c r="N86" t="inlineStr">
        <x:is>
          <x:t xml:space="preserve">security</x:t>
        </x:is>
      </x:c>
    </x:row>
    <x:row r="87">
      <x:c r="A87" t="inlineStr">
        <x:is>
          <x:t xml:space="preserve">Security</x:t>
        </x:is>
      </x:c>
      <x:c r="B87" t="inlineStr">
        <x:is>
          <x:t xml:space="preserve">SEC-D6-Q18</x:t>
        </x:is>
      </x:c>
      <x:c r="C87" t="inlineStr">
        <x:is>
          <x:t xml:space="preserve">Y</x:t>
        </x:is>
      </x:c>
      <x:c r="D87" t="inlineStr">
        <x:is>
          <x:t xml:space="preserve">N</x:t>
        </x:is>
      </x:c>
      <x:c r="E87" t="inlineStr">
        <x:is>
          <x:t xml:space="preserve">Y</x:t>
        </x:is>
      </x:c>
      <x:c r="F87" t="inlineStr">
        <x:is>
          <x:t xml:space="preserve">Y</x:t>
        </x:is>
      </x:c>
      <x:c r="L87" t="n">
        <x:v>18</x:v>
      </x:c>
      <x:c r="N87" t="inlineStr">
        <x:is>
          <x:t xml:space="preserve">security</x:t>
        </x:is>
      </x:c>
    </x:row>
    <x:row r="88">
      <x:c r="A88" t="inlineStr">
        <x:is>
          <x:t xml:space="preserve">Security</x:t>
        </x:is>
      </x:c>
      <x:c r="B88" t="inlineStr">
        <x:is>
          <x:t xml:space="preserve">SEC-D7-Q19</x:t>
        </x:is>
      </x:c>
      <x:c r="C88" t="inlineStr">
        <x:is>
          <x:t xml:space="preserve">Y</x:t>
        </x:is>
      </x:c>
      <x:c r="D88" t="inlineStr">
        <x:is>
          <x:t xml:space="preserve">Y</x:t>
        </x:is>
      </x:c>
      <x:c r="E88" t="inlineStr">
        <x:is>
          <x:t xml:space="preserve">Y</x:t>
        </x:is>
      </x:c>
      <x:c r="F88" t="inlineStr">
        <x:is>
          <x:t xml:space="preserve">Y</x:t>
        </x:is>
      </x:c>
      <x:c r="L88" t="n">
        <x:v>19</x:v>
      </x:c>
      <x:c r="N88" t="inlineStr">
        <x:is>
          <x:t xml:space="preserve">security</x:t>
        </x:is>
      </x:c>
    </x:row>
    <x:row r="89">
      <x:c r="A89" t="inlineStr">
        <x:is>
          <x:t xml:space="preserve">Security</x:t>
        </x:is>
      </x:c>
      <x:c r="B89" t="inlineStr">
        <x:is>
          <x:t xml:space="preserve">SEC-D7-Q20</x:t>
        </x:is>
      </x:c>
      <x:c r="C89" t="inlineStr">
        <x:is>
          <x:t xml:space="preserve">Y</x:t>
        </x:is>
      </x:c>
      <x:c r="D89" t="inlineStr">
        <x:is>
          <x:t xml:space="preserve">N</x:t>
        </x:is>
      </x:c>
      <x:c r="E89" t="inlineStr">
        <x:is>
          <x:t xml:space="preserve">Y</x:t>
        </x:is>
      </x:c>
      <x:c r="F89" t="inlineStr">
        <x:is>
          <x:t xml:space="preserve">Y</x:t>
        </x:is>
      </x:c>
      <x:c r="L89" t="n">
        <x:v>20</x:v>
      </x:c>
      <x:c r="N89" t="inlineStr">
        <x:is>
          <x:t xml:space="preserve">security</x:t>
        </x:is>
      </x:c>
    </x:row>
    <x:row r="90">
      <x:c r="A90" t="inlineStr">
        <x:is>
          <x:t xml:space="preserve">Security</x:t>
        </x:is>
      </x:c>
      <x:c r="B90" t="inlineStr">
        <x:is>
          <x:t xml:space="preserve">SEC-D7-Q21</x:t>
        </x:is>
      </x:c>
      <x:c r="C90" t="inlineStr">
        <x:is>
          <x:t xml:space="preserve">Y</x:t>
        </x:is>
      </x:c>
      <x:c r="D90" t="inlineStr">
        <x:is>
          <x:t xml:space="preserve">N</x:t>
        </x:is>
      </x:c>
      <x:c r="E90" t="inlineStr">
        <x:is>
          <x:t xml:space="preserve">N</x:t>
        </x:is>
      </x:c>
      <x:c r="F90" t="inlineStr">
        <x:is>
          <x:t xml:space="preserve">Y</x:t>
        </x:is>
      </x:c>
      <x:c r="L90" t="n">
        <x:v>21</x:v>
      </x:c>
      <x:c r="N90" t="inlineStr">
        <x:is>
          <x:t xml:space="preserve">security</x:t>
        </x:is>
      </x:c>
    </x:row>
    <x:row r="91">
      <x:c r="A91" t="inlineStr">
        <x:is>
          <x:t xml:space="preserve">Security</x:t>
        </x:is>
      </x:c>
      <x:c r="B91" t="inlineStr">
        <x:is>
          <x:t xml:space="preserve">SEC-D8-Q22</x:t>
        </x:is>
      </x:c>
      <x:c r="C91" t="inlineStr">
        <x:is>
          <x:t xml:space="preserve">Y</x:t>
        </x:is>
      </x:c>
      <x:c r="D91" t="inlineStr">
        <x:is>
          <x:t xml:space="preserve">Y</x:t>
        </x:is>
      </x:c>
      <x:c r="E91" t="inlineStr">
        <x:is>
          <x:t xml:space="preserve">Y</x:t>
        </x:is>
      </x:c>
      <x:c r="F91" t="inlineStr">
        <x:is>
          <x:t xml:space="preserve">Y</x:t>
        </x:is>
      </x:c>
      <x:c r="L91" t="n">
        <x:v>22</x:v>
      </x:c>
      <x:c r="N91" t="inlineStr">
        <x:is>
          <x:t xml:space="preserve">security</x:t>
        </x:is>
      </x:c>
    </x:row>
    <x:row r="92">
      <x:c r="A92" t="inlineStr">
        <x:is>
          <x:t xml:space="preserve">Security</x:t>
        </x:is>
      </x:c>
      <x:c r="B92" t="inlineStr">
        <x:is>
          <x:t xml:space="preserve">SEC-D8-Q23</x:t>
        </x:is>
      </x:c>
      <x:c r="C92" t="inlineStr">
        <x:is>
          <x:t xml:space="preserve">Y</x:t>
        </x:is>
      </x:c>
      <x:c r="D92" t="inlineStr">
        <x:is>
          <x:t xml:space="preserve">N</x:t>
        </x:is>
      </x:c>
      <x:c r="E92" t="inlineStr">
        <x:is>
          <x:t xml:space="preserve">Y</x:t>
        </x:is>
      </x:c>
      <x:c r="F92" t="inlineStr">
        <x:is>
          <x:t xml:space="preserve">Y</x:t>
        </x:is>
      </x:c>
      <x:c r="L92" t="n">
        <x:v>23</x:v>
      </x:c>
      <x:c r="N92" t="inlineStr">
        <x:is>
          <x:t xml:space="preserve">security</x:t>
        </x:is>
      </x:c>
    </x:row>
    <x:row r="93">
      <x:c r="A93" t="inlineStr">
        <x:is>
          <x:t xml:space="preserve">Security</x:t>
        </x:is>
      </x:c>
      <x:c r="B93" t="inlineStr">
        <x:is>
          <x:t xml:space="preserve">SEC-D8-Q24</x:t>
        </x:is>
      </x:c>
      <x:c r="C93" t="inlineStr">
        <x:is>
          <x:t xml:space="preserve">Y</x:t>
        </x:is>
      </x:c>
      <x:c r="D93" t="inlineStr">
        <x:is>
          <x:t xml:space="preserve">N</x:t>
        </x:is>
      </x:c>
      <x:c r="E93" t="inlineStr">
        <x:is>
          <x:t xml:space="preserve">N</x:t>
        </x:is>
      </x:c>
      <x:c r="F93" t="inlineStr">
        <x:is>
          <x:t xml:space="preserve">Y</x:t>
        </x:is>
      </x:c>
      <x:c r="L93" t="n">
        <x:v>24</x:v>
      </x:c>
      <x:c r="N93" t="inlineStr">
        <x:is>
          <x:t xml:space="preserve">security</x:t>
        </x:is>
      </x:c>
    </x:row>
    <x:row r="94">
      <x:c r="A94" t="inlineStr">
        <x:is>
          <x:t xml:space="preserve">Security</x:t>
        </x:is>
      </x:c>
      <x:c r="B94" t="inlineStr">
        <x:is>
          <x:t xml:space="preserve">SEC-D9-Q25</x:t>
        </x:is>
      </x:c>
      <x:c r="C94" t="inlineStr">
        <x:is>
          <x:t xml:space="preserve">Y</x:t>
        </x:is>
      </x:c>
      <x:c r="D94" t="inlineStr">
        <x:is>
          <x:t xml:space="preserve">Y</x:t>
        </x:is>
      </x:c>
      <x:c r="E94" t="inlineStr">
        <x:is>
          <x:t xml:space="preserve">Y</x:t>
        </x:is>
      </x:c>
      <x:c r="F94" t="inlineStr">
        <x:is>
          <x:t xml:space="preserve">Y</x:t>
        </x:is>
      </x:c>
      <x:c r="L94" t="n">
        <x:v>25</x:v>
      </x:c>
      <x:c r="N94" t="inlineStr">
        <x:is>
          <x:t xml:space="preserve">security</x:t>
        </x:is>
      </x:c>
    </x:row>
    <x:row r="95">
      <x:c r="A95" t="inlineStr">
        <x:is>
          <x:t xml:space="preserve">Security</x:t>
        </x:is>
      </x:c>
      <x:c r="B95" t="inlineStr">
        <x:is>
          <x:t xml:space="preserve">SEC-D9-Q26</x:t>
        </x:is>
      </x:c>
      <x:c r="C95" t="inlineStr">
        <x:is>
          <x:t xml:space="preserve">Y</x:t>
        </x:is>
      </x:c>
      <x:c r="D95" t="inlineStr">
        <x:is>
          <x:t xml:space="preserve">N</x:t>
        </x:is>
      </x:c>
      <x:c r="E95" t="inlineStr">
        <x:is>
          <x:t xml:space="preserve">Y</x:t>
        </x:is>
      </x:c>
      <x:c r="F95" t="inlineStr">
        <x:is>
          <x:t xml:space="preserve">Y</x:t>
        </x:is>
      </x:c>
      <x:c r="L95" t="n">
        <x:v>26</x:v>
      </x:c>
      <x:c r="N95" t="inlineStr">
        <x:is>
          <x:t xml:space="preserve">security</x:t>
        </x:is>
      </x:c>
    </x:row>
    <x:row r="96">
      <x:c r="A96" t="inlineStr">
        <x:is>
          <x:t xml:space="preserve">Security</x:t>
        </x:is>
      </x:c>
      <x:c r="B96" t="inlineStr">
        <x:is>
          <x:t xml:space="preserve">SEC-D9-Q27</x:t>
        </x:is>
      </x:c>
      <x:c r="C96" t="inlineStr">
        <x:is>
          <x:t xml:space="preserve">Y</x:t>
        </x:is>
      </x:c>
      <x:c r="D96" t="inlineStr">
        <x:is>
          <x:t xml:space="preserve">N</x:t>
        </x:is>
      </x:c>
      <x:c r="E96" t="inlineStr">
        <x:is>
          <x:t xml:space="preserve">N</x:t>
        </x:is>
      </x:c>
      <x:c r="F96" t="inlineStr">
        <x:is>
          <x:t xml:space="preserve">Y</x:t>
        </x:is>
      </x:c>
      <x:c r="L96" t="n">
        <x:v>27</x:v>
      </x:c>
      <x:c r="N96" t="inlineStr">
        <x:is>
          <x:t xml:space="preserve">security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48" customWidth="1"/>
    <x:col min="10" max="10" width="48" customWidth="1"/>
    <x:col min="11" max="11" width="4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  <x:col min="17" max="17" width="18" customWidth="1"/>
    <x:col min="18" max="18" width="18" customWidth="1"/>
    <x:col min="19" max="19" width="18" customWidth="1"/>
    <x:col min="20" max="20" width="18" customWidth="1"/>
    <x:col min="21" max="21" width="18" customWidth="1"/>
  </x:cols>
  <x:sheetData>
    <x:row r="1">
      <x:c r="A1" s="2" t="inlineStr">
        <x:is>
          <x:t xml:space="preserve">Q-ID</x:t>
        </x:is>
      </x:c>
      <x:c r="B1" s="2" t="inlineStr">
        <x:is>
          <x:t xml:space="preserve">PrimaryPack (Deprecated)</x:t>
        </x:is>
      </x:c>
      <x:c r="C1" s="2" t="inlineStr">
        <x:is>
          <x:t xml:space="preserve">Tier</x:t>
        </x:is>
      </x:c>
      <x:c r="D1" s="2" t="inlineStr">
        <x:is>
          <x:t xml:space="preserve">Domain</x:t>
        </x:is>
      </x:c>
      <x:c r="E1" s="2" t="inlineStr">
        <x:is>
          <x:t xml:space="preserve">Axis1</x:t>
        </x:is>
      </x:c>
      <x:c r="F1" s="2" t="inlineStr">
        <x:is>
          <x:t xml:space="preserve">W1</x:t>
        </x:is>
      </x:c>
      <x:c r="G1" s="2" t="inlineStr">
        <x:is>
          <x:t xml:space="preserve">Axis2</x:t>
        </x:is>
      </x:c>
      <x:c r="H1" s="2" t="inlineStr">
        <x:is>
          <x:t xml:space="preserve">W2</x:t>
        </x:is>
      </x:c>
      <x:c r="I1" s="2" t="inlineStr">
        <x:is>
          <x:t xml:space="preserve">Question Text</x:t>
        </x:is>
      </x:c>
      <x:c r="J1" s="2" t="inlineStr">
        <x:is>
          <x:t xml:space="preserve">Guidance</x:t>
        </x:is>
      </x:c>
      <x:c r="K1" s="2" t="inlineStr">
        <x:is>
          <x:t xml:space="preserve">Logic/Branching</x:t>
        </x:is>
      </x:c>
      <x:c r="L1" s="2" t="inlineStr">
        <x:is>
          <x:t xml:space="preserve">EvidencePolicyID</x:t>
        </x:is>
      </x:c>
      <x:c r="M1" s="2" t="inlineStr">
        <x:is>
          <x:t xml:space="preserve">CW</x:t>
        </x:is>
      </x:c>
      <x:c r="N1" s="2" t="inlineStr">
        <x:is>
          <x:t xml:space="preserve">TH</x:t>
        </x:is>
      </x:c>
      <x:c r="O1" s="2" t="inlineStr">
        <x:is>
          <x:t xml:space="preserve">Scope</x:t>
        </x:is>
      </x:c>
      <x:c r="P1" t="inlineStr">
        <x:is>
          <x:t xml:space="preserve">BranchType</x:t>
        </x:is>
      </x:c>
      <x:c r="Q1" t="inlineStr">
        <x:is>
          <x:t xml:space="preserve">GateThreshold</x:t>
        </x:is>
      </x:c>
      <x:c r="R1" t="inlineStr">
        <x:is>
          <x:t xml:space="preserve">NextIfLow</x:t>
        </x:is>
      </x:c>
      <x:c r="S1" t="inlineStr">
        <x:is>
          <x:t xml:space="preserve">NextIfHigh</x:t>
        </x:is>
      </x:c>
      <x:c r="T1" t="inlineStr">
        <x:is>
          <x:t xml:space="preserve">NextDefault</x:t>
        </x:is>
      </x:c>
      <x:c r="U1" t="inlineStr">
        <x:is>
          <x:t xml:space="preserve">EndFlag</x:t>
        </x:is>
      </x:c>
    </x:row>
    <x:row r="2">
      <x:c r="A2" s="3" t="inlineStr">
        <x:is>
          <x:t xml:space="preserve">EXCO-D1-Q01</x:t>
        </x:is>
      </x:c>
      <x:c r="B2" s="3" t="inlineStr">
        <x:is>
          <x:t xml:space="preserve">Executive</x:t>
        </x:is>
      </x:c>
      <x:c r="C2" s="3" t="inlineStr">
        <x:is>
          <x:t xml:space="preserve">T1</x:t>
        </x:is>
      </x:c>
      <x:c r="D2" s="3" t="inlineStr">
        <x:is>
          <x:t xml:space="preserve">1. Strategy &amp; Governance</x:t>
        </x:is>
      </x:c>
      <x:c r="E2" s="3" t="inlineStr">
        <x:is>
          <x:t xml:space="preserve">G</x:t>
        </x:is>
      </x:c>
      <x:c r="F2" s="3" t="n">
        <x:v>1</x:v>
      </x:c>
      <x:c r="G2" s="3" t="inlineStr">
        <x:is>
          <x:t xml:space="preserve">-</x:t>
        </x:is>
      </x:c>
      <x:c r="H2" s="3" t="inlineStr">
        <x:is>
          <x:t xml:space="preserve"/>
        </x:is>
      </x:c>
      <x:c r="I2" s="3" t="inlineStr">
        <x:is>
          <x:t xml:space="preserve">How is the insider risk program officially authorised?</x:t>
        </x:is>
      </x:c>
      <x:c r="J2" s="3" t="inlineStr">
        <x:is>
          <x:t xml:space="preserve">Think about a signed charter/decision, named sponsor, and whether funding is formally approved.</x:t>
        </x:is>
      </x:c>
      <x:c r="K2" s="3" t="inlineStr">
        <x:is>
          <x:t xml:space="preserve">Gatekeeper; if BaseScore&lt;2 -&gt; next=EXCO-D1-Q02; else next=EXCO-D1-Q03</x:t>
        </x:is>
      </x:c>
      <x:c r="L2" s="3" t="inlineStr">
        <x:is>
          <x:t xml:space="preserve">GOV_STD</x:t>
        </x:is>
      </x:c>
      <x:c r="M2" s="3" t="n">
        <x:v>1</x:v>
      </x:c>
      <x:c r="N2" s="3" t="n"/>
      <x:c r="O2" s="3" t="n"/>
      <x:c r="P2" t="inlineStr">
        <x:is>
          <x:t xml:space="preserve">Gatekeeper</x:t>
        </x:is>
      </x:c>
      <x:c r="Q2" t="n">
        <x:v>2</x:v>
      </x:c>
      <x:c r="R2" t="inlineStr">
        <x:is>
          <x:t xml:space="preserve">EXCO-D1-Q02</x:t>
        </x:is>
      </x:c>
      <x:c r="S2" t="inlineStr">
        <x:is>
          <x:t xml:space="preserve">EXCO-D1-Q03</x:t>
        </x:is>
      </x:c>
    </x:row>
    <x:row r="3">
      <x:c r="A3" s="3" t="inlineStr">
        <x:is>
          <x:t xml:space="preserve">EXCO-D1-Q02</x:t>
        </x:is>
      </x:c>
      <x:c r="B3" s="3" t="inlineStr">
        <x:is>
          <x:t xml:space="preserve">Executive</x:t>
        </x:is>
      </x:c>
      <x:c r="C3" s="3" t="inlineStr">
        <x:is>
          <x:t xml:space="preserve">T2</x:t>
        </x:is>
      </x:c>
      <x:c r="D3" s="3" t="inlineStr">
        <x:is>
          <x:t xml:space="preserve">1. Strategy &amp; Governance</x:t>
        </x:is>
      </x:c>
      <x:c r="E3" s="3" t="inlineStr">
        <x:is>
          <x:t xml:space="preserve">E</x:t>
        </x:is>
      </x:c>
      <x:c r="F3" s="3" t="n">
        <x:v>1</x:v>
      </x:c>
      <x:c r="G3" s="3" t="inlineStr">
        <x:is>
          <x:t xml:space="preserve">-</x:t>
        </x:is>
      </x:c>
      <x:c r="H3" s="3" t="inlineStr">
        <x:is>
          <x:t xml:space="preserve"/>
        </x:is>
      </x:c>
      <x:c r="I3" s="3" t="inlineStr">
        <x:is>
          <x:t xml:space="preserve">(Shadow probe) Even without formal approval, are there consistent “habits” to prevent sensitive data loss?</x:t>
        </x:is>
      </x:c>
      <x:c r="J3" s="3" t="inlineStr">
        <x:is>
          <x:t xml:space="preserve">Examples: managers consistently enforce leaver checks, sensitive projects use extra approvals, privileged actions are reviewed.</x:t>
        </x:is>
      </x:c>
      <x:c r="K3" s="3" t="inlineStr">
        <x:is>
          <x:t xml:space="preserve">Shadow probe; after -&gt; next=EXCO-D1-Q03</x:t>
        </x:is>
      </x:c>
      <x:c r="L3" s="3" t="inlineStr">
        <x:is>
          <x:t xml:space="preserve">OPS_STD</x:t>
        </x:is>
      </x:c>
      <x:c r="M3" s="3" t="n">
        <x:v>1</x:v>
      </x:c>
      <x:c r="N3" s="3" t="n"/>
      <x:c r="O3" s="3" t="n"/>
      <x:c r="P3" t="inlineStr">
        <x:is>
          <x:t xml:space="preserve">ShadowProbe</x:t>
        </x:is>
      </x:c>
      <x:c r="T3" t="inlineStr">
        <x:is>
          <x:t xml:space="preserve">EXCO-D1-Q03</x:t>
        </x:is>
      </x:c>
    </x:row>
    <x:row r="4">
      <x:c r="A4" s="3" t="inlineStr">
        <x:is>
          <x:t xml:space="preserve">EXCO-D1-Q03</x:t>
        </x:is>
      </x:c>
      <x:c r="B4" s="3" t="inlineStr">
        <x:is>
          <x:t xml:space="preserve">Executive</x:t>
        </x:is>
      </x:c>
      <x:c r="C4" s="3" t="inlineStr">
        <x:is>
          <x:t xml:space="preserve">T2</x:t>
        </x:is>
      </x:c>
      <x:c r="D4" s="3" t="inlineStr">
        <x:is>
          <x:t xml:space="preserve">1. Strategy &amp; Governance</x:t>
        </x:is>
      </x:c>
      <x:c r="E4" s="3" t="inlineStr">
        <x:is>
          <x:t xml:space="preserve">G</x:t>
        </x:is>
      </x:c>
      <x:c r="F4" s="3" t="n">
        <x:v>0.6</x:v>
      </x:c>
      <x:c r="G4" s="3" t="inlineStr">
        <x:is>
          <x:t xml:space="preserve">E</x:t>
        </x:is>
      </x:c>
      <x:c r="H4" s="3" t="n">
        <x:v>0.4</x:v>
      </x:c>
      <x:c r="I4" s="3" t="inlineStr">
        <x:is>
          <x:t xml:space="preserve">Who has final decision authority for insider risk actions (and who pays for them)?</x:t>
        </x:is>
      </x:c>
      <x:c r="J4" s="3" t="inlineStr">
        <x:is>
          <x:t xml:space="preserve">Look for a named owner who can make trade-offs across HR, Legal, Security and the business.</x:t>
        </x:is>
      </x:c>
      <x:c r="K4" s="3" t="inlineStr">
        <x:is>
          <x:t xml:space="preserve">Drill-down; next=EXCO-D1-Q04</x:t>
        </x:is>
      </x:c>
      <x:c r="L4" s="3" t="inlineStr">
        <x:is>
          <x:t xml:space="preserve">GOV_STD</x:t>
        </x:is>
      </x:c>
      <x:c r="M4" s="3" t="n">
        <x:v>1</x:v>
      </x:c>
      <x:c r="N4" s="3" t="n"/>
      <x:c r="O4" s="3" t="n"/>
      <x:c r="P4" t="inlineStr">
        <x:is>
          <x:t xml:space="preserve">DrillDown</x:t>
        </x:is>
      </x:c>
      <x:c r="T4" t="inlineStr">
        <x:is>
          <x:t xml:space="preserve">EXCO-D1-Q04</x:t>
        </x:is>
      </x:c>
    </x:row>
    <x:row r="5">
      <x:c r="A5" s="3" t="inlineStr">
        <x:is>
          <x:t xml:space="preserve">EXCO-D1-Q04</x:t>
        </x:is>
      </x:c>
      <x:c r="B5" s="3" t="inlineStr">
        <x:is>
          <x:t xml:space="preserve">Executive</x:t>
        </x:is>
      </x:c>
      <x:c r="C5" s="3" t="inlineStr">
        <x:is>
          <x:t xml:space="preserve">T2</x:t>
        </x:is>
      </x:c>
      <x:c r="D5" s="3" t="inlineStr">
        <x:is>
          <x:t xml:space="preserve">1. Strategy &amp; Governance</x:t>
        </x:is>
      </x:c>
      <x:c r="E5" s="3" t="inlineStr">
        <x:is>
          <x:t xml:space="preserve">G</x:t>
        </x:is>
      </x:c>
      <x:c r="F5" s="3" t="n">
        <x:v>0.5</x:v>
      </x:c>
      <x:c r="G5" s="3" t="inlineStr">
        <x:is>
          <x:t xml:space="preserve">E</x:t>
        </x:is>
      </x:c>
      <x:c r="H5" s="3" t="n">
        <x:v>0.5</x:v>
      </x:c>
      <x:c r="I5" s="3" t="inlineStr">
        <x:is>
          <x:t xml:space="preserve">How does the program operate day-to-day across departments?</x:t>
        </x:is>
      </x:c>
      <x:c r="J5" s="3" t="inlineStr">
        <x:is>
          <x:t xml:space="preserve">Think about whether there is a defined cross-functional working group, how cases are triaged, and how changes are implemented.</x:t>
        </x:is>
      </x:c>
      <x:c r="K5" s="3" t="inlineStr">
        <x:is>
          <x:t xml:space="preserve">Drill-down; next=EXCO-D1-Q05</x:t>
        </x:is>
      </x:c>
      <x:c r="L5" s="3" t="inlineStr">
        <x:is>
          <x:t xml:space="preserve">GOV_STD</x:t>
        </x:is>
      </x:c>
      <x:c r="M5" s="3" t="n">
        <x:v>1</x:v>
      </x:c>
      <x:c r="N5" s="3" t="n"/>
      <x:c r="O5" s="3" t="n"/>
      <x:c r="P5" t="inlineStr">
        <x:is>
          <x:t xml:space="preserve">DrillDown</x:t>
        </x:is>
      </x:c>
      <x:c r="T5" t="inlineStr">
        <x:is>
          <x:t xml:space="preserve">EXCO-D1-Q05</x:t>
        </x:is>
      </x:c>
    </x:row>
    <x:row r="6">
      <x:c r="A6" s="3" t="inlineStr">
        <x:is>
          <x:t xml:space="preserve">EXCO-D1-Q05</x:t>
        </x:is>
      </x:c>
      <x:c r="B6" s="3" t="inlineStr">
        <x:is>
          <x:t xml:space="preserve">Executive</x:t>
        </x:is>
      </x:c>
      <x:c r="C6" s="3" t="inlineStr">
        <x:is>
          <x:t xml:space="preserve">T3</x:t>
        </x:is>
      </x:c>
      <x:c r="D6" s="3" t="inlineStr">
        <x:is>
          <x:t xml:space="preserve">1. Strategy &amp; Governance</x:t>
        </x:is>
      </x:c>
      <x:c r="E6" s="3" t="inlineStr">
        <x:is>
          <x:t xml:space="preserve">G</x:t>
        </x:is>
      </x:c>
      <x:c r="F6" s="3" t="n">
        <x:v>1</x:v>
      </x:c>
      <x:c r="G6" s="3" t="inlineStr">
        <x:is>
          <x:t xml:space="preserve">-</x:t>
        </x:is>
      </x:c>
      <x:c r="H6" s="3" t="inlineStr">
        <x:is>
          <x:t xml:space="preserve"/>
        </x:is>
      </x:c>
      <x:c r="I6" s="3" t="inlineStr">
        <x:is>
          <x:t xml:space="preserve">Is there a dedicated budget for insider risk activities (people/process/tooling), and is it ring-fenced?</x:t>
        </x:is>
      </x:c>
      <x:c r="J6" s="3" t="inlineStr">
        <x:is>
          <x:t xml:space="preserve">Budget can be small, but should be identifiable and protected from being reallocated without review.</x:t>
        </x:is>
      </x:c>
      <x:c r="K6" s="3" t="inlineStr">
        <x:is>
          <x:t xml:space="preserve">Drill-down; next=EXCO-D1-Q06</x:t>
        </x:is>
      </x:c>
      <x:c r="L6" s="3" t="inlineStr">
        <x:is>
          <x:t xml:space="preserve">GOV_STD</x:t>
        </x:is>
      </x:c>
      <x:c r="M6" s="3" t="n">
        <x:v>1</x:v>
      </x:c>
      <x:c r="N6" s="3" t="n"/>
      <x:c r="O6" s="3" t="n"/>
      <x:c r="P6" t="inlineStr">
        <x:is>
          <x:t xml:space="preserve">DrillDown</x:t>
        </x:is>
      </x:c>
      <x:c r="T6" t="inlineStr">
        <x:is>
          <x:t xml:space="preserve">EXCO-D1-Q06</x:t>
        </x:is>
      </x:c>
    </x:row>
    <x:row r="7">
      <x:c r="A7" s="3" t="inlineStr">
        <x:is>
          <x:t xml:space="preserve">EXCO-D1-Q06</x:t>
        </x:is>
      </x:c>
      <x:c r="B7" s="3" t="inlineStr">
        <x:is>
          <x:t xml:space="preserve">Executive</x:t>
        </x:is>
      </x:c>
      <x:c r="C7" s="3" t="inlineStr">
        <x:is>
          <x:t xml:space="preserve">T2</x:t>
        </x:is>
      </x:c>
      <x:c r="D7" s="3" t="inlineStr">
        <x:is>
          <x:t xml:space="preserve">1. Strategy &amp; Governance</x:t>
        </x:is>
      </x:c>
      <x:c r="E7" s="3" t="inlineStr">
        <x:is>
          <x:t xml:space="preserve">G</x:t>
        </x:is>
      </x:c>
      <x:c r="F7" s="3" t="n">
        <x:v>1</x:v>
      </x:c>
      <x:c r="G7" s="3" t="inlineStr">
        <x:is>
          <x:t xml:space="preserve">-</x:t>
        </x:is>
      </x:c>
      <x:c r="H7" s="3" t="inlineStr">
        <x:is>
          <x:t xml:space="preserve"/>
        </x:is>
      </x:c>
      <x:c r="I7" s="3" t="inlineStr">
        <x:is>
          <x:t xml:space="preserve">Is there a 12–24 month improvement roadmap with owners and dates?</x:t>
        </x:is>
      </x:c>
      <x:c r="J7" s="3" t="inlineStr">
        <x:is>
          <x:t xml:space="preserve">Even a simple roadmap counts if it has owners, deadlines, and is reviewed regularly.</x:t>
        </x:is>
      </x:c>
      <x:c r="K7" s="3" t="inlineStr">
        <x:is>
          <x:t xml:space="preserve">Drill-down; next=EXCO-D2-Q01</x:t>
        </x:is>
      </x:c>
      <x:c r="L7" s="3" t="inlineStr">
        <x:is>
          <x:t xml:space="preserve">GOV_STD</x:t>
        </x:is>
      </x:c>
      <x:c r="M7" s="3" t="n">
        <x:v>1</x:v>
      </x:c>
      <x:c r="N7" s="3" t="n"/>
      <x:c r="O7" s="3" t="n"/>
      <x:c r="P7" t="inlineStr">
        <x:is>
          <x:t xml:space="preserve">DrillDown</x:t>
        </x:is>
      </x:c>
      <x:c r="T7" t="inlineStr">
        <x:is>
          <x:t xml:space="preserve">EXCO-D2-Q01</x:t>
        </x:is>
      </x:c>
    </x:row>
    <x:row r="8">
      <x:c r="A8" s="3" t="inlineStr">
        <x:is>
          <x:t xml:space="preserve">EXCO-D2-Q01</x:t>
        </x:is>
      </x:c>
      <x:c r="B8" s="3" t="inlineStr">
        <x:is>
          <x:t xml:space="preserve">Executive</x:t>
        </x:is>
      </x:c>
      <x:c r="C8" s="3" t="inlineStr">
        <x:is>
          <x:t xml:space="preserve">T1</x:t>
        </x:is>
      </x:c>
      <x:c r="D8" s="3" t="inlineStr">
        <x:is>
          <x:t xml:space="preserve">2. Targeting &amp; Risk</x:t>
        </x:is>
      </x:c>
      <x:c r="E8" s="3" t="inlineStr">
        <x:is>
          <x:t xml:space="preserve">V</x:t>
        </x:is>
      </x:c>
      <x:c r="F8" s="3" t="n">
        <x:v>1</x:v>
      </x:c>
      <x:c r="G8" s="3" t="inlineStr">
        <x:is>
          <x:t xml:space="preserve">-</x:t>
        </x:is>
      </x:c>
      <x:c r="H8" s="3" t="inlineStr">
        <x:is>
          <x:t xml:space="preserve"/>
        </x:is>
      </x:c>
      <x:c r="I8" s="3" t="inlineStr">
        <x:is>
          <x:t xml:space="preserve">Do we know what our most sensitive business information and systems are (and where they live)?</x:t>
        </x:is>
      </x:c>
      <x:c r="J8" s="3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K8" s="3" t="inlineStr">
        <x:is>
          <x:t xml:space="preserve">Gatekeeper; if BaseScore&lt;2 -&gt; next=EXCO-D2-Q02; else next=EXCO-D2-Q03</x:t>
        </x:is>
      </x:c>
      <x:c r="L8" s="3" t="inlineStr">
        <x:is>
          <x:t xml:space="preserve">RISK_STD</x:t>
        </x:is>
      </x:c>
      <x:c r="M8" s="3" t="n">
        <x:v>1</x:v>
      </x:c>
      <x:c r="N8" s="3" t="n"/>
      <x:c r="O8" s="3" t="n"/>
      <x:c r="P8" t="inlineStr">
        <x:is>
          <x:t xml:space="preserve">Gatekeeper</x:t>
        </x:is>
      </x:c>
      <x:c r="Q8" t="n">
        <x:v>2</x:v>
      </x:c>
      <x:c r="R8" t="inlineStr">
        <x:is>
          <x:t xml:space="preserve">EXCO-D2-Q02</x:t>
        </x:is>
      </x:c>
      <x:c r="S8" t="inlineStr">
        <x:is>
          <x:t xml:space="preserve">EXCO-D2-Q03</x:t>
        </x:is>
      </x:c>
    </x:row>
    <x:row r="9">
      <x:c r="A9" s="3" t="inlineStr">
        <x:is>
          <x:t xml:space="preserve">EXCO-D2-Q02</x:t>
        </x:is>
      </x:c>
      <x:c r="B9" s="3" t="inlineStr">
        <x:is>
          <x:t xml:space="preserve">Executive</x:t>
        </x:is>
      </x:c>
      <x:c r="C9" s="3" t="inlineStr">
        <x:is>
          <x:t xml:space="preserve">T2</x:t>
        </x:is>
      </x:c>
      <x:c r="D9" s="3" t="inlineStr">
        <x:is>
          <x:t xml:space="preserve">2. Targeting &amp; Risk</x:t>
        </x:is>
      </x:c>
      <x:c r="E9" s="3" t="inlineStr">
        <x:is>
          <x:t xml:space="preserve">V</x:t>
        </x:is>
      </x:c>
      <x:c r="F9" s="3" t="n">
        <x:v>1</x:v>
      </x:c>
      <x:c r="G9" s="3" t="inlineStr">
        <x:is>
          <x:t xml:space="preserve">-</x:t>
        </x:is>
      </x:c>
      <x:c r="H9" s="3" t="inlineStr">
        <x:is>
          <x:t xml:space="preserve"/>
        </x:is>
      </x:c>
      <x:c r="I9" s="3" t="inlineStr">
        <x:is>
          <x:t xml:space="preserve">(Shadow probe) Even without a formal list, could we name the top 5 things we would be most worried to lose or leak?</x:t>
        </x:is>
      </x:c>
      <x:c r="J9" s="3" t="inlineStr">
        <x:is>
          <x:t xml:space="preserve">This checks whether ‘tribal knowledge’ exists that can be formalised.</x:t>
        </x:is>
      </x:c>
      <x:c r="K9" s="3" t="inlineStr">
        <x:is>
          <x:t xml:space="preserve">Shadow probe; next=EXCO-D2-Q03</x:t>
        </x:is>
      </x:c>
      <x:c r="L9" s="3" t="inlineStr">
        <x:is>
          <x:t xml:space="preserve">RISK_STD</x:t>
        </x:is>
      </x:c>
      <x:c r="M9" s="3" t="n">
        <x:v>1</x:v>
      </x:c>
      <x:c r="N9" s="3" t="n"/>
      <x:c r="O9" s="3" t="n"/>
      <x:c r="P9" t="inlineStr">
        <x:is>
          <x:t xml:space="preserve">ShadowProbe</x:t>
        </x:is>
      </x:c>
      <x:c r="T9" t="inlineStr">
        <x:is>
          <x:t xml:space="preserve">EXCO-D2-Q03</x:t>
        </x:is>
      </x:c>
    </x:row>
    <x:row r="10">
      <x:c r="A10" s="3" t="inlineStr">
        <x:is>
          <x:t xml:space="preserve">EXCO-D2-Q03</x:t>
        </x:is>
      </x:c>
      <x:c r="B10" s="3" t="inlineStr">
        <x:is>
          <x:t xml:space="preserve">Executive</x:t>
        </x:is>
      </x:c>
      <x:c r="C10" s="3" t="inlineStr">
        <x:is>
          <x:t xml:space="preserve">T2</x:t>
        </x:is>
      </x:c>
      <x:c r="D10" s="3" t="inlineStr">
        <x:is>
          <x:t xml:space="preserve">2. Targeting &amp; Risk</x:t>
        </x:is>
      </x:c>
      <x:c r="E10" s="3" t="inlineStr">
        <x:is>
          <x:t xml:space="preserve">V</x:t>
        </x:is>
      </x:c>
      <x:c r="F10" s="3" t="n">
        <x:v>0.7</x:v>
      </x:c>
      <x:c r="G10" s="3" t="inlineStr">
        <x:is>
          <x:t xml:space="preserve">E</x:t>
        </x:is>
      </x:c>
      <x:c r="H10" s="3" t="n">
        <x:v>0.3</x:v>
      </x:c>
      <x:c r="I10" s="3" t="inlineStr">
        <x:is>
          <x:t xml:space="preserve">Do we know which roles (or individuals) have unusually high access to sensitive information?</x:t>
        </x:is>
      </x:c>
      <x:c r="J10" s="3" t="inlineStr">
        <x:is>
          <x:t xml:space="preserve">Examples: admins, finance controllers, HR payroll, R&amp;D leads, M&amp;A team. The question is about *concentration of access*.</x:t>
        </x:is>
      </x:c>
      <x:c r="K10" s="3" t="inlineStr">
        <x:is>
          <x:t xml:space="preserve">Drill-down; next=EXCO-D2-Q04</x:t>
        </x:is>
      </x:c>
      <x:c r="L10" s="3" t="inlineStr">
        <x:is>
          <x:t xml:space="preserve">RISK_STD</x:t>
        </x:is>
      </x:c>
      <x:c r="M10" s="3" t="n">
        <x:v>1</x:v>
      </x:c>
      <x:c r="N10" s="3" t="n"/>
      <x:c r="O10" s="3" t="n"/>
      <x:c r="P10" t="inlineStr">
        <x:is>
          <x:t xml:space="preserve">DrillDown</x:t>
        </x:is>
      </x:c>
      <x:c r="T10" t="inlineStr">
        <x:is>
          <x:t xml:space="preserve">EXCO-D2-Q04</x:t>
        </x:is>
      </x:c>
    </x:row>
    <x:row r="11">
      <x:c r="A11" s="3" t="inlineStr">
        <x:is>
          <x:t xml:space="preserve">EXCO-D2-Q04</x:t>
        </x:is>
      </x:c>
      <x:c r="B11" s="3" t="inlineStr">
        <x:is>
          <x:t xml:space="preserve">Executive</x:t>
        </x:is>
      </x:c>
      <x:c r="C11" s="3" t="inlineStr">
        <x:is>
          <x:t xml:space="preserve">T2</x:t>
        </x:is>
      </x:c>
      <x:c r="D11" s="3" t="inlineStr">
        <x:is>
          <x:t xml:space="preserve">2. Targeting &amp; Risk</x:t>
        </x:is>
      </x:c>
      <x:c r="E11" s="3" t="inlineStr">
        <x:is>
          <x:t xml:space="preserve">V</x:t>
        </x:is>
      </x:c>
      <x:c r="F11" s="3" t="n">
        <x:v>0.6</x:v>
      </x:c>
      <x:c r="G11" s="3" t="inlineStr">
        <x:is>
          <x:t xml:space="preserve">R</x:t>
        </x:is>
      </x:c>
      <x:c r="H11" s="3" t="n">
        <x:v>0.4</x:v>
      </x:c>
      <x:c r="I11" s="3" t="inlineStr">
        <x:is>
          <x:t xml:space="preserve">Do we have a short list of insider scenarios we care about (e.g., data theft, sabotage, fraud) and have we tested them?</x:t>
        </x:is>
      </x:c>
      <x:c r="J11" s="3" t="inlineStr">
        <x:is>
          <x:t xml:space="preserve">Plain examples: someone emailing customer list, deleting cloud backups, copying engineering files, abusing admin rights, misuse of payroll.</x:t>
        </x:is>
      </x:c>
      <x:c r="K11" s="3" t="inlineStr">
        <x:is>
          <x:t xml:space="preserve">Gatekeeper; if BaseScore&lt;2 -&gt; next=EXCO-D2-Q05; else next=EXCO-D2-Q06</x:t>
        </x:is>
      </x:c>
      <x:c r="L11" s="3" t="inlineStr">
        <x:is>
          <x:t xml:space="preserve">RISK_STD</x:t>
        </x:is>
      </x:c>
      <x:c r="M11" s="3" t="n">
        <x:v>1</x:v>
      </x:c>
      <x:c r="N11" s="3" t="n"/>
      <x:c r="O11" s="3" t="n"/>
      <x:c r="P11" t="inlineStr">
        <x:is>
          <x:t xml:space="preserve">Gatekeeper</x:t>
        </x:is>
      </x:c>
      <x:c r="Q11" t="n">
        <x:v>2</x:v>
      </x:c>
      <x:c r="R11" t="inlineStr">
        <x:is>
          <x:t xml:space="preserve">EXCO-D2-Q05</x:t>
        </x:is>
      </x:c>
      <x:c r="S11" t="inlineStr">
        <x:is>
          <x:t xml:space="preserve">EXCO-D2-Q06</x:t>
        </x:is>
      </x:c>
    </x:row>
    <x:row r="12">
      <x:c r="A12" s="3" t="inlineStr">
        <x:is>
          <x:t xml:space="preserve">EXCO-D2-Q05</x:t>
        </x:is>
      </x:c>
      <x:c r="B12" s="3" t="inlineStr">
        <x:is>
          <x:t xml:space="preserve">Executive</x:t>
        </x:is>
      </x:c>
      <x:c r="C12" s="3" t="inlineStr">
        <x:is>
          <x:t xml:space="preserve">T2</x:t>
        </x:is>
      </x:c>
      <x:c r="D12" s="3" t="inlineStr">
        <x:is>
          <x:t xml:space="preserve">2. Targeting &amp; Risk</x:t>
        </x:is>
      </x:c>
      <x:c r="E12" s="3" t="inlineStr">
        <x:is>
          <x:t xml:space="preserve">V</x:t>
        </x:is>
      </x:c>
      <x:c r="F12" s="3" t="n">
        <x:v>0.5</x:v>
      </x:c>
      <x:c r="G12" s="3" t="inlineStr">
        <x:is>
          <x:t xml:space="preserve">R</x:t>
        </x:is>
      </x:c>
      <x:c r="H12" s="3" t="n">
        <x:v>0.5</x:v>
      </x:c>
      <x:c r="I12" s="3" t="inlineStr">
        <x:is>
          <x:t xml:space="preserve">(Shadow probe) If an insider incident happened tomorrow, do we have a pre-agreed view of the ‘top 3’ insider risks?</x:t>
        </x:is>
      </x:c>
      <x:c r="J12" s="3" t="inlineStr">
        <x:is>
          <x:t xml:space="preserve">This tests whether leadership alignment exists even without formal documentation.</x:t>
        </x:is>
      </x:c>
      <x:c r="K12" s="3" t="inlineStr">
        <x:is>
          <x:t xml:space="preserve">Shadow probe; next=EXCO-D2-Q06</x:t>
        </x:is>
      </x:c>
      <x:c r="L12" s="3" t="inlineStr">
        <x:is>
          <x:t xml:space="preserve">RISK_STD</x:t>
        </x:is>
      </x:c>
      <x:c r="M12" s="3" t="n">
        <x:v>1</x:v>
      </x:c>
      <x:c r="N12" s="3" t="n"/>
      <x:c r="O12" s="3" t="n"/>
      <x:c r="P12" t="inlineStr">
        <x:is>
          <x:t xml:space="preserve">ShadowProbe</x:t>
        </x:is>
      </x:c>
      <x:c r="T12" t="inlineStr">
        <x:is>
          <x:t xml:space="preserve">EXCO-D2-Q06</x:t>
        </x:is>
      </x:c>
    </x:row>
    <x:row r="13">
      <x:c r="A13" s="3" t="inlineStr">
        <x:is>
          <x:t xml:space="preserve">EXCO-D2-Q06</x:t>
        </x:is>
      </x:c>
      <x:c r="B13" s="3" t="inlineStr">
        <x:is>
          <x:t xml:space="preserve">Executive</x:t>
        </x:is>
      </x:c>
      <x:c r="C13" s="3" t="inlineStr">
        <x:is>
          <x:t xml:space="preserve">T2</x:t>
        </x:is>
      </x:c>
      <x:c r="D13" s="3" t="inlineStr">
        <x:is>
          <x:t xml:space="preserve">2. Targeting &amp; Risk</x:t>
        </x:is>
      </x:c>
      <x:c r="E13" s="3" t="inlineStr">
        <x:is>
          <x:t xml:space="preserve">W</x:t>
        </x:is>
      </x:c>
      <x:c r="F13" s="3" t="n">
        <x:v>1</x:v>
      </x:c>
      <x:c r="G13" s="3" t="inlineStr">
        <x:is>
          <x:t xml:space="preserve">-</x:t>
        </x:is>
      </x:c>
      <x:c r="H13" s="3" t="inlineStr">
        <x:is>
          <x:t xml:space="preserve"/>
        </x:is>
      </x:c>
      <x:c r="I13" s="3" t="inlineStr">
        <x:is>
          <x:t xml:space="preserve">During big changes (M&amp;A, layoffs, restructures), how quickly can we adjust access and monitoring to reduce risk?</x:t>
        </x:is>
      </x:c>
      <x:c r="J13" s="3" t="inlineStr">
        <x:is>
          <x:t xml:space="preserve">This is about ‘control lag’—how long it takes to tighten/adjust controls when the organisation changes.</x:t>
        </x:is>
      </x:c>
      <x:c r="K13" s="3" t="inlineStr">
        <x:is>
          <x:t xml:space="preserve">Gatekeeper; if BaseScore&lt;2 -&gt; next=EXCO-D2-Q07; else next=EXCO-D3-Q01</x:t>
        </x:is>
      </x:c>
      <x:c r="L13" s="3" t="inlineStr">
        <x:is>
          <x:t xml:space="preserve">OPS_STD</x:t>
        </x:is>
      </x:c>
      <x:c r="M13" s="3" t="n">
        <x:v>1</x:v>
      </x:c>
      <x:c r="N13" s="3" t="n"/>
      <x:c r="O13" s="3" t="n"/>
      <x:c r="P13" t="inlineStr">
        <x:is>
          <x:t xml:space="preserve">Gatekeeper</x:t>
        </x:is>
      </x:c>
      <x:c r="Q13" t="n">
        <x:v>2</x:v>
      </x:c>
      <x:c r="R13" t="inlineStr">
        <x:is>
          <x:t xml:space="preserve">EXCO-D2-Q07</x:t>
        </x:is>
      </x:c>
      <x:c r="S13" t="inlineStr">
        <x:is>
          <x:t xml:space="preserve">EXCO-D3-Q01</x:t>
        </x:is>
      </x:c>
    </x:row>
    <x:row r="14">
      <x:c r="A14" s="3" t="inlineStr">
        <x:is>
          <x:t xml:space="preserve">EXCO-D2-Q07</x:t>
        </x:is>
      </x:c>
      <x:c r="B14" s="3" t="inlineStr">
        <x:is>
          <x:t xml:space="preserve">Executive</x:t>
        </x:is>
      </x:c>
      <x:c r="C14" s="3" t="inlineStr">
        <x:is>
          <x:t xml:space="preserve">T2</x:t>
        </x:is>
      </x:c>
      <x:c r="D14" s="3" t="inlineStr">
        <x:is>
          <x:t xml:space="preserve">2. Targeting &amp; Risk</x:t>
        </x:is>
      </x:c>
      <x:c r="E14" s="3" t="inlineStr">
        <x:is>
          <x:t xml:space="preserve">W</x:t>
        </x:is>
      </x:c>
      <x:c r="F14" s="3" t="n">
        <x:v>1</x:v>
      </x:c>
      <x:c r="G14" s="3" t="inlineStr">
        <x:is>
          <x:t xml:space="preserve">-</x:t>
        </x:is>
      </x:c>
      <x:c r="H14" s="3" t="inlineStr">
        <x:is>
          <x:t xml:space="preserve"/>
        </x:is>
      </x:c>
      <x:c r="I14" s="3" t="inlineStr">
        <x:is>
          <x:t xml:space="preserve">(Shadow probe) In the last major change event, did we actually tighten controls (access, approvals, monitoring) in time?</x:t>
        </x:is>
      </x:c>
      <x:c r="J14" s="3" t="inlineStr">
        <x:is>
          <x:t xml:space="preserve">This asks for a real example to ‘business-proof’ the previous answer.</x:t>
        </x:is>
      </x:c>
      <x:c r="K14" s="3" t="inlineStr">
        <x:is>
          <x:t xml:space="preserve">Shadow probe; next=EXCO-D3-Q01</x:t>
        </x:is>
      </x:c>
      <x:c r="L14" s="3" t="inlineStr">
        <x:is>
          <x:t xml:space="preserve">OPS_STD</x:t>
        </x:is>
      </x:c>
      <x:c r="M14" s="3" t="n">
        <x:v>1</x:v>
      </x:c>
      <x:c r="N14" s="3" t="n"/>
      <x:c r="O14" s="3" t="n"/>
      <x:c r="P14" t="inlineStr">
        <x:is>
          <x:t xml:space="preserve">ShadowProbe</x:t>
        </x:is>
      </x:c>
      <x:c r="T14" t="inlineStr">
        <x:is>
          <x:t xml:space="preserve">EXCO-D3-Q01</x:t>
        </x:is>
      </x:c>
    </x:row>
    <x:row r="15">
      <x:c r="A15" s="3" t="inlineStr">
        <x:is>
          <x:t xml:space="preserve">EXCO-D2-Q08</x:t>
        </x:is>
      </x:c>
      <x:c r="B15" s="3" t="inlineStr">
        <x:is>
          <x:t xml:space="preserve">Executive</x:t>
        </x:is>
      </x:c>
      <x:c r="C15" s="3" t="inlineStr">
        <x:is>
          <x:t xml:space="preserve">T2</x:t>
        </x:is>
      </x:c>
      <x:c r="D15" s="3" t="inlineStr">
        <x:is>
          <x:t xml:space="preserve">2. Targeting &amp; Risk</x:t>
        </x:is>
      </x:c>
      <x:c r="E15" s="3" t="inlineStr">
        <x:is>
          <x:t xml:space="preserve">V</x:t>
        </x:is>
      </x:c>
      <x:c r="F15" s="3" t="n">
        <x:v>0.6</x:v>
      </x:c>
      <x:c r="G15" s="3" t="inlineStr">
        <x:is>
          <x:t xml:space="preserve">G</x:t>
        </x:is>
      </x:c>
      <x:c r="H15" s="3" t="n">
        <x:v>0.4</x:v>
      </x:c>
      <x:c r="I15" s="3" t="inlineStr">
        <x:is>
          <x:t xml:space="preserve">Are contractors/third parties included in insider risk controls (access, monitoring, offboarding)?</x:t>
        </x:is>
      </x:c>
      <x:c r="J15" s="3" t="inlineStr">
        <x:is>
          <x:t xml:space="preserve">Plain examples: consultants, developers, outsourced IT, temporary staff, vendors with access to systems or data.</x:t>
        </x:is>
      </x:c>
      <x:c r="K15" s="3" t="inlineStr">
        <x:is>
          <x:t xml:space="preserve">Drill-down; next=EXCO-D3-Q01</x:t>
        </x:is>
      </x:c>
      <x:c r="L15" s="3" t="inlineStr">
        <x:is>
          <x:t xml:space="preserve">RISK_STD</x:t>
        </x:is>
      </x:c>
      <x:c r="M15" s="3" t="n">
        <x:v>1</x:v>
      </x:c>
      <x:c r="N15" s="3" t="n"/>
      <x:c r="O15" s="3" t="n"/>
      <x:c r="P15" t="inlineStr">
        <x:is>
          <x:t xml:space="preserve">DrillDown</x:t>
        </x:is>
      </x:c>
      <x:c r="T15" t="inlineStr">
        <x:is>
          <x:t xml:space="preserve">EXCO-D3-Q01</x:t>
        </x:is>
      </x:c>
    </x:row>
    <x:row r="16">
      <x:c r="A16" s="3" t="inlineStr">
        <x:is>
          <x:t xml:space="preserve">EXCO-D3-Q01</x:t>
        </x:is>
      </x:c>
      <x:c r="B16" s="3" t="inlineStr">
        <x:is>
          <x:t xml:space="preserve">Executive</x:t>
        </x:is>
      </x:c>
      <x:c r="C16" s="3" t="inlineStr">
        <x:is>
          <x:t xml:space="preserve">T1</x:t>
        </x:is>
      </x:c>
      <x:c r="D16" s="3" t="inlineStr">
        <x:is>
          <x:t xml:space="preserve">3. Legal &amp; Ethics</x:t>
        </x:is>
      </x:c>
      <x:c r="E16" s="3" t="inlineStr">
        <x:is>
          <x:t xml:space="preserve">L</x:t>
        </x:is>
      </x:c>
      <x:c r="F16" s="3" t="n">
        <x:v>0.8</x:v>
      </x:c>
      <x:c r="G16" s="3" t="inlineStr">
        <x:is>
          <x:t xml:space="preserve">G</x:t>
        </x:is>
      </x:c>
      <x:c r="H16" s="3" t="n">
        <x:v>0.2</x:v>
      </x:c>
      <x:c r="I16" s="3" t="inlineStr">
        <x:is>
          <x:t xml:space="preserve">Is there a clear, approved framework for monitoring employee/contractor activity (what, why, and who approves)?</x:t>
        </x:is>
      </x:c>
      <x:c r="J16" s="3" t="inlineStr">
        <x:is>
          <x:t xml:space="preserve">Aim for plain language: what data is monitored, why, legal basis, who can access it, and oversight.</x:t>
        </x:is>
      </x:c>
      <x:c r="K16" s="3" t="inlineStr">
        <x:is>
          <x:t xml:space="preserve">Gatekeeper; if BaseScore&lt;2 -&gt; next=EXCO-D3-Q02; else next=EXCO-D3-Q03</x:t>
        </x:is>
      </x:c>
      <x:c r="L16" s="3" t="inlineStr">
        <x:is>
          <x:t xml:space="preserve">LEG_STRICT</x:t>
        </x:is>
      </x:c>
      <x:c r="M16" s="3" t="n">
        <x:v>1</x:v>
      </x:c>
      <x:c r="N16" s="3" t="n"/>
      <x:c r="O16" s="3" t="n"/>
      <x:c r="P16" t="inlineStr">
        <x:is>
          <x:t xml:space="preserve">Gatekeeper</x:t>
        </x:is>
      </x:c>
      <x:c r="Q16" t="n">
        <x:v>2</x:v>
      </x:c>
      <x:c r="R16" t="inlineStr">
        <x:is>
          <x:t xml:space="preserve">EXCO-D3-Q02</x:t>
        </x:is>
      </x:c>
      <x:c r="S16" t="inlineStr">
        <x:is>
          <x:t xml:space="preserve">EXCO-D3-Q03</x:t>
        </x:is>
      </x:c>
    </x:row>
    <x:row r="17">
      <x:c r="A17" s="3" t="inlineStr">
        <x:is>
          <x:t xml:space="preserve">EXCO-D3-Q02</x:t>
        </x:is>
      </x:c>
      <x:c r="B17" s="3" t="inlineStr">
        <x:is>
          <x:t xml:space="preserve">Executive</x:t>
        </x:is>
      </x:c>
      <x:c r="C17" s="3" t="inlineStr">
        <x:is>
          <x:t xml:space="preserve">T2</x:t>
        </x:is>
      </x:c>
      <x:c r="D17" s="3" t="inlineStr">
        <x:is>
          <x:t xml:space="preserve">3. Legal &amp; Ethics</x:t>
        </x:is>
      </x:c>
      <x:c r="E17" s="3" t="inlineStr">
        <x:is>
          <x:t xml:space="preserve">L</x:t>
        </x:is>
      </x:c>
      <x:c r="F17" s="3" t="n">
        <x:v>0.5</x:v>
      </x:c>
      <x:c r="G17" s="3" t="inlineStr">
        <x:is>
          <x:t xml:space="preserve">H</x:t>
        </x:is>
      </x:c>
      <x:c r="H17" s="3" t="n">
        <x:v>0.5</x:v>
      </x:c>
      <x:c r="I17" s="3" t="inlineStr">
        <x:is>
          <x:t xml:space="preserve">(Shadow probe) Do people understand that monitoring exists and what it is used for?</x:t>
        </x:is>
      </x:c>
      <x:c r="J17" s="3" t="inlineStr">
        <x:is>
          <x:t xml:space="preserve">This checks practical transparency, not just contracts.</x:t>
        </x:is>
      </x:c>
      <x:c r="K17" s="3" t="inlineStr">
        <x:is>
          <x:t xml:space="preserve">Shadow probe; next=EXCO-D3-Q03</x:t>
        </x:is>
      </x:c>
      <x:c r="L17" s="3" t="inlineStr">
        <x:is>
          <x:t xml:space="preserve">LEG_STRICT</x:t>
        </x:is>
      </x:c>
      <x:c r="M17" s="3" t="n">
        <x:v>1</x:v>
      </x:c>
      <x:c r="N17" s="3" t="n"/>
      <x:c r="O17" s="3" t="n"/>
      <x:c r="P17" t="inlineStr">
        <x:is>
          <x:t xml:space="preserve">ShadowProbe</x:t>
        </x:is>
      </x:c>
      <x:c r="T17" t="inlineStr">
        <x:is>
          <x:t xml:space="preserve">EXCO-D3-Q03</x:t>
        </x:is>
      </x:c>
    </x:row>
    <x:row r="18">
      <x:c r="A18" s="3" t="inlineStr">
        <x:is>
          <x:t xml:space="preserve">EXCO-D3-Q03</x:t>
        </x:is>
      </x:c>
      <x:c r="B18" s="3" t="inlineStr">
        <x:is>
          <x:t xml:space="preserve">Executive</x:t>
        </x:is>
      </x:c>
      <x:c r="C18" s="3" t="inlineStr">
        <x:is>
          <x:t xml:space="preserve">T2</x:t>
        </x:is>
      </x:c>
      <x:c r="D18" s="3" t="inlineStr">
        <x:is>
          <x:t xml:space="preserve">3. Legal &amp; Ethics</x:t>
        </x:is>
      </x:c>
      <x:c r="E18" s="3" t="inlineStr">
        <x:is>
          <x:t xml:space="preserve">L</x:t>
        </x:is>
      </x:c>
      <x:c r="F18" s="3" t="n">
        <x:v>0.5</x:v>
      </x:c>
      <x:c r="G18" s="3" t="inlineStr">
        <x:is>
          <x:t xml:space="preserve">H</x:t>
        </x:is>
      </x:c>
      <x:c r="H18" s="3" t="n">
        <x:v>0.5</x:v>
      </x:c>
      <x:c r="I18" s="3" t="inlineStr">
        <x:is>
          <x:t xml:space="preserve">How is transparency maintained in practice (not only in contracts)?</x:t>
        </x:is>
      </x:c>
      <x:c r="J18" s="3" t="inlineStr">
        <x:is>
          <x:t xml:space="preserve">Examples: onboarding training, pop-up banners, clear FAQs, where to ask questions, and what safeguards exist.</x:t>
        </x:is>
      </x:c>
      <x:c r="K18" s="3" t="inlineStr">
        <x:is>
          <x:t xml:space="preserve">Drill-down; next=EXCO-D3-Q04</x:t>
        </x:is>
      </x:c>
      <x:c r="L18" s="3" t="inlineStr">
        <x:is>
          <x:t xml:space="preserve">LEG_STRICT</x:t>
        </x:is>
      </x:c>
      <x:c r="M18" s="3" t="n">
        <x:v>1</x:v>
      </x:c>
      <x:c r="N18" s="3" t="n"/>
      <x:c r="O18" s="3" t="n"/>
      <x:c r="P18" t="inlineStr">
        <x:is>
          <x:t xml:space="preserve">DrillDown</x:t>
        </x:is>
      </x:c>
      <x:c r="T18" t="inlineStr">
        <x:is>
          <x:t xml:space="preserve">EXCO-D3-Q04</x:t>
        </x:is>
      </x:c>
    </x:row>
    <x:row r="19">
      <x:c r="A19" s="3" t="inlineStr">
        <x:is>
          <x:t xml:space="preserve">EXCO-D3-Q04</x:t>
        </x:is>
      </x:c>
      <x:c r="B19" s="3" t="inlineStr">
        <x:is>
          <x:t xml:space="preserve">Executive</x:t>
        </x:is>
      </x:c>
      <x:c r="C19" s="3" t="inlineStr">
        <x:is>
          <x:t xml:space="preserve">T2</x:t>
        </x:is>
      </x:c>
      <x:c r="D19" s="3" t="inlineStr">
        <x:is>
          <x:t xml:space="preserve">3. Legal &amp; Ethics</x:t>
        </x:is>
      </x:c>
      <x:c r="E19" s="3" t="inlineStr">
        <x:is>
          <x:t xml:space="preserve">L</x:t>
        </x:is>
      </x:c>
      <x:c r="F19" s="3" t="n">
        <x:v>0.7</x:v>
      </x:c>
      <x:c r="G19" s="3" t="inlineStr">
        <x:is>
          <x:t xml:space="preserve">H</x:t>
        </x:is>
      </x:c>
      <x:c r="H19" s="3" t="n">
        <x:v>0.3</x:v>
      </x:c>
      <x:c r="I19" s="3" t="inlineStr">
        <x:is>
          <x:t xml:space="preserve">Where required, how are employee representatives / works councils engaged on monitoring and privacy topics?</x:t>
        </x:is>
      </x:c>
      <x:c r="J19" s="3" t="inlineStr">
        <x:is>
          <x:t xml:space="preserve">If not applicable, answer that and explain why.</x:t>
        </x:is>
      </x:c>
      <x:c r="K19" s="3" t="inlineStr">
        <x:is>
          <x:t xml:space="preserve">Drill-down; next=EXCO-D3-Q05</x:t>
        </x:is>
      </x:c>
      <x:c r="L19" s="3" t="inlineStr">
        <x:is>
          <x:t xml:space="preserve">LEG_STRICT</x:t>
        </x:is>
      </x:c>
      <x:c r="M19" s="3" t="n">
        <x:v>1</x:v>
      </x:c>
      <x:c r="N19" s="3" t="n"/>
      <x:c r="O19" s="3" t="n"/>
      <x:c r="P19" t="inlineStr">
        <x:is>
          <x:t xml:space="preserve">DrillDown</x:t>
        </x:is>
      </x:c>
      <x:c r="T19" t="inlineStr">
        <x:is>
          <x:t xml:space="preserve">EXCO-D3-Q05</x:t>
        </x:is>
      </x:c>
    </x:row>
    <x:row r="20">
      <x:c r="A20" s="3" t="inlineStr">
        <x:is>
          <x:t xml:space="preserve">EXCO-D3-Q05</x:t>
        </x:is>
      </x:c>
      <x:c r="B20" s="3" t="inlineStr">
        <x:is>
          <x:t xml:space="preserve">Executive</x:t>
        </x:is>
      </x:c>
      <x:c r="C20" s="3" t="inlineStr">
        <x:is>
          <x:t xml:space="preserve">T3</x:t>
        </x:is>
      </x:c>
      <x:c r="D20" s="3" t="inlineStr">
        <x:is>
          <x:t xml:space="preserve">3. Legal &amp; Ethics</x:t>
        </x:is>
      </x:c>
      <x:c r="E20" s="3" t="inlineStr">
        <x:is>
          <x:t xml:space="preserve">L</x:t>
        </x:is>
      </x:c>
      <x:c r="F20" s="3" t="n">
        <x:v>0.5</x:v>
      </x:c>
      <x:c r="G20" s="3" t="inlineStr">
        <x:is>
          <x:t xml:space="preserve">R</x:t>
        </x:is>
      </x:c>
      <x:c r="H20" s="3" t="n">
        <x:v>0.5</x:v>
      </x:c>
      <x:c r="I20" s="3" t="inlineStr">
        <x:is>
          <x:t xml:space="preserve">If we needed to use monitoring evidence in HR action or court, how strong is our evidence handling (traceability, integrity)?</x:t>
        </x:is>
      </x:c>
      <x:c r="J20" s="3" t="inlineStr">
        <x:is>
          <x:t xml:space="preserve">Plain terms: can we prove ‘who collected what, when, and that it wasn’t tampered with’?</x:t>
        </x:is>
      </x:c>
      <x:c r="K20" s="3" t="inlineStr">
        <x:is>
          <x:t xml:space="preserve">Drill-down; next=EXCO-D3-Q06</x:t>
        </x:is>
      </x:c>
      <x:c r="L20" s="3" t="inlineStr">
        <x:is>
          <x:t xml:space="preserve">LEG_STRICT</x:t>
        </x:is>
      </x:c>
      <x:c r="M20" s="3" t="n">
        <x:v>1</x:v>
      </x:c>
      <x:c r="N20" s="3" t="n"/>
      <x:c r="O20" s="3" t="n"/>
      <x:c r="P20" t="inlineStr">
        <x:is>
          <x:t xml:space="preserve">DrillDown</x:t>
        </x:is>
      </x:c>
      <x:c r="T20" t="inlineStr">
        <x:is>
          <x:t xml:space="preserve">EXCO-D3-Q06</x:t>
        </x:is>
      </x:c>
    </x:row>
    <x:row r="21">
      <x:c r="A21" s="3" t="inlineStr">
        <x:is>
          <x:t xml:space="preserve">EXCO-D3-Q06</x:t>
        </x:is>
      </x:c>
      <x:c r="B21" s="3" t="inlineStr">
        <x:is>
          <x:t xml:space="preserve">Executive</x:t>
        </x:is>
      </x:c>
      <x:c r="C21" s="3" t="inlineStr">
        <x:is>
          <x:t xml:space="preserve">T2</x:t>
        </x:is>
      </x:c>
      <x:c r="D21" s="3" t="inlineStr">
        <x:is>
          <x:t xml:space="preserve">3. Legal &amp; Ethics</x:t>
        </x:is>
      </x:c>
      <x:c r="E21" s="3" t="inlineStr">
        <x:is>
          <x:t xml:space="preserve">L</x:t>
        </x:is>
      </x:c>
      <x:c r="F21" s="3" t="n">
        <x:v>1</x:v>
      </x:c>
      <x:c r="G21" s="3" t="inlineStr">
        <x:is>
          <x:t xml:space="preserve">-</x:t>
        </x:is>
      </x:c>
      <x:c r="H21" s="3" t="inlineStr">
        <x:is>
          <x:t xml:space="preserve"/>
        </x:is>
      </x:c>
      <x:c r="I21" s="3" t="inlineStr">
        <x:is>
          <x:t xml:space="preserve">Do we control where monitoring data is stored and how long it is kept (including cross-border restrictions where relevant)?</x:t>
        </x:is>
      </x:c>
      <x:c r="J21" s="3" t="inlineStr">
        <x:is>
          <x:t xml:space="preserve">This is about data residency/sovereignty, retention schedules, and access auditing.</x:t>
        </x:is>
      </x:c>
      <x:c r="K21" s="3" t="inlineStr">
        <x:is>
          <x:t xml:space="preserve">Drill-down; next=EXCO-D4-Q01</x:t>
        </x:is>
      </x:c>
      <x:c r="L21" s="3" t="inlineStr">
        <x:is>
          <x:t xml:space="preserve">LEG_STRICT</x:t>
        </x:is>
      </x:c>
      <x:c r="M21" s="3" t="n">
        <x:v>1</x:v>
      </x:c>
      <x:c r="N21" s="3" t="n"/>
      <x:c r="O21" s="3" t="n"/>
      <x:c r="P21" t="inlineStr">
        <x:is>
          <x:t xml:space="preserve">DrillDown</x:t>
        </x:is>
      </x:c>
      <x:c r="T21" t="inlineStr">
        <x:is>
          <x:t xml:space="preserve">EXCO-D4-Q01</x:t>
        </x:is>
      </x:c>
    </x:row>
    <x:row r="22">
      <x:c r="A22" s="3" t="inlineStr">
        <x:is>
          <x:t xml:space="preserve">EXCO-D4-Q01</x:t>
        </x:is>
      </x:c>
      <x:c r="B22" s="3" t="inlineStr">
        <x:is>
          <x:t xml:space="preserve">Executive</x:t>
        </x:is>
      </x:c>
      <x:c r="C22" s="3" t="inlineStr">
        <x:is>
          <x:t xml:space="preserve">T1</x:t>
        </x:is>
      </x:c>
      <x:c r="D22" s="3" t="inlineStr">
        <x:is>
          <x:t xml:space="preserve">4. People &amp; Culture</x:t>
        </x:is>
      </x:c>
      <x:c r="E22" s="3" t="inlineStr">
        <x:is>
          <x:t xml:space="preserve">H</x:t>
        </x:is>
      </x:c>
      <x:c r="F22" s="3" t="n">
        <x:v>1</x:v>
      </x:c>
      <x:c r="G22" s="3" t="inlineStr">
        <x:is>
          <x:t xml:space="preserve">-</x:t>
        </x:is>
      </x:c>
      <x:c r="H22" s="3" t="inlineStr">
        <x:is>
          <x:t xml:space="preserve"/>
        </x:is>
      </x:c>
      <x:c r="I22" s="3" t="inlineStr">
        <x:is>
          <x:t xml:space="preserve">How safe do people feel to raise concerns about risky behaviour (including reporting a peer or manager)?</x:t>
        </x:is>
      </x:c>
      <x:c r="J22" s="3" t="inlineStr">
        <x:is>
          <x:t xml:space="preserve">Consider retaliation risk, confidentiality, and whether reports are handled fairly and consistently.</x:t>
        </x:is>
      </x:c>
      <x:c r="K22" s="3" t="inlineStr">
        <x:is>
          <x:t xml:space="preserve">Gatekeeper; if BaseScore&lt;2 -&gt; next=EXCO-D4-Q02; else next=EXCO-D4-Q03</x:t>
        </x:is>
      </x:c>
      <x:c r="L22" s="3" t="inlineStr">
        <x:is>
          <x:t xml:space="preserve">CULT_SOFT</x:t>
        </x:is>
      </x:c>
      <x:c r="M22" s="3" t="n">
        <x:v>1</x:v>
      </x:c>
      <x:c r="N22" s="3" t="n"/>
      <x:c r="O22" s="3" t="n"/>
      <x:c r="P22" t="inlineStr">
        <x:is>
          <x:t xml:space="preserve">Gatekeeper</x:t>
        </x:is>
      </x:c>
      <x:c r="Q22" t="n">
        <x:v>2</x:v>
      </x:c>
      <x:c r="R22" t="inlineStr">
        <x:is>
          <x:t xml:space="preserve">EXCO-D4-Q02</x:t>
        </x:is>
      </x:c>
      <x:c r="S22" t="inlineStr">
        <x:is>
          <x:t xml:space="preserve">EXCO-D4-Q03</x:t>
        </x:is>
      </x:c>
    </x:row>
    <x:row r="23">
      <x:c r="A23" s="3" t="inlineStr">
        <x:is>
          <x:t xml:space="preserve">EXCO-D4-Q02</x:t>
        </x:is>
      </x:c>
      <x:c r="B23" s="3" t="inlineStr">
        <x:is>
          <x:t xml:space="preserve">Executive</x:t>
        </x:is>
      </x:c>
      <x:c r="C23" s="3" t="inlineStr">
        <x:is>
          <x:t xml:space="preserve">T2</x:t>
        </x:is>
      </x:c>
      <x:c r="D23" s="3" t="inlineStr">
        <x:is>
          <x:t xml:space="preserve">4. People &amp; Culture</x:t>
        </x:is>
      </x:c>
      <x:c r="E23" s="3" t="inlineStr">
        <x:is>
          <x:t xml:space="preserve">H</x:t>
        </x:is>
      </x:c>
      <x:c r="F23" s="3" t="n">
        <x:v>0.5</x:v>
      </x:c>
      <x:c r="G23" s="3" t="inlineStr">
        <x:is>
          <x:t xml:space="preserve">L</x:t>
        </x:is>
      </x:c>
      <x:c r="H23" s="3" t="n">
        <x:v>0.5</x:v>
      </x:c>
      <x:c r="I23" s="3" t="inlineStr">
        <x:is>
          <x:t xml:space="preserve">(Shadow probe) If someone feels unfairly targeted by monitoring or investigation, is there a clear appeal/review process?</x:t>
        </x:is>
      </x:c>
      <x:c r="J23" s="3" t="inlineStr">
        <x:is>
          <x:t xml:space="preserve">This checks fairness and safeguards (important for trust and legal defensibility).</x:t>
        </x:is>
      </x:c>
      <x:c r="K23" s="3" t="inlineStr">
        <x:is>
          <x:t xml:space="preserve">Shadow probe; next=EXCO-D4-Q03</x:t>
        </x:is>
      </x:c>
      <x:c r="L23" s="3" t="inlineStr">
        <x:is>
          <x:t xml:space="preserve">CULT_SOFT</x:t>
        </x:is>
      </x:c>
      <x:c r="M23" s="3" t="n">
        <x:v>1</x:v>
      </x:c>
      <x:c r="N23" s="3" t="n"/>
      <x:c r="O23" s="3" t="n"/>
      <x:c r="P23" t="inlineStr">
        <x:is>
          <x:t xml:space="preserve">ShadowProbe</x:t>
        </x:is>
      </x:c>
      <x:c r="T23" t="inlineStr">
        <x:is>
          <x:t xml:space="preserve">EXCO-D4-Q03</x:t>
        </x:is>
      </x:c>
    </x:row>
    <x:row r="24">
      <x:c r="A24" s="3" t="inlineStr">
        <x:is>
          <x:t xml:space="preserve">EXCO-D4-Q03</x:t>
        </x:is>
      </x:c>
      <x:c r="B24" s="3" t="inlineStr">
        <x:is>
          <x:t xml:space="preserve">Executive</x:t>
        </x:is>
      </x:c>
      <x:c r="C24" s="3" t="inlineStr">
        <x:is>
          <x:t xml:space="preserve">T2</x:t>
        </x:is>
      </x:c>
      <x:c r="D24" s="3" t="inlineStr">
        <x:is>
          <x:t xml:space="preserve">4. People &amp; Culture</x:t>
        </x:is>
      </x:c>
      <x:c r="E24" s="3" t="inlineStr">
        <x:is>
          <x:t xml:space="preserve">H</x:t>
        </x:is>
      </x:c>
      <x:c r="F24" s="3" t="n">
        <x:v>0.5</x:v>
      </x:c>
      <x:c r="G24" s="3" t="inlineStr">
        <x:is>
          <x:t xml:space="preserve">E</x:t>
        </x:is>
      </x:c>
      <x:c r="H24" s="3" t="n">
        <x:v>0.5</x:v>
      </x:c>
      <x:c r="I24" s="3" t="inlineStr">
        <x:is>
          <x:t xml:space="preserve">How do managers handle early signs of disgruntlement or policy-bending before it becomes an incident?</x:t>
        </x:is>
      </x:c>
      <x:c r="J24" s="3" t="inlineStr">
        <x:is>
          <x:t xml:space="preserve">Plain examples: performance issues, conflicts, rule-bending, sudden disengagement. Focus on early intervention, not punishment.</x:t>
        </x:is>
      </x:c>
      <x:c r="K24" s="3" t="inlineStr">
        <x:is>
          <x:t xml:space="preserve">Drill-down; next=EXCO-D4-Q04</x:t>
        </x:is>
      </x:c>
      <x:c r="L24" s="3" t="inlineStr">
        <x:is>
          <x:t xml:space="preserve">CULT_SOFT</x:t>
        </x:is>
      </x:c>
      <x:c r="M24" s="3" t="n">
        <x:v>1</x:v>
      </x:c>
      <x:c r="N24" s="3" t="n"/>
      <x:c r="O24" s="3" t="n"/>
      <x:c r="P24" t="inlineStr">
        <x:is>
          <x:t xml:space="preserve">DrillDown</x:t>
        </x:is>
      </x:c>
      <x:c r="T24" t="inlineStr">
        <x:is>
          <x:t xml:space="preserve">EXCO-D4-Q04</x:t>
        </x:is>
      </x:c>
    </x:row>
    <x:row r="25">
      <x:c r="A25" s="3" t="inlineStr">
        <x:is>
          <x:t xml:space="preserve">EXCO-D4-Q04</x:t>
        </x:is>
      </x:c>
      <x:c r="B25" s="3" t="inlineStr">
        <x:is>
          <x:t xml:space="preserve">Executive</x:t>
        </x:is>
      </x:c>
      <x:c r="C25" s="3" t="inlineStr">
        <x:is>
          <x:t xml:space="preserve">T2</x:t>
        </x:is>
      </x:c>
      <x:c r="D25" s="3" t="inlineStr">
        <x:is>
          <x:t xml:space="preserve">4. People &amp; Culture</x:t>
        </x:is>
      </x:c>
      <x:c r="E25" s="3" t="inlineStr">
        <x:is>
          <x:t xml:space="preserve">H</x:t>
        </x:is>
      </x:c>
      <x:c r="F25" s="3" t="n">
        <x:v>1</x:v>
      </x:c>
      <x:c r="G25" s="3" t="inlineStr">
        <x:is>
          <x:t xml:space="preserve">-</x:t>
        </x:is>
      </x:c>
      <x:c r="H25" s="3" t="inlineStr">
        <x:is>
          <x:t xml:space="preserve"/>
        </x:is>
      </x:c>
      <x:c r="I25" s="3" t="inlineStr">
        <x:is>
          <x:t xml:space="preserve">How is positive security behaviour encouraged (not just punishment for mistakes)?</x:t>
        </x:is>
      </x:c>
      <x:c r="J25" s="3" t="inlineStr">
        <x:is>
          <x:t xml:space="preserve">Examples: recognising good reporting, simplifying secure ways of working, feedback after ‘near misses’.</x:t>
        </x:is>
      </x:c>
      <x:c r="K25" s="3" t="inlineStr">
        <x:is>
          <x:t xml:space="preserve">Drill-down; next=EXCO-D5-Q01</x:t>
        </x:is>
      </x:c>
      <x:c r="L25" s="3" t="inlineStr">
        <x:is>
          <x:t xml:space="preserve">CULT_SOFT</x:t>
        </x:is>
      </x:c>
      <x:c r="M25" s="3" t="n">
        <x:v>1</x:v>
      </x:c>
      <x:c r="N25" s="3" t="n"/>
      <x:c r="O25" s="3" t="n"/>
      <x:c r="P25" t="inlineStr">
        <x:is>
          <x:t xml:space="preserve">DrillDown</x:t>
        </x:is>
      </x:c>
      <x:c r="T25" t="inlineStr">
        <x:is>
          <x:t xml:space="preserve">EXCO-D5-Q01</x:t>
        </x:is>
      </x:c>
    </x:row>
    <x:row r="26">
      <x:c r="A26" s="3" t="inlineStr">
        <x:is>
          <x:t xml:space="preserve">EXCO-D5-Q01</x:t>
        </x:is>
      </x:c>
      <x:c r="B26" s="3" t="inlineStr">
        <x:is>
          <x:t xml:space="preserve">Executive</x:t>
        </x:is>
      </x:c>
      <x:c r="C26" s="3" t="inlineStr">
        <x:is>
          <x:t xml:space="preserve">T1</x:t>
        </x:is>
      </x:c>
      <x:c r="D26" s="3" t="inlineStr">
        <x:is>
          <x:t xml:space="preserve">5. Friction &amp; Productivity</x:t>
        </x:is>
      </x:c>
      <x:c r="E26" s="3" t="inlineStr">
        <x:is>
          <x:t xml:space="preserve">F</x:t>
        </x:is>
      </x:c>
      <x:c r="F26" s="3" t="n">
        <x:v>0.7</x:v>
      </x:c>
      <x:c r="G26" s="3" t="inlineStr">
        <x:is>
          <x:t xml:space="preserve">E</x:t>
        </x:is>
      </x:c>
      <x:c r="H26" s="3" t="n">
        <x:v>0.3</x:v>
      </x:c>
      <x:c r="I26" s="3" t="inlineStr">
        <x:is>
          <x:t xml:space="preserve">Do security controls make it hard for people to do their job, leading to workarounds (e.g., personal email/SaaS)?</x:t>
        </x:is>
      </x:c>
      <x:c r="J26" s="3" t="inlineStr">
        <x:is>
          <x:t xml:space="preserve">This is about bypass pressure: the gap between secure ways of working and what people need to do.</x:t>
        </x:is>
      </x:c>
      <x:c r="K26" s="3" t="inlineStr">
        <x:is>
          <x:t xml:space="preserve">Gatekeeper; if BaseScore&lt;2 -&gt; next=EXCO-D5-Q02; else next=EXCO-D5-Q03</x:t>
        </x:is>
      </x:c>
      <x:c r="L26" s="3" t="inlineStr">
        <x:is>
          <x:t xml:space="preserve">OPS_STD</x:t>
        </x:is>
      </x:c>
      <x:c r="M26" s="3" t="n">
        <x:v>1</x:v>
      </x:c>
      <x:c r="N26" s="3" t="n"/>
      <x:c r="O26" s="3" t="n"/>
      <x:c r="P26" t="inlineStr">
        <x:is>
          <x:t xml:space="preserve">Gatekeeper</x:t>
        </x:is>
      </x:c>
      <x:c r="Q26" t="n">
        <x:v>2</x:v>
      </x:c>
      <x:c r="R26" t="inlineStr">
        <x:is>
          <x:t xml:space="preserve">EXCO-D5-Q02</x:t>
        </x:is>
      </x:c>
      <x:c r="S26" t="inlineStr">
        <x:is>
          <x:t xml:space="preserve">EXCO-D5-Q03</x:t>
        </x:is>
      </x:c>
    </x:row>
    <x:row r="27">
      <x:c r="A27" s="3" t="inlineStr">
        <x:is>
          <x:t xml:space="preserve">EXCO-D5-Q02</x:t>
        </x:is>
      </x:c>
      <x:c r="B27" s="3" t="inlineStr">
        <x:is>
          <x:t xml:space="preserve">Executive</x:t>
        </x:is>
      </x:c>
      <x:c r="C27" s="3" t="inlineStr">
        <x:is>
          <x:t xml:space="preserve">T2</x:t>
        </x:is>
      </x:c>
      <x:c r="D27" s="3" t="inlineStr">
        <x:is>
          <x:t xml:space="preserve">5. Friction &amp; Productivity</x:t>
        </x:is>
      </x:c>
      <x:c r="E27" s="3" t="inlineStr">
        <x:is>
          <x:t xml:space="preserve">F</x:t>
        </x:is>
      </x:c>
      <x:c r="F27" s="3" t="n">
        <x:v>0.6</x:v>
      </x:c>
      <x:c r="G27" s="3" t="inlineStr">
        <x:is>
          <x:t xml:space="preserve">V</x:t>
        </x:is>
      </x:c>
      <x:c r="H27" s="3" t="n">
        <x:v>0.4</x:v>
      </x:c>
      <x:c r="I27" s="3" t="inlineStr">
        <x:is>
          <x:t xml:space="preserve">(Shadow probe) Do we have visibility into common workarounds (shadow IT) and why they happen?</x:t>
        </x:is>
      </x:c>
      <x:c r="J27" s="3" t="inlineStr">
        <x:is>
          <x:t xml:space="preserve">Examples: unapproved file sharing, personal accounts, unsanctioned AI tools, external USB devices.</x:t>
        </x:is>
      </x:c>
      <x:c r="K27" s="3" t="inlineStr">
        <x:is>
          <x:t xml:space="preserve">Shadow probe; next=EXCO-D5-Q03</x:t>
        </x:is>
      </x:c>
      <x:c r="L27" s="3" t="inlineStr">
        <x:is>
          <x:t xml:space="preserve">OPS_STD</x:t>
        </x:is>
      </x:c>
      <x:c r="M27" s="3" t="n">
        <x:v>1</x:v>
      </x:c>
      <x:c r="N27" s="3" t="n"/>
      <x:c r="O27" s="3" t="n"/>
      <x:c r="P27" t="inlineStr">
        <x:is>
          <x:t xml:space="preserve">ShadowProbe</x:t>
        </x:is>
      </x:c>
      <x:c r="T27" t="inlineStr">
        <x:is>
          <x:t xml:space="preserve">EXCO-D5-Q03</x:t>
        </x:is>
      </x:c>
    </x:row>
    <x:row r="28">
      <x:c r="A28" s="3" t="inlineStr">
        <x:is>
          <x:t xml:space="preserve">EXCO-D5-Q03</x:t>
        </x:is>
      </x:c>
      <x:c r="B28" s="3" t="inlineStr">
        <x:is>
          <x:t xml:space="preserve">Executive</x:t>
        </x:is>
      </x:c>
      <x:c r="C28" s="3" t="inlineStr">
        <x:is>
          <x:t xml:space="preserve">T2</x:t>
        </x:is>
      </x:c>
      <x:c r="D28" s="3" t="inlineStr">
        <x:is>
          <x:t xml:space="preserve">5. Friction &amp; Productivity</x:t>
        </x:is>
      </x:c>
      <x:c r="E28" s="3" t="inlineStr">
        <x:is>
          <x:t xml:space="preserve">F</x:t>
        </x:is>
      </x:c>
      <x:c r="F28" s="3" t="n">
        <x:v>0.5</x:v>
      </x:c>
      <x:c r="G28" s="3" t="inlineStr">
        <x:is>
          <x:t xml:space="preserve">V</x:t>
        </x:is>
      </x:c>
      <x:c r="H28" s="3" t="n">
        <x:v>0.5</x:v>
      </x:c>
      <x:c r="I28" s="3" t="inlineStr">
        <x:is>
          <x:t xml:space="preserve">When shadow IT is found, do we provide safe alternatives quickly (so people don’t revert)?</x:t>
        </x:is>
      </x:c>
      <x:c r="J28" s="3" t="inlineStr">
        <x:is>
          <x:t xml:space="preserve">This checks whether the business can move from ‘no’ to ‘safe yes’ quickly.</x:t>
        </x:is>
      </x:c>
      <x:c r="K28" s="3" t="inlineStr">
        <x:is>
          <x:t xml:space="preserve">Drill-down; next=EXCO-D6-Q01</x:t>
        </x:is>
      </x:c>
      <x:c r="L28" s="3" t="inlineStr">
        <x:is>
          <x:t xml:space="preserve">OPS_STD</x:t>
        </x:is>
      </x:c>
      <x:c r="M28" s="3" t="n">
        <x:v>1</x:v>
      </x:c>
      <x:c r="N28" s="3" t="n"/>
      <x:c r="O28" s="3" t="n"/>
      <x:c r="P28" t="inlineStr">
        <x:is>
          <x:t xml:space="preserve">DrillDown</x:t>
        </x:is>
      </x:c>
      <x:c r="T28" t="inlineStr">
        <x:is>
          <x:t xml:space="preserve">EXCO-D6-Q01</x:t>
        </x:is>
      </x:c>
    </x:row>
    <x:row r="29">
      <x:c r="A29" s="3" t="inlineStr">
        <x:is>
          <x:t xml:space="preserve">EXCO-D6-Q01</x:t>
        </x:is>
      </x:c>
      <x:c r="B29" s="3" t="inlineStr">
        <x:is>
          <x:t xml:space="preserve">Executive</x:t>
        </x:is>
      </x:c>
      <x:c r="C29" s="3" t="inlineStr">
        <x:is>
          <x:t xml:space="preserve">T1</x:t>
        </x:is>
      </x:c>
      <x:c r="D29" s="3" t="inlineStr">
        <x:is>
          <x:t xml:space="preserve">6. Detection &amp; Analytics</x:t>
        </x:is>
      </x:c>
      <x:c r="E29" s="3" t="inlineStr">
        <x:is>
          <x:t xml:space="preserve">T</x:t>
        </x:is>
      </x:c>
      <x:c r="F29" s="3" t="n">
        <x:v>0.6</x:v>
      </x:c>
      <x:c r="G29" s="3" t="inlineStr">
        <x:is>
          <x:t xml:space="preserve">V</x:t>
        </x:is>
      </x:c>
      <x:c r="H29" s="3" t="n">
        <x:v>0.4</x:v>
      </x:c>
      <x:c r="I29" s="3" t="inlineStr">
        <x:is>
          <x:t xml:space="preserve">What is the current focus of monitoring/detection for insider risk?</x:t>
        </x:is>
      </x:c>
      <x:c r="J29" s="3" t="inlineStr">
        <x:is>
          <x:t xml:space="preserve">Plain terms: do we only investigate after a loss, or do we proactively look for risky behaviour around sensitive assets?</x:t>
        </x:is>
      </x:c>
      <x:c r="K29" s="3" t="inlineStr">
        <x:is>
          <x:t xml:space="preserve">Gatekeeper; if BaseScore&lt;2 -&gt; next=EXCO-D6-Q02; else next=EXCO-D6-Q03</x:t>
        </x:is>
      </x:c>
      <x:c r="L29" s="3" t="inlineStr">
        <x:is>
          <x:t xml:space="preserve">OPS_STD</x:t>
        </x:is>
      </x:c>
      <x:c r="M29" s="3" t="n">
        <x:v>1</x:v>
      </x:c>
      <x:c r="N29" s="3" t="n"/>
      <x:c r="O29" s="3" t="n"/>
      <x:c r="P29" t="inlineStr">
        <x:is>
          <x:t xml:space="preserve">Gatekeeper</x:t>
        </x:is>
      </x:c>
      <x:c r="Q29" t="n">
        <x:v>2</x:v>
      </x:c>
      <x:c r="R29" t="inlineStr">
        <x:is>
          <x:t xml:space="preserve">EXCO-D6-Q02</x:t>
        </x:is>
      </x:c>
      <x:c r="S29" t="inlineStr">
        <x:is>
          <x:t xml:space="preserve">EXCO-D6-Q03</x:t>
        </x:is>
      </x:c>
    </x:row>
    <x:row r="30">
      <x:c r="A30" s="3" t="inlineStr">
        <x:is>
          <x:t xml:space="preserve">EXCO-D6-Q02</x:t>
        </x:is>
      </x:c>
      <x:c r="B30" s="3" t="inlineStr">
        <x:is>
          <x:t xml:space="preserve">Executive</x:t>
        </x:is>
      </x:c>
      <x:c r="C30" s="3" t="inlineStr">
        <x:is>
          <x:t xml:space="preserve">T2</x:t>
        </x:is>
      </x:c>
      <x:c r="D30" s="3" t="inlineStr">
        <x:is>
          <x:t xml:space="preserve">6. Detection &amp; Analytics</x:t>
        </x:is>
      </x:c>
      <x:c r="E30" s="3" t="inlineStr">
        <x:is>
          <x:t xml:space="preserve">E</x:t>
        </x:is>
      </x:c>
      <x:c r="F30" s="3" t="n">
        <x:v>1</x:v>
      </x:c>
      <x:c r="G30" s="3" t="inlineStr">
        <x:is>
          <x:t xml:space="preserve">-</x:t>
        </x:is>
      </x:c>
      <x:c r="H30" s="3" t="inlineStr">
        <x:is>
          <x:t xml:space="preserve"/>
        </x:is>
      </x:c>
      <x:c r="I30" s="3" t="inlineStr">
        <x:is>
          <x:t xml:space="preserve">(Shadow probe) Even if tools are limited, do teams consistently escalate ‘concerning behaviour’ to the right place?</x:t>
        </x:is>
      </x:c>
      <x:c r="J30" s="3" t="inlineStr">
        <x:is>
          <x:t xml:space="preserve">This checks consistent escalation habits as a substitute signal for detection maturity.</x:t>
        </x:is>
      </x:c>
      <x:c r="K30" s="3" t="inlineStr">
        <x:is>
          <x:t xml:space="preserve">Shadow probe; next=EXCO-D6-Q03</x:t>
        </x:is>
      </x:c>
      <x:c r="L30" s="3" t="inlineStr">
        <x:is>
          <x:t xml:space="preserve">OPS_STD</x:t>
        </x:is>
      </x:c>
      <x:c r="M30" s="3" t="n">
        <x:v>1</x:v>
      </x:c>
      <x:c r="N30" s="3" t="n"/>
      <x:c r="O30" s="3" t="n"/>
      <x:c r="P30" t="inlineStr">
        <x:is>
          <x:t xml:space="preserve">ShadowProbe</x:t>
        </x:is>
      </x:c>
      <x:c r="T30" t="inlineStr">
        <x:is>
          <x:t xml:space="preserve">EXCO-D6-Q03</x:t>
        </x:is>
      </x:c>
    </x:row>
    <x:row r="31">
      <x:c r="A31" s="3" t="inlineStr">
        <x:is>
          <x:t xml:space="preserve">EXCO-D6-Q03</x:t>
        </x:is>
      </x:c>
      <x:c r="B31" s="3" t="inlineStr">
        <x:is>
          <x:t xml:space="preserve">Executive</x:t>
        </x:is>
      </x:c>
      <x:c r="C31" s="3" t="inlineStr">
        <x:is>
          <x:t xml:space="preserve">T2</x:t>
        </x:is>
      </x:c>
      <x:c r="D31" s="3" t="inlineStr">
        <x:is>
          <x:t xml:space="preserve">6. Detection &amp; Analytics</x:t>
        </x:is>
      </x:c>
      <x:c r="E31" s="3" t="inlineStr">
        <x:is>
          <x:t xml:space="preserve">L</x:t>
        </x:is>
      </x:c>
      <x:c r="F31" s="3" t="n">
        <x:v>0.5</x:v>
      </x:c>
      <x:c r="G31" s="3" t="inlineStr">
        <x:is>
          <x:t xml:space="preserve">G</x:t>
        </x:is>
      </x:c>
      <x:c r="H31" s="3" t="n">
        <x:v>0.5</x:v>
      </x:c>
      <x:c r="I31" s="3" t="inlineStr">
        <x:is>
          <x:t xml:space="preserve">If HR or people-related signals are used (e.g., leavers, disputes), is there clear governance on what is shared and why?</x:t>
        </x:is>
      </x:c>
      <x:c r="J31" s="3" t="inlineStr">
        <x:is>
          <x:t xml:space="preserve">This does not mean ‘watch everyone’; it means legal basis, proportionality, approvals, and safeguards.</x:t>
        </x:is>
      </x:c>
      <x:c r="K31" s="3" t="inlineStr">
        <x:is>
          <x:t xml:space="preserve">Drill-down; next=EXCO-D7-Q01</x:t>
        </x:is>
      </x:c>
      <x:c r="L31" s="3" t="inlineStr">
        <x:is>
          <x:t xml:space="preserve">LEG_STRICT</x:t>
        </x:is>
      </x:c>
      <x:c r="M31" s="3" t="n">
        <x:v>1</x:v>
      </x:c>
      <x:c r="N31" s="3" t="n"/>
      <x:c r="O31" s="3" t="n"/>
      <x:c r="P31" t="inlineStr">
        <x:is>
          <x:t xml:space="preserve">DrillDown</x:t>
        </x:is>
      </x:c>
      <x:c r="T31" t="inlineStr">
        <x:is>
          <x:t xml:space="preserve">EXCO-D7-Q01</x:t>
        </x:is>
      </x:c>
    </x:row>
    <x:row r="32">
      <x:c r="A32" s="3" t="inlineStr">
        <x:is>
          <x:t xml:space="preserve">EXCO-D7-Q01</x:t>
        </x:is>
      </x:c>
      <x:c r="B32" s="3" t="inlineStr">
        <x:is>
          <x:t xml:space="preserve">Executive</x:t>
        </x:is>
      </x:c>
      <x:c r="C32" s="3" t="inlineStr">
        <x:is>
          <x:t xml:space="preserve">T1</x:t>
        </x:is>
      </x:c>
      <x:c r="D32" s="3" t="inlineStr">
        <x:is>
          <x:t xml:space="preserve">7. Response &amp; Resilience</x:t>
        </x:is>
      </x:c>
      <x:c r="E32" s="3" t="inlineStr">
        <x:is>
          <x:t xml:space="preserve">R</x:t>
        </x:is>
      </x:c>
      <x:c r="F32" s="3" t="n">
        <x:v>0.6</x:v>
      </x:c>
      <x:c r="G32" s="3" t="inlineStr">
        <x:is>
          <x:t xml:space="preserve">G</x:t>
        </x:is>
      </x:c>
      <x:c r="H32" s="3" t="n">
        <x:v>0.4</x:v>
      </x:c>
      <x:c r="I32" s="3" t="inlineStr">
        <x:is>
          <x:t xml:space="preserve">When an insider concern arises, how are Security, HR, Legal and the business coordinated?</x:t>
        </x:is>
      </x:c>
      <x:c r="J32" s="3" t="inlineStr">
        <x:is>
          <x:t xml:space="preserve">Think about a predefined taskforce, clear roles, and whether cases are handled consistently.</x:t>
        </x:is>
      </x:c>
      <x:c r="K32" s="3" t="inlineStr">
        <x:is>
          <x:t xml:space="preserve">Gatekeeper; if BaseScore&lt;2 -&gt; next=EXCO-D7-Q02; else next=EXCO-D7-Q03</x:t>
        </x:is>
      </x:c>
      <x:c r="L32" s="3" t="inlineStr">
        <x:is>
          <x:t xml:space="preserve">OPS_STD</x:t>
        </x:is>
      </x:c>
      <x:c r="M32" s="3" t="n">
        <x:v>1</x:v>
      </x:c>
      <x:c r="N32" s="3" t="n"/>
      <x:c r="O32" s="3" t="n"/>
      <x:c r="P32" t="inlineStr">
        <x:is>
          <x:t xml:space="preserve">Gatekeeper</x:t>
        </x:is>
      </x:c>
      <x:c r="Q32" t="n">
        <x:v>2</x:v>
      </x:c>
      <x:c r="R32" t="inlineStr">
        <x:is>
          <x:t xml:space="preserve">EXCO-D7-Q02</x:t>
        </x:is>
      </x:c>
      <x:c r="S32" t="inlineStr">
        <x:is>
          <x:t xml:space="preserve">EXCO-D7-Q03</x:t>
        </x:is>
      </x:c>
    </x:row>
    <x:row r="33">
      <x:c r="A33" s="3" t="inlineStr">
        <x:is>
          <x:t xml:space="preserve">EXCO-D7-Q02</x:t>
        </x:is>
      </x:c>
      <x:c r="B33" s="3" t="inlineStr">
        <x:is>
          <x:t xml:space="preserve">Executive</x:t>
        </x:is>
      </x:c>
      <x:c r="C33" s="3" t="inlineStr">
        <x:is>
          <x:t xml:space="preserve">T2</x:t>
        </x:is>
      </x:c>
      <x:c r="D33" s="3" t="inlineStr">
        <x:is>
          <x:t xml:space="preserve">7. Response &amp; Resilience</x:t>
        </x:is>
      </x:c>
      <x:c r="E33" s="3" t="inlineStr">
        <x:is>
          <x:t xml:space="preserve">E</x:t>
        </x:is>
      </x:c>
      <x:c r="F33" s="3" t="n">
        <x:v>1</x:v>
      </x:c>
      <x:c r="G33" s="3" t="inlineStr">
        <x:is>
          <x:t xml:space="preserve">-</x:t>
        </x:is>
      </x:c>
      <x:c r="H33" s="3" t="inlineStr">
        <x:is>
          <x:t xml:space="preserve"/>
        </x:is>
      </x:c>
      <x:c r="I33" s="3" t="inlineStr">
        <x:is>
          <x:t xml:space="preserve">(Shadow probe) Even without a formal process, do teams coordinate effectively in practice?</x:t>
        </x:is>
      </x:c>
      <x:c r="J33" s="3" t="inlineStr">
        <x:is>
          <x:t xml:space="preserve">This checks whether informal ‘muscle memory’ exists.</x:t>
        </x:is>
      </x:c>
      <x:c r="K33" s="3" t="inlineStr">
        <x:is>
          <x:t xml:space="preserve">Shadow probe; next=EXCO-D7-Q03</x:t>
        </x:is>
      </x:c>
      <x:c r="L33" s="3" t="inlineStr">
        <x:is>
          <x:t xml:space="preserve">OPS_STD</x:t>
        </x:is>
      </x:c>
      <x:c r="M33" s="3" t="n">
        <x:v>1</x:v>
      </x:c>
      <x:c r="N33" s="3" t="n"/>
      <x:c r="O33" s="3" t="n"/>
      <x:c r="P33" t="inlineStr">
        <x:is>
          <x:t xml:space="preserve">ShadowProbe</x:t>
        </x:is>
      </x:c>
      <x:c r="T33" t="inlineStr">
        <x:is>
          <x:t xml:space="preserve">EXCO-D7-Q03</x:t>
        </x:is>
      </x:c>
    </x:row>
    <x:row r="34">
      <x:c r="A34" s="3" t="inlineStr">
        <x:is>
          <x:t xml:space="preserve">EXCO-D7-Q03</x:t>
        </x:is>
      </x:c>
      <x:c r="B34" s="3" t="inlineStr">
        <x:is>
          <x:t xml:space="preserve">Executive</x:t>
        </x:is>
      </x:c>
      <x:c r="C34" s="3" t="inlineStr">
        <x:is>
          <x:t xml:space="preserve">T2</x:t>
        </x:is>
      </x:c>
      <x:c r="D34" s="3" t="inlineStr">
        <x:is>
          <x:t xml:space="preserve">7. Response &amp; Resilience</x:t>
        </x:is>
      </x:c>
      <x:c r="E34" s="3" t="inlineStr">
        <x:is>
          <x:t xml:space="preserve">R</x:t>
        </x:is>
      </x:c>
      <x:c r="F34" s="3" t="n">
        <x:v>0.7</x:v>
      </x:c>
      <x:c r="G34" s="3" t="inlineStr">
        <x:is>
          <x:t xml:space="preserve">E</x:t>
        </x:is>
      </x:c>
      <x:c r="H34" s="3" t="n">
        <x:v>0.3</x:v>
      </x:c>
      <x:c r="I34" s="3" t="inlineStr">
        <x:is>
          <x:t xml:space="preserve">Do we practise insider incident response (tabletop or drills) and track lessons learned?</x:t>
        </x:is>
      </x:c>
      <x:c r="J34" s="3" t="inlineStr">
        <x:is>
          <x:t xml:space="preserve">Practise can be short; the key is that improvements are captured and implemented.</x:t>
        </x:is>
      </x:c>
      <x:c r="K34" s="3" t="inlineStr">
        <x:is>
          <x:t xml:space="preserve">Drill-down; next=EXCO-D7-Q04</x:t>
        </x:is>
      </x:c>
      <x:c r="L34" s="3" t="inlineStr">
        <x:is>
          <x:t xml:space="preserve">OPS_STD</x:t>
        </x:is>
      </x:c>
      <x:c r="M34" s="3" t="n">
        <x:v>1</x:v>
      </x:c>
      <x:c r="N34" s="3" t="n"/>
      <x:c r="O34" s="3" t="n"/>
      <x:c r="P34" t="inlineStr">
        <x:is>
          <x:t xml:space="preserve">DrillDown</x:t>
        </x:is>
      </x:c>
      <x:c r="T34" t="inlineStr">
        <x:is>
          <x:t xml:space="preserve">EXCO-D7-Q04</x:t>
        </x:is>
      </x:c>
    </x:row>
    <x:row r="35">
      <x:c r="A35" s="3" t="inlineStr">
        <x:is>
          <x:t xml:space="preserve">EXCO-D7-Q04</x:t>
        </x:is>
      </x:c>
      <x:c r="B35" s="3" t="inlineStr">
        <x:is>
          <x:t xml:space="preserve">Executive</x:t>
        </x:is>
      </x:c>
      <x:c r="C35" s="3" t="inlineStr">
        <x:is>
          <x:t xml:space="preserve">T2</x:t>
        </x:is>
      </x:c>
      <x:c r="D35" s="3" t="inlineStr">
        <x:is>
          <x:t xml:space="preserve">7. Response &amp; Resilience</x:t>
        </x:is>
      </x:c>
      <x:c r="E35" s="3" t="inlineStr">
        <x:is>
          <x:t xml:space="preserve">L</x:t>
        </x:is>
      </x:c>
      <x:c r="F35" s="3" t="n">
        <x:v>0.5</x:v>
      </x:c>
      <x:c r="G35" s="3" t="inlineStr">
        <x:is>
          <x:t xml:space="preserve">R</x:t>
        </x:is>
      </x:c>
      <x:c r="H35" s="3" t="n">
        <x:v>0.5</x:v>
      </x:c>
      <x:c r="I35" s="3" t="inlineStr">
        <x:is>
          <x:t xml:space="preserve">Is there a plan for when to engage law enforcement or regulators (criteria, approvals, and communications)?</x:t>
        </x:is>
      </x:c>
      <x:c r="J35" s="3" t="inlineStr">
        <x:is>
          <x:t xml:space="preserve">This reduces chaos during high-stakes events.</x:t>
        </x:is>
      </x:c>
      <x:c r="K35" s="3" t="inlineStr">
        <x:is>
          <x:t xml:space="preserve">Drill-down; next=EXCO-D7-Q05</x:t>
        </x:is>
      </x:c>
      <x:c r="L35" s="3" t="inlineStr">
        <x:is>
          <x:t xml:space="preserve">LEG_STRICT</x:t>
        </x:is>
      </x:c>
      <x:c r="M35" s="3" t="n">
        <x:v>1</x:v>
      </x:c>
      <x:c r="N35" s="3" t="n"/>
      <x:c r="O35" s="3" t="n"/>
      <x:c r="P35" t="inlineStr">
        <x:is>
          <x:t xml:space="preserve">DrillDown</x:t>
        </x:is>
      </x:c>
      <x:c r="T35" t="inlineStr">
        <x:is>
          <x:t xml:space="preserve">EXCO-D7-Q05</x:t>
        </x:is>
      </x:c>
    </x:row>
    <x:row r="36">
      <x:c r="A36" s="3" t="inlineStr">
        <x:is>
          <x:t xml:space="preserve">EXCO-D7-Q05</x:t>
        </x:is>
      </x:c>
      <x:c r="B36" s="3" t="inlineStr">
        <x:is>
          <x:t xml:space="preserve">Executive</x:t>
        </x:is>
      </x:c>
      <x:c r="C36" s="3" t="inlineStr">
        <x:is>
          <x:t xml:space="preserve">T2</x:t>
        </x:is>
      </x:c>
      <x:c r="D36" s="3" t="inlineStr">
        <x:is>
          <x:t xml:space="preserve">7. Response &amp; Resilience</x:t>
        </x:is>
      </x:c>
      <x:c r="E36" s="3" t="inlineStr">
        <x:is>
          <x:t xml:space="preserve">H</x:t>
        </x:is>
      </x:c>
      <x:c r="F36" s="3" t="n">
        <x:v>0.5</x:v>
      </x:c>
      <x:c r="G36" s="3" t="inlineStr">
        <x:is>
          <x:t xml:space="preserve">R</x:t>
        </x:is>
      </x:c>
      <x:c r="H36" s="3" t="n">
        <x:v>0.5</x:v>
      </x:c>
      <x:c r="I36" s="3" t="inlineStr">
        <x:is>
          <x:t xml:space="preserve">After an insider incident, do we have a plan to restore trust (team health, communications, fairness, control changes)?</x:t>
        </x:is>
      </x:c>
      <x:c r="J36" s="3" t="inlineStr">
        <x:is>
          <x:t xml:space="preserve">Trust recovery is about avoiding long-term fear, blame, and productivity loss.</x:t>
        </x:is>
      </x:c>
      <x:c r="K36" s="3" t="inlineStr">
        <x:is>
          <x:t xml:space="preserve">Drill-down; next=EXCO-D8-Q01</x:t>
        </x:is>
      </x:c>
      <x:c r="L36" s="3" t="inlineStr">
        <x:is>
          <x:t xml:space="preserve">CULT_SOFT</x:t>
        </x:is>
      </x:c>
      <x:c r="M36" s="3" t="n">
        <x:v>1</x:v>
      </x:c>
      <x:c r="N36" s="3" t="n"/>
      <x:c r="O36" s="3" t="n"/>
      <x:c r="P36" t="inlineStr">
        <x:is>
          <x:t xml:space="preserve">DrillDown</x:t>
        </x:is>
      </x:c>
      <x:c r="T36" t="inlineStr">
        <x:is>
          <x:t xml:space="preserve">EXCO-D8-Q01</x:t>
        </x:is>
      </x:c>
    </x:row>
    <x:row r="37">
      <x:c r="A37" s="3" t="inlineStr">
        <x:is>
          <x:t xml:space="preserve">EXCO-D8-Q01</x:t>
        </x:is>
      </x:c>
      <x:c r="B37" s="3" t="inlineStr">
        <x:is>
          <x:t xml:space="preserve">Executive</x:t>
        </x:is>
      </x:c>
      <x:c r="C37" s="3" t="inlineStr">
        <x:is>
          <x:t xml:space="preserve">T1</x:t>
        </x:is>
      </x:c>
      <x:c r="D37" s="3" t="inlineStr">
        <x:is>
          <x:t xml:space="preserve">8. Performance &amp; Assurance</x:t>
        </x:is>
      </x:c>
      <x:c r="E37" s="3" t="inlineStr">
        <x:is>
          <x:t xml:space="preserve">G</x:t>
        </x:is>
      </x:c>
      <x:c r="F37" s="3" t="n">
        <x:v>0.6</x:v>
      </x:c>
      <x:c r="G37" s="3" t="inlineStr">
        <x:is>
          <x:t xml:space="preserve">R</x:t>
        </x:is>
      </x:c>
      <x:c r="H37" s="3" t="n">
        <x:v>0.4</x:v>
      </x:c>
      <x:c r="I37" s="3" t="inlineStr">
        <x:is>
          <x:t xml:space="preserve">How is insider risk performance reported to executives/board (what metrics, how often, and what decisions follow)?</x:t>
        </x:is>
      </x:c>
      <x:c r="J37" s="3" t="inlineStr">
        <x:is>
          <x:t xml:space="preserve">Look for useful metrics: time to triage, high-risk clusters reduced, coverage of sensitive assets, fairness indicators, and learning actions.</x:t>
        </x:is>
      </x:c>
      <x:c r="K37" s="3" t="inlineStr">
        <x:is>
          <x:t xml:space="preserve">Gatekeeper; if BaseScore&lt;2 -&gt; next=EXCO-D8-Q02; else next=EXCO-D8-Q03</x:t>
        </x:is>
      </x:c>
      <x:c r="L37" s="3" t="inlineStr">
        <x:is>
          <x:t xml:space="preserve">GOV_STD</x:t>
        </x:is>
      </x:c>
      <x:c r="M37" s="3" t="n">
        <x:v>1</x:v>
      </x:c>
      <x:c r="N37" s="3" t="n"/>
      <x:c r="O37" s="3" t="n"/>
      <x:c r="P37" t="inlineStr">
        <x:is>
          <x:t xml:space="preserve">Gatekeeper</x:t>
        </x:is>
      </x:c>
      <x:c r="Q37" t="n">
        <x:v>2</x:v>
      </x:c>
      <x:c r="R37" t="inlineStr">
        <x:is>
          <x:t xml:space="preserve">EXCO-D8-Q02</x:t>
        </x:is>
      </x:c>
      <x:c r="S37" t="inlineStr">
        <x:is>
          <x:t xml:space="preserve">EXCO-D8-Q03</x:t>
        </x:is>
      </x:c>
    </x:row>
    <x:row r="38">
      <x:c r="A38" s="3" t="inlineStr">
        <x:is>
          <x:t xml:space="preserve">EXCO-D8-Q02</x:t>
        </x:is>
      </x:c>
      <x:c r="B38" s="3" t="inlineStr">
        <x:is>
          <x:t xml:space="preserve">Executive</x:t>
        </x:is>
      </x:c>
      <x:c r="C38" s="3" t="inlineStr">
        <x:is>
          <x:t xml:space="preserve">T2</x:t>
        </x:is>
      </x:c>
      <x:c r="D38" s="3" t="inlineStr">
        <x:is>
          <x:t xml:space="preserve">8. Performance &amp; Assurance</x:t>
        </x:is>
      </x:c>
      <x:c r="E38" s="3" t="inlineStr">
        <x:is>
          <x:t xml:space="preserve">E</x:t>
        </x:is>
      </x:c>
      <x:c r="F38" s="3" t="n">
        <x:v>1</x:v>
      </x:c>
      <x:c r="G38" s="3" t="inlineStr">
        <x:is>
          <x:t xml:space="preserve">-</x:t>
        </x:is>
      </x:c>
      <x:c r="H38" s="3" t="inlineStr">
        <x:is>
          <x:t xml:space="preserve"/>
        </x:is>
      </x:c>
      <x:c r="I38" s="3" t="inlineStr">
        <x:is>
          <x:t xml:space="preserve">(Shadow probe) Do we review ‘near misses’ (things that almost became incidents) and use them to improve?</x:t>
        </x:is>
      </x:c>
      <x:c r="J38" s="3" t="inlineStr">
        <x:is>
          <x:t xml:space="preserve">Near misses are a strong indicator of learning culture and operational maturity.</x:t>
        </x:is>
      </x:c>
      <x:c r="K38" s="3" t="inlineStr">
        <x:is>
          <x:t xml:space="preserve">Shadow probe; next=EXCO-D8-Q03</x:t>
        </x:is>
      </x:c>
      <x:c r="L38" s="3" t="inlineStr">
        <x:is>
          <x:t xml:space="preserve">OPS_STD</x:t>
        </x:is>
      </x:c>
      <x:c r="M38" s="3" t="n">
        <x:v>1</x:v>
      </x:c>
      <x:c r="N38" s="3" t="n"/>
      <x:c r="O38" s="3" t="n"/>
      <x:c r="P38" t="inlineStr">
        <x:is>
          <x:t xml:space="preserve">ShadowProbe</x:t>
        </x:is>
      </x:c>
      <x:c r="T38" t="inlineStr">
        <x:is>
          <x:t xml:space="preserve">EXCO-D8-Q03</x:t>
        </x:is>
      </x:c>
    </x:row>
    <x:row r="39">
      <x:c r="A39" s="3" t="inlineStr">
        <x:is>
          <x:t xml:space="preserve">EXCO-D8-Q03</x:t>
        </x:is>
      </x:c>
      <x:c r="B39" s="3" t="inlineStr">
        <x:is>
          <x:t xml:space="preserve">Executive</x:t>
        </x:is>
      </x:c>
      <x:c r="C39" s="3" t="inlineStr">
        <x:is>
          <x:t xml:space="preserve">T2</x:t>
        </x:is>
      </x:c>
      <x:c r="D39" s="3" t="inlineStr">
        <x:is>
          <x:t xml:space="preserve">8. Performance &amp; Assurance</x:t>
        </x:is>
      </x:c>
      <x:c r="E39" s="3" t="inlineStr">
        <x:is>
          <x:t xml:space="preserve">G</x:t>
        </x:is>
      </x:c>
      <x:c r="F39" s="3" t="n">
        <x:v>0.5</x:v>
      </x:c>
      <x:c r="G39" s="3" t="inlineStr">
        <x:is>
          <x:t xml:space="preserve">R</x:t>
        </x:is>
      </x:c>
      <x:c r="H39" s="3" t="n">
        <x:v>0.5</x:v>
      </x:c>
      <x:c r="I39" s="3" t="inlineStr">
        <x:is>
          <x:t xml:space="preserve">How often is insider risk reviewed at executive/board level with clear decisions or actions?</x:t>
        </x:is>
      </x:c>
      <x:c r="J39" s="3" t="inlineStr">
        <x:is>
          <x:t xml:space="preserve">This is about cadence and accountability, not just presentations.</x:t>
        </x:is>
      </x:c>
      <x:c r="K39" s="3" t="inlineStr">
        <x:is>
          <x:t xml:space="preserve">Drill-down; next=EXCO-D8-Q04</x:t>
        </x:is>
      </x:c>
      <x:c r="L39" s="3" t="inlineStr">
        <x:is>
          <x:t xml:space="preserve">GOV_STD</x:t>
        </x:is>
      </x:c>
      <x:c r="M39" s="3" t="n">
        <x:v>1</x:v>
      </x:c>
      <x:c r="N39" s="3" t="n"/>
      <x:c r="O39" s="3" t="n"/>
      <x:c r="P39" t="inlineStr">
        <x:is>
          <x:t xml:space="preserve">DrillDown</x:t>
        </x:is>
      </x:c>
      <x:c r="T39" t="inlineStr">
        <x:is>
          <x:t xml:space="preserve">EXCO-D8-Q04</x:t>
        </x:is>
      </x:c>
    </x:row>
    <x:row r="40">
      <x:c r="A40" s="3" t="inlineStr">
        <x:is>
          <x:t xml:space="preserve">EXCO-D8-Q04</x:t>
        </x:is>
      </x:c>
      <x:c r="B40" s="3" t="inlineStr">
        <x:is>
          <x:t xml:space="preserve">Executive</x:t>
        </x:is>
      </x:c>
      <x:c r="C40" s="3" t="inlineStr">
        <x:is>
          <x:t xml:space="preserve">T3</x:t>
        </x:is>
      </x:c>
      <x:c r="D40" s="3" t="inlineStr">
        <x:is>
          <x:t xml:space="preserve">8. Performance &amp; Assurance</x:t>
        </x:is>
      </x:c>
      <x:c r="E40" s="3" t="inlineStr">
        <x:is>
          <x:t xml:space="preserve">G</x:t>
        </x:is>
      </x:c>
      <x:c r="F40" s="3" t="n">
        <x:v>0.5</x:v>
      </x:c>
      <x:c r="G40" s="3" t="inlineStr">
        <x:is>
          <x:t xml:space="preserve">R</x:t>
        </x:is>
      </x:c>
      <x:c r="H40" s="3" t="n">
        <x:v>0.5</x:v>
      </x:c>
      <x:c r="I40" s="3" t="inlineStr">
        <x:is>
          <x:t xml:space="preserve">Is there any independent assurance (internal audit, external review) that confirms reality matches what we report?</x:t>
        </x:is>
      </x:c>
      <x:c r="J40" s="3" t="inlineStr">
        <x:is>
          <x:t xml:space="preserve">This directly supports the Structural Integrity goal (avoid ‘paper dragon’).</x:t>
        </x:is>
      </x:c>
      <x:c r="K40" s="3" t="inlineStr">
        <x:is>
          <x:t xml:space="preserve">Drill-down; end</x:t>
        </x:is>
      </x:c>
      <x:c r="L40" s="3" t="inlineStr">
        <x:is>
          <x:t xml:space="preserve">GOV_STD</x:t>
        </x:is>
      </x:c>
      <x:c r="M40" s="3" t="n">
        <x:v>1</x:v>
      </x:c>
      <x:c r="N40" s="3" t="n"/>
      <x:c r="O40" s="3" t="n"/>
      <x:c r="P40" t="inlineStr">
        <x:is>
          <x:t xml:space="preserve">End</x:t>
        </x:is>
      </x:c>
      <x:c r="U40" t="inlineStr">
        <x:is>
          <x:t xml:space="preserve">Y</x:t>
        </x:is>
      </x:c>
    </x:row>
    <x:row r="41">
      <x:c r="A41" s="3" t="inlineStr">
        <x:is>
          <x:t xml:space="preserve">HR-D1-Q01</x:t>
        </x:is>
      </x:c>
      <x:c r="B41" s="3" t="inlineStr">
        <x:is>
          <x:t xml:space="preserve">HR</x:t>
        </x:is>
      </x:c>
      <x:c r="C41" s="3" t="inlineStr">
        <x:is>
          <x:t xml:space="preserve">T1</x:t>
        </x:is>
      </x:c>
      <x:c r="D41" s="3" t="inlineStr">
        <x:is>
          <x:t xml:space="preserve">1. HR Operating Model</x:t>
        </x:is>
      </x:c>
      <x:c r="E41" s="3" t="inlineStr">
        <x:is>
          <x:t xml:space="preserve">G</x:t>
        </x:is>
      </x:c>
      <x:c r="F41" s="3" t="n">
        <x:v>0.5</x:v>
      </x:c>
      <x:c r="G41" s="3" t="inlineStr">
        <x:is>
          <x:t xml:space="preserve">E</x:t>
        </x:is>
      </x:c>
      <x:c r="H41" s="3" t="n">
        <x:v>0.5</x:v>
      </x:c>
      <x:c r="I41" s="3" t="inlineStr">
        <x:is>
          <x:t xml:space="preserve">Is there a clear HR-facing mandate for insider risk (misuse, data theft, sabotage) and coordination with Security and Legal?</x:t>
        </x:is>
      </x:c>
      <x:c r="J41" s="3" t="inlineStr">
        <x:is>
          <x:t xml:space="preserve">Insider risk includes intentional or negligent harm by employees/contractors (e.g., data leakage, sabotage, fraud).</x:t>
        </x:is>
      </x:c>
      <x:c r="K41" s="3" t="inlineStr">
        <x:is>
          <x:t xml:space="preserve">Gatekeeper (If BaseScore &lt;2 → HR-D1-Q02; If ≥2 → HR-D1-Q03)</x:t>
        </x:is>
      </x:c>
      <x:c r="L41" s="3" t="inlineStr">
        <x:is>
          <x:t xml:space="preserve">GOV_STD</x:t>
        </x:is>
      </x:c>
      <x:c r="M41" s="3" t="n">
        <x:v>1</x:v>
      </x:c>
      <x:c r="N41" s="3" t="n"/>
      <x:c r="O41" s="3" t="n"/>
    </x:row>
    <x:row r="42">
      <x:c r="A42" s="3" t="inlineStr">
        <x:is>
          <x:t xml:space="preserve">HR-D1-Q02</x:t>
        </x:is>
      </x:c>
      <x:c r="B42" s="3" t="inlineStr">
        <x:is>
          <x:t xml:space="preserve">HR</x:t>
        </x:is>
      </x:c>
      <x:c r="C42" s="3" t="inlineStr">
        <x:is>
          <x:t xml:space="preserve">T2</x:t>
        </x:is>
      </x:c>
      <x:c r="D42" s="3" t="inlineStr">
        <x:is>
          <x:t xml:space="preserve">1. HR Operating Model</x:t>
        </x:is>
      </x:c>
      <x:c r="E42" s="3" t="inlineStr">
        <x:is>
          <x:t xml:space="preserve">E</x:t>
        </x:is>
      </x:c>
      <x:c r="F42" s="3" t="n">
        <x:v>1</x:v>
      </x:c>
      <x:c r="G42" s="3" t="inlineStr">
        <x:is>
          <x:t xml:space="preserve">-</x:t>
        </x:is>
      </x:c>
      <x:c r="H42" s="3" t="inlineStr">
        <x:is>
          <x:t xml:space="preserve"/>
        </x:is>
      </x:c>
      <x:c r="I42" s="3" t="inlineStr">
        <x:is>
          <x:t xml:space="preserve">(Shadow probe) Even without formal governance, do HR and Security coordinate quickly when a concern is raised?</x:t>
        </x:is>
      </x:c>
      <x:c r="J42" s="3" t="inlineStr">
        <x:is>
          <x:t xml:space="preserve">Checks real habits vs formal structure.</x:t>
        </x:is>
      </x:c>
      <x:c r="K42" s="3" t="inlineStr">
        <x:is>
          <x:t xml:space="preserve">Shadow fallback (Then → HR-D2-Q05)</x:t>
        </x:is>
      </x:c>
      <x:c r="L42" s="3" t="inlineStr">
        <x:is>
          <x:t xml:space="preserve">OPS_STD</x:t>
        </x:is>
      </x:c>
      <x:c r="M42" s="3" t="n">
        <x:v>1</x:v>
      </x:c>
      <x:c r="N42" s="3" t="n"/>
      <x:c r="O42" s="3" t="n"/>
    </x:row>
    <x:row r="43">
      <x:c r="A43" s="3" t="inlineStr">
        <x:is>
          <x:t xml:space="preserve">HR-D1-Q03</x:t>
        </x:is>
      </x:c>
      <x:c r="B43" s="3" t="inlineStr">
        <x:is>
          <x:t xml:space="preserve">HR</x:t>
        </x:is>
      </x:c>
      <x:c r="C43" s="3" t="inlineStr">
        <x:is>
          <x:t xml:space="preserve">T2</x:t>
        </x:is>
      </x:c>
      <x:c r="D43" s="3" t="inlineStr">
        <x:is>
          <x:t xml:space="preserve">1. HR Operating Model</x:t>
        </x:is>
      </x:c>
      <x:c r="E43" s="3" t="inlineStr">
        <x:is>
          <x:t xml:space="preserve">G</x:t>
        </x:is>
      </x:c>
      <x:c r="F43" s="3" t="n">
        <x:v>1</x:v>
      </x:c>
      <x:c r="G43" s="3" t="inlineStr">
        <x:is>
          <x:t xml:space="preserve">-</x:t>
        </x:is>
      </x:c>
      <x:c r="H43" s="3" t="inlineStr">
        <x:is>
          <x:t xml:space="preserve"/>
        </x:is>
      </x:c>
      <x:c r="I43" s="3" t="inlineStr">
        <x:is>
          <x:t xml:space="preserve">Who in HR is accountable for coordinating insider-risk prevention and people-side investigations?</x:t>
        </x:is>
      </x:c>
      <x:c r="J43" s="3" t="inlineStr">
        <x:is>
          <x:t xml:space="preserve">Accountable = ultimately responsible for ensuring the process happens.</x:t>
        </x:is>
      </x:c>
      <x:c r="K43" s="3" t="inlineStr">
        <x:is>
          <x:t xml:space="preserve">Drill-down</x:t>
        </x:is>
      </x:c>
      <x:c r="L43" s="3" t="inlineStr">
        <x:is>
          <x:t xml:space="preserve">GOV_STD</x:t>
        </x:is>
      </x:c>
      <x:c r="M43" s="3" t="n">
        <x:v>1</x:v>
      </x:c>
      <x:c r="N43" s="3" t="n"/>
      <x:c r="O43" s="3" t="n"/>
    </x:row>
    <x:row r="44">
      <x:c r="A44" s="3" t="inlineStr">
        <x:is>
          <x:t xml:space="preserve">HR-D1-Q04</x:t>
        </x:is>
      </x:c>
      <x:c r="B44" s="3" t="inlineStr">
        <x:is>
          <x:t xml:space="preserve">HR</x:t>
        </x:is>
      </x:c>
      <x:c r="C44" s="3" t="inlineStr">
        <x:is>
          <x:t xml:space="preserve">T3</x:t>
        </x:is>
      </x:c>
      <x:c r="D44" s="3" t="inlineStr">
        <x:is>
          <x:t xml:space="preserve">1. HR Operating Model</x:t>
        </x:is>
      </x:c>
      <x:c r="E44" s="3" t="inlineStr">
        <x:is>
          <x:t xml:space="preserve">R</x:t>
        </x:is>
      </x:c>
      <x:c r="F44" s="3" t="n">
        <x:v>0.5</x:v>
      </x:c>
      <x:c r="G44" s="3" t="inlineStr">
        <x:is>
          <x:t xml:space="preserve">L</x:t>
        </x:is>
      </x:c>
      <x:c r="H44" s="3" t="n">
        <x:v>0.5</x:v>
      </x:c>
      <x:c r="I44" s="3" t="inlineStr">
        <x:is>
          <x:t xml:space="preserve">Is there a documented, fair cross-functional case workflow (HR + Legal/Privacy + Security) with clear decision rights and timelines?</x:t>
        </x:is>
      </x:c>
      <x:c r="J44" s="3" t="inlineStr">
        <x:is>
          <x:t xml:space="preserve">Focus on fairness, confidentiality, proportionality, and approvals for sensitive data use.</x:t>
        </x:is>
      </x:c>
      <x:c r="K44" s="3" t="inlineStr">
        <x:is>
          <x:t xml:space="preserve">Business-proofing</x:t>
        </x:is>
      </x:c>
      <x:c r="L44" s="3" t="inlineStr">
        <x:is>
          <x:t xml:space="preserve">LEG_STRICT</x:t>
        </x:is>
      </x:c>
      <x:c r="M44" s="3" t="n">
        <x:v>1</x:v>
      </x:c>
      <x:c r="N44" s="3" t="n"/>
      <x:c r="O44" s="3" t="n"/>
    </x:row>
    <x:row r="45">
      <x:c r="A45" s="3" t="inlineStr">
        <x:is>
          <x:t xml:space="preserve">HR-D2-Q05</x:t>
        </x:is>
      </x:c>
      <x:c r="B45" s="3" t="inlineStr">
        <x:is>
          <x:t xml:space="preserve">HR</x:t>
        </x:is>
      </x:c>
      <x:c r="C45" s="3" t="inlineStr">
        <x:is>
          <x:t xml:space="preserve">T1</x:t>
        </x:is>
      </x:c>
      <x:c r="D45" s="3" t="inlineStr">
        <x:is>
          <x:t xml:space="preserve">2. Protected Reporting</x:t>
        </x:is>
      </x:c>
      <x:c r="E45" s="3" t="inlineStr">
        <x:is>
          <x:t xml:space="preserve">H</x:t>
        </x:is>
      </x:c>
      <x:c r="F45" s="3" t="n">
        <x:v>0.6</x:v>
      </x:c>
      <x:c r="G45" s="3" t="inlineStr">
        <x:is>
          <x:t xml:space="preserve">L</x:t>
        </x:is>
      </x:c>
      <x:c r="H45" s="3" t="n">
        <x:v>0.4</x:v>
      </x:c>
      <x:c r="I45" s="3" t="inlineStr">
        <x:is>
          <x:t xml:space="preserve">Do employees and contractors have safe ways to raise concerns (including about peers or managers) and are they protected from retaliation?</x:t>
        </x:is>
      </x:c>
      <x:c r="J45" s="3" t="inlineStr">
        <x:is>
          <x:t xml:space="preserve">Include hotline/ombuds/HR channels. Protected = non-retaliation rules + process.</x:t>
        </x:is>
      </x:c>
      <x:c r="K45" s="3" t="inlineStr">
        <x:is>
          <x:t xml:space="preserve">Gatekeeper (If BaseScore &lt;2 → HR-D2-Q06; If ≥2 → HR-D2-Q07)</x:t>
        </x:is>
      </x:c>
      <x:c r="L45" s="3" t="inlineStr">
        <x:is>
          <x:t xml:space="preserve">LEG_STRICT</x:t>
        </x:is>
      </x:c>
      <x:c r="M45" s="3" t="n">
        <x:v>1</x:v>
      </x:c>
      <x:c r="N45" s="3" t="n"/>
      <x:c r="O45" s="3" t="n"/>
    </x:row>
    <x:row r="46">
      <x:c r="A46" s="3" t="inlineStr">
        <x:is>
          <x:t xml:space="preserve">HR-D2-Q06</x:t>
        </x:is>
      </x:c>
      <x:c r="B46" s="3" t="inlineStr">
        <x:is>
          <x:t xml:space="preserve">HR</x:t>
        </x:is>
      </x:c>
      <x:c r="C46" s="3" t="inlineStr">
        <x:is>
          <x:t xml:space="preserve">T2</x:t>
        </x:is>
      </x:c>
      <x:c r="D46" s="3" t="inlineStr">
        <x:is>
          <x:t xml:space="preserve">2. Protected Reporting</x:t>
        </x:is>
      </x:c>
      <x:c r="E46" s="3" t="inlineStr">
        <x:is>
          <x:t xml:space="preserve">H</x:t>
        </x:is>
      </x:c>
      <x:c r="F46" s="3" t="n">
        <x:v>1</x:v>
      </x:c>
      <x:c r="G46" s="3" t="inlineStr">
        <x:is>
          <x:t xml:space="preserve">-</x:t>
        </x:is>
      </x:c>
      <x:c r="H46" s="3" t="inlineStr">
        <x:is>
          <x:t xml:space="preserve"/>
        </x:is>
      </x:c>
      <x:c r="I46" s="3" t="inlineStr">
        <x:is>
          <x:t xml:space="preserve">(Shadow probe) If there is no formal channel, how do concerns actually get raised today?</x:t>
        </x:is>
      </x:c>
      <x:c r="J46" s="3" t="inlineStr">
        <x:is>
          <x:t xml:space="preserve">Captures practical reality in low-maturity settings.</x:t>
        </x:is>
      </x:c>
      <x:c r="K46" s="3" t="inlineStr">
        <x:is>
          <x:t xml:space="preserve">Shadow fallback (Then → HR-D3-Q09)</x:t>
        </x:is>
      </x:c>
      <x:c r="L46" s="3" t="inlineStr">
        <x:is>
          <x:t xml:space="preserve">CULT_SOFT</x:t>
        </x:is>
      </x:c>
      <x:c r="M46" s="3" t="n">
        <x:v>1.5</x:v>
      </x:c>
      <x:c r="N46" s="3" t="n">
        <x:v>0.5</x:v>
      </x:c>
      <x:c r="O46" s="3" t="n"/>
    </x:row>
    <x:row r="47">
      <x:c r="A47" s="3" t="inlineStr">
        <x:is>
          <x:t xml:space="preserve">HR-D2-Q07</x:t>
        </x:is>
      </x:c>
      <x:c r="B47" s="3" t="inlineStr">
        <x:is>
          <x:t xml:space="preserve">HR</x:t>
        </x:is>
      </x:c>
      <x:c r="C47" s="3" t="inlineStr">
        <x:is>
          <x:t xml:space="preserve">T2</x:t>
        </x:is>
      </x:c>
      <x:c r="D47" s="3" t="inlineStr">
        <x:is>
          <x:t xml:space="preserve">2. Protected Reporting</x:t>
        </x:is>
      </x:c>
      <x:c r="E47" s="3" t="inlineStr">
        <x:is>
          <x:t xml:space="preserve">L</x:t>
        </x:is>
      </x:c>
      <x:c r="F47" s="3" t="n">
        <x:v>0.5</x:v>
      </x:c>
      <x:c r="G47" s="3" t="inlineStr">
        <x:is>
          <x:t xml:space="preserve">H</x:t>
        </x:is>
      </x:c>
      <x:c r="H47" s="3" t="n">
        <x:v>0.5</x:v>
      </x:c>
      <x:c r="I47" s="3" t="inlineStr">
        <x:is>
          <x:t xml:space="preserve">How do you prevent and respond to retaliation against reporters (or witnesses)?</x:t>
        </x:is>
      </x:c>
      <x:c r="J47" s="3" t="inlineStr">
        <x:is>
          <x:t xml:space="preserve">Include policy, manager training, investigation steps, and consequences.</x:t>
        </x:is>
      </x:c>
      <x:c r="K47" s="3" t="inlineStr">
        <x:is>
          <x:t xml:space="preserve">Drill-down</x:t>
        </x:is>
      </x:c>
      <x:c r="L47" s="3" t="inlineStr">
        <x:is>
          <x:t xml:space="preserve">LEG_STRICT</x:t>
        </x:is>
      </x:c>
      <x:c r="M47" s="3" t="n">
        <x:v>1.5</x:v>
      </x:c>
      <x:c r="N47" s="3" t="n">
        <x:v>0.5</x:v>
      </x:c>
      <x:c r="O47" s="3" t="n"/>
    </x:row>
    <x:row r="48">
      <x:c r="A48" s="3" t="inlineStr">
        <x:is>
          <x:t xml:space="preserve">HR-D2-Q08</x:t>
        </x:is>
      </x:c>
      <x:c r="B48" s="3" t="inlineStr">
        <x:is>
          <x:t xml:space="preserve">HR</x:t>
        </x:is>
      </x:c>
      <x:c r="C48" s="3" t="inlineStr">
        <x:is>
          <x:t xml:space="preserve">T3</x:t>
        </x:is>
      </x:c>
      <x:c r="D48" s="3" t="inlineStr">
        <x:is>
          <x:t xml:space="preserve">2. Protected Reporting</x:t>
        </x:is>
      </x:c>
      <x:c r="E48" s="3" t="inlineStr">
        <x:is>
          <x:t xml:space="preserve">E</x:t>
        </x:is>
      </x:c>
      <x:c r="F48" s="3" t="n">
        <x:v>1</x:v>
      </x:c>
      <x:c r="G48" s="3" t="inlineStr">
        <x:is>
          <x:t xml:space="preserve">-</x:t>
        </x:is>
      </x:c>
      <x:c r="H48" s="3" t="inlineStr">
        <x:is>
          <x:t xml:space="preserve"/>
        </x:is>
      </x:c>
      <x:c r="I48" s="3" t="inlineStr">
        <x:is>
          <x:t xml:space="preserve">When a report is made, how quickly is it acknowledged, triaged, and progressed (with appropriate confidentiality)?</x:t>
        </x:is>
      </x:c>
      <x:c r="J48" s="3" t="inlineStr">
        <x:is>
          <x:t xml:space="preserve">Focus on typical timelines; aggregated evidence is sufficient.</x:t>
        </x:is>
      </x:c>
      <x:c r="K48" s="3" t="inlineStr">
        <x:is>
          <x:t xml:space="preserve">Business-proofing</x:t>
        </x:is>
      </x:c>
      <x:c r="L48" s="3" t="inlineStr">
        <x:is>
          <x:t xml:space="preserve">OPS_STD</x:t>
        </x:is>
      </x:c>
      <x:c r="M48" s="3" t="n">
        <x:v>1</x:v>
      </x:c>
      <x:c r="N48" s="3" t="n"/>
      <x:c r="O48" s="3" t="n"/>
    </x:row>
    <x:row r="49">
      <x:c r="A49" s="3" t="inlineStr">
        <x:is>
          <x:t xml:space="preserve">HR-D3-Q09</x:t>
        </x:is>
      </x:c>
      <x:c r="B49" s="3" t="inlineStr">
        <x:is>
          <x:t xml:space="preserve">HR</x:t>
        </x:is>
      </x:c>
      <x:c r="C49" s="3" t="inlineStr">
        <x:is>
          <x:t xml:space="preserve">T1</x:t>
        </x:is>
      </x:c>
      <x:c r="D49" s="3" t="inlineStr">
        <x:is>
          <x:t xml:space="preserve">3. Manager Capability &amp; Culture</x:t>
        </x:is>
      </x:c>
      <x:c r="E49" s="3" t="inlineStr">
        <x:is>
          <x:t xml:space="preserve">H</x:t>
        </x:is>
      </x:c>
      <x:c r="F49" s="3" t="n">
        <x:v>0.5</x:v>
      </x:c>
      <x:c r="G49" s="3" t="inlineStr">
        <x:is>
          <x:t xml:space="preserve">E</x:t>
        </x:is>
      </x:c>
      <x:c r="H49" s="3" t="n">
        <x:v>0.5</x:v>
      </x:c>
      <x:c r="I49" s="3" t="inlineStr">
        <x:is>
          <x:t xml:space="preserve">Are managers trained and expected to escalate people-related risk signals (conflict, distress, policy breaches) in a consistent way?</x:t>
        </x:is>
      </x:c>
      <x:c r="J49" s="3" t="inlineStr">
        <x:is>
          <x:t xml:space="preserve">Early intervention + knowing who to contact; avoid clinical labels.</x:t>
        </x:is>
      </x:c>
      <x:c r="K49" s="3" t="inlineStr">
        <x:is>
          <x:t xml:space="preserve">Gatekeeper (If BaseScore &lt;2 → HR-D3-Q10; If ≥2 → HR-D3-Q11)</x:t>
        </x:is>
      </x:c>
      <x:c r="L49" s="3" t="inlineStr">
        <x:is>
          <x:t xml:space="preserve">CULT_SOFT</x:t>
        </x:is>
      </x:c>
      <x:c r="M49" s="3" t="n">
        <x:v>1</x:v>
      </x:c>
      <x:c r="N49" s="3" t="n"/>
      <x:c r="O49" s="3" t="n"/>
    </x:row>
    <x:row r="50">
      <x:c r="A50" s="3" t="inlineStr">
        <x:is>
          <x:t xml:space="preserve">HR-D3-Q10</x:t>
        </x:is>
      </x:c>
      <x:c r="B50" s="3" t="inlineStr">
        <x:is>
          <x:t xml:space="preserve">HR</x:t>
        </x:is>
      </x:c>
      <x:c r="C50" s="3" t="inlineStr">
        <x:is>
          <x:t xml:space="preserve">T2</x:t>
        </x:is>
      </x:c>
      <x:c r="D50" s="3" t="inlineStr">
        <x:is>
          <x:t xml:space="preserve">3. Manager Capability &amp; Culture</x:t>
        </x:is>
      </x:c>
      <x:c r="E50" s="3" t="inlineStr">
        <x:is>
          <x:t xml:space="preserve">E</x:t>
        </x:is>
      </x:c>
      <x:c r="F50" s="3" t="n">
        <x:v>1</x:v>
      </x:c>
      <x:c r="G50" s="3" t="inlineStr">
        <x:is>
          <x:t xml:space="preserve">-</x:t>
        </x:is>
      </x:c>
      <x:c r="H50" s="3" t="inlineStr">
        <x:is>
          <x:t xml:space="preserve"/>
        </x:is>
      </x:c>
      <x:c r="I50" s="3" t="inlineStr">
        <x:is>
          <x:t xml:space="preserve">(Shadow probe) In practice, do managers know who to contact and do they use that path when something is 'off'?</x:t>
        </x:is>
      </x:c>
      <x:c r="J50" s="3" t="inlineStr">
        <x:is>
          <x:t xml:space="preserve">Checks whether escalation works in real life.</x:t>
        </x:is>
      </x:c>
      <x:c r="K50" s="3" t="inlineStr">
        <x:is>
          <x:t xml:space="preserve">Shadow fallback (Then → HR-D4-Q13)</x:t>
        </x:is>
      </x:c>
      <x:c r="L50" s="3" t="inlineStr">
        <x:is>
          <x:t xml:space="preserve">OPS_STD</x:t>
        </x:is>
      </x:c>
      <x:c r="M50" s="3" t="n">
        <x:v>1</x:v>
      </x:c>
      <x:c r="N50" s="3" t="n"/>
      <x:c r="O50" s="3" t="n"/>
    </x:row>
    <x:row r="51">
      <x:c r="A51" s="3" t="inlineStr">
        <x:is>
          <x:t xml:space="preserve">HR-D3-Q11</x:t>
        </x:is>
      </x:c>
      <x:c r="B51" s="3" t="inlineStr">
        <x:is>
          <x:t xml:space="preserve">HR</x:t>
        </x:is>
      </x:c>
      <x:c r="C51" s="3" t="inlineStr">
        <x:is>
          <x:t xml:space="preserve">T2</x:t>
        </x:is>
      </x:c>
      <x:c r="D51" s="3" t="inlineStr">
        <x:is>
          <x:t xml:space="preserve">3. Manager Capability &amp; Culture</x:t>
        </x:is>
      </x:c>
      <x:c r="E51" s="3" t="inlineStr">
        <x:is>
          <x:t xml:space="preserve">H</x:t>
        </x:is>
      </x:c>
      <x:c r="F51" s="3" t="n">
        <x:v>1</x:v>
      </x:c>
      <x:c r="G51" s="3" t="inlineStr">
        <x:is>
          <x:t xml:space="preserve">-</x:t>
        </x:is>
      </x:c>
      <x:c r="H51" s="3" t="inlineStr">
        <x:is>
          <x:t xml:space="preserve"/>
        </x:is>
      </x:c>
      <x:c r="I51" s="3" t="inlineStr">
        <x:is>
          <x:t xml:space="preserve">Do you measure speak-up / trust / psychological safety and act on results?</x:t>
        </x:is>
      </x:c>
      <x:c r="J51" s="3" t="inlineStr">
        <x:is>
          <x:t xml:space="preserve">Measurement without action is not mature.</x:t>
        </x:is>
      </x:c>
      <x:c r="K51" s="3" t="inlineStr">
        <x:is>
          <x:t xml:space="preserve">Drill-down</x:t>
        </x:is>
      </x:c>
      <x:c r="L51" s="3" t="inlineStr">
        <x:is>
          <x:t xml:space="preserve">CULT_SOFT</x:t>
        </x:is>
      </x:c>
      <x:c r="M51" s="3" t="n">
        <x:v>1.5</x:v>
      </x:c>
      <x:c r="N51" s="3" t="n">
        <x:v>0.5</x:v>
      </x:c>
      <x:c r="O51" s="3" t="n"/>
    </x:row>
    <x:row r="52">
      <x:c r="A52" s="3" t="inlineStr">
        <x:is>
          <x:t xml:space="preserve">HR-D3-Q12</x:t>
        </x:is>
      </x:c>
      <x:c r="B52" s="3" t="inlineStr">
        <x:is>
          <x:t xml:space="preserve">HR</x:t>
        </x:is>
      </x:c>
      <x:c r="C52" s="3" t="inlineStr">
        <x:is>
          <x:t xml:space="preserve">T3</x:t>
        </x:is>
      </x:c>
      <x:c r="D52" s="3" t="inlineStr">
        <x:is>
          <x:t xml:space="preserve">3. Manager Capability &amp; Culture</x:t>
        </x:is>
      </x:c>
      <x:c r="E52" s="3" t="inlineStr">
        <x:is>
          <x:t xml:space="preserve">H</x:t>
        </x:is>
      </x:c>
      <x:c r="F52" s="3" t="n">
        <x:v>0.7</x:v>
      </x:c>
      <x:c r="G52" s="3" t="inlineStr">
        <x:is>
          <x:t xml:space="preserve">F</x:t>
        </x:is>
      </x:c>
      <x:c r="H52" s="3" t="n">
        <x:v>0.3</x:v>
      </x:c>
      <x:c r="I52" s="3" t="inlineStr">
        <x:is>
          <x:t xml:space="preserve">How is positive, risk-reducing behavior reinforced (e.g., reporting near-misses, using approved tools) without creating fear or blame?</x:t>
        </x:is>
      </x:c>
      <x:c r="J52" s="3" t="inlineStr">
        <x:is>
          <x:t xml:space="preserve">Recognition + learning loops; avoid name-and-shame.</x:t>
        </x:is>
      </x:c>
      <x:c r="K52" s="3" t="inlineStr">
        <x:is>
          <x:t xml:space="preserve">Business-proofing</x:t>
        </x:is>
      </x:c>
      <x:c r="L52" s="3" t="inlineStr">
        <x:is>
          <x:t xml:space="preserve">CULT_SOFT</x:t>
        </x:is>
      </x:c>
      <x:c r="M52" s="3" t="n">
        <x:v>1</x:v>
      </x:c>
      <x:c r="N52" s="3" t="n"/>
      <x:c r="O52" s="3" t="n"/>
    </x:row>
    <x:row r="53">
      <x:c r="A53" s="3" t="inlineStr">
        <x:is>
          <x:t xml:space="preserve">HR-D4-Q13</x:t>
        </x:is>
      </x:c>
      <x:c r="B53" s="3" t="inlineStr">
        <x:is>
          <x:t xml:space="preserve">HR</x:t>
        </x:is>
      </x:c>
      <x:c r="C53" s="3" t="inlineStr">
        <x:is>
          <x:t xml:space="preserve">T1</x:t>
        </x:is>
      </x:c>
      <x:c r="D53" s="3" t="inlineStr">
        <x:is>
          <x:t xml:space="preserve">4. Joiner-Mover-Leaver</x:t>
        </x:is>
      </x:c>
      <x:c r="E53" s="3" t="inlineStr">
        <x:is>
          <x:t xml:space="preserve">E</x:t>
        </x:is>
      </x:c>
      <x:c r="F53" s="3" t="n">
        <x:v>0.8</x:v>
      </x:c>
      <x:c r="G53" s="3" t="inlineStr">
        <x:is>
          <x:t xml:space="preserve">R</x:t>
        </x:is>
      </x:c>
      <x:c r="H53" s="3" t="n">
        <x:v>0.2</x:v>
      </x:c>
      <x:c r="I53" s="3" t="inlineStr">
        <x:is>
          <x:t xml:space="preserve">How reliably are joiner/mover/leaver changes coordinated with IT/IAM so access is granted/changed/removed on time?</x:t>
        </x:is>
      </x:c>
      <x:c r="J53" s="3" t="inlineStr">
        <x:is>
          <x:t xml:space="preserve">Includes employees and contractors.</x:t>
        </x:is>
      </x:c>
      <x:c r="K53" s="3" t="inlineStr">
        <x:is>
          <x:t xml:space="preserve">Gatekeeper (If BaseScore &lt;2 → HR-D4-Q14; If ≥2 → HR-D4-Q15)</x:t>
        </x:is>
      </x:c>
      <x:c r="L53" s="3" t="inlineStr">
        <x:is>
          <x:t xml:space="preserve">OPS_STD</x:t>
        </x:is>
      </x:c>
      <x:c r="M53" s="3" t="n">
        <x:v>1</x:v>
      </x:c>
      <x:c r="N53" s="3" t="n"/>
      <x:c r="O53" s="3" t="n"/>
    </x:row>
    <x:row r="54">
      <x:c r="A54" s="3" t="inlineStr">
        <x:is>
          <x:t xml:space="preserve">HR-D4-Q14</x:t>
        </x:is>
      </x:c>
      <x:c r="B54" s="3" t="inlineStr">
        <x:is>
          <x:t xml:space="preserve">HR</x:t>
        </x:is>
      </x:c>
      <x:c r="C54" s="3" t="inlineStr">
        <x:is>
          <x:t xml:space="preserve">T2</x:t>
        </x:is>
      </x:c>
      <x:c r="D54" s="3" t="inlineStr">
        <x:is>
          <x:t xml:space="preserve">4. Joiner-Mover-Leaver</x:t>
        </x:is>
      </x:c>
      <x:c r="E54" s="3" t="inlineStr">
        <x:is>
          <x:t xml:space="preserve">E</x:t>
        </x:is>
      </x:c>
      <x:c r="F54" s="3" t="n">
        <x:v>1</x:v>
      </x:c>
      <x:c r="G54" s="3" t="inlineStr">
        <x:is>
          <x:t xml:space="preserve">-</x:t>
        </x:is>
      </x:c>
      <x:c r="H54" s="3" t="inlineStr">
        <x:is>
          <x:t xml:space="preserve"/>
        </x:is>
      </x:c>
      <x:c r="I54" s="3" t="inlineStr">
        <x:is>
          <x:t xml:space="preserve">(Shadow probe) If the process is informal, how do you ensure leaver/role-change access is removed quickly in practice?</x:t>
        </x:is>
      </x:c>
      <x:c r="J54" s="3" t="inlineStr">
        <x:is>
          <x:t xml:space="preserve">Captures reality: who calls whom and typical time to remove access.</x:t>
        </x:is>
      </x:c>
      <x:c r="K54" s="3" t="inlineStr">
        <x:is>
          <x:t xml:space="preserve">Shadow fallback (Then → HR-D5-Q17)</x:t>
        </x:is>
      </x:c>
      <x:c r="L54" s="3" t="inlineStr">
        <x:is>
          <x:t xml:space="preserve">OPS_STD</x:t>
        </x:is>
      </x:c>
      <x:c r="M54" s="3" t="n">
        <x:v>1</x:v>
      </x:c>
      <x:c r="N54" s="3" t="n"/>
      <x:c r="O54" s="3" t="n"/>
    </x:row>
    <x:row r="55">
      <x:c r="A55" s="3" t="inlineStr">
        <x:is>
          <x:t xml:space="preserve">HR-D4-Q15</x:t>
        </x:is>
      </x:c>
      <x:c r="B55" s="3" t="inlineStr">
        <x:is>
          <x:t xml:space="preserve">HR</x:t>
        </x:is>
      </x:c>
      <x:c r="C55" s="3" t="inlineStr">
        <x:is>
          <x:t xml:space="preserve">T2</x:t>
        </x:is>
      </x:c>
      <x:c r="D55" s="3" t="inlineStr">
        <x:is>
          <x:t xml:space="preserve">4. Joiner-Mover-Leaver</x:t>
        </x:is>
      </x:c>
      <x:c r="E55" s="3" t="inlineStr">
        <x:is>
          <x:t xml:space="preserve">W</x:t>
        </x:is>
      </x:c>
      <x:c r="F55" s="3" t="n">
        <x:v>0.6</x:v>
      </x:c>
      <x:c r="G55" s="3" t="inlineStr">
        <x:is>
          <x:t xml:space="preserve">L</x:t>
        </x:is>
      </x:c>
      <x:c r="H55" s="3" t="n">
        <x:v>0.4</x:v>
      </x:c>
      <x:c r="I55" s="3" t="inlineStr">
        <x:is>
          <x:t xml:space="preserve">Do you have a defined process for higher-risk departures or role changes (e.g., privileged users, finance, R&amp;D, disputes)?</x:t>
        </x:is>
      </x:c>
      <x:c r="J55" s="3" t="inlineStr">
        <x:is>
          <x:t xml:space="preserve">Higher-risk = access to sensitive systems/data or elevated conflict. Keep proportionality and fairness.</x:t>
        </x:is>
      </x:c>
      <x:c r="K55" s="3" t="inlineStr">
        <x:is>
          <x:t xml:space="preserve">Drill-down</x:t>
        </x:is>
      </x:c>
      <x:c r="L55" s="3" t="inlineStr">
        <x:is>
          <x:t xml:space="preserve">RISK_STD</x:t>
        </x:is>
      </x:c>
      <x:c r="M55" s="3" t="n">
        <x:v>1.5</x:v>
      </x:c>
      <x:c r="N55" s="3" t="n">
        <x:v>0.5</x:v>
      </x:c>
      <x:c r="O55" s="3" t="n"/>
    </x:row>
    <x:row r="56">
      <x:c r="A56" s="3" t="inlineStr">
        <x:is>
          <x:t xml:space="preserve">HR-D4-Q16</x:t>
        </x:is>
      </x:c>
      <x:c r="B56" s="3" t="inlineStr">
        <x:is>
          <x:t xml:space="preserve">HR</x:t>
        </x:is>
      </x:c>
      <x:c r="C56" s="3" t="inlineStr">
        <x:is>
          <x:t xml:space="preserve">T3</x:t>
        </x:is>
      </x:c>
      <x:c r="D56" s="3" t="inlineStr">
        <x:is>
          <x:t xml:space="preserve">4. Joiner-Mover-Leaver</x:t>
        </x:is>
      </x:c>
      <x:c r="E56" s="3" t="inlineStr">
        <x:is>
          <x:t xml:space="preserve">L</x:t>
        </x:is>
      </x:c>
      <x:c r="F56" s="3" t="n">
        <x:v>0.6</x:v>
      </x:c>
      <x:c r="G56" s="3" t="inlineStr">
        <x:is>
          <x:t xml:space="preserve">H</x:t>
        </x:is>
      </x:c>
      <x:c r="H56" s="3" t="n">
        <x:v>0.4</x:v>
      </x:c>
      <x:c r="I56" s="3" t="inlineStr">
        <x:is>
          <x:t xml:space="preserve">How do you confirm departing staff understand ongoing obligations (confidentiality, data return) in clear, plain language?</x:t>
        </x:is>
      </x:c>
      <x:c r="J56" s="3" t="inlineStr">
        <x:is>
          <x:t xml:space="preserve">Not legalese: clarity + fairness + return verification.</x:t>
        </x:is>
      </x:c>
      <x:c r="K56" s="3" t="inlineStr">
        <x:is>
          <x:t xml:space="preserve">Business-proofing</x:t>
        </x:is>
      </x:c>
      <x:c r="L56" s="3" t="inlineStr">
        <x:is>
          <x:t xml:space="preserve">LEG_STRICT</x:t>
        </x:is>
      </x:c>
      <x:c r="M56" s="3" t="n">
        <x:v>1.5</x:v>
      </x:c>
      <x:c r="N56" s="3" t="n">
        <x:v>0.5</x:v>
      </x:c>
      <x:c r="O56" s="3" t="n"/>
    </x:row>
    <x:row r="57">
      <x:c r="A57" s="3" t="inlineStr">
        <x:is>
          <x:t xml:space="preserve">HR-D5-Q17</x:t>
        </x:is>
      </x:c>
      <x:c r="B57" s="3" t="inlineStr">
        <x:is>
          <x:t xml:space="preserve">HR</x:t>
        </x:is>
      </x:c>
      <x:c r="C57" s="3" t="inlineStr">
        <x:is>
          <x:t xml:space="preserve">T1</x:t>
        </x:is>
      </x:c>
      <x:c r="D57" s="3" t="inlineStr">
        <x:is>
          <x:t xml:space="preserve">5. Friction &amp; Workarounds</x:t>
        </x:is>
      </x:c>
      <x:c r="E57" s="3" t="inlineStr">
        <x:is>
          <x:t xml:space="preserve">F</x:t>
        </x:is>
      </x:c>
      <x:c r="F57" s="3" t="n">
        <x:v>1</x:v>
      </x:c>
      <x:c r="G57" s="3" t="inlineStr">
        <x:is>
          <x:t xml:space="preserve">-</x:t>
        </x:is>
      </x:c>
      <x:c r="H57" s="3" t="inlineStr">
        <x:is>
          <x:t xml:space="preserve"/>
        </x:is>
      </x:c>
      <x:c r="I57" s="3" t="inlineStr">
        <x:is>
          <x:t xml:space="preserve">Do security controls create productivity issues that lead to workarounds, and is there a way to fix root causes quickly?</x:t>
        </x:is>
      </x:c>
      <x:c r="J57" s="3" t="inlineStr">
        <x:is>
          <x:t xml:space="preserve">Friction management = listen, prioritise fixes, reduce bypass pressure.</x:t>
        </x:is>
      </x:c>
      <x:c r="K57" s="3" t="inlineStr">
        <x:is>
          <x:t xml:space="preserve">Gatekeeper (If BaseScore &lt;2 → HR-D5-Q18; If ≥2 → HR-D5-Q19)</x:t>
        </x:is>
      </x:c>
      <x:c r="L57" s="3" t="inlineStr">
        <x:is>
          <x:t xml:space="preserve">OPS_STD</x:t>
        </x:is>
      </x:c>
      <x:c r="M57" s="3" t="n">
        <x:v>1</x:v>
      </x:c>
      <x:c r="N57" s="3" t="n"/>
      <x:c r="O57" s="3" t="n"/>
    </x:row>
    <x:row r="58">
      <x:c r="A58" s="3" t="inlineStr">
        <x:is>
          <x:t xml:space="preserve">HR-D5-Q18</x:t>
        </x:is>
      </x:c>
      <x:c r="B58" s="3" t="inlineStr">
        <x:is>
          <x:t xml:space="preserve">HR</x:t>
        </x:is>
      </x:c>
      <x:c r="C58" s="3" t="inlineStr">
        <x:is>
          <x:t xml:space="preserve">T2</x:t>
        </x:is>
      </x:c>
      <x:c r="D58" s="3" t="inlineStr">
        <x:is>
          <x:t xml:space="preserve">5. Friction &amp; Workarounds</x:t>
        </x:is>
      </x:c>
      <x:c r="E58" s="3" t="inlineStr">
        <x:is>
          <x:t xml:space="preserve">F</x:t>
        </x:is>
      </x:c>
      <x:c r="F58" s="3" t="n">
        <x:v>0.5</x:v>
      </x:c>
      <x:c r="G58" s="3" t="inlineStr">
        <x:is>
          <x:t xml:space="preserve">E</x:t>
        </x:is>
      </x:c>
      <x:c r="H58" s="3" t="n">
        <x:v>0.5</x:v>
      </x:c>
      <x:c r="I58" s="3" t="inlineStr">
        <x:is>
          <x:t xml:space="preserve">(Shadow probe) If workarounds happen, do you learn about them and fix root causes (not just punish people)?</x:t>
        </x:is>
      </x:c>
      <x:c r="J58" s="3" t="inlineStr">
        <x:is>
          <x:t xml:space="preserve">Learning loops reduce bypass pressure.</x:t>
        </x:is>
      </x:c>
      <x:c r="K58" s="3" t="inlineStr">
        <x:is>
          <x:t xml:space="preserve">Shadow fallback (Then → HR-D6-Q20)</x:t>
        </x:is>
      </x:c>
      <x:c r="L58" s="3" t="inlineStr">
        <x:is>
          <x:t xml:space="preserve">OPS_STD</x:t>
        </x:is>
      </x:c>
      <x:c r="M58" s="3" t="n">
        <x:v>1</x:v>
      </x:c>
      <x:c r="N58" s="3" t="n"/>
      <x:c r="O58" s="3" t="n"/>
    </x:row>
    <x:row r="59">
      <x:c r="A59" s="3" t="inlineStr">
        <x:is>
          <x:t xml:space="preserve">HR-D5-Q19</x:t>
        </x:is>
      </x:c>
      <x:c r="B59" s="3" t="inlineStr">
        <x:is>
          <x:t xml:space="preserve">HR</x:t>
        </x:is>
      </x:c>
      <x:c r="C59" s="3" t="inlineStr">
        <x:is>
          <x:t xml:space="preserve">T2</x:t>
        </x:is>
      </x:c>
      <x:c r="D59" s="3" t="inlineStr">
        <x:is>
          <x:t xml:space="preserve">5. Friction &amp; Workarounds</x:t>
        </x:is>
      </x:c>
      <x:c r="E59" s="3" t="inlineStr">
        <x:is>
          <x:t xml:space="preserve">G</x:t>
        </x:is>
      </x:c>
      <x:c r="F59" s="3" t="n">
        <x:v>0.5</x:v>
      </x:c>
      <x:c r="G59" s="3" t="inlineStr">
        <x:is>
          <x:t xml:space="preserve">F</x:t>
        </x:is>
      </x:c>
      <x:c r="H59" s="3" t="n">
        <x:v>0.5</x:v>
      </x:c>
      <x:c r="I59" s="3" t="inlineStr">
        <x:is>
          <x:t xml:space="preserve">Are policy exceptions tracked, time-bound, and reviewed so bypass doesn't become permanent?</x:t>
        </x:is>
      </x:c>
      <x:c r="J59" s="3" t="inlineStr">
        <x:is>
          <x:t xml:space="preserve">Exception governance is a key insider-risk control.</x:t>
        </x:is>
      </x:c>
      <x:c r="K59" s="3" t="inlineStr">
        <x:is>
          <x:t xml:space="preserve">Drill-down</x:t>
        </x:is>
      </x:c>
      <x:c r="L59" s="3" t="inlineStr">
        <x:is>
          <x:t xml:space="preserve">GOV_STD</x:t>
        </x:is>
      </x:c>
      <x:c r="M59" s="3" t="n">
        <x:v>1</x:v>
      </x:c>
      <x:c r="N59" s="3" t="n"/>
      <x:c r="O59" s="3" t="n"/>
    </x:row>
    <x:row r="60">
      <x:c r="A60" s="3" t="inlineStr">
        <x:is>
          <x:t xml:space="preserve">HR-D6-Q20</x:t>
        </x:is>
      </x:c>
      <x:c r="B60" s="3" t="inlineStr">
        <x:is>
          <x:t xml:space="preserve">HR</x:t>
        </x:is>
      </x:c>
      <x:c r="C60" s="3" t="inlineStr">
        <x:is>
          <x:t xml:space="preserve">T1</x:t>
        </x:is>
      </x:c>
      <x:c r="D60" s="3" t="inlineStr">
        <x:is>
          <x:t xml:space="preserve">6. Change Events (Layoffs/M&amp;A/Re-org)</x:t>
        </x:is>
      </x:c>
      <x:c r="E60" s="3" t="inlineStr">
        <x:is>
          <x:t xml:space="preserve">W</x:t>
        </x:is>
      </x:c>
      <x:c r="F60" s="3" t="n">
        <x:v>1</x:v>
      </x:c>
      <x:c r="G60" s="3" t="inlineStr">
        <x:is>
          <x:t xml:space="preserve">-</x:t>
        </x:is>
      </x:c>
      <x:c r="H60" s="3" t="inlineStr">
        <x:is>
          <x:t xml:space="preserve"/>
        </x:is>
      </x:c>
      <x:c r="I60" s="3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J60" s="3" t="inlineStr">
        <x:is>
          <x:t xml:space="preserve">Control lag = how fast controls adapt to change.</x:t>
        </x:is>
      </x:c>
      <x:c r="K60" s="3" t="inlineStr">
        <x:is>
          <x:t xml:space="preserve">Gatekeeper (If BaseScore &lt;2 → HR-D6-Q21; If ≥2 → HR-D6-Q22)</x:t>
        </x:is>
      </x:c>
      <x:c r="L60" s="3" t="inlineStr">
        <x:is>
          <x:t xml:space="preserve">RISK_STD</x:t>
        </x:is>
      </x:c>
      <x:c r="M60" s="3" t="n">
        <x:v>1</x:v>
      </x:c>
      <x:c r="N60" s="3" t="n"/>
      <x:c r="O60" s="3" t="n"/>
    </x:row>
    <x:row r="61">
      <x:c r="A61" s="3" t="inlineStr">
        <x:is>
          <x:t xml:space="preserve">HR-D6-Q21</x:t>
        </x:is>
      </x:c>
      <x:c r="B61" s="3" t="inlineStr">
        <x:is>
          <x:t xml:space="preserve">HR</x:t>
        </x:is>
      </x:c>
      <x:c r="C61" s="3" t="inlineStr">
        <x:is>
          <x:t xml:space="preserve">T2</x:t>
        </x:is>
      </x:c>
      <x:c r="D61" s="3" t="inlineStr">
        <x:is>
          <x:t xml:space="preserve">6. Change Events (Layoffs/M&amp;A/Re-org)</x:t>
        </x:is>
      </x:c>
      <x:c r="E61" s="3" t="inlineStr">
        <x:is>
          <x:t xml:space="preserve">E</x:t>
        </x:is>
      </x:c>
      <x:c r="F61" s="3" t="n">
        <x:v>1</x:v>
      </x:c>
      <x:c r="G61" s="3" t="inlineStr">
        <x:is>
          <x:t xml:space="preserve">-</x:t>
        </x:is>
      </x:c>
      <x:c r="H61" s="3" t="inlineStr">
        <x:is>
          <x:t xml:space="preserve"/>
        </x:is>
      </x:c>
      <x:c r="I61" s="3" t="inlineStr">
        <x:is>
          <x:t xml:space="preserve">(Shadow probe) How are change events communicated to IT/Security today, and how timely is the information?</x:t>
        </x:is>
      </x:c>
      <x:c r="J61" s="3" t="inlineStr">
        <x:is>
          <x:t xml:space="preserve">Think: leaver lists, role changes, org changes, contractor changes.</x:t>
        </x:is>
      </x:c>
      <x:c r="K61" s="3" t="inlineStr">
        <x:is>
          <x:t xml:space="preserve">Shadow fallback (Then → HR-D7-Q23)</x:t>
        </x:is>
      </x:c>
      <x:c r="L61" s="3" t="inlineStr">
        <x:is>
          <x:t xml:space="preserve">OPS_STD</x:t>
        </x:is>
      </x:c>
      <x:c r="M61" s="3" t="n">
        <x:v>1</x:v>
      </x:c>
      <x:c r="N61" s="3" t="n"/>
      <x:c r="O61" s="3" t="n"/>
    </x:row>
    <x:row r="62">
      <x:c r="A62" s="3" t="inlineStr">
        <x:is>
          <x:t xml:space="preserve">HR-D6-Q22</x:t>
        </x:is>
      </x:c>
      <x:c r="B62" s="3" t="inlineStr">
        <x:is>
          <x:t xml:space="preserve">HR</x:t>
        </x:is>
      </x:c>
      <x:c r="C62" s="3" t="inlineStr">
        <x:is>
          <x:t xml:space="preserve">T2</x:t>
        </x:is>
      </x:c>
      <x:c r="D62" s="3" t="inlineStr">
        <x:is>
          <x:t xml:space="preserve">6. Change Events (Layoffs/M&amp;A/Re-org)</x:t>
        </x:is>
      </x:c>
      <x:c r="E62" s="3" t="inlineStr">
        <x:is>
          <x:t xml:space="preserve">G</x:t>
        </x:is>
      </x:c>
      <x:c r="F62" s="3" t="n">
        <x:v>0.5</x:v>
      </x:c>
      <x:c r="G62" s="3" t="inlineStr">
        <x:is>
          <x:t xml:space="preserve">W</x:t>
        </x:is>
      </x:c>
      <x:c r="H62" s="3" t="n">
        <x:v>0.5</x:v>
      </x:c>
      <x:c r="I62" s="3" t="inlineStr">
        <x:is>
          <x:t xml:space="preserve">Do you have a 'change event checklist' for people-risk controls (communications, access, monitoring approvals, support mechanisms)?</x:t>
        </x:is>
      </x:c>
      <x:c r="J62" s="3" t="inlineStr">
        <x:is>
          <x:t xml:space="preserve">Checklist should include legal/privacy review steps where required.</x:t>
        </x:is>
      </x:c>
      <x:c r="K62" s="3" t="inlineStr">
        <x:is>
          <x:t xml:space="preserve">Drill-down</x:t>
        </x:is>
      </x:c>
      <x:c r="L62" s="3" t="inlineStr">
        <x:is>
          <x:t xml:space="preserve">GOV_STD</x:t>
        </x:is>
      </x:c>
      <x:c r="M62" s="3" t="n">
        <x:v>1</x:v>
      </x:c>
      <x:c r="N62" s="3" t="n"/>
      <x:c r="O62" s="3" t="n"/>
    </x:row>
    <x:row r="63">
      <x:c r="A63" s="3" t="inlineStr">
        <x:is>
          <x:t xml:space="preserve">HR-D7-Q23</x:t>
        </x:is>
      </x:c>
      <x:c r="B63" s="3" t="inlineStr">
        <x:is>
          <x:t xml:space="preserve">HR</x:t>
        </x:is>
      </x:c>
      <x:c r="C63" s="3" t="inlineStr">
        <x:is>
          <x:t xml:space="preserve">T1</x:t>
        </x:is>
      </x:c>
      <x:c r="D63" s="3" t="inlineStr">
        <x:is>
          <x:t xml:space="preserve">7. Investigations &amp; Fairness</x:t>
        </x:is>
      </x:c>
      <x:c r="E63" s="3" t="inlineStr">
        <x:is>
          <x:t xml:space="preserve">R</x:t>
        </x:is>
      </x:c>
      <x:c r="F63" s="3" t="n">
        <x:v>0.6</x:v>
      </x:c>
      <x:c r="G63" s="3" t="inlineStr">
        <x:is>
          <x:t xml:space="preserve">L</x:t>
        </x:is>
      </x:c>
      <x:c r="H63" s="3" t="n">
        <x:v>0.4</x:v>
      </x:c>
      <x:c r="I63" s="3" t="inlineStr">
        <x:is>
          <x:t xml:space="preserve">When a concern is raised, is there a fair, documented investigation process with HR, Legal/Privacy, and Security, including confidentiality boundaries?</x:t>
        </x:is>
      </x:c>
      <x:c r="J63" s="3" t="inlineStr">
        <x:is>
          <x:t xml:space="preserve">Fair = proportionate, consistent, documented, with privacy safeguards.</x:t>
        </x:is>
      </x:c>
      <x:c r="K63" s="3" t="inlineStr">
        <x:is>
          <x:t xml:space="preserve">Gatekeeper (If BaseScore &lt;2 → HR-D7-Q24; If ≥2 → HR-D7-Q25)</x:t>
        </x:is>
      </x:c>
      <x:c r="L63" s="3" t="inlineStr">
        <x:is>
          <x:t xml:space="preserve">LEG_STRICT</x:t>
        </x:is>
      </x:c>
      <x:c r="M63" s="3" t="n">
        <x:v>1</x:v>
      </x:c>
      <x:c r="N63" s="3" t="n"/>
      <x:c r="O63" s="3" t="n"/>
    </x:row>
    <x:row r="64">
      <x:c r="A64" s="3" t="inlineStr">
        <x:is>
          <x:t xml:space="preserve">HR-D7-Q24</x:t>
        </x:is>
      </x:c>
      <x:c r="B64" s="3" t="inlineStr">
        <x:is>
          <x:t xml:space="preserve">HR</x:t>
        </x:is>
      </x:c>
      <x:c r="C64" s="3" t="inlineStr">
        <x:is>
          <x:t xml:space="preserve">T2</x:t>
        </x:is>
      </x:c>
      <x:c r="D64" s="3" t="inlineStr">
        <x:is>
          <x:t xml:space="preserve">7. Investigations &amp; Fairness</x:t>
        </x:is>
      </x:c>
      <x:c r="E64" s="3" t="inlineStr">
        <x:is>
          <x:t xml:space="preserve">L</x:t>
        </x:is>
      </x:c>
      <x:c r="F64" s="3" t="n">
        <x:v>0.5</x:v>
      </x:c>
      <x:c r="G64" s="3" t="inlineStr">
        <x:is>
          <x:t xml:space="preserve">R</x:t>
        </x:is>
      </x:c>
      <x:c r="H64" s="3" t="n">
        <x:v>0.5</x:v>
      </x:c>
      <x:c r="I64" s="3" t="inlineStr">
        <x:is>
          <x:t xml:space="preserve">(Shadow probe) If the process is ad-hoc, who decides what information is used and how confidentiality is protected?</x:t>
        </x:is>
      </x:c>
      <x:c r="J64" s="3" t="inlineStr">
        <x:is>
          <x:t xml:space="preserve">Checks for inconsistent decision-making and privacy fractures.</x:t>
        </x:is>
      </x:c>
      <x:c r="K64" s="3" t="inlineStr">
        <x:is>
          <x:t xml:space="preserve">Shadow fallback (Then → HR-D8-Q27)</x:t>
        </x:is>
      </x:c>
      <x:c r="L64" s="3" t="inlineStr">
        <x:is>
          <x:t xml:space="preserve">LEG_STRICT</x:t>
        </x:is>
      </x:c>
      <x:c r="M64" s="3" t="n">
        <x:v>1</x:v>
      </x:c>
      <x:c r="N64" s="3" t="n"/>
      <x:c r="O64" s="3" t="n"/>
    </x:row>
    <x:row r="65">
      <x:c r="A65" s="3" t="inlineStr">
        <x:is>
          <x:t xml:space="preserve">HR-D7-Q25</x:t>
        </x:is>
      </x:c>
      <x:c r="B65" s="3" t="inlineStr">
        <x:is>
          <x:t xml:space="preserve">HR</x:t>
        </x:is>
      </x:c>
      <x:c r="C65" s="3" t="inlineStr">
        <x:is>
          <x:t xml:space="preserve">T2</x:t>
        </x:is>
      </x:c>
      <x:c r="D65" s="3" t="inlineStr">
        <x:is>
          <x:t xml:space="preserve">7. Investigations &amp; Fairness</x:t>
        </x:is>
      </x:c>
      <x:c r="E65" s="3" t="inlineStr">
        <x:is>
          <x:t xml:space="preserve">H</x:t>
        </x:is>
      </x:c>
      <x:c r="F65" s="3" t="n">
        <x:v>0.5</x:v>
      </x:c>
      <x:c r="G65" s="3" t="inlineStr">
        <x:is>
          <x:t xml:space="preserve">L</x:t>
        </x:is>
      </x:c>
      <x:c r="H65" s="3" t="n">
        <x:v>0.5</x:v>
      </x:c>
      <x:c r="I65" s="3" t="inlineStr">
        <x:is>
          <x:t xml:space="preserve">If someone feels unfairly targeted, is there an independent review or appeal route (e.g., ombuds, privacy review, works council input where applicable)?</x:t>
        </x:is>
      </x:c>
      <x:c r="J65" s="3" t="inlineStr">
        <x:is>
          <x:t xml:space="preserve">Reduces toxic-enforcer risk and increases trust.</x:t>
        </x:is>
      </x:c>
      <x:c r="K65" s="3" t="inlineStr">
        <x:is>
          <x:t xml:space="preserve">Drill-down</x:t>
        </x:is>
      </x:c>
      <x:c r="L65" s="3" t="inlineStr">
        <x:is>
          <x:t xml:space="preserve">LEG_STRICT</x:t>
        </x:is>
      </x:c>
      <x:c r="M65" s="3" t="n">
        <x:v>1.5</x:v>
      </x:c>
      <x:c r="N65" s="3" t="n">
        <x:v>0.5</x:v>
      </x:c>
      <x:c r="O65" s="3" t="n"/>
    </x:row>
    <x:row r="66">
      <x:c r="A66" s="3" t="inlineStr">
        <x:is>
          <x:t xml:space="preserve">HR-D7-Q26</x:t>
        </x:is>
      </x:c>
      <x:c r="B66" s="3" t="inlineStr">
        <x:is>
          <x:t xml:space="preserve">HR</x:t>
        </x:is>
      </x:c>
      <x:c r="C66" s="3" t="inlineStr">
        <x:is>
          <x:t xml:space="preserve">T3</x:t>
        </x:is>
      </x:c>
      <x:c r="D66" s="3" t="inlineStr">
        <x:is>
          <x:t xml:space="preserve">7. Investigations &amp; Fairness</x:t>
        </x:is>
      </x:c>
      <x:c r="E66" s="3" t="inlineStr">
        <x:is>
          <x:t xml:space="preserve">R</x:t>
        </x:is>
      </x:c>
      <x:c r="F66" s="3" t="n">
        <x:v>0.6</x:v>
      </x:c>
      <x:c r="G66" s="3" t="inlineStr">
        <x:is>
          <x:t xml:space="preserve">H</x:t>
        </x:is>
      </x:c>
      <x:c r="H66" s="3" t="n">
        <x:v>0.4</x:v>
      </x:c>
      <x:c r="I66" s="3" t="inlineStr">
        <x:is>
          <x:t xml:space="preserve">After cases, do you translate outcomes into improvements (training, process, tooling) without creating blame or fear?</x:t>
        </x:is>
      </x:c>
      <x:c r="J66" s="3" t="inlineStr">
        <x:is>
          <x:t xml:space="preserve">Learning loop: reduce repeats while maintaining psychological safety.</x:t>
        </x:is>
      </x:c>
      <x:c r="K66" s="3" t="inlineStr">
        <x:is>
          <x:t xml:space="preserve">Business-proofing</x:t>
        </x:is>
      </x:c>
      <x:c r="L66" s="3" t="inlineStr">
        <x:is>
          <x:t xml:space="preserve">OPS_STD</x:t>
        </x:is>
      </x:c>
      <x:c r="M66" s="3" t="n">
        <x:v>1.5</x:v>
      </x:c>
      <x:c r="N66" s="3" t="n">
        <x:v>0.5</x:v>
      </x:c>
      <x:c r="O66" s="3" t="n"/>
    </x:row>
    <x:row r="67">
      <x:c r="A67" s="3" t="inlineStr">
        <x:is>
          <x:t xml:space="preserve">HR-D8-Q27</x:t>
        </x:is>
      </x:c>
      <x:c r="B67" s="3" t="inlineStr">
        <x:is>
          <x:t xml:space="preserve">HR</x:t>
        </x:is>
      </x:c>
      <x:c r="C67" s="3" t="inlineStr">
        <x:is>
          <x:t xml:space="preserve">T1</x:t>
        </x:is>
      </x:c>
      <x:c r="D67" s="3" t="inlineStr">
        <x:is>
          <x:t xml:space="preserve">8. Reporting &amp; Metrics</x:t>
        </x:is>
      </x:c>
      <x:c r="E67" s="3" t="inlineStr">
        <x:is>
          <x:t xml:space="preserve">G</x:t>
        </x:is>
      </x:c>
      <x:c r="F67" s="3" t="n">
        <x:v>0.5</x:v>
      </x:c>
      <x:c r="G67" s="3" t="inlineStr">
        <x:is>
          <x:t xml:space="preserve">H</x:t>
        </x:is>
      </x:c>
      <x:c r="H67" s="3" t="n">
        <x:v>0.5</x:v>
      </x:c>
      <x:c r="I67" s="3" t="inlineStr">
        <x:is>
          <x:t xml:space="preserve">What does HR report to leadership about the people-side of insider risk (themes, training, reporting culture) in a way that supports trust?</x:t>
        </x:is>
      </x:c>
      <x:c r="J67" s="3" t="inlineStr">
        <x:is>
          <x:t xml:space="preserve">Aggregated and privacy-safe: focus on themes + improvement actions.</x:t>
        </x:is>
      </x:c>
      <x:c r="K67" s="3" t="inlineStr">
        <x:is>
          <x:t xml:space="preserve">Gatekeeper (If BaseScore &lt;2 → HR-D8-Q28; If ≥2 → HR-D8-Q29)</x:t>
        </x:is>
      </x:c>
      <x:c r="L67" s="3" t="inlineStr">
        <x:is>
          <x:t xml:space="preserve">GOV_STD</x:t>
        </x:is>
      </x:c>
      <x:c r="M67" s="3" t="n">
        <x:v>1</x:v>
      </x:c>
      <x:c r="N67" s="3" t="n"/>
      <x:c r="O67" s="3" t="n"/>
    </x:row>
    <x:row r="68">
      <x:c r="A68" s="3" t="inlineStr">
        <x:is>
          <x:t xml:space="preserve">HR-D8-Q28</x:t>
        </x:is>
      </x:c>
      <x:c r="B68" s="3" t="inlineStr">
        <x:is>
          <x:t xml:space="preserve">HR</x:t>
        </x:is>
      </x:c>
      <x:c r="C68" s="3" t="inlineStr">
        <x:is>
          <x:t xml:space="preserve">T2</x:t>
        </x:is>
      </x:c>
      <x:c r="D68" s="3" t="inlineStr">
        <x:is>
          <x:t xml:space="preserve">8. Reporting &amp; Metrics</x:t>
        </x:is>
      </x:c>
      <x:c r="E68" s="3" t="inlineStr">
        <x:is>
          <x:t xml:space="preserve">H</x:t>
        </x:is>
      </x:c>
      <x:c r="F68" s="3" t="n">
        <x:v>1</x:v>
      </x:c>
      <x:c r="G68" s="3" t="inlineStr">
        <x:is>
          <x:t xml:space="preserve">-</x:t>
        </x:is>
      </x:c>
      <x:c r="H68" s="3" t="inlineStr">
        <x:is>
          <x:t xml:space="preserve"/>
        </x:is>
      </x:c>
      <x:c r="I68" s="3" t="inlineStr">
        <x:is>
          <x:t xml:space="preserve">(Shadow probe) Do you recognise and track 'near-misses' or early interventions as positive signals (without naming/shaming)?</x:t>
        </x:is>
      </x:c>
      <x:c r="J68" s="3" t="inlineStr">
        <x:is>
          <x:t xml:space="preserve">Near-miss = prevented escalation (e.g., someone flagged risky sharing).</x:t>
        </x:is>
      </x:c>
      <x:c r="K68" s="3" t="inlineStr">
        <x:is>
          <x:t xml:space="preserve">Shadow fallback (Then → END)</x:t>
        </x:is>
      </x:c>
      <x:c r="L68" s="3" t="inlineStr">
        <x:is>
          <x:t xml:space="preserve">CULT_SOFT</x:t>
        </x:is>
      </x:c>
      <x:c r="M68" s="3" t="n">
        <x:v>1</x:v>
      </x:c>
      <x:c r="N68" s="3" t="n"/>
      <x:c r="O68" s="3" t="n"/>
      <x:c r="P68" t="inlineStr">
        <x:is>
          <x:t xml:space="preserve">End</x:t>
        </x:is>
      </x:c>
      <x:c r="U68" t="inlineStr">
        <x:is>
          <x:t xml:space="preserve">Y</x:t>
        </x:is>
      </x:c>
    </x:row>
    <x:row r="69">
      <x:c r="A69" s="3" t="inlineStr">
        <x:is>
          <x:t xml:space="preserve">HR-D8-Q29</x:t>
        </x:is>
      </x:c>
      <x:c r="B69" s="3" t="inlineStr">
        <x:is>
          <x:t xml:space="preserve">HR</x:t>
        </x:is>
      </x:c>
      <x:c r="C69" s="3" t="inlineStr">
        <x:is>
          <x:t xml:space="preserve">T3</x:t>
        </x:is>
      </x:c>
      <x:c r="D69" s="3" t="inlineStr">
        <x:is>
          <x:t xml:space="preserve">8. Reporting &amp; Metrics</x:t>
        </x:is>
      </x:c>
      <x:c r="E69" s="3" t="inlineStr">
        <x:is>
          <x:t xml:space="preserve">E</x:t>
        </x:is>
      </x:c>
      <x:c r="F69" s="3" t="n">
        <x:v>1</x:v>
      </x:c>
      <x:c r="G69" s="3" t="inlineStr">
        <x:is>
          <x:t xml:space="preserve">-</x:t>
        </x:is>
      </x:c>
      <x:c r="H69" s="3" t="inlineStr">
        <x:is>
          <x:t xml:space="preserve"/>
        </x:is>
      </x:c>
      <x:c r="I69" s="3" t="inlineStr">
        <x:is>
          <x:t xml:space="preserve">Do you track timeliness and quality metrics for reports/cases and use them to improve?</x:t>
        </x:is>
      </x:c>
      <x:c r="J69" s="3" t="inlineStr">
        <x:is>
          <x:t xml:space="preserve">Use aggregated metrics only (no personal data).</x:t>
        </x:is>
      </x:c>
      <x:c r="K69" s="3" t="inlineStr">
        <x:is>
          <x:t xml:space="preserve">Business-proofing</x:t>
        </x:is>
      </x:c>
      <x:c r="L69" s="3" t="inlineStr">
        <x:is>
          <x:t xml:space="preserve">OPS_STD</x:t>
        </x:is>
      </x:c>
      <x:c r="M69" s="3" t="n">
        <x:v>1</x:v>
      </x:c>
      <x:c r="N69" s="3" t="n"/>
      <x:c r="O69" s="3" t="n"/>
    </x:row>
    <x:row r="70">
      <x:c r="A70" s="3" t="inlineStr">
        <x:is>
          <x:t xml:space="preserve">SEC-D1-Q01</x:t>
        </x:is>
      </x:c>
      <x:c r="B70" s="3" t="inlineStr">
        <x:is>
          <x:t xml:space="preserve">Security</x:t>
        </x:is>
      </x:c>
      <x:c r="C70" s="3" t="inlineStr">
        <x:is>
          <x:t xml:space="preserve">T1</x:t>
        </x:is>
      </x:c>
      <x:c r="D70" s="3" t="inlineStr">
        <x:is>
          <x:t xml:space="preserve">1. Security Operating Model</x:t>
        </x:is>
      </x:c>
      <x:c r="E70" s="3" t="inlineStr">
        <x:is>
          <x:t xml:space="preserve">E</x:t>
        </x:is>
      </x:c>
      <x:c r="F70" s="3" t="n">
        <x:v>0.6</x:v>
      </x:c>
      <x:c r="G70" s="3" t="inlineStr">
        <x:is>
          <x:t xml:space="preserve">T</x:t>
        </x:is>
      </x:c>
      <x:c r="H70" s="3" t="n">
        <x:v>0.4</x:v>
      </x:c>
      <x:c r="I70" s="3" t="inlineStr">
        <x:is>
          <x:t xml:space="preserve">Who runs day‑to‑day monitoring for internal misuse (e.g., unusual downloads, emailing data out) and triage of alerts?</x:t>
        </x:is>
      </x:c>
      <x:c r="J70" s="3" t="inlineStr">
        <x:is>
          <x:t xml:space="preserve">Internal misuse can be accidental or malicious. If you outsource monitoring, answer based on how it works in practice (coverage, cadence, ownership).</x:t>
        </x:is>
      </x:c>
      <x:c r="K70" s="3" t="inlineStr">
        <x:is>
          <x:t xml:space="preserve">Gatekeeper (If BaseScore &lt;2 → SEC-D1-Q02; If ≥2 → SEC-D1-Q03)</x:t>
        </x:is>
      </x:c>
      <x:c r="L70" s="3" t="inlineStr">
        <x:is>
          <x:t xml:space="preserve">OPS_STD</x:t>
        </x:is>
      </x:c>
      <x:c r="M70" s="3" t="n">
        <x:v>1.2</x:v>
      </x:c>
      <x:c r="N70" s="3" t="n">
        <x:v>0.5</x:v>
      </x:c>
      <x:c r="O70" s="3" t="inlineStr">
        <x:is>
          <x:t xml:space="preserve"/>
        </x:is>
      </x:c>
    </x:row>
    <x:row r="71">
      <x:c r="A71" s="3" t="inlineStr">
        <x:is>
          <x:t xml:space="preserve">SEC-D1-Q02</x:t>
        </x:is>
      </x:c>
      <x:c r="B71" s="3" t="inlineStr">
        <x:is>
          <x:t xml:space="preserve">Security</x:t>
        </x:is>
      </x:c>
      <x:c r="C71" s="3" t="inlineStr">
        <x:is>
          <x:t xml:space="preserve">T2</x:t>
        </x:is>
      </x:c>
      <x:c r="D71" s="3" t="inlineStr">
        <x:is>
          <x:t xml:space="preserve">1. Security Operating Model</x:t>
        </x:is>
      </x:c>
      <x:c r="E71" s="3" t="inlineStr">
        <x:is>
          <x:t xml:space="preserve">E</x:t>
        </x:is>
      </x:c>
      <x:c r="F71" s="3" t="n">
        <x:v>1</x:v>
      </x:c>
      <x:c r="G71" s="3" t="inlineStr">
        <x:is>
          <x:t xml:space="preserve"/>
        </x:is>
      </x:c>
      <x:c r="H71" s="3" t="inlineStr">
        <x:is>
          <x:t xml:space="preserve"/>
        </x:is>
      </x:c>
      <x:c r="I71" s="3" t="inlineStr">
        <x:is>
          <x:t xml:space="preserve">(Shadow probe) Even without a formal insider program, do people routinely look for unusual internal behavior in practice?</x:t>
        </x:is>
      </x:c>
      <x:c r="J71" s="3" t="inlineStr">
        <x:is>
          <x:t xml:space="preserve">Examples: sudden large downloads, unusual access to sensitive folders, repeated use of admin accounts, or data emailed to personal accounts.</x:t>
        </x:is>
      </x:c>
      <x:c r="K71" s="3" t="inlineStr">
        <x:is>
          <x:t xml:space="preserve">Shadow fallback (Then → SEC-D2-Q04)</x:t>
        </x:is>
      </x:c>
      <x:c r="L71" s="3" t="inlineStr">
        <x:is>
          <x:t xml:space="preserve">OPS_STD</x:t>
        </x:is>
      </x:c>
      <x:c r="M71" s="3" t="n">
        <x:v>1</x:v>
      </x:c>
      <x:c r="N71" s="3" t="inlineStr">
        <x:is>
          <x:t xml:space="preserve"/>
        </x:is>
      </x:c>
      <x:c r="O71" s="3" t="inlineStr">
        <x:is>
          <x:t xml:space="preserve"/>
        </x:is>
      </x:c>
    </x:row>
    <x:row r="72">
      <x:c r="A72" s="3" t="inlineStr">
        <x:is>
          <x:t xml:space="preserve">SEC-D1-Q03</x:t>
        </x:is>
      </x:c>
      <x:c r="B72" s="3" t="inlineStr">
        <x:is>
          <x:t xml:space="preserve">Security</x:t>
        </x:is>
      </x:c>
      <x:c r="C72" s="3" t="inlineStr">
        <x:is>
          <x:t xml:space="preserve">T2</x:t>
        </x:is>
      </x:c>
      <x:c r="D72" s="3" t="inlineStr">
        <x:is>
          <x:t xml:space="preserve">1. Security Operating Model</x:t>
        </x:is>
      </x:c>
      <x:c r="E72" s="3" t="inlineStr">
        <x:is>
          <x:t xml:space="preserve">E</x:t>
        </x:is>
      </x:c>
      <x:c r="F72" s="3" t="n">
        <x:v>0.6</x:v>
      </x:c>
      <x:c r="G72" s="3" t="inlineStr">
        <x:is>
          <x:t xml:space="preserve">R</x:t>
        </x:is>
      </x:c>
      <x:c r="H72" s="3" t="n">
        <x:v>0.4</x:v>
      </x:c>
      <x:c r="I72" s="3" t="inlineStr">
        <x:is>
          <x:t xml:space="preserve">Do you have a documented triage workflow for potential insider cases (from alert → decision → escalation)?</x:t>
        </x:is>
      </x:c>
      <x:c r="J72" s="3" t="inlineStr">
        <x:is>
          <x:t xml:space="preserve">A workflow can be a runbook/playbook/SOP. It should clarify who reviews, what evidence is needed, and when to involve HR/Legal/Privacy.</x:t>
        </x:is>
      </x:c>
      <x:c r="K72" s="3" t="inlineStr">
        <x:is>
          <x:t xml:space="preserve">Drill-down</x:t>
        </x:is>
      </x:c>
      <x:c r="L72" s="3" t="inlineStr">
        <x:is>
          <x:t xml:space="preserve">OPS_STD</x:t>
        </x:is>
      </x:c>
      <x:c r="M72" s="3" t="n">
        <x:v>1.2</x:v>
      </x:c>
      <x:c r="N72" s="3" t="n">
        <x:v>0.5</x:v>
      </x:c>
      <x:c r="O72" s="3" t="inlineStr">
        <x:is>
          <x:t xml:space="preserve"/>
        </x:is>
      </x:c>
    </x:row>
    <x:row r="73">
      <x:c r="A73" s="3" t="inlineStr">
        <x:is>
          <x:t xml:space="preserve">SEC-D2-Q04</x:t>
        </x:is>
      </x:c>
      <x:c r="B73" s="3" t="inlineStr">
        <x:is>
          <x:t xml:space="preserve">Security</x:t>
        </x:is>
      </x:c>
      <x:c r="C73" s="3" t="inlineStr">
        <x:is>
          <x:t xml:space="preserve">T1</x:t>
        </x:is>
      </x:c>
      <x:c r="D73" s="3" t="inlineStr">
        <x:is>
          <x:t xml:space="preserve">2. Monitoring Coverage &amp; Logging</x:t>
        </x:is>
      </x:c>
      <x:c r="E73" s="3" t="inlineStr">
        <x:is>
          <x:t xml:space="preserve">T</x:t>
        </x:is>
      </x:c>
      <x:c r="F73" s="3" t="n">
        <x:v>0.6</x:v>
      </x:c>
      <x:c r="G73" s="3" t="inlineStr">
        <x:is>
          <x:t xml:space="preserve">V</x:t>
        </x:is>
      </x:c>
      <x:c r="H73" s="3" t="n">
        <x:v>0.4</x:v>
      </x:c>
      <x:c r="I73" s="3" t="inlineStr">
        <x:is>
          <x:t xml:space="preserve">Do you collect and retain logs for the systems where the most sensitive data is stored/shared (e.g., email, file shares, cloud storage)?</x:t>
        </x:is>
      </x:c>
      <x:c r="J73" s="3" t="inlineStr">
        <x:is>
          <x:t xml:space="preserve">You don't need perfect coverage. We are checking whether you can reconstruct what happened on the systems that matter most.</x:t>
        </x:is>
      </x:c>
      <x:c r="K73" s="3" t="inlineStr">
        <x:is>
          <x:t xml:space="preserve">Gatekeeper (If BaseScore &lt;2 → SEC-D2-Q05; If ≥2 → SEC-D2-Q06)</x:t>
        </x:is>
      </x:c>
      <x:c r="L73" s="3" t="inlineStr">
        <x:is>
          <x:t xml:space="preserve">RISK_STD</x:t>
        </x:is>
      </x:c>
      <x:c r="M73" s="3" t="n">
        <x:v>1.5</x:v>
      </x:c>
      <x:c r="N73" s="3" t="n">
        <x:v>0.5</x:v>
      </x:c>
      <x:c r="O73" s="3" t="inlineStr">
        <x:is>
          <x:t xml:space="preserve"/>
        </x:is>
      </x:c>
    </x:row>
    <x:row r="74">
      <x:c r="A74" s="3" t="inlineStr">
        <x:is>
          <x:t xml:space="preserve">SEC-D2-Q05</x:t>
        </x:is>
      </x:c>
      <x:c r="B74" s="3" t="inlineStr">
        <x:is>
          <x:t xml:space="preserve">Security</x:t>
        </x:is>
      </x:c>
      <x:c r="C74" s="3" t="inlineStr">
        <x:is>
          <x:t xml:space="preserve">T2</x:t>
        </x:is>
      </x:c>
      <x:c r="D74" s="3" t="inlineStr">
        <x:is>
          <x:t xml:space="preserve">2. Monitoring Coverage &amp; Logging</x:t>
        </x:is>
      </x:c>
      <x:c r="E74" s="3" t="inlineStr">
        <x:is>
          <x:t xml:space="preserve">V</x:t>
        </x:is>
      </x:c>
      <x:c r="F74" s="3" t="n">
        <x:v>1</x:v>
      </x:c>
      <x:c r="G74" s="3" t="inlineStr">
        <x:is>
          <x:t xml:space="preserve"/>
        </x:is>
      </x:c>
      <x:c r="H74" s="3" t="inlineStr">
        <x:is>
          <x:t xml:space="preserve"/>
        </x:is>
      </x:c>
      <x:c r="I74" s="3" t="inlineStr">
        <x:is>
          <x:t xml:space="preserve">(Shadow probe) Even without a formal 'crown jewels' list, can you name the top 3 places where sensitive business data lives today?</x:t>
        </x:is>
      </x:c>
      <x:c r="J74" s="3" t="inlineStr">
        <x:is>
          <x:t xml:space="preserve">Examples: SharePoint/OneDrive, shared drives, email, Git repos, CRM/ERP, finance systems, design tools. This checks practical awareness.</x:t>
        </x:is>
      </x:c>
      <x:c r="K74" s="3" t="inlineStr">
        <x:is>
          <x:t xml:space="preserve">Shadow fallback (Then → SEC-D3-Q07)</x:t>
        </x:is>
      </x:c>
      <x:c r="L74" s="3" t="inlineStr">
        <x:is>
          <x:t xml:space="preserve">RISK_STD</x:t>
        </x:is>
      </x:c>
      <x:c r="M74" s="3" t="n">
        <x:v>1</x:v>
      </x:c>
      <x:c r="N74" s="3" t="inlineStr">
        <x:is>
          <x:t xml:space="preserve"/>
        </x:is>
      </x:c>
      <x:c r="O74" s="3" t="inlineStr">
        <x:is>
          <x:t xml:space="preserve"/>
        </x:is>
      </x:c>
    </x:row>
    <x:row r="75">
      <x:c r="A75" s="3" t="inlineStr">
        <x:is>
          <x:t xml:space="preserve">SEC-D2-Q06</x:t>
        </x:is>
      </x:c>
      <x:c r="B75" s="3" t="inlineStr">
        <x:is>
          <x:t xml:space="preserve">Security</x:t>
        </x:is>
      </x:c>
      <x:c r="C75" s="3" t="inlineStr">
        <x:is>
          <x:t xml:space="preserve">T2</x:t>
        </x:is>
      </x:c>
      <x:c r="D75" s="3" t="inlineStr">
        <x:is>
          <x:t xml:space="preserve">2. Monitoring Coverage &amp; Logging</x:t>
        </x:is>
      </x:c>
      <x:c r="E75" s="3" t="inlineStr">
        <x:is>
          <x:t xml:space="preserve">T</x:t>
        </x:is>
      </x:c>
      <x:c r="F75" s="3" t="n">
        <x:v>1</x:v>
      </x:c>
      <x:c r="G75" s="3" t="inlineStr">
        <x:is>
          <x:t xml:space="preserve"/>
        </x:is>
      </x:c>
      <x:c r="H75" s="3" t="inlineStr">
        <x:is>
          <x:t xml:space="preserve"/>
        </x:is>
      </x:c>
      <x:c r="I75" s="3" t="inlineStr">
        <x:is>
          <x:t xml:space="preserve">Is log collection centralized enough that you can investigate across systems without manual log pulling from many tools?</x:t>
        </x:is>
      </x:c>
      <x:c r="J75" s="3" t="inlineStr">
        <x:is>
          <x:t xml:space="preserve">Centralization could be a SIEM/log platform or consistent API exports. Key test: can you correlate user + device + data activity efficiently.</x:t>
        </x:is>
      </x:c>
      <x:c r="K75" s="3" t="inlineStr">
        <x:is>
          <x:t xml:space="preserve">Drill-down</x:t>
        </x:is>
      </x:c>
      <x:c r="L75" s="3" t="inlineStr">
        <x:is>
          <x:t xml:space="preserve">OPS_STD</x:t>
        </x:is>
      </x:c>
      <x:c r="M75" s="3" t="n">
        <x:v>1.3</x:v>
      </x:c>
      <x:c r="N75" s="3" t="n">
        <x:v>0.5</x:v>
      </x:c>
      <x:c r="O75" s="3" t="inlineStr">
        <x:is>
          <x:t xml:space="preserve"/>
        </x:is>
      </x:c>
    </x:row>
    <x:row r="76">
      <x:c r="A76" s="3" t="inlineStr">
        <x:is>
          <x:t xml:space="preserve">SEC-D3-Q07</x:t>
        </x:is>
      </x:c>
      <x:c r="B76" s="3" t="inlineStr">
        <x:is>
          <x:t xml:space="preserve">Security</x:t>
        </x:is>
      </x:c>
      <x:c r="C76" s="3" t="inlineStr">
        <x:is>
          <x:t xml:space="preserve">T1</x:t>
        </x:is>
      </x:c>
      <x:c r="D76" s="3" t="inlineStr">
        <x:is>
          <x:t xml:space="preserve">3. Detection Use Cases &amp; Tuning</x:t>
        </x:is>
      </x:c>
      <x:c r="E76" s="3" t="inlineStr">
        <x:is>
          <x:t xml:space="preserve">T</x:t>
        </x:is>
      </x:c>
      <x:c r="F76" s="3" t="n">
        <x:v>0.6</x:v>
      </x:c>
      <x:c r="G76" s="3" t="inlineStr">
        <x:is>
          <x:t xml:space="preserve">E</x:t>
        </x:is>
      </x:c>
      <x:c r="H76" s="3" t="n">
        <x:v>0.4</x:v>
      </x:c>
      <x:c r="I76" s="3" t="inlineStr">
        <x:is>
          <x:t xml:space="preserve">Do you have a small set of high‑value internal misuse detections that are actively monitored (not just enabled)?</x:t>
        </x:is>
      </x:c>
      <x:c r="J76" s="3" t="inlineStr">
        <x:is>
          <x:t xml:space="preserve">Examples: large downloads from sensitive repositories, mass deletions, exports of customer lists, unusual admin actions, unusual access to HR/finance folders.</x:t>
        </x:is>
      </x:c>
      <x:c r="K76" s="3" t="inlineStr">
        <x:is>
          <x:t xml:space="preserve">Gatekeeper (If BaseScore &lt;2 → SEC-D3-Q08; If ≥2 → SEC-D3-Q09)</x:t>
        </x:is>
      </x:c>
      <x:c r="L76" s="3" t="inlineStr">
        <x:is>
          <x:t xml:space="preserve">OPS_STD</x:t>
        </x:is>
      </x:c>
      <x:c r="M76" s="3" t="n">
        <x:v>1.4</x:v>
      </x:c>
      <x:c r="N76" s="3" t="n">
        <x:v>0.5</x:v>
      </x:c>
      <x:c r="O76" s="3" t="inlineStr">
        <x:is>
          <x:t xml:space="preserve"/>
        </x:is>
      </x:c>
    </x:row>
    <x:row r="77">
      <x:c r="A77" s="3" t="inlineStr">
        <x:is>
          <x:t xml:space="preserve">SEC-D3-Q08</x:t>
        </x:is>
      </x:c>
      <x:c r="B77" s="3" t="inlineStr">
        <x:is>
          <x:t xml:space="preserve">Security</x:t>
        </x:is>
      </x:c>
      <x:c r="C77" s="3" t="inlineStr">
        <x:is>
          <x:t xml:space="preserve">T2</x:t>
        </x:is>
      </x:c>
      <x:c r="D77" s="3" t="inlineStr">
        <x:is>
          <x:t xml:space="preserve">3. Detection Use Cases &amp; Tuning</x:t>
        </x:is>
      </x:c>
      <x:c r="E77" s="3" t="inlineStr">
        <x:is>
          <x:t xml:space="preserve">E</x:t>
        </x:is>
      </x:c>
      <x:c r="F77" s="3" t="n">
        <x:v>1</x:v>
      </x:c>
      <x:c r="G77" s="3" t="inlineStr">
        <x:is>
          <x:t xml:space="preserve"/>
        </x:is>
      </x:c>
      <x:c r="H77" s="3" t="inlineStr">
        <x:is>
          <x:t xml:space="preserve"/>
        </x:is>
      </x:c>
      <x:c r="I77" s="3" t="inlineStr">
        <x:is>
          <x:t xml:space="preserve">(Shadow probe) When an alert fires, do analysts have time and guidance to investigate, or do alerts pile up?</x:t>
        </x:is>
      </x:c>
      <x:c r="J77" s="3" t="inlineStr">
        <x:is>
          <x:t xml:space="preserve">We are checking operational reality: backlog and whether the team can act on signals.</x:t>
        </x:is>
      </x:c>
      <x:c r="K77" s="3" t="inlineStr">
        <x:is>
          <x:t xml:space="preserve">Shadow fallback (Then → SEC-D4-Q10)</x:t>
        </x:is>
      </x:c>
      <x:c r="L77" s="3" t="inlineStr">
        <x:is>
          <x:t xml:space="preserve">OPS_STD</x:t>
        </x:is>
      </x:c>
      <x:c r="M77" s="3" t="n">
        <x:v>1</x:v>
      </x:c>
      <x:c r="N77" s="3" t="inlineStr">
        <x:is>
          <x:t xml:space="preserve"/>
        </x:is>
      </x:c>
      <x:c r="O77" s="3" t="inlineStr">
        <x:is>
          <x:t xml:space="preserve"/>
        </x:is>
      </x:c>
    </x:row>
    <x:row r="78">
      <x:c r="A78" s="3" t="inlineStr">
        <x:is>
          <x:t xml:space="preserve">SEC-D3-Q09</x:t>
        </x:is>
      </x:c>
      <x:c r="B78" s="3" t="inlineStr">
        <x:is>
          <x:t xml:space="preserve">Security</x:t>
        </x:is>
      </x:c>
      <x:c r="C78" s="3" t="inlineStr">
        <x:is>
          <x:t xml:space="preserve">T2</x:t>
        </x:is>
      </x:c>
      <x:c r="D78" s="3" t="inlineStr">
        <x:is>
          <x:t xml:space="preserve">3. Detection Use Cases &amp; Tuning</x:t>
        </x:is>
      </x:c>
      <x:c r="E78" s="3" t="inlineStr">
        <x:is>
          <x:t xml:space="preserve">T</x:t>
        </x:is>
      </x:c>
      <x:c r="F78" s="3" t="n">
        <x:v>0.7</x:v>
      </x:c>
      <x:c r="G78" s="3" t="inlineStr">
        <x:is>
          <x:t xml:space="preserve">F</x:t>
        </x:is>
      </x:c>
      <x:c r="H78" s="3" t="n">
        <x:v>0.3</x:v>
      </x:c>
      <x:c r="I78" s="3" t="inlineStr">
        <x:is>
          <x:t xml:space="preserve">How do you manage false positives and business disruption caused by monitoring controls (so teams don’t create workarounds)?</x:t>
        </x:is>
      </x:c>
      <x:c r="J78" s="3" t="inlineStr">
        <x:is>
          <x:t xml:space="preserve">This is 'friction management': tuning, exception paths, and measuring bypass behavior.</x:t>
        </x:is>
      </x:c>
      <x:c r="K78" s="3" t="inlineStr">
        <x:is>
          <x:t xml:space="preserve">Drill-down</x:t>
        </x:is>
      </x:c>
      <x:c r="L78" s="3" t="inlineStr">
        <x:is>
          <x:t xml:space="preserve">OPS_STD</x:t>
        </x:is>
      </x:c>
      <x:c r="M78" s="3" t="n">
        <x:v>1</x:v>
      </x:c>
      <x:c r="N78" s="3" t="inlineStr">
        <x:is>
          <x:t xml:space="preserve"/>
        </x:is>
      </x:c>
      <x:c r="O78" s="3" t="inlineStr">
        <x:is>
          <x:t xml:space="preserve"/>
        </x:is>
      </x:c>
    </x:row>
    <x:row r="79">
      <x:c r="A79" s="3" t="inlineStr">
        <x:is>
          <x:t xml:space="preserve">SEC-D4-Q10</x:t>
        </x:is>
      </x:c>
      <x:c r="B79" s="3" t="inlineStr">
        <x:is>
          <x:t xml:space="preserve">Security</x:t>
        </x:is>
      </x:c>
      <x:c r="C79" s="3" t="inlineStr">
        <x:is>
          <x:t xml:space="preserve">T1</x:t>
        </x:is>
      </x:c>
      <x:c r="D79" s="3" t="inlineStr">
        <x:is>
          <x:t xml:space="preserve">4. High‑Risk Roles &amp; Privileged Monitoring</x:t>
        </x:is>
      </x:c>
      <x:c r="E79" s="3" t="inlineStr">
        <x:is>
          <x:t xml:space="preserve">V</x:t>
        </x:is>
      </x:c>
      <x:c r="F79" s="3" t="n">
        <x:v>0.6</x:v>
      </x:c>
      <x:c r="G79" s="3" t="inlineStr">
        <x:is>
          <x:t xml:space="preserve">T</x:t>
        </x:is>
      </x:c>
      <x:c r="H79" s="3" t="n">
        <x:v>0.4</x:v>
      </x:c>
      <x:c r="I79" s="3" t="inlineStr">
        <x:is>
          <x:t xml:space="preserve">Do you know which roles/accounts have the highest ability to cause harm (admins, finance approvers, HR admins), and are they monitored differently?</x:t>
        </x:is>
      </x:c>
      <x:c r="J79" s="3" t="inlineStr">
        <x:is>
          <x:t xml:space="preserve">Includes privileged IT accounts and business roles with high-impact actions (approve payments, change payroll, export customer lists).</x:t>
        </x:is>
      </x:c>
      <x:c r="K79" s="3" t="inlineStr">
        <x:is>
          <x:t xml:space="preserve">Gatekeeper (If BaseScore &lt;2 → SEC-D4-Q11; If ≥2 → SEC-D4-Q12)</x:t>
        </x:is>
      </x:c>
      <x:c r="L79" s="3" t="inlineStr">
        <x:is>
          <x:t xml:space="preserve">RISK_STD</x:t>
        </x:is>
      </x:c>
      <x:c r="M79" s="3" t="n">
        <x:v>1.5</x:v>
      </x:c>
      <x:c r="N79" s="3" t="n">
        <x:v>0.5</x:v>
      </x:c>
      <x:c r="O79" s="3" t="inlineStr">
        <x:is>
          <x:t xml:space="preserve"/>
        </x:is>
      </x:c>
    </x:row>
    <x:row r="80">
      <x:c r="A80" s="3" t="inlineStr">
        <x:is>
          <x:t xml:space="preserve">SEC-D4-Q11</x:t>
        </x:is>
      </x:c>
      <x:c r="B80" s="3" t="inlineStr">
        <x:is>
          <x:t xml:space="preserve">Security</x:t>
        </x:is>
      </x:c>
      <x:c r="C80" s="3" t="inlineStr">
        <x:is>
          <x:t xml:space="preserve">T2</x:t>
        </x:is>
      </x:c>
      <x:c r="D80" s="3" t="inlineStr">
        <x:is>
          <x:t xml:space="preserve">4. High‑Risk Roles &amp; Privileged Monitoring</x:t>
        </x:is>
      </x:c>
      <x:c r="E80" s="3" t="inlineStr">
        <x:is>
          <x:t xml:space="preserve">E</x:t>
        </x:is>
      </x:c>
      <x:c r="F80" s="3" t="n">
        <x:v>0.5</x:v>
      </x:c>
      <x:c r="G80" s="3" t="inlineStr">
        <x:is>
          <x:t xml:space="preserve">V</x:t>
        </x:is>
      </x:c>
      <x:c r="H80" s="3" t="n">
        <x:v>0.5</x:v>
      </x:c>
      <x:c r="I80" s="3" t="inlineStr">
        <x:is>
          <x:t xml:space="preserve">(Shadow probe) If asked today, could you quickly identify the top 10 people with broad access to sensitive systems?</x:t>
        </x:is>
      </x:c>
      <x:c r="J80" s="3" t="inlineStr">
        <x:is>
          <x:t xml:space="preserve">Checks whether 'key holders' can be found quickly (even if the process is informal).</x:t>
        </x:is>
      </x:c>
      <x:c r="K80" s="3" t="inlineStr">
        <x:is>
          <x:t xml:space="preserve">Shadow fallback (Then → SEC-D5-Q13)</x:t>
        </x:is>
      </x:c>
      <x:c r="L80" s="3" t="inlineStr">
        <x:is>
          <x:t xml:space="preserve">RISK_STD</x:t>
        </x:is>
      </x:c>
      <x:c r="M80" s="3" t="n">
        <x:v>1</x:v>
      </x:c>
      <x:c r="N80" s="3" t="inlineStr">
        <x:is>
          <x:t xml:space="preserve"/>
        </x:is>
      </x:c>
      <x:c r="O80" s="3" t="inlineStr">
        <x:is>
          <x:t xml:space="preserve"/>
        </x:is>
      </x:c>
    </x:row>
    <x:row r="81">
      <x:c r="A81" s="3" t="inlineStr">
        <x:is>
          <x:t xml:space="preserve">SEC-D4-Q12</x:t>
        </x:is>
      </x:c>
      <x:c r="B81" s="3" t="inlineStr">
        <x:is>
          <x:t xml:space="preserve">Security</x:t>
        </x:is>
      </x:c>
      <x:c r="C81" s="3" t="inlineStr">
        <x:is>
          <x:t xml:space="preserve">T2</x:t>
        </x:is>
      </x:c>
      <x:c r="D81" s="3" t="inlineStr">
        <x:is>
          <x:t xml:space="preserve">4. High‑Risk Roles &amp; Privileged Monitoring</x:t>
        </x:is>
      </x:c>
      <x:c r="E81" s="3" t="inlineStr">
        <x:is>
          <x:t xml:space="preserve">T</x:t>
        </x:is>
      </x:c>
      <x:c r="F81" s="3" t="n">
        <x:v>1</x:v>
      </x:c>
      <x:c r="G81" s="3" t="inlineStr">
        <x:is>
          <x:t xml:space="preserve"/>
        </x:is>
      </x:c>
      <x:c r="H81" s="3" t="inlineStr">
        <x:is>
          <x:t xml:space="preserve"/>
        </x:is>
      </x:c>
      <x:c r="I81" s="3" t="inlineStr">
        <x:is>
          <x:t xml:space="preserve">How are privileged/admin actions monitored and reviewed (e.g., creating accounts, changing permissions, exporting data)?</x:t>
        </x:is>
      </x:c>
      <x:c r="J81" s="3" t="inlineStr">
        <x:is>
          <x:t xml:space="preserve">We’re looking for coverage and independent review for the highest‑risk actions.</x:t>
        </x:is>
      </x:c>
      <x:c r="K81" s="3" t="inlineStr">
        <x:is>
          <x:t xml:space="preserve">Drill-down</x:t>
        </x:is>
      </x:c>
      <x:c r="L81" s="3" t="inlineStr">
        <x:is>
          <x:t xml:space="preserve">OPS_STD</x:t>
        </x:is>
      </x:c>
      <x:c r="M81" s="3" t="n">
        <x:v>1.4</x:v>
      </x:c>
      <x:c r="N81" s="3" t="n">
        <x:v>0.5</x:v>
      </x:c>
      <x:c r="O81" s="3" t="inlineStr">
        <x:is>
          <x:t xml:space="preserve"/>
        </x:is>
      </x:c>
    </x:row>
    <x:row r="82">
      <x:c r="A82" s="3" t="inlineStr">
        <x:is>
          <x:t xml:space="preserve">SEC-D5-Q13</x:t>
        </x:is>
      </x:c>
      <x:c r="B82" s="3" t="inlineStr">
        <x:is>
          <x:t xml:space="preserve">Security</x:t>
        </x:is>
      </x:c>
      <x:c r="C82" s="3" t="inlineStr">
        <x:is>
          <x:t xml:space="preserve">T1</x:t>
        </x:is>
      </x:c>
      <x:c r="D82" s="3" t="inlineStr">
        <x:is>
          <x:t xml:space="preserve">5. Investigations &amp; Case Management</x:t>
        </x:is>
      </x:c>
      <x:c r="E82" s="3" t="inlineStr">
        <x:is>
          <x:t xml:space="preserve">R</x:t>
        </x:is>
      </x:c>
      <x:c r="F82" s="3" t="n">
        <x:v>0.6</x:v>
      </x:c>
      <x:c r="G82" s="3" t="inlineStr">
        <x:is>
          <x:t xml:space="preserve">E</x:t>
        </x:is>
      </x:c>
      <x:c r="H82" s="3" t="n">
        <x:v>0.4</x:v>
      </x:c>
      <x:c r="I82" s="3" t="inlineStr">
        <x:is>
          <x:t xml:space="preserve">When an internal misuse concern is raised, do you have a consistent cross‑functional investigation process (Security + HR + Legal/Privacy)?</x:t>
        </x:is>
      </x:c>
      <x:c r="J82" s="3" t="inlineStr">
        <x:is>
          <x:t xml:space="preserve">We mean a repeatable process with clear steps, not necessarily a separate insider threat team.</x:t>
        </x:is>
      </x:c>
      <x:c r="K82" s="3" t="inlineStr">
        <x:is>
          <x:t xml:space="preserve">Gatekeeper (If BaseScore &lt;2 → SEC-D5-Q14; If ≥2 → SEC-D5-Q15)</x:t>
        </x:is>
      </x:c>
      <x:c r="L82" s="3" t="inlineStr">
        <x:is>
          <x:t xml:space="preserve">OPS_STD</x:t>
        </x:is>
      </x:c>
      <x:c r="M82" s="3" t="n">
        <x:v>1.5</x:v>
      </x:c>
      <x:c r="N82" s="3" t="n">
        <x:v>0.5</x:v>
      </x:c>
      <x:c r="O82" s="3" t="inlineStr">
        <x:is>
          <x:t xml:space="preserve"/>
        </x:is>
      </x:c>
    </x:row>
    <x:row r="83">
      <x:c r="A83" s="3" t="inlineStr">
        <x:is>
          <x:t xml:space="preserve">SEC-D5-Q14</x:t>
        </x:is>
      </x:c>
      <x:c r="B83" s="3" t="inlineStr">
        <x:is>
          <x:t xml:space="preserve">Security</x:t>
        </x:is>
      </x:c>
      <x:c r="C83" s="3" t="inlineStr">
        <x:is>
          <x:t xml:space="preserve">T2</x:t>
        </x:is>
      </x:c>
      <x:c r="D83" s="3" t="inlineStr">
        <x:is>
          <x:t xml:space="preserve">5. Investigations &amp; Case Management</x:t>
        </x:is>
      </x:c>
      <x:c r="E83" s="3" t="inlineStr">
        <x:is>
          <x:t xml:space="preserve">E</x:t>
        </x:is>
      </x:c>
      <x:c r="F83" s="3" t="n">
        <x:v>1</x:v>
      </x:c>
      <x:c r="G83" s="3" t="inlineStr">
        <x:is>
          <x:t xml:space="preserve"/>
        </x:is>
      </x:c>
      <x:c r="H83" s="3" t="inlineStr">
        <x:is>
          <x:t xml:space="preserve"/>
        </x:is>
      </x:c>
      <x:c r="I83" s="3" t="inlineStr">
        <x:is>
          <x:t xml:space="preserve">(Shadow probe) Even without a formal process, do Security/HR/Legal know who to call and respond quickly when a serious concern arises?</x:t>
        </x:is>
      </x:c>
      <x:c r="J83" s="3" t="inlineStr">
        <x:is>
          <x:t xml:space="preserve">Checks response speed and clarity: 'who is on point' for internal cases.</x:t>
        </x:is>
      </x:c>
      <x:c r="K83" s="3" t="inlineStr">
        <x:is>
          <x:t xml:space="preserve">Shadow fallback (Then → SEC-D6-Q16)</x:t>
        </x:is>
      </x:c>
      <x:c r="L83" s="3" t="inlineStr">
        <x:is>
          <x:t xml:space="preserve">OPS_STD</x:t>
        </x:is>
      </x:c>
      <x:c r="M83" s="3" t="n">
        <x:v>1</x:v>
      </x:c>
      <x:c r="N83" s="3" t="inlineStr">
        <x:is>
          <x:t xml:space="preserve"/>
        </x:is>
      </x:c>
      <x:c r="O83" s="3" t="inlineStr">
        <x:is>
          <x:t xml:space="preserve"/>
        </x:is>
      </x:c>
    </x:row>
    <x:row r="84">
      <x:c r="A84" s="3" t="inlineStr">
        <x:is>
          <x:t xml:space="preserve">SEC-D5-Q15</x:t>
        </x:is>
      </x:c>
      <x:c r="B84" s="3" t="inlineStr">
        <x:is>
          <x:t xml:space="preserve">Security</x:t>
        </x:is>
      </x:c>
      <x:c r="C84" s="3" t="inlineStr">
        <x:is>
          <x:t xml:space="preserve">T2</x:t>
        </x:is>
      </x:c>
      <x:c r="D84" s="3" t="inlineStr">
        <x:is>
          <x:t xml:space="preserve">5. Investigations &amp; Case Management</x:t>
        </x:is>
      </x:c>
      <x:c r="E84" s="3" t="inlineStr">
        <x:is>
          <x:t xml:space="preserve">R</x:t>
        </x:is>
      </x:c>
      <x:c r="F84" s="3" t="n">
        <x:v>1</x:v>
      </x:c>
      <x:c r="G84" s="3" t="inlineStr">
        <x:is>
          <x:t xml:space="preserve"/>
        </x:is>
      </x:c>
      <x:c r="H84" s="3" t="inlineStr">
        <x:is>
          <x:t xml:space="preserve"/>
        </x:is>
      </x:c>
      <x:c r="I84" s="3" t="inlineStr">
        <x:is>
          <x:t xml:space="preserve">How do you ensure investigation decisions are consistent and defensible (not based on rumors or personal conflicts)?</x:t>
        </x:is>
      </x:c>
      <x:c r="J84" s="3" t="inlineStr">
        <x:is>
          <x:t xml:space="preserve">Procedural fairness: documented decisions, separation of duties, and review/appeal paths for higher‑impact actions.</x:t>
        </x:is>
      </x:c>
      <x:c r="K84" s="3" t="inlineStr">
        <x:is>
          <x:t xml:space="preserve">Drill-down</x:t>
        </x:is>
      </x:c>
      <x:c r="L84" s="3" t="inlineStr">
        <x:is>
          <x:t xml:space="preserve">LEG_STRICT</x:t>
        </x:is>
      </x:c>
      <x:c r="M84" s="3" t="n">
        <x:v>1.3</x:v>
      </x:c>
      <x:c r="N84" s="3" t="n">
        <x:v>0.5</x:v>
      </x:c>
      <x:c r="O84" s="3" t="inlineStr">
        <x:is>
          <x:t xml:space="preserve"/>
        </x:is>
      </x:c>
    </x:row>
    <x:row r="85">
      <x:c r="A85" s="3" t="inlineStr">
        <x:is>
          <x:t xml:space="preserve">SEC-D6-Q16</x:t>
        </x:is>
      </x:c>
      <x:c r="B85" s="3" t="inlineStr">
        <x:is>
          <x:t xml:space="preserve">Security</x:t>
        </x:is>
      </x:c>
      <x:c r="C85" s="3" t="inlineStr">
        <x:is>
          <x:t xml:space="preserve">T1</x:t>
        </x:is>
      </x:c>
      <x:c r="D85" s="3" t="inlineStr">
        <x:is>
          <x:t xml:space="preserve">6. Containment &amp; Response Automation</x:t>
        </x:is>
      </x:c>
      <x:c r="E85" s="3" t="inlineStr">
        <x:is>
          <x:t xml:space="preserve">T</x:t>
        </x:is>
      </x:c>
      <x:c r="F85" s="3" t="n">
        <x:v>0.6</x:v>
      </x:c>
      <x:c r="G85" s="3" t="inlineStr">
        <x:is>
          <x:t xml:space="preserve">R</x:t>
        </x:is>
      </x:c>
      <x:c r="H85" s="3" t="n">
        <x:v>0.4</x:v>
      </x:c>
      <x:c r="I85" s="3" t="inlineStr">
        <x:is>
          <x:t xml:space="preserve">If you see a credible insider risk, can you quickly reduce risk (revoke access, block sharing, isolate a device) in a controlled way?</x:t>
        </x:is>
      </x:c>
      <x:c r="J85" s="3" t="inlineStr">
        <x:is>
          <x:t xml:space="preserve">'Controlled' means approvals, logging, and minimizing unnecessary business disruption.</x:t>
        </x:is>
      </x:c>
      <x:c r="K85" s="3" t="inlineStr">
        <x:is>
          <x:t xml:space="preserve">Gatekeeper (If BaseScore &lt;2 → SEC-D6-Q17; If ≥2 → SEC-D6-Q18)</x:t>
        </x:is>
      </x:c>
      <x:c r="L85" s="3" t="inlineStr">
        <x:is>
          <x:t xml:space="preserve">OPS_STD</x:t>
        </x:is>
      </x:c>
      <x:c r="M85" s="3" t="n">
        <x:v>1.5</x:v>
      </x:c>
      <x:c r="N85" s="3" t="n">
        <x:v>0.5</x:v>
      </x:c>
      <x:c r="O85" s="3" t="inlineStr">
        <x:is>
          <x:t xml:space="preserve"/>
        </x:is>
      </x:c>
    </x:row>
    <x:row r="86">
      <x:c r="A86" s="3" t="inlineStr">
        <x:is>
          <x:t xml:space="preserve">SEC-D6-Q17</x:t>
        </x:is>
      </x:c>
      <x:c r="B86" s="3" t="inlineStr">
        <x:is>
          <x:t xml:space="preserve">Security</x:t>
        </x:is>
      </x:c>
      <x:c r="C86" s="3" t="inlineStr">
        <x:is>
          <x:t xml:space="preserve">T2</x:t>
        </x:is>
      </x:c>
      <x:c r="D86" s="3" t="inlineStr">
        <x:is>
          <x:t xml:space="preserve">6. Containment &amp; Response Automation</x:t>
        </x:is>
      </x:c>
      <x:c r="E86" s="3" t="inlineStr">
        <x:is>
          <x:t xml:space="preserve">E</x:t>
        </x:is>
      </x:c>
      <x:c r="F86" s="3" t="n">
        <x:v>1</x:v>
      </x:c>
      <x:c r="G86" s="3" t="inlineStr">
        <x:is>
          <x:t xml:space="preserve"/>
        </x:is>
      </x:c>
      <x:c r="H86" s="3" t="inlineStr">
        <x:is>
          <x:t xml:space="preserve"/>
        </x:is>
      </x:c>
      <x:c r="I86" s="3" t="inlineStr">
        <x:is>
          <x:t xml:space="preserve">(Shadow probe) In practice, can you get quick business approval for containment without creating chaos or outages?</x:t>
        </x:is>
      </x:c>
      <x:c r="J86" s="3" t="inlineStr">
        <x:is>
          <x:t xml:space="preserve">Checks whether the organization can act fast without breaking critical operations.</x:t>
        </x:is>
      </x:c>
      <x:c r="K86" s="3" t="inlineStr">
        <x:is>
          <x:t xml:space="preserve">Shadow fallback (Then → SEC-D7-Q19)</x:t>
        </x:is>
      </x:c>
      <x:c r="L86" s="3" t="inlineStr">
        <x:is>
          <x:t xml:space="preserve">OPS_STD</x:t>
        </x:is>
      </x:c>
      <x:c r="M86" s="3" t="n">
        <x:v>1</x:v>
      </x:c>
      <x:c r="N86" s="3" t="inlineStr">
        <x:is>
          <x:t xml:space="preserve"/>
        </x:is>
      </x:c>
      <x:c r="O86" s="3" t="inlineStr">
        <x:is>
          <x:t xml:space="preserve"/>
        </x:is>
      </x:c>
    </x:row>
    <x:row r="87">
      <x:c r="A87" s="3" t="inlineStr">
        <x:is>
          <x:t xml:space="preserve">SEC-D6-Q18</x:t>
        </x:is>
      </x:c>
      <x:c r="B87" s="3" t="inlineStr">
        <x:is>
          <x:t xml:space="preserve">Security</x:t>
        </x:is>
      </x:c>
      <x:c r="C87" s="3" t="inlineStr">
        <x:is>
          <x:t xml:space="preserve">T2</x:t>
        </x:is>
      </x:c>
      <x:c r="D87" s="3" t="inlineStr">
        <x:is>
          <x:t xml:space="preserve">6. Containment &amp; Response Automation</x:t>
        </x:is>
      </x:c>
      <x:c r="E87" s="3" t="inlineStr">
        <x:is>
          <x:t xml:space="preserve">T</x:t>
        </x:is>
      </x:c>
      <x:c r="F87" s="3" t="n">
        <x:v>0.7</x:v>
      </x:c>
      <x:c r="G87" s="3" t="inlineStr">
        <x:is>
          <x:t xml:space="preserve">F</x:t>
        </x:is>
      </x:c>
      <x:c r="H87" s="3" t="n">
        <x:v>0.3</x:v>
      </x:c>
      <x:c r="I87" s="3" t="inlineStr">
        <x:is>
          <x:t xml:space="preserve">Do containment actions minimize unnecessary disruption (so teams don’t shift to shadow IT/workarounds)?</x:t>
        </x:is>
      </x:c>
      <x:c r="J87" s="3" t="inlineStr">
        <x:is>
          <x:t xml:space="preserve">Proportionate controls: strong where needed, tuned so legitimate work continues.</x:t>
        </x:is>
      </x:c>
      <x:c r="K87" s="3" t="inlineStr">
        <x:is>
          <x:t xml:space="preserve">Drill-down</x:t>
        </x:is>
      </x:c>
      <x:c r="L87" s="3" t="inlineStr">
        <x:is>
          <x:t xml:space="preserve">OPS_STD</x:t>
        </x:is>
      </x:c>
      <x:c r="M87" s="3" t="n">
        <x:v>1</x:v>
      </x:c>
      <x:c r="N87" s="3" t="inlineStr">
        <x:is>
          <x:t xml:space="preserve"/>
        </x:is>
      </x:c>
      <x:c r="O87" s="3" t="inlineStr">
        <x:is>
          <x:t xml:space="preserve"/>
        </x:is>
      </x:c>
    </x:row>
    <x:row r="88">
      <x:c r="A88" s="3" t="inlineStr">
        <x:is>
          <x:t xml:space="preserve">SEC-D7-Q19</x:t>
        </x:is>
      </x:c>
      <x:c r="B88" s="3" t="inlineStr">
        <x:is>
          <x:t xml:space="preserve">Security</x:t>
        </x:is>
      </x:c>
      <x:c r="C88" s="3" t="inlineStr">
        <x:is>
          <x:t xml:space="preserve">T1</x:t>
        </x:is>
      </x:c>
      <x:c r="D88" s="3" t="inlineStr">
        <x:is>
          <x:t xml:space="preserve">7. Evidence &amp; Forensics Readiness</x:t>
        </x:is>
      </x:c>
      <x:c r="E88" s="3" t="inlineStr">
        <x:is>
          <x:t xml:space="preserve">R</x:t>
        </x:is>
      </x:c>
      <x:c r="F88" s="3" t="n">
        <x:v>0.5</x:v>
      </x:c>
      <x:c r="G88" s="3" t="inlineStr">
        <x:is>
          <x:t xml:space="preserve">L</x:t>
        </x:is>
      </x:c>
      <x:c r="H88" s="3" t="n">
        <x:v>0.5</x:v>
      </x:c>
      <x:c r="I88" s="3" t="inlineStr">
        <x:is>
          <x:t xml:space="preserve">Can you preserve and present evidence from internal cases so HR/Legal can rely on it (chain of custody, tamper resistance)?</x:t>
        </x:is>
      </x:c>
      <x:c r="J88" s="3" t="inlineStr">
        <x:is>
          <x:t xml:space="preserve">This affects HR actions and legal disputes. Evidence should be traceable: who collected what, when, and whether it was altered.</x:t>
        </x:is>
      </x:c>
      <x:c r="K88" s="3" t="inlineStr">
        <x:is>
          <x:t xml:space="preserve">Gatekeeper (If BaseScore &lt;2 → SEC-D7-Q20; If ≥2 → SEC-D7-Q21)</x:t>
        </x:is>
      </x:c>
      <x:c r="L88" s="3" t="inlineStr">
        <x:is>
          <x:t xml:space="preserve">LEG_STRICT</x:t>
        </x:is>
      </x:c>
      <x:c r="M88" s="3" t="n">
        <x:v>1.5</x:v>
      </x:c>
      <x:c r="N88" s="3" t="n">
        <x:v>0.5</x:v>
      </x:c>
      <x:c r="O88" s="3" t="inlineStr">
        <x:is>
          <x:t xml:space="preserve"/>
        </x:is>
      </x:c>
    </x:row>
    <x:row r="89">
      <x:c r="A89" s="3" t="inlineStr">
        <x:is>
          <x:t xml:space="preserve">SEC-D7-Q20</x:t>
        </x:is>
      </x:c>
      <x:c r="B89" s="3" t="inlineStr">
        <x:is>
          <x:t xml:space="preserve">Security</x:t>
        </x:is>
      </x:c>
      <x:c r="C89" s="3" t="inlineStr">
        <x:is>
          <x:t xml:space="preserve">T2</x:t>
        </x:is>
      </x:c>
      <x:c r="D89" s="3" t="inlineStr">
        <x:is>
          <x:t xml:space="preserve">7. Evidence &amp; Forensics Readiness</x:t>
        </x:is>
      </x:c>
      <x:c r="E89" s="3" t="inlineStr">
        <x:is>
          <x:t xml:space="preserve">E</x:t>
        </x:is>
      </x:c>
      <x:c r="F89" s="3" t="n">
        <x:v>1</x:v>
      </x:c>
      <x:c r="G89" s="3" t="inlineStr">
        <x:is>
          <x:t xml:space="preserve"/>
        </x:is>
      </x:c>
      <x:c r="H89" s="3" t="inlineStr">
        <x:is>
          <x:t xml:space="preserve"/>
        </x:is>
      </x:c>
      <x:c r="I89" s="3" t="inlineStr">
        <x:is>
          <x:t xml:space="preserve">(Shadow probe) When HR/Legal ask for proof, can you retrieve it quickly and consistently (without best guesses)?</x:t>
        </x:is>
      </x:c>
      <x:c r="J89" s="3" t="inlineStr">
        <x:is>
          <x:t xml:space="preserve">Checks speed and repeatability of evidence retrieval for common case types.</x:t>
        </x:is>
      </x:c>
      <x:c r="K89" s="3" t="inlineStr">
        <x:is>
          <x:t xml:space="preserve">Shadow fallback (Then → SEC-D8-Q22)</x:t>
        </x:is>
      </x:c>
      <x:c r="L89" s="3" t="inlineStr">
        <x:is>
          <x:t xml:space="preserve">OPS_STD</x:t>
        </x:is>
      </x:c>
      <x:c r="M89" s="3" t="n">
        <x:v>1</x:v>
      </x:c>
      <x:c r="N89" s="3" t="inlineStr">
        <x:is>
          <x:t xml:space="preserve"/>
        </x:is>
      </x:c>
      <x:c r="O89" s="3" t="inlineStr">
        <x:is>
          <x:t xml:space="preserve"/>
        </x:is>
      </x:c>
    </x:row>
    <x:row r="90">
      <x:c r="A90" s="3" t="inlineStr">
        <x:is>
          <x:t xml:space="preserve">SEC-D7-Q21</x:t>
        </x:is>
      </x:c>
      <x:c r="B90" s="3" t="inlineStr">
        <x:is>
          <x:t xml:space="preserve">Security</x:t>
        </x:is>
      </x:c>
      <x:c r="C90" s="3" t="inlineStr">
        <x:is>
          <x:t xml:space="preserve">T3</x:t>
        </x:is>
      </x:c>
      <x:c r="D90" s="3" t="inlineStr">
        <x:is>
          <x:t xml:space="preserve">7. Evidence &amp; Forensics Readiness</x:t>
        </x:is>
      </x:c>
      <x:c r="E90" s="3" t="inlineStr">
        <x:is>
          <x:t xml:space="preserve">T</x:t>
        </x:is>
      </x:c>
      <x:c r="F90" s="3" t="n">
        <x:v>0.5</x:v>
      </x:c>
      <x:c r="G90" s="3" t="inlineStr">
        <x:is>
          <x:t xml:space="preserve">L</x:t>
        </x:is>
      </x:c>
      <x:c r="H90" s="3" t="n">
        <x:v>0.5</x:v>
      </x:c>
      <x:c r="I90" s="3" t="inlineStr">
        <x:is>
          <x:t xml:space="preserve">Are monitoring logs protected (restricted access + audits) and retained long enough for investigations and legal requirements?</x:t>
        </x:is>
      </x:c>
      <x:c r="J90" s="3" t="inlineStr">
        <x:is>
          <x:t xml:space="preserve">Checks governance of monitoring data itself to prevent misuse and support defensibility.</x:t>
        </x:is>
      </x:c>
      <x:c r="K90" s="3" t="inlineStr">
        <x:is>
          <x:t xml:space="preserve">Business-proofing</x:t>
        </x:is>
      </x:c>
      <x:c r="L90" s="3" t="inlineStr">
        <x:is>
          <x:t xml:space="preserve">LEG_STRICT</x:t>
        </x:is>
      </x:c>
      <x:c r="M90" s="3" t="n">
        <x:v>1.3</x:v>
      </x:c>
      <x:c r="N90" s="3" t="n">
        <x:v>0.5</x:v>
      </x:c>
      <x:c r="O90" s="3" t="inlineStr">
        <x:is>
          <x:t xml:space="preserve"/>
        </x:is>
      </x:c>
    </x:row>
    <x:row r="91">
      <x:c r="A91" s="3" t="inlineStr">
        <x:is>
          <x:t xml:space="preserve">SEC-D8-Q22</x:t>
        </x:is>
      </x:c>
      <x:c r="B91" s="3" t="inlineStr">
        <x:is>
          <x:t xml:space="preserve">Security</x:t>
        </x:is>
      </x:c>
      <x:c r="C91" s="3" t="inlineStr">
        <x:is>
          <x:t xml:space="preserve">T1</x:t>
        </x:is>
      </x:c>
      <x:c r="D91" s="3" t="inlineStr">
        <x:is>
          <x:t xml:space="preserve">8. Third Parties &amp; Contractors</x:t>
        </x:is>
      </x:c>
      <x:c r="E91" s="3" t="inlineStr">
        <x:is>
          <x:t xml:space="preserve">V</x:t>
        </x:is>
      </x:c>
      <x:c r="F91" s="3" t="n">
        <x:v>0.6</x:v>
      </x:c>
      <x:c r="G91" s="3" t="inlineStr">
        <x:is>
          <x:t xml:space="preserve">T</x:t>
        </x:is>
      </x:c>
      <x:c r="H91" s="3" t="n">
        <x:v>0.4</x:v>
      </x:c>
      <x:c r="I91" s="3" t="inlineStr">
        <x:is>
          <x:t xml:space="preserve">Are contractors, vendors, and outsourced admins monitored with similar attention as employees when they access sensitive systems?</x:t>
        </x:is>
      </x:c>
      <x:c r="J91" s="3" t="inlineStr">
        <x:is>
          <x:t xml:space="preserve">Includes MSP/MSSP engineers, vendor developers, temporary staff, and BPOs with system access.</x:t>
        </x:is>
      </x:c>
      <x:c r="K91" s="3" t="inlineStr">
        <x:is>
          <x:t xml:space="preserve">Gatekeeper (If BaseScore &lt;2 → SEC-D8-Q23; If ≥2 → SEC-D8-Q24)</x:t>
        </x:is>
      </x:c>
      <x:c r="L91" s="3" t="inlineStr">
        <x:is>
          <x:t xml:space="preserve">RISK_STD</x:t>
        </x:is>
      </x:c>
      <x:c r="M91" s="3" t="n">
        <x:v>1.3</x:v>
      </x:c>
      <x:c r="N91" s="3" t="n">
        <x:v>0.5</x:v>
      </x:c>
      <x:c r="O91" s="3" t="inlineStr">
        <x:is>
          <x:t xml:space="preserve"/>
        </x:is>
      </x:c>
    </x:row>
    <x:row r="92">
      <x:c r="A92" s="3" t="inlineStr">
        <x:is>
          <x:t xml:space="preserve">SEC-D8-Q23</x:t>
        </x:is>
      </x:c>
      <x:c r="B92" s="3" t="inlineStr">
        <x:is>
          <x:t xml:space="preserve">Security</x:t>
        </x:is>
      </x:c>
      <x:c r="C92" s="3" t="inlineStr">
        <x:is>
          <x:t xml:space="preserve">T2</x:t>
        </x:is>
      </x:c>
      <x:c r="D92" s="3" t="inlineStr">
        <x:is>
          <x:t xml:space="preserve">8. Third Parties &amp; Contractors</x:t>
        </x:is>
      </x:c>
      <x:c r="E92" s="3" t="inlineStr">
        <x:is>
          <x:t xml:space="preserve">E</x:t>
        </x:is>
      </x:c>
      <x:c r="F92" s="3" t="n">
        <x:v>1</x:v>
      </x:c>
      <x:c r="G92" s="3" t="inlineStr">
        <x:is>
          <x:t xml:space="preserve"/>
        </x:is>
      </x:c>
      <x:c r="H92" s="3" t="inlineStr">
        <x:is>
          <x:t xml:space="preserve"/>
        </x:is>
      </x:c>
      <x:c r="I92" s="3" t="inlineStr">
        <x:is>
          <x:t xml:space="preserve">(Shadow probe) When a contractor/vendor engagement ends, is access reliably removed quickly across systems?</x:t>
        </x:is>
      </x:c>
      <x:c r="J92" s="3" t="inlineStr">
        <x:is>
          <x:t xml:space="preserve">Checks offboarding reality for non‑employees.</x:t>
        </x:is>
      </x:c>
      <x:c r="K92" s="3" t="inlineStr">
        <x:is>
          <x:t xml:space="preserve">Shadow fallback (Then → SEC-D9-Q25)</x:t>
        </x:is>
      </x:c>
      <x:c r="L92" s="3" t="inlineStr">
        <x:is>
          <x:t xml:space="preserve">OPS_STD</x:t>
        </x:is>
      </x:c>
      <x:c r="M92" s="3" t="n">
        <x:v>1.2</x:v>
      </x:c>
      <x:c r="N92" s="3" t="n">
        <x:v>0.5</x:v>
      </x:c>
      <x:c r="O92" s="3" t="inlineStr">
        <x:is>
          <x:t xml:space="preserve"/>
        </x:is>
      </x:c>
    </x:row>
    <x:row r="93">
      <x:c r="A93" s="3" t="inlineStr">
        <x:is>
          <x:t xml:space="preserve">SEC-D8-Q24</x:t>
        </x:is>
      </x:c>
      <x:c r="B93" s="3" t="inlineStr">
        <x:is>
          <x:t xml:space="preserve">Security</x:t>
        </x:is>
      </x:c>
      <x:c r="C93" s="3" t="inlineStr">
        <x:is>
          <x:t xml:space="preserve">T3</x:t>
        </x:is>
      </x:c>
      <x:c r="D93" s="3" t="inlineStr">
        <x:is>
          <x:t xml:space="preserve">8. Third Parties &amp; Contractors</x:t>
        </x:is>
      </x:c>
      <x:c r="E93" s="3" t="inlineStr">
        <x:is>
          <x:t xml:space="preserve">T</x:t>
        </x:is>
      </x:c>
      <x:c r="F93" s="3" t="n">
        <x:v>0.5</x:v>
      </x:c>
      <x:c r="G93" s="3" t="inlineStr">
        <x:is>
          <x:t xml:space="preserve">R</x:t>
        </x:is>
      </x:c>
      <x:c r="H93" s="3" t="n">
        <x:v>0.5</x:v>
      </x:c>
      <x:c r="I93" s="3" t="inlineStr">
        <x:is>
          <x:t xml:space="preserve">Do you have a defined process for investigating third‑party misuse (evidence requests, contractual steps, escalation)?</x:t>
        </x:is>
      </x:c>
      <x:c r="J93" s="3" t="inlineStr">
        <x:is>
          <x:t xml:space="preserve">Checks readiness: who leads, what evidence can be requested, and how quickly you can escalate.</x:t>
        </x:is>
      </x:c>
      <x:c r="K93" s="3" t="inlineStr">
        <x:is>
          <x:t xml:space="preserve">Business-proofing</x:t>
        </x:is>
      </x:c>
      <x:c r="L93" s="3" t="inlineStr">
        <x:is>
          <x:t xml:space="preserve">OPS_STD</x:t>
        </x:is>
      </x:c>
      <x:c r="M93" s="3" t="n">
        <x:v>1</x:v>
      </x:c>
      <x:c r="N93" s="3" t="inlineStr">
        <x:is>
          <x:t xml:space="preserve"/>
        </x:is>
      </x:c>
      <x:c r="O93" s="3" t="inlineStr">
        <x:is>
          <x:t xml:space="preserve"/>
        </x:is>
      </x:c>
    </x:row>
    <x:row r="94">
      <x:c r="A94" s="3" t="inlineStr">
        <x:is>
          <x:t xml:space="preserve">SEC-D9-Q25</x:t>
        </x:is>
      </x:c>
      <x:c r="B94" s="3" t="inlineStr">
        <x:is>
          <x:t xml:space="preserve">Security</x:t>
        </x:is>
      </x:c>
      <x:c r="C94" s="3" t="inlineStr">
        <x:is>
          <x:t xml:space="preserve">T1</x:t>
        </x:is>
      </x:c>
      <x:c r="D94" s="3" t="inlineStr">
        <x:is>
          <x:t xml:space="preserve">9. Metrics &amp; Continuous Improvement</x:t>
        </x:is>
      </x:c>
      <x:c r="E94" s="3" t="inlineStr">
        <x:is>
          <x:t xml:space="preserve">E</x:t>
        </x:is>
      </x:c>
      <x:c r="F94" s="3" t="n">
        <x:v>0.5</x:v>
      </x:c>
      <x:c r="G94" s="3" t="inlineStr">
        <x:is>
          <x:t xml:space="preserve">R</x:t>
        </x:is>
      </x:c>
      <x:c r="H94" s="3" t="n">
        <x:v>0.5</x:v>
      </x:c>
      <x:c r="I94" s="3" t="inlineStr">
        <x:is>
          <x:t xml:space="preserve">Do you measure whether internal misuse monitoring is effective (not just how many alerts exist)?</x:t>
        </x:is>
      </x:c>
      <x:c r="J94" s="3" t="inlineStr">
        <x:is>
          <x:t xml:space="preserve">Examples: time to triage, investigation outcomes, false-positive rate, coverage of sensitive systems, and lessons learned.</x:t>
        </x:is>
      </x:c>
      <x:c r="K94" s="3" t="inlineStr">
        <x:is>
          <x:t xml:space="preserve">Gatekeeper (If BaseScore &lt;2 → SEC-D9-Q26; If ≥2 → SEC-D9-Q27)</x:t>
        </x:is>
      </x:c>
      <x:c r="L94" s="3" t="inlineStr">
        <x:is>
          <x:t xml:space="preserve">OPS_STD</x:t>
        </x:is>
      </x:c>
      <x:c r="M94" s="3" t="n">
        <x:v>1</x:v>
      </x:c>
      <x:c r="N94" s="3" t="inlineStr">
        <x:is>
          <x:t xml:space="preserve"/>
        </x:is>
      </x:c>
      <x:c r="O94" s="3" t="inlineStr">
        <x:is>
          <x:t xml:space="preserve"/>
        </x:is>
      </x:c>
    </x:row>
    <x:row r="95">
      <x:c r="A95" s="3" t="inlineStr">
        <x:is>
          <x:t xml:space="preserve">SEC-D9-Q26</x:t>
        </x:is>
      </x:c>
      <x:c r="B95" s="3" t="inlineStr">
        <x:is>
          <x:t xml:space="preserve">Security</x:t>
        </x:is>
      </x:c>
      <x:c r="C95" s="3" t="inlineStr">
        <x:is>
          <x:t xml:space="preserve">T2</x:t>
        </x:is>
      </x:c>
      <x:c r="D95" s="3" t="inlineStr">
        <x:is>
          <x:t xml:space="preserve">9. Metrics &amp; Continuous Improvement</x:t>
        </x:is>
      </x:c>
      <x:c r="E95" s="3" t="inlineStr">
        <x:is>
          <x:t xml:space="preserve">E</x:t>
        </x:is>
      </x:c>
      <x:c r="F95" s="3" t="n">
        <x:v>1</x:v>
      </x:c>
      <x:c r="G95" s="3" t="inlineStr">
        <x:is>
          <x:t xml:space="preserve"/>
        </x:is>
      </x:c>
      <x:c r="H95" s="3" t="inlineStr">
        <x:is>
          <x:t xml:space="preserve"/>
        </x:is>
      </x:c>
      <x:c r="I95" s="3" t="inlineStr">
        <x:is>
          <x:t xml:space="preserve">(Shadow probe) Do you review 'near misses' (suspicious behavior caught early) to improve controls, even if nothing was lost?</x:t>
        </x:is>
      </x:c>
      <x:c r="J95" s="3" t="inlineStr">
        <x:is>
          <x:t xml:space="preserve">Near-miss reviews show learning without waiting for a breach.</x:t>
        </x:is>
      </x:c>
      <x:c r="K95" s="3" t="inlineStr">
        <x:is>
          <x:t xml:space="preserve">Shadow fallback (End)</x:t>
        </x:is>
      </x:c>
      <x:c r="L95" s="3" t="inlineStr">
        <x:is>
          <x:t xml:space="preserve">OPS_STD</x:t>
        </x:is>
      </x:c>
      <x:c r="M95" s="3" t="n">
        <x:v>1</x:v>
      </x:c>
      <x:c r="N95" s="3" t="inlineStr">
        <x:is>
          <x:t xml:space="preserve"/>
        </x:is>
      </x:c>
      <x:c r="O95" s="3" t="inlineStr">
        <x:is>
          <x:t xml:space="preserve"/>
        </x:is>
      </x:c>
      <x:c r="P95" t="inlineStr">
        <x:is>
          <x:t xml:space="preserve">End</x:t>
        </x:is>
      </x:c>
      <x:c r="U95" t="inlineStr">
        <x:is>
          <x:t xml:space="preserve">Y</x:t>
        </x:is>
      </x:c>
    </x:row>
    <x:row r="96">
      <x:c r="A96" s="3" t="inlineStr">
        <x:is>
          <x:t xml:space="preserve">SEC-D9-Q27</x:t>
        </x:is>
      </x:c>
      <x:c r="B96" s="3" t="inlineStr">
        <x:is>
          <x:t xml:space="preserve">Security</x:t>
        </x:is>
      </x:c>
      <x:c r="C96" s="3" t="inlineStr">
        <x:is>
          <x:t xml:space="preserve">T3</x:t>
        </x:is>
      </x:c>
      <x:c r="D96" s="3" t="inlineStr">
        <x:is>
          <x:t xml:space="preserve">9. Metrics &amp; Continuous Improvement</x:t>
        </x:is>
      </x:c>
      <x:c r="E96" s="3" t="inlineStr">
        <x:is>
          <x:t xml:space="preserve">T</x:t>
        </x:is>
      </x:c>
      <x:c r="F96" s="3" t="n">
        <x:v>0.5</x:v>
      </x:c>
      <x:c r="G96" s="3" t="inlineStr">
        <x:is>
          <x:t xml:space="preserve">E</x:t>
        </x:is>
      </x:c>
      <x:c r="H96" s="3" t="n">
        <x:v>0.5</x:v>
      </x:c>
      <x:c r="I96" s="3" t="inlineStr">
        <x:is>
          <x:t xml:space="preserve">Is detection quality periodically tested (simulations, controlled tests, red/purple exercises) to reduce blind spots?</x:t>
        </x:is>
      </x:c>
      <x:c r="J96" s="3" t="inlineStr">
        <x:is>
          <x:t xml:space="preserve">This can be lightweight: test a few scenarios, verify alerts fire, and verify investigation time is within expectations.</x:t>
        </x:is>
      </x:c>
      <x:c r="K96" s="3" t="inlineStr">
        <x:is>
          <x:t xml:space="preserve">Business-proofing</x:t>
        </x:is>
      </x:c>
      <x:c r="L96" s="3" t="inlineStr">
        <x:is>
          <x:t xml:space="preserve">OPS_STD</x:t>
        </x:is>
      </x:c>
      <x:c r="M96" s="3" t="n">
        <x:v>1.2</x:v>
      </x:c>
      <x:c r="N96" s="3" t="inlineStr">
        <x:is>
          <x:t xml:space="preserve"/>
        </x:is>
      </x:c>
      <x:c r="O96" s="3" t="inlineStr">
        <x:is>
          <x:t xml:space="preserve"/>
        </x:is>
      </x:c>
    </x:row>
    <x:row r="97">
      <x:c r="A97" s="3" t="inlineStr">
        <x:is>
          <x:t xml:space="preserve">SEC-D10-Q28</x:t>
        </x:is>
      </x:c>
      <x:c r="B97" s="3" t="inlineStr">
        <x:is>
          <x:t xml:space="preserve">Security</x:t>
        </x:is>
      </x:c>
      <x:c r="C97" s="3" t="inlineStr">
        <x:is>
          <x:t xml:space="preserve">T3</x:t>
        </x:is>
      </x:c>
      <x:c r="D97" s="3" t="inlineStr">
        <x:is>
          <x:t xml:space="preserve">10. Deep Technical Drill‑down (Optional Annex)</x:t>
        </x:is>
      </x:c>
      <x:c r="E97" s="3" t="inlineStr">
        <x:is>
          <x:t xml:space="preserve">T</x:t>
        </x:is>
      </x:c>
      <x:c r="F97" s="3" t="n">
        <x:v>0.6</x:v>
      </x:c>
      <x:c r="G97" s="3" t="inlineStr">
        <x:is>
          <x:t xml:space="preserve">V</x:t>
        </x:is>
      </x:c>
      <x:c r="H97" s="3" t="n">
        <x:v>0.4</x:v>
      </x:c>
      <x:c r="I97" s="3" t="inlineStr">
        <x:is>
          <x:t xml:space="preserve">For the systems that matter most (email, file sharing, finance/ERP, source code, key databases), how complete is your log collection for insider investigations?</x:t>
        </x:is>
      </x:c>
      <x:c r="J97" s="3" t="inlineStr">
        <x:is>
          <x:t xml:space="preserve">Logs = activity records that show who did what, when, and from where. Focus on coverage: endpoints/laptops, servers, cloud services, and SaaS. If you’re unsure, choose the closest option.</x:t>
        </x:is>
      </x:c>
      <x:c r="K97" s="3" t="inlineStr">
        <x:is>
          <x:t xml:space="preserve">Optional Annex (Ask in Full/Deep mode OR if SEC-D2-Q04 BaseScore ≥ 2).</x:t>
        </x:is>
      </x:c>
      <x:c r="L97" s="3" t="inlineStr">
        <x:is>
          <x:t xml:space="preserve">OPS_STD</x:t>
        </x:is>
      </x:c>
      <x:c r="M97" s="3" t="n">
        <x:v>1.5</x:v>
      </x:c>
      <x:c r="N97" s="3" t="n">
        <x:v>0.5</x:v>
      </x:c>
      <x:c r="O97" s="3" t="n"/>
      <x:c r="P97" t="inlineStr">
        <x:is>
          <x:t xml:space="preserve">Annex</x:t>
        </x:is>
      </x:c>
    </x:row>
    <x:row r="98">
      <x:c r="A98" s="3" t="inlineStr">
        <x:is>
          <x:t xml:space="preserve">SEC-D10-Q29</x:t>
        </x:is>
      </x:c>
      <x:c r="B98" s="3" t="inlineStr">
        <x:is>
          <x:t xml:space="preserve">Security</x:t>
        </x:is>
      </x:c>
      <x:c r="C98" s="3" t="inlineStr">
        <x:is>
          <x:t xml:space="preserve">T4</x:t>
        </x:is>
      </x:c>
      <x:c r="D98" s="3" t="inlineStr">
        <x:is>
          <x:t xml:space="preserve">10. Deep Technical Drill‑down (Optional Annex)</x:t>
        </x:is>
      </x:c>
      <x:c r="E98" s="3" t="inlineStr">
        <x:is>
          <x:t xml:space="preserve">L</x:t>
        </x:is>
      </x:c>
      <x:c r="F98" s="3" t="n">
        <x:v>0.5</x:v>
      </x:c>
      <x:c r="G98" s="3" t="inlineStr">
        <x:is>
          <x:t xml:space="preserve">T</x:t>
        </x:is>
      </x:c>
      <x:c r="H98" s="3" t="n">
        <x:v>0.5</x:v>
      </x:c>
      <x:c r="I98" s="3" t="inlineStr">
        <x:is>
          <x:t xml:space="preserve">How are monitoring logs protected against tampering and time issues (so they can be used for HR/legal decisions)?</x:t>
        </x:is>
      </x:c>
      <x:c r="J98" s="3" t="inlineStr">
        <x:is>
          <x:t xml:space="preserve">Think integrity: time synchronization, restricted access, immutability (WORM), audit trails of who accessed logs, and retention that matches investigation needs.</x:t>
        </x:is>
      </x:c>
      <x:c r="K98" s="3" t="inlineStr">
        <x:is>
          <x:t xml:space="preserve">Optional Annex (Ask in Full/Deep mode).</x:t>
        </x:is>
      </x:c>
      <x:c r="L98" s="3" t="inlineStr">
        <x:is>
          <x:t xml:space="preserve">LEG_STRICT</x:t>
        </x:is>
      </x:c>
      <x:c r="M98" s="3" t="n">
        <x:v>1.5</x:v>
      </x:c>
      <x:c r="N98" s="3" t="n">
        <x:v>0.5</x:v>
      </x:c>
      <x:c r="O98" s="3" t="n"/>
      <x:c r="P98" t="inlineStr">
        <x:is>
          <x:t xml:space="preserve">Annex</x:t>
        </x:is>
      </x:c>
    </x:row>
    <x:row r="99">
      <x:c r="A99" s="3" t="inlineStr">
        <x:is>
          <x:t xml:space="preserve">SEC-D10-Q30</x:t>
        </x:is>
      </x:c>
      <x:c r="B99" s="3" t="inlineStr">
        <x:is>
          <x:t xml:space="preserve">Security</x:t>
        </x:is>
      </x:c>
      <x:c r="C99" s="3" t="inlineStr">
        <x:is>
          <x:t xml:space="preserve">T3</x:t>
        </x:is>
      </x:c>
      <x:c r="D99" s="3" t="inlineStr">
        <x:is>
          <x:t xml:space="preserve">10. Deep Technical Drill‑down (Optional Annex)</x:t>
        </x:is>
      </x:c>
      <x:c r="E99" s="3" t="inlineStr">
        <x:is>
          <x:t xml:space="preserve">E</x:t>
        </x:is>
      </x:c>
      <x:c r="F99" s="3" t="n">
        <x:v>0.6</x:v>
      </x:c>
      <x:c r="G99" s="3" t="inlineStr">
        <x:is>
          <x:t xml:space="preserve">T</x:t>
        </x:is>
      </x:c>
      <x:c r="H99" s="3" t="n">
        <x:v>0.4</x:v>
      </x:c>
      <x:c r="I99" s="3" t="inlineStr">
        <x:is>
          <x:t xml:space="preserve">If an investigation starts today, how quickly can you retrieve the last 30 days of relevant activity for a user across key systems?</x:t>
        </x:is>
      </x:c>
      <x:c r="J99" s="3" t="inlineStr">
        <x:is>
          <x:t xml:space="preserve">Consider the end‑to‑end time: identifying sources, requesting access, exporting data, and handing it to investigators in a usable format.</x:t>
        </x:is>
      </x:c>
      <x:c r="K99" s="3" t="inlineStr">
        <x:is>
          <x:t xml:space="preserve">Optional Annex (Ask in Full/Deep mode OR if SEC-D2-Q04 BaseScore ≥ 2).</x:t>
        </x:is>
      </x:c>
      <x:c r="L99" s="3" t="inlineStr">
        <x:is>
          <x:t xml:space="preserve">OPS_STD</x:t>
        </x:is>
      </x:c>
      <x:c r="M99" s="3" t="n">
        <x:v>1</x:v>
      </x:c>
      <x:c r="N99" s="3" t="n"/>
      <x:c r="O99" s="3" t="n"/>
      <x:c r="P99" t="inlineStr">
        <x:is>
          <x:t xml:space="preserve">Annex</x:t>
        </x:is>
      </x:c>
    </x:row>
    <x:row r="100">
      <x:c r="A100" s="3" t="inlineStr">
        <x:is>
          <x:t xml:space="preserve">SEC-D11-Q31</x:t>
        </x:is>
      </x:c>
      <x:c r="B100" s="3" t="inlineStr">
        <x:is>
          <x:t xml:space="preserve">Security</x:t>
        </x:is>
      </x:c>
      <x:c r="C100" s="3" t="inlineStr">
        <x:is>
          <x:t xml:space="preserve">T3</x:t>
        </x:is>
      </x:c>
      <x:c r="D100" s="3" t="inlineStr">
        <x:is>
          <x:t xml:space="preserve">11. Identity &amp; Privilege Correlation (Deep)</x:t>
        </x:is>
      </x:c>
      <x:c r="E100" s="3" t="inlineStr">
        <x:is>
          <x:t xml:space="preserve">V</x:t>
        </x:is>
      </x:c>
      <x:c r="F100" s="3" t="n">
        <x:v>0.6</x:v>
      </x:c>
      <x:c r="G100" s="3" t="inlineStr">
        <x:is>
          <x:t xml:space="preserve">T</x:t>
        </x:is>
      </x:c>
      <x:c r="H100" s="3" t="n">
        <x:v>0.4</x:v>
      </x:c>
      <x:c r="I100" s="3" t="inlineStr">
        <x:is>
          <x:t xml:space="preserve">Can you reliably link activity in logs to an individual person (not just shared accounts or generic admin IDs)?</x:t>
        </x:is>
      </x:c>
      <x:c r="J100" s="3" t="inlineStr">
        <x:is>
          <x:t xml:space="preserve">Look for consistent identity across systems: SSO/MFA, unique admin accounts, and the ability to resolve ‘who was behind’ an action quickly.</x:t>
        </x:is>
      </x:c>
      <x:c r="K100" s="3" t="inlineStr">
        <x:is>
          <x:t xml:space="preserve">Optional Annex (Ask in Full/Deep mode OR if SEC-D4-Q10 BaseScore ≥ 2).</x:t>
        </x:is>
      </x:c>
      <x:c r="L100" s="3" t="inlineStr">
        <x:is>
          <x:t xml:space="preserve">OPS_STD</x:t>
        </x:is>
      </x:c>
      <x:c r="M100" s="3" t="n">
        <x:v>1.5</x:v>
      </x:c>
      <x:c r="N100" s="3" t="n">
        <x:v>0.5</x:v>
      </x:c>
      <x:c r="O100" s="3" t="n"/>
      <x:c r="P100" t="inlineStr">
        <x:is>
          <x:t xml:space="preserve">Annex</x:t>
        </x:is>
      </x:c>
    </x:row>
    <x:row r="101">
      <x:c r="A101" s="3" t="inlineStr">
        <x:is>
          <x:t xml:space="preserve">SEC-D11-Q32</x:t>
        </x:is>
      </x:c>
      <x:c r="B101" s="3" t="inlineStr">
        <x:is>
          <x:t xml:space="preserve">Security</x:t>
        </x:is>
      </x:c>
      <x:c r="C101" s="3" t="inlineStr">
        <x:is>
          <x:t xml:space="preserve">T4</x:t>
        </x:is>
      </x:c>
      <x:c r="D101" s="3" t="inlineStr">
        <x:is>
          <x:t xml:space="preserve">11. Identity &amp; Privilege Correlation (Deep)</x:t>
        </x:is>
      </x:c>
      <x:c r="E101" s="3" t="inlineStr">
        <x:is>
          <x:t xml:space="preserve">T</x:t>
        </x:is>
      </x:c>
      <x:c r="F101" s="3" t="n">
        <x:v>0.6</x:v>
      </x:c>
      <x:c r="G101" s="3" t="inlineStr">
        <x:is>
          <x:t xml:space="preserve">V</x:t>
        </x:is>
      </x:c>
      <x:c r="H101" s="3" t="n">
        <x:v>0.4</x:v>
      </x:c>
      <x:c r="I101" s="3" t="inlineStr">
        <x:is>
          <x:t xml:space="preserve">How is privileged/admin access granted and recorded for high‑risk systems?</x:t>
        </x:is>
      </x:c>
      <x:c r="J101" s="3" t="inlineStr">
        <x:is>
          <x:t xml:space="preserve">Examples: just‑in‑time admin access, approvals, session recording, ‘four‑eyes’ for sensitive actions, periodic access reviews, elimination of shared admin accounts.</x:t>
        </x:is>
      </x:c>
      <x:c r="K101" s="3" t="inlineStr">
        <x:is>
          <x:t xml:space="preserve">Optional Annex (Ask in Full/Deep mode).</x:t>
        </x:is>
      </x:c>
      <x:c r="L101" s="3" t="inlineStr">
        <x:is>
          <x:t xml:space="preserve">OPS_STD</x:t>
        </x:is>
      </x:c>
      <x:c r="M101" s="3" t="n">
        <x:v>1</x:v>
      </x:c>
      <x:c r="N101" s="3" t="n"/>
      <x:c r="O101" s="3" t="n"/>
      <x:c r="P101" t="inlineStr">
        <x:is>
          <x:t xml:space="preserve">Annex</x:t>
        </x:is>
      </x:c>
    </x:row>
    <x:row r="102">
      <x:c r="A102" s="3" t="inlineStr">
        <x:is>
          <x:t xml:space="preserve">SEC-D11-Q33</x:t>
        </x:is>
      </x:c>
      <x:c r="B102" s="3" t="inlineStr">
        <x:is>
          <x:t xml:space="preserve">Security</x:t>
        </x:is>
      </x:c>
      <x:c r="C102" s="3" t="inlineStr">
        <x:is>
          <x:t xml:space="preserve">T3</x:t>
        </x:is>
      </x:c>
      <x:c r="D102" s="3" t="inlineStr">
        <x:is>
          <x:t xml:space="preserve">11. Identity &amp; Privilege Correlation (Deep)</x:t>
        </x:is>
      </x:c>
      <x:c r="E102" s="3" t="inlineStr">
        <x:is>
          <x:t xml:space="preserve">E</x:t>
        </x:is>
      </x:c>
      <x:c r="F102" s="3" t="n">
        <x:v>0.6</x:v>
      </x:c>
      <x:c r="G102" s="3" t="inlineStr">
        <x:is>
          <x:t xml:space="preserve">W</x:t>
        </x:is>
      </x:c>
      <x:c r="H102" s="3" t="n">
        <x:v>0.4</x:v>
      </x:c>
      <x:c r="I102" s="3" t="inlineStr">
        <x:is>
          <x:t xml:space="preserve">How well do security controls adapt to joiner/mover/leaver changes and sensitive HR events (role changes, resignations, terminations)?</x:t>
        </x:is>
      </x:c>
      <x:c r="J102" s="3" t="inlineStr">
        <x:is>
          <x:t xml:space="preserve">This is about control lag: how fast access changes and monitoring adjustments happen when risk changes. Focus on speed and consistency, not intent.</x:t>
        </x:is>
      </x:c>
      <x:c r="K102" s="3" t="inlineStr">
        <x:is>
          <x:t xml:space="preserve">Optional Annex (Ask in Full/Deep mode OR if SEC-D6-Q17 BaseScore ≥ 2).</x:t>
        </x:is>
      </x:c>
      <x:c r="L102" s="3" t="inlineStr">
        <x:is>
          <x:t xml:space="preserve">OPS_STD</x:t>
        </x:is>
      </x:c>
      <x:c r="M102" s="3" t="n">
        <x:v>1</x:v>
      </x:c>
      <x:c r="N102" s="3" t="n"/>
      <x:c r="O102" s="3" t="n"/>
      <x:c r="P102" t="inlineStr">
        <x:is>
          <x:t xml:space="preserve">Annex</x:t>
        </x:is>
      </x:c>
    </x:row>
    <x:row r="103">
      <x:c r="A103" s="3" t="inlineStr">
        <x:is>
          <x:t xml:space="preserve">SEC-D12-Q34</x:t>
        </x:is>
      </x:c>
      <x:c r="B103" s="3" t="inlineStr">
        <x:is>
          <x:t xml:space="preserve">Security</x:t>
        </x:is>
      </x:c>
      <x:c r="C103" s="3" t="inlineStr">
        <x:is>
          <x:t xml:space="preserve">T3</x:t>
        </x:is>
      </x:c>
      <x:c r="D103" s="3" t="inlineStr">
        <x:is>
          <x:t xml:space="preserve">12. Containment &amp; Response Automation (Deep)</x:t>
        </x:is>
      </x:c>
      <x:c r="E103" s="3" t="inlineStr">
        <x:is>
          <x:t xml:space="preserve">R</x:t>
        </x:is>
      </x:c>
      <x:c r="F103" s="3" t="n">
        <x:v>0.6</x:v>
      </x:c>
      <x:c r="G103" s="3" t="inlineStr">
        <x:is>
          <x:t xml:space="preserve">T</x:t>
        </x:is>
      </x:c>
      <x:c r="H103" s="3" t="n">
        <x:v>0.4</x:v>
      </x:c>
      <x:c r="I103" s="3" t="inlineStr">
        <x:is>
          <x:t xml:space="preserve">For a suspected insider risk case, how quickly can you contain risk across critical systems (disable access, revoke sessions, block risky sharing) in a controlled way?</x:t>
        </x:is>
      </x:c>
      <x:c r="J103" s="3" t="inlineStr">
        <x:is>
          <x:t xml:space="preserve">Containment includes steps like disabling accounts, revoking tokens/sessions, pausing access to sensitive repositories, and freezing data egress — with approvals and audit trail.</x:t>
        </x:is>
      </x:c>
      <x:c r="K103" s="3" t="inlineStr">
        <x:is>
          <x:t xml:space="preserve">Optional Annex (Ask in Full/Deep mode OR if SEC-D6-Q18 BaseScore ≥ 2).</x:t>
        </x:is>
      </x:c>
      <x:c r="L103" s="3" t="inlineStr">
        <x:is>
          <x:t xml:space="preserve">OPS_STD</x:t>
        </x:is>
      </x:c>
      <x:c r="M103" s="3" t="n">
        <x:v>1.5</x:v>
      </x:c>
      <x:c r="N103" s="3" t="n">
        <x:v>0.5</x:v>
      </x:c>
      <x:c r="O103" s="3" t="n"/>
      <x:c r="P103" t="inlineStr">
        <x:is>
          <x:t xml:space="preserve">Annex</x:t>
        </x:is>
      </x:c>
    </x:row>
    <x:row r="104">
      <x:c r="A104" s="3" t="inlineStr">
        <x:is>
          <x:t xml:space="preserve">SEC-D12-Q35</x:t>
        </x:is>
      </x:c>
      <x:c r="B104" s="3" t="inlineStr">
        <x:is>
          <x:t xml:space="preserve">Security</x:t>
        </x:is>
      </x:c>
      <x:c r="C104" s="3" t="inlineStr">
        <x:is>
          <x:t xml:space="preserve">T4</x:t>
        </x:is>
      </x:c>
      <x:c r="D104" s="3" t="inlineStr">
        <x:is>
          <x:t xml:space="preserve">12. Containment &amp; Response Automation (Deep)</x:t>
        </x:is>
      </x:c>
      <x:c r="E104" s="3" t="inlineStr">
        <x:is>
          <x:t xml:space="preserve">L</x:t>
        </x:is>
      </x:c>
      <x:c r="F104" s="3" t="n">
        <x:v>0.6</x:v>
      </x:c>
      <x:c r="G104" s="3" t="inlineStr">
        <x:is>
          <x:t xml:space="preserve">R</x:t>
        </x:is>
      </x:c>
      <x:c r="H104" s="3" t="n">
        <x:v>0.4</x:v>
      </x:c>
      <x:c r="I104" s="3" t="inlineStr">
        <x:is>
          <x:t xml:space="preserve">Do you have predefined, legally reviewed criteria for more intrusive investigation actions (e.g., mailbox review, device seizure, extended monitoring)?</x:t>
        </x:is>
      </x:c>
      <x:c r="J104" s="3" t="inlineStr">
        <x:is>
          <x:t xml:space="preserve">Aim: proportionality and defensibility. Who approves, what triggers the action, how privacy/labor requirements are met, and how actions are documented.</x:t>
        </x:is>
      </x:c>
      <x:c r="K104" s="3" t="inlineStr">
        <x:is>
          <x:t xml:space="preserve">Optional Annex (Ask in Full/Deep mode; route to Legal pack if gaps).</x:t>
        </x:is>
      </x:c>
      <x:c r="L104" s="3" t="inlineStr">
        <x:is>
          <x:t xml:space="preserve">LEG_STRICT</x:t>
        </x:is>
      </x:c>
      <x:c r="M104" s="3" t="n">
        <x:v>1</x:v>
      </x:c>
      <x:c r="N104" s="3" t="n"/>
      <x:c r="O104" s="3" t="n"/>
      <x:c r="P104" t="inlineStr">
        <x:is>
          <x:t xml:space="preserve">Annex</x:t>
        </x:is>
      </x:c>
    </x:row>
    <x:row r="105">
      <x:c r="A105" s="3" t="inlineStr">
        <x:is>
          <x:t xml:space="preserve">SEC-D12-Q36</x:t>
        </x:is>
      </x:c>
      <x:c r="B105" s="3" t="inlineStr">
        <x:is>
          <x:t xml:space="preserve">Security</x:t>
        </x:is>
      </x:c>
      <x:c r="C105" s="3" t="inlineStr">
        <x:is>
          <x:t xml:space="preserve">T3</x:t>
        </x:is>
      </x:c>
      <x:c r="D105" s="3" t="inlineStr">
        <x:is>
          <x:t xml:space="preserve">12. Containment &amp; Response Automation (Deep)</x:t>
        </x:is>
      </x:c>
      <x:c r="E105" s="3" t="inlineStr">
        <x:is>
          <x:t xml:space="preserve">F</x:t>
        </x:is>
      </x:c>
      <x:c r="F105" s="3" t="n">
        <x:v>0.5</x:v>
      </x:c>
      <x:c r="G105" s="3" t="inlineStr">
        <x:is>
          <x:t xml:space="preserve">R</x:t>
        </x:is>
      </x:c>
      <x:c r="H105" s="3" t="n">
        <x:v>0.5</x:v>
      </x:c>
      <x:c r="I105" s="3" t="inlineStr">
        <x:is>
          <x:t xml:space="preserve">When you contain a suspected insider, how do you minimize business disruption and ensure safe rollback (without losing evidence)?</x:t>
        </x:is>
      </x:c>
      <x:c r="J105" s="3" t="inlineStr">
        <x:is>
          <x:t xml:space="preserve">Examples: break‑glass controls, staged containment, documented rollback, business owner approvals, and metrics on disruption caused by containment actions.</x:t>
        </x:is>
      </x:c>
      <x:c r="K105" s="3" t="inlineStr">
        <x:is>
          <x:t xml:space="preserve">Optional Annex (Ask in Full/Deep mode).</x:t>
        </x:is>
      </x:c>
      <x:c r="L105" s="3" t="inlineStr">
        <x:is>
          <x:t xml:space="preserve">OPS_STD</x:t>
        </x:is>
      </x:c>
      <x:c r="M105" s="3" t="n">
        <x:v>1</x:v>
      </x:c>
      <x:c r="N105" s="3" t="n"/>
      <x:c r="O105" s="3" t="n"/>
      <x:c r="P105" t="inlineStr">
        <x:is>
          <x:t xml:space="preserve">Annex</x:t>
        </x:is>
      </x:c>
    </x:row>
    <x:row r="106">
      <x:c r="A106" s="3" t="inlineStr">
        <x:is>
          <x:t xml:space="preserve">SEC-D13-Q37</x:t>
        </x:is>
      </x:c>
      <x:c r="B106" s="3" t="inlineStr">
        <x:is>
          <x:t xml:space="preserve">Security</x:t>
        </x:is>
      </x:c>
      <x:c r="C106" s="3" t="inlineStr">
        <x:is>
          <x:t xml:space="preserve">T3</x:t>
        </x:is>
      </x:c>
      <x:c r="D106" s="3" t="inlineStr">
        <x:is>
          <x:t xml:space="preserve">13. Detection Quality &amp; Testing (Deep)</x:t>
        </x:is>
      </x:c>
      <x:c r="E106" s="3" t="inlineStr">
        <x:is>
          <x:t xml:space="preserve">E</x:t>
        </x:is>
      </x:c>
      <x:c r="F106" s="3" t="n">
        <x:v>0.5</x:v>
      </x:c>
      <x:c r="G106" s="3" t="inlineStr">
        <x:is>
          <x:t xml:space="preserve">T</x:t>
        </x:is>
      </x:c>
      <x:c r="H106" s="3" t="n">
        <x:v>0.5</x:v>
      </x:c>
      <x:c r="I106" s="3" t="inlineStr">
        <x:is>
          <x:t xml:space="preserve">How do you test that insider detections actually work (and still work after changes)?</x:t>
        </x:is>
      </x:c>
      <x:c r="J106" s="3" t="inlineStr">
        <x:is>
          <x:t xml:space="preserve">Testing can include tabletop simulations, purple team exercises, test data, detection ‘unit tests’, and periodic validation of coverage for priority scenarios.</x:t>
        </x:is>
      </x:c>
      <x:c r="K106" s="3" t="inlineStr">
        <x:is>
          <x:t xml:space="preserve">Optional Annex (Ask in Full/Deep mode OR if SEC-D3-Q07 BaseScore ≥ 2).</x:t>
        </x:is>
      </x:c>
      <x:c r="L106" s="3" t="inlineStr">
        <x:is>
          <x:t xml:space="preserve">OPS_STD</x:t>
        </x:is>
      </x:c>
      <x:c r="M106" s="3" t="n">
        <x:v>1.5</x:v>
      </x:c>
      <x:c r="N106" s="3" t="n">
        <x:v>0.5</x:v>
      </x:c>
      <x:c r="O106" s="3" t="n"/>
      <x:c r="P106" t="inlineStr">
        <x:is>
          <x:t xml:space="preserve">Annex</x:t>
        </x:is>
      </x:c>
    </x:row>
    <x:row r="107">
      <x:c r="A107" s="3" t="inlineStr">
        <x:is>
          <x:t xml:space="preserve">SEC-D13-Q38</x:t>
        </x:is>
      </x:c>
      <x:c r="B107" s="3" t="inlineStr">
        <x:is>
          <x:t xml:space="preserve">Security</x:t>
        </x:is>
      </x:c>
      <x:c r="C107" s="3" t="inlineStr">
        <x:is>
          <x:t xml:space="preserve">T4</x:t>
        </x:is>
      </x:c>
      <x:c r="D107" s="3" t="inlineStr">
        <x:is>
          <x:t xml:space="preserve">13. Detection Quality &amp; Testing (Deep)</x:t>
        </x:is>
      </x:c>
      <x:c r="E107" s="3" t="inlineStr">
        <x:is>
          <x:t xml:space="preserve">E</x:t>
        </x:is>
      </x:c>
      <x:c r="F107" s="3" t="n">
        <x:v>0.7</x:v>
      </x:c>
      <x:c r="G107" s="3" t="inlineStr">
        <x:is>
          <x:t xml:space="preserve">R</x:t>
        </x:is>
      </x:c>
      <x:c r="H107" s="3" t="n">
        <x:v>0.3</x:v>
      </x:c>
      <x:c r="I107" s="3" t="inlineStr">
        <x:is>
          <x:t xml:space="preserve">How do you measure and improve triage quality (accuracy, consistency, bias reduction) for insider-related alerts?</x:t>
        </x:is>
      </x:c>
      <x:c r="J107" s="3" t="inlineStr">
        <x:is>
          <x:t xml:space="preserve">Think: sampling of closed cases, second‑pair review, blind reviews, clear escalation criteria, and coaching based on measured error patterns.</x:t>
        </x:is>
      </x:c>
      <x:c r="K107" s="3" t="inlineStr">
        <x:is>
          <x:t xml:space="preserve">Optional Annex (Ask in Full/Deep mode).</x:t>
        </x:is>
      </x:c>
      <x:c r="L107" s="3" t="inlineStr">
        <x:is>
          <x:t xml:space="preserve">OPS_STD</x:t>
        </x:is>
      </x:c>
      <x:c r="M107" s="3" t="n">
        <x:v>1</x:v>
      </x:c>
      <x:c r="N107" s="3" t="n"/>
      <x:c r="O107" s="3" t="n"/>
      <x:c r="P107" t="inlineStr">
        <x:is>
          <x:t xml:space="preserve">Annex</x:t>
        </x:is>
      </x:c>
    </x:row>
    <x:row r="108">
      <x:c r="A108" s="3" t="inlineStr">
        <x:is>
          <x:t xml:space="preserve">SEC-D13-Q39</x:t>
        </x:is>
      </x:c>
      <x:c r="B108" s="3" t="inlineStr">
        <x:is>
          <x:t xml:space="preserve">Security</x:t>
        </x:is>
      </x:c>
      <x:c r="C108" s="3" t="inlineStr">
        <x:is>
          <x:t xml:space="preserve">T3</x:t>
        </x:is>
      </x:c>
      <x:c r="D108" s="3" t="inlineStr">
        <x:is>
          <x:t xml:space="preserve">13. Detection Quality &amp; Testing (Deep)</x:t>
        </x:is>
      </x:c>
      <x:c r="E108" s="3" t="inlineStr">
        <x:is>
          <x:t xml:space="preserve">F</x:t>
        </x:is>
      </x:c>
      <x:c r="F108" s="3" t="n">
        <x:v>0.5</x:v>
      </x:c>
      <x:c r="G108" s="3" t="inlineStr">
        <x:is>
          <x:t xml:space="preserve">T</x:t>
        </x:is>
      </x:c>
      <x:c r="H108" s="3" t="n">
        <x:v>0.5</x:v>
      </x:c>
      <x:c r="I108" s="3" t="inlineStr">
        <x:is>
          <x:t xml:space="preserve">How do you reduce false positives and ‘alert fatigue’ without losing coverage for high‑value data and high‑risk roles?</x:t>
        </x:is>
      </x:c>
      <x:c r="J108" s="3" t="inlineStr">
        <x:is>
          <x:t xml:space="preserve">A mature approach measures business impact, tunes thresholds, uses risk‑based targeting (crown jewels, privileged roles), and documents trade‑offs.</x:t>
        </x:is>
      </x:c>
      <x:c r="K108" s="3" t="inlineStr">
        <x:is>
          <x:t xml:space="preserve">Optional Annex (Ask in Full/Deep mode).</x:t>
        </x:is>
      </x:c>
      <x:c r="L108" s="3" t="inlineStr">
        <x:is>
          <x:t xml:space="preserve">OPS_STD</x:t>
        </x:is>
      </x:c>
      <x:c r="M108" s="3" t="n">
        <x:v>1</x:v>
      </x:c>
      <x:c r="N108" s="3" t="n"/>
      <x:c r="O108" s="3" t="n"/>
      <x:c r="P108" t="inlineStr">
        <x:is>
          <x:t xml:space="preserve">Annex</x:t>
        </x:is>
      </x:c>
    </x:row>
    <x:row r="109">
      <x:c r="A109" s="3" t="inlineStr">
        <x:is>
          <x:t xml:space="preserve">SEC-D14-Q40</x:t>
        </x:is>
      </x:c>
      <x:c r="B109" s="3" t="inlineStr">
        <x:is>
          <x:t xml:space="preserve">Security</x:t>
        </x:is>
      </x:c>
      <x:c r="C109" s="3" t="inlineStr">
        <x:is>
          <x:t xml:space="preserve">T3</x:t>
        </x:is>
      </x:c>
      <x:c r="D109" s="3" t="inlineStr">
        <x:is>
          <x:t xml:space="preserve">14. Cloud &amp; SaaS Monitoring (Deep)</x:t>
        </x:is>
      </x:c>
      <x:c r="E109" s="3" t="inlineStr">
        <x:is>
          <x:t xml:space="preserve">V</x:t>
        </x:is>
      </x:c>
      <x:c r="F109" s="3" t="n">
        <x:v>0.5</x:v>
      </x:c>
      <x:c r="G109" s="3" t="inlineStr">
        <x:is>
          <x:t xml:space="preserve">T</x:t>
        </x:is>
      </x:c>
      <x:c r="H109" s="3" t="n">
        <x:v>0.5</x:v>
      </x:c>
      <x:c r="I109" s="3" t="inlineStr">
        <x:is>
          <x:t xml:space="preserve">For cloud and SaaS services used for sensitive data (email, file sharing, code platforms), do you collect audit trails and monitor risky sharing/exfiltration patterns?</x:t>
        </x:is>
      </x:c>
      <x:c r="J109" s="3" t="inlineStr">
        <x:is>
          <x:t xml:space="preserve">Focus on whether you can see risky sharing (external links, mass downloads, unusual access), and whether those logs are centralized and retained.</x:t>
        </x:is>
      </x:c>
      <x:c r="K109" s="3" t="inlineStr">
        <x:is>
          <x:t xml:space="preserve">Optional Annex (Ask in Full/Deep mode OR if SEC-D2-Q04 BaseScore ≥ 2).</x:t>
        </x:is>
      </x:c>
      <x:c r="L109" s="3" t="inlineStr">
        <x:is>
          <x:t xml:space="preserve">OPS_STD</x:t>
        </x:is>
      </x:c>
      <x:c r="M109" s="3" t="n">
        <x:v>1</x:v>
      </x:c>
      <x:c r="N109" s="3" t="n"/>
      <x:c r="O109" s="3" t="n"/>
      <x:c r="P109" t="inlineStr">
        <x:is>
          <x:t xml:space="preserve">Annex</x:t>
        </x:is>
      </x:c>
    </x:row>
    <x:row r="110">
      <x:c r="A110" s="3" t="inlineStr">
        <x:is>
          <x:t xml:space="preserve">SEC-D14-Q41</x:t>
        </x:is>
      </x:c>
      <x:c r="B110" s="3" t="inlineStr">
        <x:is>
          <x:t xml:space="preserve">Security</x:t>
        </x:is>
      </x:c>
      <x:c r="C110" s="3" t="inlineStr">
        <x:is>
          <x:t xml:space="preserve">T4</x:t>
        </x:is>
      </x:c>
      <x:c r="D110" s="3" t="inlineStr">
        <x:is>
          <x:t xml:space="preserve">14. Cloud &amp; SaaS Monitoring (Deep)</x:t>
        </x:is>
      </x:c>
      <x:c r="E110" s="3" t="inlineStr">
        <x:is>
          <x:t xml:space="preserve">V</x:t>
        </x:is>
      </x:c>
      <x:c r="F110" s="3" t="n">
        <x:v>0.6</x:v>
      </x:c>
      <x:c r="G110" s="3" t="inlineStr">
        <x:is>
          <x:t xml:space="preserve">F</x:t>
        </x:is>
      </x:c>
      <x:c r="H110" s="3" t="n">
        <x:v>0.4</x:v>
      </x:c>
      <x:c r="I110" s="3" t="inlineStr">
        <x:is>
          <x:t xml:space="preserve">Are data-loss / risky-sharing controls tuned to ‘what matters most’ (crown jewels) rather than blanket blocking that drives workarounds?</x:t>
        </x:is>
      </x:c>
      <x:c r="J110" s="3" t="inlineStr">
        <x:is>
          <x:t xml:space="preserve">Look for risk-based policies: stronger controls for sensitive repositories and high‑risk roles, measured business impact, and documented exceptions.</x:t>
        </x:is>
      </x:c>
      <x:c r="K110" s="3" t="inlineStr">
        <x:is>
          <x:t xml:space="preserve">Optional Annex (Ask in Full/Deep mode).</x:t>
        </x:is>
      </x:c>
      <x:c r="L110" s="3" t="inlineStr">
        <x:is>
          <x:t xml:space="preserve">OPS_STD</x:t>
        </x:is>
      </x:c>
      <x:c r="M110" s="3" t="n">
        <x:v>1</x:v>
      </x:c>
      <x:c r="N110" s="3" t="n"/>
      <x:c r="O110" s="3" t="n"/>
      <x:c r="P110" t="inlineStr">
        <x:is>
          <x:t xml:space="preserve">Annex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b611f6727194e7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48" customWidth="1"/>
    <x:col min="6" max="6" width="18" customWidth="1"/>
    <x:col min="7" max="7" width="28" customWidth="1"/>
    <x:col min="8" max="8" width="18" customWidth="1"/>
    <x:col min="9" max="9" width="18" customWidth="1"/>
    <x:col min="10" max="10" width="18" customWidth="1"/>
    <x:col min="11" max="11" width="28" customWidth="1"/>
  </x:cols>
  <x:sheetData>
    <x:row r="1">
      <x:c r="A1" s="2" t="inlineStr">
        <x:is>
          <x:t xml:space="preserve">PrimaryPack (Deprecated)</x:t>
        </x:is>
      </x:c>
      <x:c r="B1" s="2" t="inlineStr">
        <x:is>
          <x:t xml:space="preserve">Q-ID</x:t>
        </x:is>
      </x:c>
      <x:c r="C1" s="2" t="inlineStr">
        <x:is>
          <x:t xml:space="preserve">A-ID</x:t>
        </x:is>
      </x:c>
      <x:c r="D1" s="2" t="inlineStr">
        <x:is>
          <x:t xml:space="preserve">Option #</x:t>
        </x:is>
      </x:c>
      <x:c r="E1" s="2" t="inlineStr">
        <x:is>
          <x:t xml:space="preserve">Answer Option Text</x:t>
        </x:is>
      </x:c>
      <x:c r="F1" s="2" t="inlineStr">
        <x:is>
          <x:t xml:space="preserve">BaseScore</x:t>
        </x:is>
      </x:c>
      <x:c r="G1" s="2" t="inlineStr">
        <x:is>
          <x:t xml:space="preserve">Tags</x:t>
        </x:is>
      </x:c>
      <x:c r="H1" s="2" t="inlineStr">
        <x:is>
          <x:t xml:space="preserve">FractureType</x:t>
        </x:is>
      </x:c>
      <x:c r="I1" s="2" t="inlineStr">
        <x:is>
          <x:t xml:space="preserve">FollowUpTrigger</x:t>
        </x:is>
      </x:c>
      <x:c r="J1" s="2" t="inlineStr">
        <x:is>
          <x:t xml:space="preserve">NegativeControl</x:t>
        </x:is>
      </x:c>
      <x:c r="K1" s="2" t="inlineStr">
        <x:is>
          <x:t xml:space="preserve">Evidence Hint</x:t>
        </x:is>
      </x:c>
    </x:row>
    <x:row r="2">
      <x:c r="A2" s="3" t="inlineStr">
        <x:is>
          <x:t xml:space="preserve">Executive</x:t>
        </x:is>
      </x:c>
      <x:c r="B2" s="3" t="inlineStr">
        <x:is>
          <x:t xml:space="preserve">EXCO-D1-Q01</x:t>
        </x:is>
      </x:c>
      <x:c r="C2" s="3" t="inlineStr">
        <x:is>
          <x:t xml:space="preserve">EXCO-D1-Q01-A0</x:t>
        </x:is>
      </x:c>
      <x:c r="D2" s="3" t="n">
        <x:v>1</x:v>
      </x:c>
      <x:c r="E2" s="3" t="inlineStr">
        <x:is>
          <x:t xml:space="preserve">I don’t know / not sure.</x:t>
        </x:is>
      </x:c>
      <x:c r="F2" s="3" t="n">
        <x:v>0</x:v>
      </x:c>
      <x:c r="G2" s="3" t="inlineStr">
        <x:is>
          <x:t xml:space="preserve">unknown</x:t>
        </x:is>
      </x:c>
      <x:c r="H2" s="3" t="inlineStr">
        <x:is>
          <x:t xml:space="preserve">Unknown</x:t>
        </x:is>
      </x:c>
      <x:c r="I2" s="3" t="inlineStr">
        <x:is>
          <x:t xml:space="preserve">Clarify_Stakeholders</x:t>
        </x:is>
      </x:c>
      <x:c r="J2" s="3" t="inlineStr">
        <x:is>
          <x:t xml:space="preserve">N</x:t>
        </x:is>
      </x:c>
      <x:c r="K2" s="3" t="inlineStr">
        <x:is>
          <x:t xml:space="preserve"/>
        </x:is>
      </x:c>
    </x:row>
    <x:row r="3">
      <x:c r="A3" s="3" t="inlineStr">
        <x:is>
          <x:t xml:space="preserve">Executive</x:t>
        </x:is>
      </x:c>
      <x:c r="B3" s="3" t="inlineStr">
        <x:is>
          <x:t xml:space="preserve">EXCO-D1-Q01</x:t>
        </x:is>
      </x:c>
      <x:c r="C3" s="3" t="inlineStr">
        <x:is>
          <x:t xml:space="preserve">EXCO-D1-Q01-A1</x:t>
        </x:is>
      </x:c>
      <x:c r="D3" s="3" t="n">
        <x:v>2</x:v>
      </x:c>
      <x:c r="E3" s="3" t="inlineStr">
        <x:is>
          <x:t xml:space="preserve">No formal decision or budget; work happens only when incidents occur.</x:t>
        </x:is>
      </x:c>
      <x:c r="F3" s="3" t="n">
        <x:v>0</x:v>
      </x:c>
      <x:c r="G3" s="3" t="inlineStr">
        <x:is>
          <x:t xml:space="preserve">foundational_gap</x:t>
        </x:is>
      </x:c>
      <x:c r="H3" s="3" t="inlineStr">
        <x:is>
          <x:t xml:space="preserve">Operating Model Gap</x:t>
        </x:is>
      </x:c>
      <x:c r="I3" s="3" t="inlineStr">
        <x:is>
          <x:t xml:space="preserve">Foundational_Setup</x:t>
        </x:is>
      </x:c>
      <x:c r="J3" s="3" t="inlineStr">
        <x:is>
          <x:t xml:space="preserve">N</x:t>
        </x:is>
      </x:c>
      <x:c r="K3" s="3" t="inlineStr">
        <x:is>
          <x:t xml:space="preserve"/>
        </x:is>
      </x:c>
    </x:row>
    <x:row r="4">
      <x:c r="A4" s="3" t="inlineStr">
        <x:is>
          <x:t xml:space="preserve">Executive</x:t>
        </x:is>
      </x:c>
      <x:c r="B4" s="3" t="inlineStr">
        <x:is>
          <x:t xml:space="preserve">EXCO-D1-Q01</x:t>
        </x:is>
      </x:c>
      <x:c r="C4" s="3" t="inlineStr">
        <x:is>
          <x:t xml:space="preserve">EXCO-D1-Q01-A2</x:t>
        </x:is>
      </x:c>
      <x:c r="D4" s="3" t="n">
        <x:v>3</x:v>
      </x:c>
      <x:c r="E4" s="3" t="inlineStr">
        <x:is>
          <x:t xml:space="preserve">Verbal agreement that it matters, but nothing is written down or funded.</x:t>
        </x:is>
      </x:c>
      <x:c r="F4" s="3" t="n">
        <x:v>1</x:v>
      </x:c>
      <x:c r="G4" s="3" t="inlineStr">
        <x:is>
          <x:t xml:space="preserve">shadow_signal</x:t>
        </x:is>
      </x:c>
      <x:c r="H4" s="3" t="inlineStr">
        <x:is>
          <x:t xml:space="preserve">Shadow Mature</x:t>
        </x:is>
      </x:c>
      <x:c r="I4" s="3" t="inlineStr">
        <x:is>
          <x:t xml:space="preserve">Run_Shadow_Probe</x:t>
        </x:is>
      </x:c>
      <x:c r="J4" s="3" t="inlineStr">
        <x:is>
          <x:t xml:space="preserve">N</x:t>
        </x:is>
      </x:c>
      <x:c r="K4" s="3" t="inlineStr">
        <x:is>
          <x:t xml:space="preserve"/>
        </x:is>
      </x:c>
    </x:row>
    <x:row r="5">
      <x:c r="A5" s="3" t="inlineStr">
        <x:is>
          <x:t xml:space="preserve">Executive</x:t>
        </x:is>
      </x:c>
      <x:c r="B5" s="3" t="inlineStr">
        <x:is>
          <x:t xml:space="preserve">EXCO-D1-Q01</x:t>
        </x:is>
      </x:c>
      <x:c r="C5" s="3" t="inlineStr">
        <x:is>
          <x:t xml:space="preserve">EXCO-D1-Q01-A3</x:t>
        </x:is>
      </x:c>
      <x:c r="D5" s="3" t="n">
        <x:v>4</x:v>
      </x:c>
      <x:c r="E5" s="3" t="inlineStr">
        <x:is>
          <x:t xml:space="preserve">Written policy/statement exists, but it has not been reviewed/approved at executive or board level.</x:t>
        </x:is>
      </x:c>
      <x:c r="F5" s="3" t="n">
        <x:v>2</x:v>
      </x:c>
      <x:c r="G5" s="3" t="inlineStr">
        <x:is>
          <x:t xml:space="preserve">paper_dragon_signal</x:t>
        </x:is>
      </x:c>
      <x:c r="H5" s="3" t="inlineStr">
        <x:is>
          <x:t xml:space="preserve">Paper Dragon</x:t>
        </x:is>
      </x:c>
      <x:c r="I5" s="3" t="inlineStr">
        <x:is>
          <x:t xml:space="preserve">Request_Evidence</x:t>
        </x:is>
      </x:c>
      <x:c r="J5" s="3" t="inlineStr">
        <x:is>
          <x:t xml:space="preserve">Y</x:t>
        </x:is>
      </x:c>
      <x:c r="K5" s="3" t="inlineStr">
        <x:is>
          <x:t xml:space="preserve">Provide policy/charter and last approval date.</x:t>
        </x:is>
      </x:c>
    </x:row>
    <x:row r="6">
      <x:c r="A6" s="3" t="inlineStr">
        <x:is>
          <x:t xml:space="preserve">Executive</x:t>
        </x:is>
      </x:c>
      <x:c r="B6" s="3" t="inlineStr">
        <x:is>
          <x:t xml:space="preserve">EXCO-D1-Q01</x:t>
        </x:is>
      </x:c>
      <x:c r="C6" s="3" t="inlineStr">
        <x:is>
          <x:t xml:space="preserve">EXCO-D1-Q01-A4</x:t>
        </x:is>
      </x:c>
      <x:c r="D6" s="3" t="n">
        <x:v>5</x:v>
      </x:c>
      <x:c r="E6" s="3" t="inlineStr">
        <x:is>
          <x:t xml:space="preserve">Executive-approved plan exists with clear goals and dedicated funding (reviewed at least annually).</x:t>
        </x:is>
      </x:c>
      <x:c r="F6" s="3" t="n">
        <x:v>3</x:v>
      </x:c>
      <x:c r="G6" s="3" t="inlineStr">
        <x:is>
          <x:t xml:space="preserve">good_practice</x:t>
        </x:is>
      </x:c>
      <x:c r="H6" s="3" t="inlineStr">
        <x:is>
          <x:t xml:space="preserve"/>
        </x:is>
      </x:c>
      <x:c r="I6" s="3" t="inlineStr">
        <x:is>
          <x:t xml:space="preserve">Request_Evidence</x:t>
        </x:is>
      </x:c>
      <x:c r="J6" s="3" t="inlineStr">
        <x:is>
          <x:t xml:space="preserve">Y</x:t>
        </x:is>
      </x:c>
      <x:c r="K6" s="3" t="inlineStr">
        <x:is>
          <x:t xml:space="preserve">Provide board/exco minute or signed approval; budget line.</x:t>
        </x:is>
      </x:c>
    </x:row>
    <x:row r="7">
      <x:c r="A7" s="3" t="inlineStr">
        <x:is>
          <x:t xml:space="preserve">Executive</x:t>
        </x:is>
      </x:c>
      <x:c r="B7" s="3" t="inlineStr">
        <x:is>
          <x:t xml:space="preserve">EXCO-D1-Q01</x:t>
        </x:is>
      </x:c>
      <x:c r="C7" s="3" t="inlineStr">
        <x:is>
          <x:t xml:space="preserve">EXCO-D1-Q01-A5</x:t>
        </x:is>
      </x:c>
      <x:c r="D7" s="3" t="n">
        <x:v>6</x:v>
      </x:c>
      <x:c r="E7" s="3" t="inlineStr">
        <x:is>
          <x:t xml:space="preserve">Formal charter with cross-functional decision rights (HR/Legal/Security/Data) and measurable objectives.</x:t>
        </x:is>
      </x:c>
      <x:c r="F7" s="3" t="n">
        <x:v>4</x:v>
      </x:c>
      <x:c r="G7" s="3" t="inlineStr">
        <x:is>
          <x:t xml:space="preserve">optimized</x:t>
        </x:is>
      </x:c>
      <x:c r="H7" s="3" t="inlineStr">
        <x:is>
          <x:t xml:space="preserve"/>
        </x:is>
      </x:c>
      <x:c r="I7" s="3" t="inlineStr">
        <x:is>
          <x:t xml:space="preserve">Request_Evidence</x:t>
        </x:is>
      </x:c>
      <x:c r="J7" s="3" t="inlineStr">
        <x:is>
          <x:t xml:space="preserve">Y</x:t>
        </x:is>
      </x:c>
      <x:c r="K7" s="3" t="inlineStr">
        <x:is>
          <x:t xml:space="preserve">Provide charter + RACI + meeting cadence evidence.</x:t>
        </x:is>
      </x:c>
    </x:row>
    <x:row r="8">
      <x:c r="A8" s="3" t="inlineStr">
        <x:is>
          <x:t xml:space="preserve">Executive</x:t>
        </x:is>
      </x:c>
      <x:c r="B8" s="3" t="inlineStr">
        <x:is>
          <x:t xml:space="preserve">EXCO-D1-Q02</x:t>
        </x:is>
      </x:c>
      <x:c r="C8" s="3" t="inlineStr">
        <x:is>
          <x:t xml:space="preserve">EXCO-D1-Q02-A1</x:t>
        </x:is>
      </x:c>
      <x:c r="D8" s="3" t="n">
        <x:v>1</x:v>
      </x:c>
      <x:c r="E8" s="3" t="inlineStr">
        <x:is>
          <x:t xml:space="preserve">No—controls are inconsistent; we mainly rely on standard IT security (e.g., antivirus, firewall).</x:t>
        </x:is>
      </x:c>
      <x:c r="F8" s="3" t="n">
        <x:v>0</x:v>
      </x:c>
      <x:c r="G8" s="3" t="inlineStr">
        <x:is>
          <x:t xml:space="preserve">foundational_gap</x:t>
        </x:is>
      </x:c>
      <x:c r="H8" s="3" t="inlineStr">
        <x:is>
          <x:t xml:space="preserve">Operating Model Gap</x:t>
        </x:is>
      </x:c>
      <x:c r="I8" s="3" t="inlineStr">
        <x:is>
          <x:t xml:space="preserve">Foundational_Setup</x:t>
        </x:is>
      </x:c>
      <x:c r="J8" s="3" t="inlineStr">
        <x:is>
          <x:t xml:space="preserve">N</x:t>
        </x:is>
      </x:c>
      <x:c r="K8" s="3" t="inlineStr">
        <x:is>
          <x:t xml:space="preserve"/>
        </x:is>
      </x:c>
    </x:row>
    <x:row r="9">
      <x:c r="A9" s="3" t="inlineStr">
        <x:is>
          <x:t xml:space="preserve">Executive</x:t>
        </x:is>
      </x:c>
      <x:c r="B9" s="3" t="inlineStr">
        <x:is>
          <x:t xml:space="preserve">EXCO-D1-Q02</x:t>
        </x:is>
      </x:c>
      <x:c r="C9" s="3" t="inlineStr">
        <x:is>
          <x:t xml:space="preserve">EXCO-D1-Q02-A2</x:t>
        </x:is>
      </x:c>
      <x:c r="D9" s="3" t="n">
        <x:v>2</x:v>
      </x:c>
      <x:c r="E9" s="3" t="inlineStr">
        <x:is>
          <x:t xml:space="preserve">Some teams do ad-hoc checks, but it depends on individuals and isn’t repeatable.</x:t>
        </x:is>
      </x:c>
      <x:c r="F9" s="3" t="n">
        <x:v>1</x:v>
      </x:c>
      <x:c r="G9" s="3" t="inlineStr">
        <x:is>
          <x:t xml:space="preserve">key_person_dependency,shadow_signal</x:t>
        </x:is>
      </x:c>
      <x:c r="H9" s="3" t="inlineStr">
        <x:is>
          <x:t xml:space="preserve">Shadow Mature</x:t>
        </x:is>
      </x:c>
      <x:c r="I9" s="3" t="inlineStr">
        <x:is>
          <x:t xml:space="preserve">Capture_Informal_Practices</x:t>
        </x:is>
      </x:c>
      <x:c r="J9" s="3" t="inlineStr">
        <x:is>
          <x:t xml:space="preserve">N</x:t>
        </x:is>
      </x:c>
      <x:c r="K9" s="3" t="inlineStr">
        <x:is>
          <x:t xml:space="preserve"/>
        </x:is>
      </x:c>
    </x:row>
    <x:row r="10">
      <x:c r="A10" s="3" t="inlineStr">
        <x:is>
          <x:t xml:space="preserve">Executive</x:t>
        </x:is>
      </x:c>
      <x:c r="B10" s="3" t="inlineStr">
        <x:is>
          <x:t xml:space="preserve">EXCO-D1-Q02</x:t>
        </x:is>
      </x:c>
      <x:c r="C10" s="3" t="inlineStr">
        <x:is>
          <x:t xml:space="preserve">EXCO-D1-Q02-A3</x:t>
        </x:is>
      </x:c>
      <x:c r="D10" s="3" t="n">
        <x:v>3</x:v>
      </x:c>
      <x:c r="E10" s="3" t="inlineStr">
        <x:is>
          <x:t xml:space="preserve">Yes—there are repeatable habits in key areas (e.g., leavers, privileged access), but they are not documented or measured.</x:t>
        </x:is>
      </x:c>
      <x:c r="F10" s="3" t="n">
        <x:v>2</x:v>
      </x:c>
      <x:c r="G10" s="3" t="inlineStr">
        <x:is>
          <x:t xml:space="preserve">shadow_mature_signal</x:t>
        </x:is>
      </x:c>
      <x:c r="H10" s="3" t="inlineStr">
        <x:is>
          <x:t xml:space="preserve">Shadow Mature</x:t>
        </x:is>
      </x:c>
      <x:c r="I10" s="3" t="inlineStr">
        <x:is>
          <x:t xml:space="preserve">Formalize_Playbook</x:t>
        </x:is>
      </x:c>
      <x:c r="J10" s="3" t="inlineStr">
        <x:is>
          <x:t xml:space="preserve">N</x:t>
        </x:is>
      </x:c>
      <x:c r="K10" s="3" t="inlineStr">
        <x:is>
          <x:t xml:space="preserve"/>
        </x:is>
      </x:c>
    </x:row>
    <x:row r="11">
      <x:c r="A11" s="3" t="inlineStr">
        <x:is>
          <x:t xml:space="preserve">Executive</x:t>
        </x:is>
      </x:c>
      <x:c r="B11" s="3" t="inlineStr">
        <x:is>
          <x:t xml:space="preserve">EXCO-D1-Q02</x:t>
        </x:is>
      </x:c>
      <x:c r="C11" s="3" t="inlineStr">
        <x:is>
          <x:t xml:space="preserve">EXCO-D1-Q02-A4</x:t>
        </x:is>
      </x:c>
      <x:c r="D11" s="3" t="n">
        <x:v>4</x:v>
      </x:c>
      <x:c r="E11" s="3" t="inlineStr">
        <x:is>
          <x:t xml:space="preserve">Yes—repeatable habits exist and are tracked (e.g., checks completed, exceptions logged) even if governance is still light.</x:t>
        </x:is>
      </x:c>
      <x:c r="F11" s="3" t="n">
        <x:v>3</x:v>
      </x:c>
      <x:c r="G11" s="3" t="inlineStr">
        <x:is>
          <x:t xml:space="preserve">execution_strength</x:t>
        </x:is>
      </x:c>
      <x:c r="H11" s="3" t="inlineStr">
        <x:is>
          <x:t xml:space="preserve">Shadow Mature</x:t>
        </x:is>
      </x:c>
      <x:c r="I11" s="3" t="inlineStr">
        <x:is>
          <x:t xml:space="preserve">Scale_And_Govern</x:t>
        </x:is>
      </x:c>
      <x:c r="J11" s="3" t="inlineStr">
        <x:is>
          <x:t xml:space="preserve">N</x:t>
        </x:is>
      </x:c>
      <x:c r="K11" s="3" t="inlineStr">
        <x:is>
          <x:t xml:space="preserve"/>
        </x:is>
      </x:c>
    </x:row>
    <x:row r="12">
      <x:c r="A12" s="3" t="inlineStr">
        <x:is>
          <x:t xml:space="preserve">Executive</x:t>
        </x:is>
      </x:c>
      <x:c r="B12" s="3" t="inlineStr">
        <x:is>
          <x:t xml:space="preserve">EXCO-D1-Q03</x:t>
        </x:is>
      </x:c>
      <x:c r="C12" s="3" t="inlineStr">
        <x:is>
          <x:t xml:space="preserve">EXCO-D1-Q03-A0</x:t>
        </x:is>
      </x:c>
      <x:c r="D12" s="3" t="n">
        <x:v>1</x:v>
      </x:c>
      <x:c r="E12" s="3" t="inlineStr">
        <x:is>
          <x:t xml:space="preserve">I don’t know / not sure.</x:t>
        </x:is>
      </x:c>
      <x:c r="F12" s="3" t="n">
        <x:v>0</x:v>
      </x:c>
      <x:c r="G12" s="3" t="inlineStr">
        <x:is>
          <x:t xml:space="preserve">unknown</x:t>
        </x:is>
      </x:c>
      <x:c r="H12" s="3" t="inlineStr">
        <x:is>
          <x:t xml:space="preserve">Unknown</x:t>
        </x:is>
      </x:c>
      <x:c r="I12" s="3" t="inlineStr">
        <x:is>
          <x:t xml:space="preserve">Clarify_Stakeholders</x:t>
        </x:is>
      </x:c>
      <x:c r="J12" s="3" t="inlineStr">
        <x:is>
          <x:t xml:space="preserve">N</x:t>
        </x:is>
      </x:c>
      <x:c r="K12" s="3" t="inlineStr">
        <x:is>
          <x:t xml:space="preserve"/>
        </x:is>
      </x:c>
    </x:row>
    <x:row r="13">
      <x:c r="A13" s="3" t="inlineStr">
        <x:is>
          <x:t xml:space="preserve">Executive</x:t>
        </x:is>
      </x:c>
      <x:c r="B13" s="3" t="inlineStr">
        <x:is>
          <x:t xml:space="preserve">EXCO-D1-Q03</x:t>
        </x:is>
      </x:c>
      <x:c r="C13" s="3" t="inlineStr">
        <x:is>
          <x:t xml:space="preserve">EXCO-D1-Q03-A1</x:t>
        </x:is>
      </x:c>
      <x:c r="D13" s="3" t="n">
        <x:v>2</x:v>
      </x:c>
      <x:c r="E13" s="3" t="inlineStr">
        <x:is>
          <x:t xml:space="preserve">No one—ownership is spread and decisions are made case-by-case.</x:t>
        </x:is>
      </x:c>
      <x:c r="F13" s="3" t="n">
        <x:v>0</x:v>
      </x:c>
      <x:c r="G13" s="3" t="inlineStr">
        <x:is>
          <x:t xml:space="preserve">foundational_gap</x:t>
        </x:is>
      </x:c>
      <x:c r="H13" s="3" t="inlineStr">
        <x:is>
          <x:t xml:space="preserve">Operating Model Gap</x:t>
        </x:is>
      </x:c>
      <x:c r="I13" s="3" t="inlineStr">
        <x:is>
          <x:t xml:space="preserve">Define_Ownership</x:t>
        </x:is>
      </x:c>
      <x:c r="J13" s="3" t="inlineStr">
        <x:is>
          <x:t xml:space="preserve">N</x:t>
        </x:is>
      </x:c>
      <x:c r="K13" s="3" t="inlineStr">
        <x:is>
          <x:t xml:space="preserve"/>
        </x:is>
      </x:c>
    </x:row>
    <x:row r="14">
      <x:c r="A14" s="3" t="inlineStr">
        <x:is>
          <x:t xml:space="preserve">Executive</x:t>
        </x:is>
      </x:c>
      <x:c r="B14" s="3" t="inlineStr">
        <x:is>
          <x:t xml:space="preserve">EXCO-D1-Q03</x:t>
        </x:is>
      </x:c>
      <x:c r="C14" s="3" t="inlineStr">
        <x:is>
          <x:t xml:space="preserve">EXCO-D1-Q03-A2</x:t>
        </x:is>
      </x:c>
      <x:c r="D14" s="3" t="n">
        <x:v>3</x:v>
      </x:c>
      <x:c r="E14" s="3" t="inlineStr">
        <x:is>
          <x:t xml:space="preserve">Security/IT owns it, but has limited authority across HR/Legal/business units.</x:t>
        </x:is>
      </x:c>
      <x:c r="F14" s="3" t="n">
        <x:v>1</x:v>
      </x:c>
      <x:c r="G14" s="3" t="inlineStr">
        <x:is>
          <x:t xml:space="preserve">siloed</x:t>
        </x:is>
      </x:c>
      <x:c r="H14" s="3" t="inlineStr">
        <x:is>
          <x:t xml:space="preserve">Operating Model Gap</x:t>
        </x:is>
      </x:c>
      <x:c r="I14" s="3" t="inlineStr">
        <x:is>
          <x:t xml:space="preserve">Design_Ops_Model</x:t>
        </x:is>
      </x:c>
      <x:c r="J14" s="3" t="inlineStr">
        <x:is>
          <x:t xml:space="preserve">N</x:t>
        </x:is>
      </x:c>
      <x:c r="K14" s="3" t="inlineStr">
        <x:is>
          <x:t xml:space="preserve"/>
        </x:is>
      </x:c>
    </x:row>
    <x:row r="15">
      <x:c r="A15" s="3" t="inlineStr">
        <x:is>
          <x:t xml:space="preserve">Executive</x:t>
        </x:is>
      </x:c>
      <x:c r="B15" s="3" t="inlineStr">
        <x:is>
          <x:t xml:space="preserve">EXCO-D1-Q03</x:t>
        </x:is>
      </x:c>
      <x:c r="C15" s="3" t="inlineStr">
        <x:is>
          <x:t xml:space="preserve">EXCO-D1-Q03-A3</x:t>
        </x:is>
      </x:c>
      <x:c r="D15" s="3" t="n">
        <x:v>4</x:v>
      </x:c>
      <x:c r="E15" s="3" t="inlineStr">
        <x:is>
          <x:t xml:space="preserve">A committee meets occasionally, but has no budget authority or clear escalation path.</x:t>
        </x:is>
      </x:c>
      <x:c r="F15" s="3" t="n">
        <x:v>2</x:v>
      </x:c>
      <x:c r="G15" s="3" t="inlineStr">
        <x:is>
          <x:t xml:space="preserve">paper_process</x:t>
        </x:is>
      </x:c>
      <x:c r="H15" s="3" t="inlineStr">
        <x:is>
          <x:t xml:space="preserve">Paper Dragon</x:t>
        </x:is>
      </x:c>
      <x:c r="I15" s="3" t="inlineStr">
        <x:is>
          <x:t xml:space="preserve">Strengthen_Governance</x:t>
        </x:is>
      </x:c>
      <x:c r="J15" s="3" t="inlineStr">
        <x:is>
          <x:t xml:space="preserve">N</x:t>
        </x:is>
      </x:c>
      <x:c r="K15" s="3" t="inlineStr">
        <x:is>
          <x:t xml:space="preserve"/>
        </x:is>
      </x:c>
    </x:row>
    <x:row r="16">
      <x:c r="A16" s="3" t="inlineStr">
        <x:is>
          <x:t xml:space="preserve">Executive</x:t>
        </x:is>
      </x:c>
      <x:c r="B16" s="3" t="inlineStr">
        <x:is>
          <x:t xml:space="preserve">EXCO-D1-Q03</x:t>
        </x:is>
      </x:c>
      <x:c r="C16" s="3" t="inlineStr">
        <x:is>
          <x:t xml:space="preserve">EXCO-D1-Q03-A4</x:t>
        </x:is>
      </x:c>
      <x:c r="D16" s="3" t="n">
        <x:v>5</x:v>
      </x:c>
      <x:c r="E16" s="3" t="inlineStr">
        <x:is>
          <x:t xml:space="preserve">An executive sponsor owns it with clear escalation and budget authority.</x:t>
        </x:is>
      </x:c>
      <x:c r="F16" s="3" t="n">
        <x:v>3</x:v>
      </x:c>
      <x:c r="G16" s="3" t="inlineStr">
        <x:is>
          <x:t xml:space="preserve">good_practice</x:t>
        </x:is>
      </x:c>
      <x:c r="H16" s="3" t="inlineStr">
        <x:is>
          <x:t xml:space="preserve"/>
        </x:is>
      </x:c>
      <x:c r="I16" s="3" t="inlineStr">
        <x:is>
          <x:t xml:space="preserve">Request_Evidence</x:t>
        </x:is>
      </x:c>
      <x:c r="J16" s="3" t="inlineStr">
        <x:is>
          <x:t xml:space="preserve">Y</x:t>
        </x:is>
      </x:c>
      <x:c r="K16" s="3" t="inlineStr">
        <x:is>
          <x:t xml:space="preserve">Provide governance doc showing decision rights and escalation.</x:t>
        </x:is>
      </x:c>
    </x:row>
    <x:row r="17">
      <x:c r="A17" s="3" t="inlineStr">
        <x:is>
          <x:t xml:space="preserve">Executive</x:t>
        </x:is>
      </x:c>
      <x:c r="B17" s="3" t="inlineStr">
        <x:is>
          <x:t xml:space="preserve">EXCO-D1-Q03</x:t>
        </x:is>
      </x:c>
      <x:c r="C17" s="3" t="inlineStr">
        <x:is>
          <x:t xml:space="preserve">EXCO-D1-Q03-A5</x:t>
        </x:is>
      </x:c>
      <x:c r="D17" s="3" t="n">
        <x:v>6</x:v>
      </x:c>
      <x:c r="E17" s="3" t="inlineStr">
        <x:is>
          <x:t xml:space="preserve">Executive sponsor + department KPIs (HR/Legal/Security/Data) and a regular review cadence.</x:t>
        </x:is>
      </x:c>
      <x:c r="F17" s="3" t="n">
        <x:v>4</x:v>
      </x:c>
      <x:c r="G17" s="3" t="inlineStr">
        <x:is>
          <x:t xml:space="preserve">optimized</x:t>
        </x:is>
      </x:c>
      <x:c r="H17" s="3" t="inlineStr">
        <x:is>
          <x:t xml:space="preserve"/>
        </x:is>
      </x:c>
      <x:c r="I17" s="3" t="inlineStr">
        <x:is>
          <x:t xml:space="preserve">Request_Evidence</x:t>
        </x:is>
      </x:c>
      <x:c r="J17" s="3" t="inlineStr">
        <x:is>
          <x:t xml:space="preserve">Y</x:t>
        </x:is>
      </x:c>
      <x:c r="K17" s="3" t="inlineStr">
        <x:is>
          <x:t xml:space="preserve">Provide KPI pack / steering minutes.</x:t>
        </x:is>
      </x:c>
    </x:row>
    <x:row r="18">
      <x:c r="A18" s="3" t="inlineStr">
        <x:is>
          <x:t xml:space="preserve">Executive</x:t>
        </x:is>
      </x:c>
      <x:c r="B18" s="3" t="inlineStr">
        <x:is>
          <x:t xml:space="preserve">EXCO-D1-Q04</x:t>
        </x:is>
      </x:c>
      <x:c r="C18" s="3" t="inlineStr">
        <x:is>
          <x:t xml:space="preserve">EXCO-D1-Q04-A0</x:t>
        </x:is>
      </x:c>
      <x:c r="D18" s="3" t="n">
        <x:v>1</x:v>
      </x:c>
      <x:c r="E18" s="3" t="inlineStr">
        <x:is>
          <x:t xml:space="preserve">I don’t know / not sure.</x:t>
        </x:is>
      </x:c>
      <x:c r="F18" s="3" t="n">
        <x:v>0</x:v>
      </x:c>
      <x:c r="G18" s="3" t="inlineStr">
        <x:is>
          <x:t xml:space="preserve">unknown</x:t>
        </x:is>
      </x:c>
      <x:c r="H18" s="3" t="inlineStr">
        <x:is>
          <x:t xml:space="preserve">Unknown</x:t>
        </x:is>
      </x:c>
      <x:c r="I18" s="3" t="inlineStr">
        <x:is>
          <x:t xml:space="preserve">Clarify_Stakeholders</x:t>
        </x:is>
      </x:c>
      <x:c r="J18" s="3" t="inlineStr">
        <x:is>
          <x:t xml:space="preserve">N</x:t>
        </x:is>
      </x:c>
      <x:c r="K18" s="3" t="inlineStr">
        <x:is>
          <x:t xml:space="preserve"/>
        </x:is>
      </x:c>
    </x:row>
    <x:row r="19">
      <x:c r="A19" s="3" t="inlineStr">
        <x:is>
          <x:t xml:space="preserve">Executive</x:t>
        </x:is>
      </x:c>
      <x:c r="B19" s="3" t="inlineStr">
        <x:is>
          <x:t xml:space="preserve">EXCO-D1-Q04</x:t>
        </x:is>
      </x:c>
      <x:c r="C19" s="3" t="inlineStr">
        <x:is>
          <x:t xml:space="preserve">EXCO-D1-Q04-A1</x:t>
        </x:is>
      </x:c>
      <x:c r="D19" s="3" t="n">
        <x:v>2</x:v>
      </x:c>
      <x:c r="E19" s="3" t="inlineStr">
        <x:is>
          <x:t xml:space="preserve">Each department acts on its own; coordination happens only during crises.</x:t>
        </x:is>
      </x:c>
      <x:c r="F19" s="3" t="n">
        <x:v>0</x:v>
      </x:c>
      <x:c r="G19" s="3" t="inlineStr">
        <x:is>
          <x:t xml:space="preserve">siloed</x:t>
        </x:is>
      </x:c>
      <x:c r="H19" s="3" t="inlineStr">
        <x:is>
          <x:t xml:space="preserve">Operating Model Gap</x:t>
        </x:is>
      </x:c>
      <x:c r="I19" s="3" t="inlineStr">
        <x:is>
          <x:t xml:space="preserve">Create_Working_Group</x:t>
        </x:is>
      </x:c>
      <x:c r="J19" s="3" t="inlineStr">
        <x:is>
          <x:t xml:space="preserve">N</x:t>
        </x:is>
      </x:c>
      <x:c r="K19" s="3" t="inlineStr">
        <x:is>
          <x:t xml:space="preserve"/>
        </x:is>
      </x:c>
    </x:row>
    <x:row r="20">
      <x:c r="A20" s="3" t="inlineStr">
        <x:is>
          <x:t xml:space="preserve">Executive</x:t>
        </x:is>
      </x:c>
      <x:c r="B20" s="3" t="inlineStr">
        <x:is>
          <x:t xml:space="preserve">EXCO-D1-Q04</x:t>
        </x:is>
      </x:c>
      <x:c r="C20" s="3" t="inlineStr">
        <x:is>
          <x:t xml:space="preserve">EXCO-D1-Q04-A2</x:t>
        </x:is>
      </x:c>
      <x:c r="D20" s="3" t="n">
        <x:v>3</x:v>
      </x:c>
      <x:c r="E20" s="3" t="inlineStr">
        <x:is>
          <x:t xml:space="preserve">People collaborate informally for incidents, but there is no routine coordination.</x:t>
        </x:is>
      </x:c>
      <x:c r="F20" s="3" t="n">
        <x:v>1</x:v>
      </x:c>
      <x:c r="G20" s="3" t="inlineStr">
        <x:is>
          <x:t xml:space="preserve">informal_only</x:t>
        </x:is>
      </x:c>
      <x:c r="H20" s="3" t="inlineStr">
        <x:is>
          <x:t xml:space="preserve">Shadow Mature</x:t>
        </x:is>
      </x:c>
      <x:c r="I20" s="3" t="inlineStr">
        <x:is>
          <x:t xml:space="preserve">Formalize_Cadence</x:t>
        </x:is>
      </x:c>
      <x:c r="J20" s="3" t="inlineStr">
        <x:is>
          <x:t xml:space="preserve">N</x:t>
        </x:is>
      </x:c>
      <x:c r="K20" s="3" t="inlineStr">
        <x:is>
          <x:t xml:space="preserve"/>
        </x:is>
      </x:c>
    </x:row>
    <x:row r="21">
      <x:c r="A21" s="3" t="inlineStr">
        <x:is>
          <x:t xml:space="preserve">Executive</x:t>
        </x:is>
      </x:c>
      <x:c r="B21" s="3" t="inlineStr">
        <x:is>
          <x:t xml:space="preserve">EXCO-D1-Q04</x:t>
        </x:is>
      </x:c>
      <x:c r="C21" s="3" t="inlineStr">
        <x:is>
          <x:t xml:space="preserve">EXCO-D1-Q04-A3</x:t>
        </x:is>
      </x:c>
      <x:c r="D21" s="3" t="n">
        <x:v>4</x:v>
      </x:c>
      <x:c r="E21" s="3" t="inlineStr">
        <x:is>
          <x:t xml:space="preserve">There is a defined process, but adoption is inconsistent across business units.</x:t>
        </x:is>
      </x:c>
      <x:c r="F21" s="3" t="n">
        <x:v>2</x:v>
      </x:c>
      <x:c r="G21" s="3" t="inlineStr">
        <x:is>
          <x:t xml:space="preserve">inconsistent_execution</x:t>
        </x:is>
      </x:c>
      <x:c r="H21" s="3" t="inlineStr">
        <x:is>
          <x:t xml:space="preserve">Paper Dragon</x:t>
        </x:is>
      </x:c>
      <x:c r="I21" s="3" t="inlineStr">
        <x:is>
          <x:t xml:space="preserve">Improve_Adoption</x:t>
        </x:is>
      </x:c>
      <x:c r="J21" s="3" t="inlineStr">
        <x:is>
          <x:t xml:space="preserve">N</x:t>
        </x:is>
      </x:c>
      <x:c r="K21" s="3" t="inlineStr">
        <x:is>
          <x:t xml:space="preserve"/>
        </x:is>
      </x:c>
    </x:row>
    <x:row r="22">
      <x:c r="A22" s="3" t="inlineStr">
        <x:is>
          <x:t xml:space="preserve">Executive</x:t>
        </x:is>
      </x:c>
      <x:c r="B22" s="3" t="inlineStr">
        <x:is>
          <x:t xml:space="preserve">EXCO-D1-Q04</x:t>
        </x:is>
      </x:c>
      <x:c r="C22" s="3" t="inlineStr">
        <x:is>
          <x:t xml:space="preserve">EXCO-D1-Q04-A4</x:t>
        </x:is>
      </x:c>
      <x:c r="D22" s="3" t="n">
        <x:v>5</x:v>
      </x:c>
      <x:c r="E22" s="3" t="inlineStr">
        <x:is>
          <x:t xml:space="preserve">There is a cross-functional working group and routine cadence (e.g., monthly), with tracked actions.</x:t>
        </x:is>
      </x:c>
      <x:c r="F22" s="3" t="n">
        <x:v>3</x:v>
      </x:c>
      <x:c r="G22" s="3" t="inlineStr">
        <x:is>
          <x:t xml:space="preserve">good_practice</x:t>
        </x:is>
      </x:c>
      <x:c r="H22" s="3" t="inlineStr">
        <x:is>
          <x:t xml:space="preserve"/>
        </x:is>
      </x:c>
      <x:c r="I22" s="3" t="inlineStr">
        <x:is>
          <x:t xml:space="preserve">Request_Evidence</x:t>
        </x:is>
      </x:c>
      <x:c r="J22" s="3" t="inlineStr">
        <x:is>
          <x:t xml:space="preserve">Y</x:t>
        </x:is>
      </x:c>
      <x:c r="K22" s="3" t="inlineStr">
        <x:is>
          <x:t xml:space="preserve">Provide meeting cadence and action log.</x:t>
        </x:is>
      </x:c>
    </x:row>
    <x:row r="23">
      <x:c r="A23" s="3" t="inlineStr">
        <x:is>
          <x:t xml:space="preserve">Executive</x:t>
        </x:is>
      </x:c>
      <x:c r="B23" s="3" t="inlineStr">
        <x:is>
          <x:t xml:space="preserve">EXCO-D1-Q04</x:t>
        </x:is>
      </x:c>
      <x:c r="C23" s="3" t="inlineStr">
        <x:is>
          <x:t xml:space="preserve">EXCO-D1-Q04-A5</x:t>
        </x:is>
      </x:c>
      <x:c r="D23" s="3" t="n">
        <x:v>6</x:v>
      </x:c>
      <x:c r="E23" s="3" t="inlineStr">
        <x:is>
          <x:t xml:space="preserve">Operating model is integrated into business processes (joiner/mover/leaver, sensitive projects, vendor onboarding) with measurable outcomes.</x:t>
        </x:is>
      </x:c>
      <x:c r="F23" s="3" t="n">
        <x:v>4</x:v>
      </x:c>
      <x:c r="G23" s="3" t="inlineStr">
        <x:is>
          <x:t xml:space="preserve">optimized</x:t>
        </x:is>
      </x:c>
      <x:c r="H23" s="3" t="inlineStr">
        <x:is>
          <x:t xml:space="preserve"/>
        </x:is>
      </x:c>
      <x:c r="I23" s="3" t="inlineStr">
        <x:is>
          <x:t xml:space="preserve">Request_Evidence</x:t>
        </x:is>
      </x:c>
      <x:c r="J23" s="3" t="inlineStr">
        <x:is>
          <x:t xml:space="preserve">Y</x:t>
        </x:is>
      </x:c>
      <x:c r="K23" s="3" t="inlineStr">
        <x:is>
          <x:t xml:space="preserve"/>
        </x:is>
      </x:c>
    </x:row>
    <x:row r="24">
      <x:c r="A24" s="3" t="inlineStr">
        <x:is>
          <x:t xml:space="preserve">Executive</x:t>
        </x:is>
      </x:c>
      <x:c r="B24" s="3" t="inlineStr">
        <x:is>
          <x:t xml:space="preserve">EXCO-D1-Q05</x:t>
        </x:is>
      </x:c>
      <x:c r="C24" s="3" t="inlineStr">
        <x:is>
          <x:t xml:space="preserve">EXCO-D1-Q05-A0</x:t>
        </x:is>
      </x:c>
      <x:c r="D24" s="3" t="n">
        <x:v>1</x:v>
      </x:c>
      <x:c r="E24" s="3" t="inlineStr">
        <x:is>
          <x:t xml:space="preserve">I don’t know / not sure.</x:t>
        </x:is>
      </x:c>
      <x:c r="F24" s="3" t="n">
        <x:v>0</x:v>
      </x:c>
      <x:c r="G24" s="3" t="inlineStr">
        <x:is>
          <x:t xml:space="preserve">unknown</x:t>
        </x:is>
      </x:c>
      <x:c r="H24" s="3" t="inlineStr">
        <x:is>
          <x:t xml:space="preserve">Unknown</x:t>
        </x:is>
      </x:c>
      <x:c r="I24" s="3" t="inlineStr">
        <x:is>
          <x:t xml:space="preserve">Clarify_Budget</x:t>
        </x:is>
      </x:c>
      <x:c r="J24" s="3" t="inlineStr">
        <x:is>
          <x:t xml:space="preserve">N</x:t>
        </x:is>
      </x:c>
      <x:c r="K24" s="3" t="inlineStr">
        <x:is>
          <x:t xml:space="preserve"/>
        </x:is>
      </x:c>
    </x:row>
    <x:row r="25">
      <x:c r="A25" s="3" t="inlineStr">
        <x:is>
          <x:t xml:space="preserve">Executive</x:t>
        </x:is>
      </x:c>
      <x:c r="B25" s="3" t="inlineStr">
        <x:is>
          <x:t xml:space="preserve">EXCO-D1-Q05</x:t>
        </x:is>
      </x:c>
      <x:c r="C25" s="3" t="inlineStr">
        <x:is>
          <x:t xml:space="preserve">EXCO-D1-Q05-A1</x:t>
        </x:is>
      </x:c>
      <x:c r="D25" s="3" t="n">
        <x:v>2</x:v>
      </x:c>
      <x:c r="E25" s="3" t="inlineStr">
        <x:is>
          <x:t xml:space="preserve">No—costs are absorbed ad-hoc in IT/security or HR.</x:t>
        </x:is>
      </x:c>
      <x:c r="F25" s="3" t="n">
        <x:v>0</x:v>
      </x:c>
      <x:c r="G25" s="3" t="inlineStr">
        <x:is>
          <x:t xml:space="preserve">foundational_gap</x:t>
        </x:is>
      </x:c>
      <x:c r="H25" s="3" t="inlineStr">
        <x:is>
          <x:t xml:space="preserve">Operating Model Gap</x:t>
        </x:is>
      </x:c>
      <x:c r="I25" s="3" t="inlineStr">
        <x:is>
          <x:t xml:space="preserve">Define_Funding_Model</x:t>
        </x:is>
      </x:c>
      <x:c r="J25" s="3" t="inlineStr">
        <x:is>
          <x:t xml:space="preserve">N</x:t>
        </x:is>
      </x:c>
      <x:c r="K25" s="3" t="inlineStr">
        <x:is>
          <x:t xml:space="preserve"/>
        </x:is>
      </x:c>
    </x:row>
    <x:row r="26">
      <x:c r="A26" s="3" t="inlineStr">
        <x:is>
          <x:t xml:space="preserve">Executive</x:t>
        </x:is>
      </x:c>
      <x:c r="B26" s="3" t="inlineStr">
        <x:is>
          <x:t xml:space="preserve">EXCO-D1-Q05</x:t>
        </x:is>
      </x:c>
      <x:c r="C26" s="3" t="inlineStr">
        <x:is>
          <x:t xml:space="preserve">EXCO-D1-Q05-A2</x:t>
        </x:is>
      </x:c>
      <x:c r="D26" s="3" t="n">
        <x:v>3</x:v>
      </x:c>
      <x:c r="E26" s="3" t="inlineStr">
        <x:is>
          <x:t xml:space="preserve">Some funding exists but is regularly reallocated; priorities change without oversight.</x:t>
        </x:is>
      </x:c>
      <x:c r="F26" s="3" t="n">
        <x:v>1</x:v>
      </x:c>
      <x:c r="G26" s="3" t="inlineStr">
        <x:is>
          <x:t xml:space="preserve">unstable_funding</x:t>
        </x:is>
      </x:c>
      <x:c r="H26" s="3" t="inlineStr">
        <x:is>
          <x:t xml:space="preserve">Control Lag</x:t>
        </x:is>
      </x:c>
      <x:c r="I26" s="3" t="inlineStr">
        <x:is>
          <x:t xml:space="preserve">Stabilize_Funding</x:t>
        </x:is>
      </x:c>
      <x:c r="J26" s="3" t="inlineStr">
        <x:is>
          <x:t xml:space="preserve">N</x:t>
        </x:is>
      </x:c>
      <x:c r="K26" s="3" t="inlineStr">
        <x:is>
          <x:t xml:space="preserve"/>
        </x:is>
      </x:c>
    </x:row>
    <x:row r="27">
      <x:c r="A27" s="3" t="inlineStr">
        <x:is>
          <x:t xml:space="preserve">Executive</x:t>
        </x:is>
      </x:c>
      <x:c r="B27" s="3" t="inlineStr">
        <x:is>
          <x:t xml:space="preserve">EXCO-D1-Q05</x:t>
        </x:is>
      </x:c>
      <x:c r="C27" s="3" t="inlineStr">
        <x:is>
          <x:t xml:space="preserve">EXCO-D1-Q05-A3</x:t>
        </x:is>
      </x:c>
      <x:c r="D27" s="3" t="n">
        <x:v>4</x:v>
      </x:c>
      <x:c r="E27" s="3" t="inlineStr">
        <x:is>
          <x:t xml:space="preserve">There is a budget line, but it is not linked to clear priorities (e.g., crown jewels or key risks).</x:t>
        </x:is>
      </x:c>
      <x:c r="F27" s="3" t="n">
        <x:v>2</x:v>
      </x:c>
      <x:c r="G27" s="3" t="inlineStr">
        <x:is>
          <x:t xml:space="preserve">paper_budget</x:t>
        </x:is>
      </x:c>
      <x:c r="H27" s="3" t="inlineStr">
        <x:is>
          <x:t xml:space="preserve">Paper Dragon</x:t>
        </x:is>
      </x:c>
      <x:c r="I27" s="3" t="inlineStr">
        <x:is>
          <x:t xml:space="preserve">Link_To_Priorities</x:t>
        </x:is>
      </x:c>
      <x:c r="J27" s="3" t="inlineStr">
        <x:is>
          <x:t xml:space="preserve">N</x:t>
        </x:is>
      </x:c>
      <x:c r="K27" s="3" t="inlineStr">
        <x:is>
          <x:t xml:space="preserve"/>
        </x:is>
      </x:c>
    </x:row>
    <x:row r="28">
      <x:c r="A28" s="3" t="inlineStr">
        <x:is>
          <x:t xml:space="preserve">Executive</x:t>
        </x:is>
      </x:c>
      <x:c r="B28" s="3" t="inlineStr">
        <x:is>
          <x:t xml:space="preserve">EXCO-D1-Q05</x:t>
        </x:is>
      </x:c>
      <x:c r="C28" s="3" t="inlineStr">
        <x:is>
          <x:t xml:space="preserve">EXCO-D1-Q05-A4</x:t>
        </x:is>
      </x:c>
      <x:c r="D28" s="3" t="n">
        <x:v>5</x:v>
      </x:c>
      <x:c r="E28" s="3" t="inlineStr">
        <x:is>
          <x:t xml:space="preserve">Dedicated funding exists and is linked to defined priorities (e.g., most sensitive data/systems).</x:t>
        </x:is>
      </x:c>
      <x:c r="F28" s="3" t="n">
        <x:v>3</x:v>
      </x:c>
      <x:c r="G28" s="3" t="inlineStr">
        <x:is>
          <x:t xml:space="preserve">good_practice</x:t>
        </x:is>
      </x:c>
      <x:c r="H28" s="3" t="inlineStr">
        <x:is>
          <x:t xml:space="preserve"/>
        </x:is>
      </x:c>
      <x:c r="I28" s="3" t="inlineStr">
        <x:is>
          <x:t xml:space="preserve">Request_Evidence</x:t>
        </x:is>
      </x:c>
      <x:c r="J28" s="3" t="inlineStr">
        <x:is>
          <x:t xml:space="preserve">Y</x:t>
        </x:is>
      </x:c>
      <x:c r="K28" s="3" t="inlineStr">
        <x:is>
          <x:t xml:space="preserve">Provide budget line and priority statement.</x:t>
        </x:is>
      </x:c>
    </x:row>
    <x:row r="29">
      <x:c r="A29" s="3" t="inlineStr">
        <x:is>
          <x:t xml:space="preserve">Executive</x:t>
        </x:is>
      </x:c>
      <x:c r="B29" s="3" t="inlineStr">
        <x:is>
          <x:t xml:space="preserve">EXCO-D1-Q05</x:t>
        </x:is>
      </x:c>
      <x:c r="C29" s="3" t="inlineStr">
        <x:is>
          <x:t xml:space="preserve">EXCO-D1-Q05-A5</x:t>
        </x:is>
      </x:c>
      <x:c r="D29" s="3" t="n">
        <x:v>6</x:v>
      </x:c>
      <x:c r="E29" s="3" t="inlineStr">
        <x:is>
          <x:t xml:space="preserve">Multi-year funding plan aligned to risk appetite with benefits tracked (e.g., risk reduction, fewer high-risk clusters).</x:t>
        </x:is>
      </x:c>
      <x:c r="F29" s="3" t="n">
        <x:v>4</x:v>
      </x:c>
      <x:c r="G29" s="3" t="inlineStr">
        <x:is>
          <x:t xml:space="preserve">optimized</x:t>
        </x:is>
      </x:c>
      <x:c r="H29" s="3" t="inlineStr">
        <x:is>
          <x:t xml:space="preserve"/>
        </x:is>
      </x:c>
      <x:c r="I29" s="3" t="inlineStr">
        <x:is>
          <x:t xml:space="preserve">Request_Evidence</x:t>
        </x:is>
      </x:c>
      <x:c r="J29" s="3" t="inlineStr">
        <x:is>
          <x:t xml:space="preserve">Y</x:t>
        </x:is>
      </x:c>
      <x:c r="K29" s="3" t="inlineStr">
        <x:is>
          <x:t xml:space="preserve"/>
        </x:is>
      </x:c>
    </x:row>
    <x:row r="30">
      <x:c r="A30" s="3" t="inlineStr">
        <x:is>
          <x:t xml:space="preserve">Executive</x:t>
        </x:is>
      </x:c>
      <x:c r="B30" s="3" t="inlineStr">
        <x:is>
          <x:t xml:space="preserve">EXCO-D1-Q06</x:t>
        </x:is>
      </x:c>
      <x:c r="C30" s="3" t="inlineStr">
        <x:is>
          <x:t xml:space="preserve">EXCO-D1-Q06-A0</x:t>
        </x:is>
      </x:c>
      <x:c r="D30" s="3" t="n">
        <x:v>1</x:v>
      </x:c>
      <x:c r="E30" s="3" t="inlineStr">
        <x:is>
          <x:t xml:space="preserve">I don’t know / not sure.</x:t>
        </x:is>
      </x:c>
      <x:c r="F30" s="3" t="n">
        <x:v>0</x:v>
      </x:c>
      <x:c r="G30" s="3" t="inlineStr">
        <x:is>
          <x:t xml:space="preserve">unknown</x:t>
        </x:is>
      </x:c>
      <x:c r="H30" s="3" t="inlineStr">
        <x:is>
          <x:t xml:space="preserve">Unknown</x:t>
        </x:is>
      </x:c>
      <x:c r="I30" s="3" t="inlineStr">
        <x:is>
          <x:t xml:space="preserve">Clarify_Roadmap</x:t>
        </x:is>
      </x:c>
      <x:c r="J30" s="3" t="inlineStr">
        <x:is>
          <x:t xml:space="preserve">N</x:t>
        </x:is>
      </x:c>
      <x:c r="K30" s="3" t="inlineStr">
        <x:is>
          <x:t xml:space="preserve"/>
        </x:is>
      </x:c>
    </x:row>
    <x:row r="31">
      <x:c r="A31" s="3" t="inlineStr">
        <x:is>
          <x:t xml:space="preserve">Executive</x:t>
        </x:is>
      </x:c>
      <x:c r="B31" s="3" t="inlineStr">
        <x:is>
          <x:t xml:space="preserve">EXCO-D1-Q06</x:t>
        </x:is>
      </x:c>
      <x:c r="C31" s="3" t="inlineStr">
        <x:is>
          <x:t xml:space="preserve">EXCO-D1-Q06-A1</x:t>
        </x:is>
      </x:c>
      <x:c r="D31" s="3" t="n">
        <x:v>2</x:v>
      </x:c>
      <x:c r="E31" s="3" t="inlineStr">
        <x:is>
          <x:t xml:space="preserve">No—work is reactive (we respond to incidents and urgent requests).</x:t>
        </x:is>
      </x:c>
      <x:c r="F31" s="3" t="n">
        <x:v>0</x:v>
      </x:c>
      <x:c r="G31" s="3" t="inlineStr">
        <x:is>
          <x:t xml:space="preserve">reactive</x:t>
        </x:is>
      </x:c>
      <x:c r="H31" s="3" t="inlineStr">
        <x:is>
          <x:t xml:space="preserve">Operating Model Gap</x:t>
        </x:is>
      </x:c>
      <x:c r="I31" s="3" t="inlineStr">
        <x:is>
          <x:t xml:space="preserve">Create_Roadmap</x:t>
        </x:is>
      </x:c>
      <x:c r="J31" s="3" t="inlineStr">
        <x:is>
          <x:t xml:space="preserve">N</x:t>
        </x:is>
      </x:c>
      <x:c r="K31" s="3" t="inlineStr">
        <x:is>
          <x:t xml:space="preserve"/>
        </x:is>
      </x:c>
    </x:row>
    <x:row r="32">
      <x:c r="A32" s="3" t="inlineStr">
        <x:is>
          <x:t xml:space="preserve">Executive</x:t>
        </x:is>
      </x:c>
      <x:c r="B32" s="3" t="inlineStr">
        <x:is>
          <x:t xml:space="preserve">EXCO-D1-Q06</x:t>
        </x:is>
      </x:c>
      <x:c r="C32" s="3" t="inlineStr">
        <x:is>
          <x:t xml:space="preserve">EXCO-D1-Q06-A2</x:t>
        </x:is>
      </x:c>
      <x:c r="D32" s="3" t="n">
        <x:v>3</x:v>
      </x:c>
      <x:c r="E32" s="3" t="inlineStr">
        <x:is>
          <x:t xml:space="preserve">There is an informal ‘wishlist’ but no dates, owners, or review cadence.</x:t>
        </x:is>
      </x:c>
      <x:c r="F32" s="3" t="n">
        <x:v>1</x:v>
      </x:c>
      <x:c r="G32" s="3" t="inlineStr">
        <x:is>
          <x:t xml:space="preserve">shadow_signal</x:t>
        </x:is>
      </x:c>
      <x:c r="H32" s="3" t="inlineStr">
        <x:is>
          <x:t xml:space="preserve">Shadow Mature</x:t>
        </x:is>
      </x:c>
      <x:c r="I32" s="3" t="inlineStr">
        <x:is>
          <x:t xml:space="preserve">Formalize_Roadmap</x:t>
        </x:is>
      </x:c>
      <x:c r="J32" s="3" t="inlineStr">
        <x:is>
          <x:t xml:space="preserve">N</x:t>
        </x:is>
      </x:c>
      <x:c r="K32" s="3" t="inlineStr">
        <x:is>
          <x:t xml:space="preserve"/>
        </x:is>
      </x:c>
    </x:row>
    <x:row r="33">
      <x:c r="A33" s="3" t="inlineStr">
        <x:is>
          <x:t xml:space="preserve">Executive</x:t>
        </x:is>
      </x:c>
      <x:c r="B33" s="3" t="inlineStr">
        <x:is>
          <x:t xml:space="preserve">EXCO-D1-Q06</x:t>
        </x:is>
      </x:c>
      <x:c r="C33" s="3" t="inlineStr">
        <x:is>
          <x:t xml:space="preserve">EXCO-D1-Q06-A3</x:t>
        </x:is>
      </x:c>
      <x:c r="D33" s="3" t="n">
        <x:v>4</x:v>
      </x:c>
      <x:c r="E33" s="3" t="inlineStr">
        <x:is>
          <x:t xml:space="preserve">A roadmap exists, but it is not funded or is frequently re-prioritised without governance.</x:t>
        </x:is>
      </x:c>
      <x:c r="F33" s="3" t="n">
        <x:v>2</x:v>
      </x:c>
      <x:c r="G33" s="3" t="inlineStr">
        <x:is>
          <x:t xml:space="preserve">paper_roadmap</x:t>
        </x:is>
      </x:c>
      <x:c r="H33" s="3" t="inlineStr">
        <x:is>
          <x:t xml:space="preserve">Paper Dragon</x:t>
        </x:is>
      </x:c>
      <x:c r="I33" s="3" t="inlineStr">
        <x:is>
          <x:t xml:space="preserve">Align_Funding_Governance</x:t>
        </x:is>
      </x:c>
      <x:c r="J33" s="3" t="inlineStr">
        <x:is>
          <x:t xml:space="preserve">N</x:t>
        </x:is>
      </x:c>
      <x:c r="K33" s="3" t="inlineStr">
        <x:is>
          <x:t xml:space="preserve"/>
        </x:is>
      </x:c>
    </x:row>
    <x:row r="34">
      <x:c r="A34" s="3" t="inlineStr">
        <x:is>
          <x:t xml:space="preserve">Executive</x:t>
        </x:is>
      </x:c>
      <x:c r="B34" s="3" t="inlineStr">
        <x:is>
          <x:t xml:space="preserve">EXCO-D1-Q06</x:t>
        </x:is>
      </x:c>
      <x:c r="C34" s="3" t="inlineStr">
        <x:is>
          <x:t xml:space="preserve">EXCO-D1-Q06-A4</x:t>
        </x:is>
      </x:c>
      <x:c r="D34" s="3" t="n">
        <x:v>5</x:v>
      </x:c>
      <x:c r="E34" s="3" t="inlineStr">
        <x:is>
          <x:t xml:space="preserve">Roadmap exists with owners, dates, and quarterly review.</x:t>
        </x:is>
      </x:c>
      <x:c r="F34" s="3" t="n">
        <x:v>3</x:v>
      </x:c>
      <x:c r="G34" s="3" t="inlineStr">
        <x:is>
          <x:t xml:space="preserve">good_practice</x:t>
        </x:is>
      </x:c>
      <x:c r="H34" s="3" t="inlineStr">
        <x:is>
          <x:t xml:space="preserve"/>
        </x:is>
      </x:c>
      <x:c r="I34" s="3" t="inlineStr">
        <x:is>
          <x:t xml:space="preserve">Request_Evidence</x:t>
        </x:is>
      </x:c>
      <x:c r="J34" s="3" t="inlineStr">
        <x:is>
          <x:t xml:space="preserve">Y</x:t>
        </x:is>
      </x:c>
      <x:c r="K34" s="3" t="inlineStr">
        <x:is>
          <x:t xml:space="preserve">Provide roadmap snapshot and last review date.</x:t>
        </x:is>
      </x:c>
    </x:row>
    <x:row r="35">
      <x:c r="A35" s="3" t="inlineStr">
        <x:is>
          <x:t xml:space="preserve">Executive</x:t>
        </x:is>
      </x:c>
      <x:c r="B35" s="3" t="inlineStr">
        <x:is>
          <x:t xml:space="preserve">EXCO-D1-Q06</x:t>
        </x:is>
      </x:c>
      <x:c r="C35" s="3" t="inlineStr">
        <x:is>
          <x:t xml:space="preserve">EXCO-D1-Q06-A5</x:t>
        </x:is>
      </x:c>
      <x:c r="D35" s="3" t="n">
        <x:v>6</x:v>
      </x:c>
      <x:c r="E35" s="3" t="inlineStr">
        <x:is>
          <x:t xml:space="preserve">Roadmap is linked to risk appetite and measured outcomes; changes are controlled and documented.</x:t>
        </x:is>
      </x:c>
      <x:c r="F35" s="3" t="n">
        <x:v>4</x:v>
      </x:c>
      <x:c r="G35" s="3" t="inlineStr">
        <x:is>
          <x:t xml:space="preserve">optimized</x:t>
        </x:is>
      </x:c>
      <x:c r="H35" s="3" t="inlineStr">
        <x:is>
          <x:t xml:space="preserve"/>
        </x:is>
      </x:c>
      <x:c r="I35" s="3" t="inlineStr">
        <x:is>
          <x:t xml:space="preserve">Request_Evidence</x:t>
        </x:is>
      </x:c>
      <x:c r="J35" s="3" t="inlineStr">
        <x:is>
          <x:t xml:space="preserve">Y</x:t>
        </x:is>
      </x:c>
      <x:c r="K35" s="3" t="inlineStr">
        <x:is>
          <x:t xml:space="preserve"/>
        </x:is>
      </x:c>
    </x:row>
    <x:row r="36">
      <x:c r="A36" s="3" t="inlineStr">
        <x:is>
          <x:t xml:space="preserve">Executive</x:t>
        </x:is>
      </x:c>
      <x:c r="B36" s="3" t="inlineStr">
        <x:is>
          <x:t xml:space="preserve">EXCO-D2-Q01</x:t>
        </x:is>
      </x:c>
      <x:c r="C36" s="3" t="inlineStr">
        <x:is>
          <x:t xml:space="preserve">EXCO-D2-Q01-A0</x:t>
        </x:is>
      </x:c>
      <x:c r="D36" s="3" t="n">
        <x:v>1</x:v>
      </x:c>
      <x:c r="E36" s="3" t="inlineStr">
        <x:is>
          <x:t xml:space="preserve">I don’t know / not sure.</x:t>
        </x:is>
      </x:c>
      <x:c r="F36" s="3" t="n">
        <x:v>0</x:v>
      </x:c>
      <x:c r="G36" s="3" t="inlineStr">
        <x:is>
          <x:t xml:space="preserve">unknown</x:t>
        </x:is>
      </x:c>
      <x:c r="H36" s="3" t="inlineStr">
        <x:is>
          <x:t xml:space="preserve">Unknown</x:t>
        </x:is>
      </x:c>
      <x:c r="I36" s="3" t="inlineStr">
        <x:is>
          <x:t xml:space="preserve">Run_Crown_Jewel_Workshop</x:t>
        </x:is>
      </x:c>
      <x:c r="J36" s="3" t="inlineStr">
        <x:is>
          <x:t xml:space="preserve">N</x:t>
        </x:is>
      </x:c>
      <x:c r="K36" s="3" t="inlineStr">
        <x:is>
          <x:t xml:space="preserve"/>
        </x:is>
      </x:c>
    </x:row>
    <x:row r="37">
      <x:c r="A37" s="3" t="inlineStr">
        <x:is>
          <x:t xml:space="preserve">Executive</x:t>
        </x:is>
      </x:c>
      <x:c r="B37" s="3" t="inlineStr">
        <x:is>
          <x:t xml:space="preserve">EXCO-D2-Q01</x:t>
        </x:is>
      </x:c>
      <x:c r="C37" s="3" t="inlineStr">
        <x:is>
          <x:t xml:space="preserve">EXCO-D2-Q01-A1</x:t>
        </x:is>
      </x:c>
      <x:c r="D37" s="3" t="n">
        <x:v>2</x:v>
      </x:c>
      <x:c r="E37" s="3" t="inlineStr">
        <x:is>
          <x:t xml:space="preserve">No—everything is treated roughly the same; we don’t have a clear list.</x:t>
        </x:is>
      </x:c>
      <x:c r="F37" s="3" t="n">
        <x:v>0</x:v>
      </x:c>
      <x:c r="G37" s="3" t="inlineStr">
        <x:is>
          <x:t xml:space="preserve">visibility_gap</x:t>
        </x:is>
      </x:c>
      <x:c r="H37" s="3" t="inlineStr">
        <x:is>
          <x:t xml:space="preserve">Visibility Gap</x:t>
        </x:is>
      </x:c>
      <x:c r="I37" s="3" t="inlineStr">
        <x:is>
          <x:t xml:space="preserve">Run_Crown_Jewel_Workshop</x:t>
        </x:is>
      </x:c>
      <x:c r="J37" s="3" t="inlineStr">
        <x:is>
          <x:t xml:space="preserve">N</x:t>
        </x:is>
      </x:c>
      <x:c r="K37" s="3" t="inlineStr">
        <x:is>
          <x:t xml:space="preserve"/>
        </x:is>
      </x:c>
    </x:row>
    <x:row r="38">
      <x:c r="A38" s="3" t="inlineStr">
        <x:is>
          <x:t xml:space="preserve">Executive</x:t>
        </x:is>
      </x:c>
      <x:c r="B38" s="3" t="inlineStr">
        <x:is>
          <x:t xml:space="preserve">EXCO-D2-Q01</x:t>
        </x:is>
      </x:c>
      <x:c r="C38" s="3" t="inlineStr">
        <x:is>
          <x:t xml:space="preserve">EXCO-D2-Q01-A2</x:t>
        </x:is>
      </x:c>
      <x:c r="D38" s="3" t="n">
        <x:v>3</x:v>
      </x:c>
      <x:c r="E38" s="3" t="inlineStr">
        <x:is>
          <x:t xml:space="preserve">Key people ‘just know’ what matters, but it is not written down or kept current.</x:t>
        </x:is>
      </x:c>
      <x:c r="F38" s="3" t="n">
        <x:v>1</x:v>
      </x:c>
      <x:c r="G38" s="3" t="inlineStr">
        <x:is>
          <x:t xml:space="preserve">tribal_knowledge,shadow_signal</x:t>
        </x:is>
      </x:c>
      <x:c r="H38" s="3" t="inlineStr">
        <x:is>
          <x:t xml:space="preserve">Shadow Mature</x:t>
        </x:is>
      </x:c>
      <x:c r="I38" s="3" t="inlineStr">
        <x:is>
          <x:t xml:space="preserve">Document_Crown_Jewels</x:t>
        </x:is>
      </x:c>
      <x:c r="J38" s="3" t="inlineStr">
        <x:is>
          <x:t xml:space="preserve">N</x:t>
        </x:is>
      </x:c>
      <x:c r="K38" s="3" t="inlineStr">
        <x:is>
          <x:t xml:space="preserve"/>
        </x:is>
      </x:c>
    </x:row>
    <x:row r="39">
      <x:c r="A39" s="3" t="inlineStr">
        <x:is>
          <x:t xml:space="preserve">Executive</x:t>
        </x:is>
      </x:c>
      <x:c r="B39" s="3" t="inlineStr">
        <x:is>
          <x:t xml:space="preserve">EXCO-D2-Q01</x:t>
        </x:is>
      </x:c>
      <x:c r="C39" s="3" t="inlineStr">
        <x:is>
          <x:t xml:space="preserve">EXCO-D2-Q01-A3</x:t>
        </x:is>
      </x:c>
      <x:c r="D39" s="3" t="n">
        <x:v>4</x:v>
      </x:c>
      <x:c r="E39" s="3" t="inlineStr">
        <x:is>
          <x:t xml:space="preserve">A list exists for compliance reasons (e.g., regulated data) but misses business-critical information.</x:t>
        </x:is>
      </x:c>
      <x:c r="F39" s="3" t="n">
        <x:v>2</x:v>
      </x:c>
      <x:c r="G39" s="3" t="inlineStr">
        <x:is>
          <x:t xml:space="preserve">compliance_only</x:t>
        </x:is>
      </x:c>
      <x:c r="H39" s="3" t="inlineStr">
        <x:is>
          <x:t xml:space="preserve">Paper Dragon</x:t>
        </x:is>
      </x:c>
      <x:c r="I39" s="3" t="inlineStr">
        <x:is>
          <x:t xml:space="preserve">Expand_Scope</x:t>
        </x:is>
      </x:c>
      <x:c r="J39" s="3" t="inlineStr">
        <x:is>
          <x:t xml:space="preserve">N</x:t>
        </x:is>
      </x:c>
      <x:c r="K39" s="3" t="inlineStr">
        <x:is>
          <x:t xml:space="preserve"/>
        </x:is>
      </x:c>
    </x:row>
    <x:row r="40">
      <x:c r="A40" s="3" t="inlineStr">
        <x:is>
          <x:t xml:space="preserve">Executive</x:t>
        </x:is>
      </x:c>
      <x:c r="B40" s="3" t="inlineStr">
        <x:is>
          <x:t xml:space="preserve">EXCO-D2-Q01</x:t>
        </x:is>
      </x:c>
      <x:c r="C40" s="3" t="inlineStr">
        <x:is>
          <x:t xml:space="preserve">EXCO-D2-Q01-A4</x:t>
        </x:is>
      </x:c>
      <x:c r="D40" s="3" t="n">
        <x:v>5</x:v>
      </x:c>
      <x:c r="E40" s="3" t="inlineStr">
        <x:is>
          <x:t xml:space="preserve">We maintain an inventory of sensitive information/systems and review it at least annually.</x:t>
        </x:is>
      </x:c>
      <x:c r="F40" s="3" t="n">
        <x:v>3</x:v>
      </x:c>
      <x:c r="G40" s="3" t="inlineStr">
        <x:is>
          <x:t xml:space="preserve">good_practice</x:t>
        </x:is>
      </x:c>
      <x:c r="H40" s="3" t="inlineStr">
        <x:is>
          <x:t xml:space="preserve"/>
        </x:is>
      </x:c>
      <x:c r="I40" s="3" t="inlineStr">
        <x:is>
          <x:t xml:space="preserve">Request_Evidence</x:t>
        </x:is>
      </x:c>
      <x:c r="J40" s="3" t="inlineStr">
        <x:is>
          <x:t xml:space="preserve">Y</x:t>
        </x:is>
      </x:c>
      <x:c r="K40" s="3" t="inlineStr">
        <x:is>
          <x:t xml:space="preserve">Provide inventory and last review date.</x:t>
        </x:is>
      </x:c>
    </x:row>
    <x:row r="41">
      <x:c r="A41" s="3" t="inlineStr">
        <x:is>
          <x:t xml:space="preserve">Executive</x:t>
        </x:is>
      </x:c>
      <x:c r="B41" s="3" t="inlineStr">
        <x:is>
          <x:t xml:space="preserve">EXCO-D2-Q01</x:t>
        </x:is>
      </x:c>
      <x:c r="C41" s="3" t="inlineStr">
        <x:is>
          <x:t xml:space="preserve">EXCO-D2-Q01-A5</x:t>
        </x:is>
      </x:c>
      <x:c r="D41" s="3" t="n">
        <x:v>6</x:v>
      </x:c>
      <x:c r="E41" s="3" t="inlineStr">
        <x:is>
          <x:t xml:space="preserve">Inventory is linked to business impact and access concentration; changes are tracked continuously.</x:t>
        </x:is>
      </x:c>
      <x:c r="F41" s="3" t="n">
        <x:v>4</x:v>
      </x:c>
      <x:c r="G41" s="3" t="inlineStr">
        <x:is>
          <x:t xml:space="preserve">optimized</x:t>
        </x:is>
      </x:c>
      <x:c r="H41" s="3" t="inlineStr">
        <x:is>
          <x:t xml:space="preserve"/>
        </x:is>
      </x:c>
      <x:c r="I41" s="3" t="inlineStr">
        <x:is>
          <x:t xml:space="preserve">Request_Evidence</x:t>
        </x:is>
      </x:c>
      <x:c r="J41" s="3" t="inlineStr">
        <x:is>
          <x:t xml:space="preserve">Y</x:t>
        </x:is>
      </x:c>
      <x:c r="K41" s="3" t="inlineStr">
        <x:is>
          <x:t xml:space="preserve"/>
        </x:is>
      </x:c>
    </x:row>
    <x:row r="42">
      <x:c r="A42" s="3" t="inlineStr">
        <x:is>
          <x:t xml:space="preserve">Executive</x:t>
        </x:is>
      </x:c>
      <x:c r="B42" s="3" t="inlineStr">
        <x:is>
          <x:t xml:space="preserve">EXCO-D2-Q02</x:t>
        </x:is>
      </x:c>
      <x:c r="C42" s="3" t="inlineStr">
        <x:is>
          <x:t xml:space="preserve">EXCO-D2-Q02-A1</x:t>
        </x:is>
      </x:c>
      <x:c r="D42" s="3" t="n">
        <x:v>1</x:v>
      </x:c>
      <x:c r="E42" s="3" t="inlineStr">
        <x:is>
          <x:t xml:space="preserve">No—different leaders would give completely different answers.</x:t>
        </x:is>
      </x:c>
      <x:c r="F42" s="3" t="n">
        <x:v>0</x:v>
      </x:c>
      <x:c r="G42" s="3" t="inlineStr">
        <x:is>
          <x:t xml:space="preserve">visibility_gap</x:t>
        </x:is>
      </x:c>
      <x:c r="H42" s="3" t="inlineStr">
        <x:is>
          <x:t xml:space="preserve">Visibility Gap</x:t>
        </x:is>
      </x:c>
      <x:c r="I42" s="3" t="inlineStr">
        <x:is>
          <x:t xml:space="preserve">Run_Crown_Jewel_Workshop</x:t>
        </x:is>
      </x:c>
      <x:c r="J42" s="3" t="inlineStr">
        <x:is>
          <x:t xml:space="preserve">N</x:t>
        </x:is>
      </x:c>
      <x:c r="K42" s="3" t="inlineStr">
        <x:is>
          <x:t xml:space="preserve"/>
        </x:is>
      </x:c>
    </x:row>
    <x:row r="43">
      <x:c r="A43" s="3" t="inlineStr">
        <x:is>
          <x:t xml:space="preserve">Executive</x:t>
        </x:is>
      </x:c>
      <x:c r="B43" s="3" t="inlineStr">
        <x:is>
          <x:t xml:space="preserve">EXCO-D2-Q02</x:t>
        </x:is>
      </x:c>
      <x:c r="C43" s="3" t="inlineStr">
        <x:is>
          <x:t xml:space="preserve">EXCO-D2-Q02-A2</x:t>
        </x:is>
      </x:c>
      <x:c r="D43" s="3" t="n">
        <x:v>2</x:v>
      </x:c>
      <x:c r="E43" s="3" t="inlineStr">
        <x:is>
          <x:t xml:space="preserve">Yes—but answers would vary by department and are not aligned.</x:t>
        </x:is>
      </x:c>
      <x:c r="F43" s="3" t="n">
        <x:v>1</x:v>
      </x:c>
      <x:c r="G43" s="3" t="inlineStr">
        <x:is>
          <x:t xml:space="preserve">misalignment_signal</x:t>
        </x:is>
      </x:c>
      <x:c r="H43" s="3" t="inlineStr">
        <x:is>
          <x:t xml:space="preserve">Operating Model Gap</x:t>
        </x:is>
      </x:c>
      <x:c r="I43" s="3" t="inlineStr">
        <x:is>
          <x:t xml:space="preserve">Align_On_Crown_Jewels</x:t>
        </x:is>
      </x:c>
      <x:c r="J43" s="3" t="inlineStr">
        <x:is>
          <x:t xml:space="preserve">N</x:t>
        </x:is>
      </x:c>
      <x:c r="K43" s="3" t="inlineStr">
        <x:is>
          <x:t xml:space="preserve"/>
        </x:is>
      </x:c>
    </x:row>
    <x:row r="44">
      <x:c r="A44" s="3" t="inlineStr">
        <x:is>
          <x:t xml:space="preserve">Executive</x:t>
        </x:is>
      </x:c>
      <x:c r="B44" s="3" t="inlineStr">
        <x:is>
          <x:t xml:space="preserve">EXCO-D2-Q02</x:t>
        </x:is>
      </x:c>
      <x:c r="C44" s="3" t="inlineStr">
        <x:is>
          <x:t xml:space="preserve">EXCO-D2-Q02-A3</x:t>
        </x:is>
      </x:c>
      <x:c r="D44" s="3" t="n">
        <x:v>3</x:v>
      </x:c>
      <x:c r="E44" s="3" t="inlineStr">
        <x:is>
          <x:t xml:space="preserve">Yes—there is broad agreement, but it’s not documented or mapped to systems.</x:t>
        </x:is>
      </x:c>
      <x:c r="F44" s="3" t="n">
        <x:v>2</x:v>
      </x:c>
      <x:c r="G44" s="3" t="inlineStr">
        <x:is>
          <x:t xml:space="preserve">shadow_mature_signal</x:t>
        </x:is>
      </x:c>
      <x:c r="H44" s="3" t="inlineStr">
        <x:is>
          <x:t xml:space="preserve">Shadow Mature</x:t>
        </x:is>
      </x:c>
      <x:c r="I44" s="3" t="inlineStr">
        <x:is>
          <x:t xml:space="preserve">Document_Crown_Jewels</x:t>
        </x:is>
      </x:c>
      <x:c r="J44" s="3" t="inlineStr">
        <x:is>
          <x:t xml:space="preserve">N</x:t>
        </x:is>
      </x:c>
      <x:c r="K44" s="3" t="inlineStr">
        <x:is>
          <x:t xml:space="preserve"/>
        </x:is>
      </x:c>
    </x:row>
    <x:row r="45">
      <x:c r="A45" s="3" t="inlineStr">
        <x:is>
          <x:t xml:space="preserve">Executive</x:t>
        </x:is>
      </x:c>
      <x:c r="B45" s="3" t="inlineStr">
        <x:is>
          <x:t xml:space="preserve">EXCO-D2-Q02</x:t>
        </x:is>
      </x:c>
      <x:c r="C45" s="3" t="inlineStr">
        <x:is>
          <x:t xml:space="preserve">EXCO-D2-Q02-A4</x:t>
        </x:is>
      </x:c>
      <x:c r="D45" s="3" t="n">
        <x:v>4</x:v>
      </x:c>
      <x:c r="E45" s="3" t="inlineStr">
        <x:is>
          <x:t xml:space="preserve">Yes—and we can point to where this information typically sits (key systems and repositories).</x:t>
        </x:is>
      </x:c>
      <x:c r="F45" s="3" t="n">
        <x:v>3</x:v>
      </x:c>
      <x:c r="G45" s="3" t="inlineStr">
        <x:is>
          <x:t xml:space="preserve">good_practice</x:t>
        </x:is>
      </x:c>
      <x:c r="H45" s="3" t="inlineStr">
        <x:is>
          <x:t xml:space="preserve"/>
        </x:is>
      </x:c>
      <x:c r="I45" s="3" t="inlineStr">
        <x:is>
          <x:t xml:space="preserve">Start_Mapping</x:t>
        </x:is>
      </x:c>
      <x:c r="J45" s="3" t="inlineStr">
        <x:is>
          <x:t xml:space="preserve">N</x:t>
        </x:is>
      </x:c>
      <x:c r="K45" s="3" t="inlineStr">
        <x:is>
          <x:t xml:space="preserve"/>
        </x:is>
      </x:c>
    </x:row>
    <x:row r="46">
      <x:c r="A46" s="3" t="inlineStr">
        <x:is>
          <x:t xml:space="preserve">Executive</x:t>
        </x:is>
      </x:c>
      <x:c r="B46" s="3" t="inlineStr">
        <x:is>
          <x:t xml:space="preserve">EXCO-D2-Q03</x:t>
        </x:is>
      </x:c>
      <x:c r="C46" s="3" t="inlineStr">
        <x:is>
          <x:t xml:space="preserve">EXCO-D2-Q03-A0</x:t>
        </x:is>
      </x:c>
      <x:c r="D46" s="3" t="n">
        <x:v>1</x:v>
      </x:c>
      <x:c r="E46" s="3" t="inlineStr">
        <x:is>
          <x:t xml:space="preserve">I don’t know / not sure.</x:t>
        </x:is>
      </x:c>
      <x:c r="F46" s="3" t="n">
        <x:v>0</x:v>
      </x:c>
      <x:c r="G46" s="3" t="inlineStr">
        <x:is>
          <x:t xml:space="preserve">unknown</x:t>
        </x:is>
      </x:c>
      <x:c r="H46" s="3" t="inlineStr">
        <x:is>
          <x:t xml:space="preserve">Unknown</x:t>
        </x:is>
      </x:c>
      <x:c r="I46" s="3" t="inlineStr">
        <x:is>
          <x:t xml:space="preserve">Role_Mapping</x:t>
        </x:is>
      </x:c>
      <x:c r="J46" s="3" t="inlineStr">
        <x:is>
          <x:t xml:space="preserve">N</x:t>
        </x:is>
      </x:c>
      <x:c r="K46" s="3" t="inlineStr">
        <x:is>
          <x:t xml:space="preserve"/>
        </x:is>
      </x:c>
    </x:row>
    <x:row r="47">
      <x:c r="A47" s="3" t="inlineStr">
        <x:is>
          <x:t xml:space="preserve">Executive</x:t>
        </x:is>
      </x:c>
      <x:c r="B47" s="3" t="inlineStr">
        <x:is>
          <x:t xml:space="preserve">EXCO-D2-Q03</x:t>
        </x:is>
      </x:c>
      <x:c r="C47" s="3" t="inlineStr">
        <x:is>
          <x:t xml:space="preserve">EXCO-D2-Q03-A1</x:t>
        </x:is>
      </x:c>
      <x:c r="D47" s="3" t="n">
        <x:v>2</x:v>
      </x:c>
      <x:c r="E47" s="3" t="inlineStr">
        <x:is>
          <x:t xml:space="preserve">No—we cannot easily see who has the ‘keys to the kingdom’.</x:t>
        </x:is>
      </x:c>
      <x:c r="F47" s="3" t="n">
        <x:v>0</x:v>
      </x:c>
      <x:c r="G47" s="3" t="inlineStr">
        <x:is>
          <x:t xml:space="preserve">visibility_gap</x:t>
        </x:is>
      </x:c>
      <x:c r="H47" s="3" t="inlineStr">
        <x:is>
          <x:t xml:space="preserve">Visibility Gap</x:t>
        </x:is>
      </x:c>
      <x:c r="I47" s="3" t="inlineStr">
        <x:is>
          <x:t xml:space="preserve">Role_Mapping</x:t>
        </x:is>
      </x:c>
      <x:c r="J47" s="3" t="inlineStr">
        <x:is>
          <x:t xml:space="preserve">N</x:t>
        </x:is>
      </x:c>
      <x:c r="K47" s="3" t="inlineStr">
        <x:is>
          <x:t xml:space="preserve"/>
        </x:is>
      </x:c>
    </x:row>
    <x:row r="48">
      <x:c r="A48" s="3" t="inlineStr">
        <x:is>
          <x:t xml:space="preserve">Executive</x:t>
        </x:is>
      </x:c>
      <x:c r="B48" s="3" t="inlineStr">
        <x:is>
          <x:t xml:space="preserve">EXCO-D2-Q03</x:t>
        </x:is>
      </x:c>
      <x:c r="C48" s="3" t="inlineStr">
        <x:is>
          <x:t xml:space="preserve">EXCO-D2-Q03-A2</x:t>
        </x:is>
      </x:c>
      <x:c r="D48" s="3" t="n">
        <x:v>3</x:v>
      </x:c>
      <x:c r="E48" s="3" t="inlineStr">
        <x:is>
          <x:t xml:space="preserve">Managers know informally who the ‘key holders’ are, but there is no report or review.</x:t>
        </x:is>
      </x:c>
      <x:c r="F48" s="3" t="n">
        <x:v>1</x:v>
      </x:c>
      <x:c r="G48" s="3" t="inlineStr">
        <x:is>
          <x:t xml:space="preserve">tribal_knowledge,shadow_signal</x:t>
        </x:is>
      </x:c>
      <x:c r="H48" s="3" t="inlineStr">
        <x:is>
          <x:t xml:space="preserve">Shadow Mature</x:t>
        </x:is>
      </x:c>
      <x:c r="I48" s="3" t="inlineStr">
        <x:is>
          <x:t xml:space="preserve">Formalize_Access_Reviews</x:t>
        </x:is>
      </x:c>
      <x:c r="J48" s="3" t="inlineStr">
        <x:is>
          <x:t xml:space="preserve">N</x:t>
        </x:is>
      </x:c>
      <x:c r="K48" s="3" t="inlineStr">
        <x:is>
          <x:t xml:space="preserve"/>
        </x:is>
      </x:c>
    </x:row>
    <x:row r="49">
      <x:c r="A49" s="3" t="inlineStr">
        <x:is>
          <x:t xml:space="preserve">Executive</x:t>
        </x:is>
      </x:c>
      <x:c r="B49" s="3" t="inlineStr">
        <x:is>
          <x:t xml:space="preserve">EXCO-D2-Q03</x:t>
        </x:is>
      </x:c>
      <x:c r="C49" s="3" t="inlineStr">
        <x:is>
          <x:t xml:space="preserve">EXCO-D2-Q03-A3</x:t>
        </x:is>
      </x:c>
      <x:c r="D49" s="3" t="n">
        <x:v>4</x:v>
      </x:c>
      <x:c r="E49" s="3" t="inlineStr">
        <x:is>
          <x:t xml:space="preserve">We can identify privileged roles in IT, but not high-access roles in the business.</x:t>
        </x:is>
      </x:c>
      <x:c r="F49" s="3" t="n">
        <x:v>2</x:v>
      </x:c>
      <x:c r="G49" s="3" t="inlineStr">
        <x:is>
          <x:t xml:space="preserve">partial_visibility</x:t>
        </x:is>
      </x:c>
      <x:c r="H49" s="3" t="inlineStr">
        <x:is>
          <x:t xml:space="preserve">Visibility Gap</x:t>
        </x:is>
      </x:c>
      <x:c r="I49" s="3" t="inlineStr">
        <x:is>
          <x:t xml:space="preserve">Expand_Role_Mapping</x:t>
        </x:is>
      </x:c>
      <x:c r="J49" s="3" t="inlineStr">
        <x:is>
          <x:t xml:space="preserve">N</x:t>
        </x:is>
      </x:c>
      <x:c r="K49" s="3" t="inlineStr">
        <x:is>
          <x:t xml:space="preserve"/>
        </x:is>
      </x:c>
    </x:row>
    <x:row r="50">
      <x:c r="A50" s="3" t="inlineStr">
        <x:is>
          <x:t xml:space="preserve">Executive</x:t>
        </x:is>
      </x:c>
      <x:c r="B50" s="3" t="inlineStr">
        <x:is>
          <x:t xml:space="preserve">EXCO-D2-Q03</x:t>
        </x:is>
      </x:c>
      <x:c r="C50" s="3" t="inlineStr">
        <x:is>
          <x:t xml:space="preserve">EXCO-D2-Q03-A4</x:t>
        </x:is>
      </x:c>
      <x:c r="D50" s="3" t="n">
        <x:v>5</x:v>
      </x:c>
      <x:c r="E50" s="3" t="inlineStr">
        <x:is>
          <x:t xml:space="preserve">We regularly review high-access roles across IT and business functions.</x:t>
        </x:is>
      </x:c>
      <x:c r="F50" s="3" t="n">
        <x:v>3</x:v>
      </x:c>
      <x:c r="G50" s="3" t="inlineStr">
        <x:is>
          <x:t xml:space="preserve">good_practice</x:t>
        </x:is>
      </x:c>
      <x:c r="H50" s="3" t="inlineStr">
        <x:is>
          <x:t xml:space="preserve"/>
        </x:is>
      </x:c>
      <x:c r="I50" s="3" t="inlineStr">
        <x:is>
          <x:t xml:space="preserve">Request_Evidence</x:t>
        </x:is>
      </x:c>
      <x:c r="J50" s="3" t="inlineStr">
        <x:is>
          <x:t xml:space="preserve">Y</x:t>
        </x:is>
      </x:c>
      <x:c r="K50" s="3" t="inlineStr">
        <x:is>
          <x:t xml:space="preserve">Provide latest high-access roles review output.</x:t>
        </x:is>
      </x:c>
    </x:row>
    <x:row r="51">
      <x:c r="A51" s="3" t="inlineStr">
        <x:is>
          <x:t xml:space="preserve">Executive</x:t>
        </x:is>
      </x:c>
      <x:c r="B51" s="3" t="inlineStr">
        <x:is>
          <x:t xml:space="preserve">EXCO-D2-Q03</x:t>
        </x:is>
      </x:c>
      <x:c r="C51" s="3" t="inlineStr">
        <x:is>
          <x:t xml:space="preserve">EXCO-D2-Q03-A5</x:t>
        </x:is>
      </x:c>
      <x:c r="D51" s="3" t="n">
        <x:v>6</x:v>
      </x:c>
      <x:c r="E51" s="3" t="inlineStr">
        <x:is>
          <x:t xml:space="preserve">High-access roles are continuously monitored with defined thresholds and exceptions tracked.</x:t>
        </x:is>
      </x:c>
      <x:c r="F51" s="3" t="n">
        <x:v>4</x:v>
      </x:c>
      <x:c r="G51" s="3" t="inlineStr">
        <x:is>
          <x:t xml:space="preserve">optimized</x:t>
        </x:is>
      </x:c>
      <x:c r="H51" s="3" t="inlineStr">
        <x:is>
          <x:t xml:space="preserve"/>
        </x:is>
      </x:c>
      <x:c r="I51" s="3" t="inlineStr">
        <x:is>
          <x:t xml:space="preserve">Request_Evidence</x:t>
        </x:is>
      </x:c>
      <x:c r="J51" s="3" t="inlineStr">
        <x:is>
          <x:t xml:space="preserve">Y</x:t>
        </x:is>
      </x:c>
      <x:c r="K51" s="3" t="inlineStr">
        <x:is>
          <x:t xml:space="preserve"/>
        </x:is>
      </x:c>
    </x:row>
    <x:row r="52">
      <x:c r="A52" s="3" t="inlineStr">
        <x:is>
          <x:t xml:space="preserve">Executive</x:t>
        </x:is>
      </x:c>
      <x:c r="B52" s="3" t="inlineStr">
        <x:is>
          <x:t xml:space="preserve">EXCO-D2-Q04</x:t>
        </x:is>
      </x:c>
      <x:c r="C52" s="3" t="inlineStr">
        <x:is>
          <x:t xml:space="preserve">EXCO-D2-Q04-A0</x:t>
        </x:is>
      </x:c>
      <x:c r="D52" s="3" t="n">
        <x:v>1</x:v>
      </x:c>
      <x:c r="E52" s="3" t="inlineStr">
        <x:is>
          <x:t xml:space="preserve">I don’t know / not sure.</x:t>
        </x:is>
      </x:c>
      <x:c r="F52" s="3" t="n">
        <x:v>0</x:v>
      </x:c>
      <x:c r="G52" s="3" t="inlineStr">
        <x:is>
          <x:t xml:space="preserve">unknown</x:t>
        </x:is>
      </x:c>
      <x:c r="H52" s="3" t="inlineStr">
        <x:is>
          <x:t xml:space="preserve">Unknown</x:t>
        </x:is>
      </x:c>
      <x:c r="I52" s="3" t="inlineStr">
        <x:is>
          <x:t xml:space="preserve">Create_Scenarios</x:t>
        </x:is>
      </x:c>
      <x:c r="J52" s="3" t="inlineStr">
        <x:is>
          <x:t xml:space="preserve">N</x:t>
        </x:is>
      </x:c>
      <x:c r="K52" s="3" t="inlineStr">
        <x:is>
          <x:t xml:space="preserve"/>
        </x:is>
      </x:c>
    </x:row>
    <x:row r="53">
      <x:c r="A53" s="3" t="inlineStr">
        <x:is>
          <x:t xml:space="preserve">Executive</x:t>
        </x:is>
      </x:c>
      <x:c r="B53" s="3" t="inlineStr">
        <x:is>
          <x:t xml:space="preserve">EXCO-D2-Q04</x:t>
        </x:is>
      </x:c>
      <x:c r="C53" s="3" t="inlineStr">
        <x:is>
          <x:t xml:space="preserve">EXCO-D2-Q04-A1</x:t>
        </x:is>
      </x:c>
      <x:c r="D53" s="3" t="n">
        <x:v>2</x:v>
      </x:c>
      <x:c r="E53" s="3" t="inlineStr">
        <x:is>
          <x:t xml:space="preserve">No—we don’t have scenario thinking for insider events.</x:t>
        </x:is>
      </x:c>
      <x:c r="F53" s="3" t="n">
        <x:v>0</x:v>
      </x:c>
      <x:c r="G53" s="3" t="inlineStr">
        <x:is>
          <x:t xml:space="preserve">foundational_gap</x:t>
        </x:is>
      </x:c>
      <x:c r="H53" s="3" t="inlineStr">
        <x:is>
          <x:t xml:space="preserve">Resilience Gap</x:t>
        </x:is>
      </x:c>
      <x:c r="I53" s="3" t="inlineStr">
        <x:is>
          <x:t xml:space="preserve">Create_Scenarios</x:t>
        </x:is>
      </x:c>
      <x:c r="J53" s="3" t="inlineStr">
        <x:is>
          <x:t xml:space="preserve">N</x:t>
        </x:is>
      </x:c>
      <x:c r="K53" s="3" t="inlineStr">
        <x:is>
          <x:t xml:space="preserve"/>
        </x:is>
      </x:c>
    </x:row>
    <x:row r="54">
      <x:c r="A54" s="3" t="inlineStr">
        <x:is>
          <x:t xml:space="preserve">Executive</x:t>
        </x:is>
      </x:c>
      <x:c r="B54" s="3" t="inlineStr">
        <x:is>
          <x:t xml:space="preserve">EXCO-D2-Q04</x:t>
        </x:is>
      </x:c>
      <x:c r="C54" s="3" t="inlineStr">
        <x:is>
          <x:t xml:space="preserve">EXCO-D2-Q04-A2</x:t>
        </x:is>
      </x:c>
      <x:c r="D54" s="3" t="n">
        <x:v>3</x:v>
      </x:c>
      <x:c r="E54" s="3" t="inlineStr">
        <x:is>
          <x:t xml:space="preserve">People discuss ‘what-if’ risks informally, but nothing is documented or tested.</x:t>
        </x:is>
      </x:c>
      <x:c r="F54" s="3" t="n">
        <x:v>1</x:v>
      </x:c>
      <x:c r="G54" s="3" t="inlineStr">
        <x:is>
          <x:t xml:space="preserve">shadow_signal</x:t>
        </x:is>
      </x:c>
      <x:c r="H54" s="3" t="inlineStr">
        <x:is>
          <x:t xml:space="preserve">Shadow Mature</x:t>
        </x:is>
      </x:c>
      <x:c r="I54" s="3" t="inlineStr">
        <x:is>
          <x:t xml:space="preserve">Document_Scenarios</x:t>
        </x:is>
      </x:c>
      <x:c r="J54" s="3" t="inlineStr">
        <x:is>
          <x:t xml:space="preserve">N</x:t>
        </x:is>
      </x:c>
      <x:c r="K54" s="3" t="inlineStr">
        <x:is>
          <x:t xml:space="preserve"/>
        </x:is>
      </x:c>
    </x:row>
    <x:row r="55">
      <x:c r="A55" s="3" t="inlineStr">
        <x:is>
          <x:t xml:space="preserve">Executive</x:t>
        </x:is>
      </x:c>
      <x:c r="B55" s="3" t="inlineStr">
        <x:is>
          <x:t xml:space="preserve">EXCO-D2-Q04</x:t>
        </x:is>
      </x:c>
      <x:c r="C55" s="3" t="inlineStr">
        <x:is>
          <x:t xml:space="preserve">EXCO-D2-Q04-A3</x:t>
        </x:is>
      </x:c>
      <x:c r="D55" s="3" t="n">
        <x:v>4</x:v>
      </x:c>
      <x:c r="E55" s="3" t="inlineStr">
        <x:is>
          <x:t xml:space="preserve">We have a documented scenario list, but it hasn’t influenced controls or been exercised.</x:t>
        </x:is>
      </x:c>
      <x:c r="F55" s="3" t="n">
        <x:v>2</x:v>
      </x:c>
      <x:c r="G55" s="3" t="inlineStr">
        <x:is>
          <x:t xml:space="preserve">paper_dragon_signal</x:t>
        </x:is>
      </x:c>
      <x:c r="H55" s="3" t="inlineStr">
        <x:is>
          <x:t xml:space="preserve">Paper Dragon</x:t>
        </x:is>
      </x:c>
      <x:c r="I55" s="3" t="inlineStr">
        <x:is>
          <x:t xml:space="preserve">Exercise_Scenarios</x:t>
        </x:is>
      </x:c>
      <x:c r="J55" s="3" t="inlineStr">
        <x:is>
          <x:t xml:space="preserve">N</x:t>
        </x:is>
      </x:c>
      <x:c r="K55" s="3" t="inlineStr">
        <x:is>
          <x:t xml:space="preserve"/>
        </x:is>
      </x:c>
    </x:row>
    <x:row r="56">
      <x:c r="A56" s="3" t="inlineStr">
        <x:is>
          <x:t xml:space="preserve">Executive</x:t>
        </x:is>
      </x:c>
      <x:c r="B56" s="3" t="inlineStr">
        <x:is>
          <x:t xml:space="preserve">EXCO-D2-Q04</x:t>
        </x:is>
      </x:c>
      <x:c r="C56" s="3" t="inlineStr">
        <x:is>
          <x:t xml:space="preserve">EXCO-D2-Q04-A4</x:t>
        </x:is>
      </x:c>
      <x:c r="D56" s="3" t="n">
        <x:v>5</x:v>
      </x:c>
      <x:c r="E56" s="3" t="inlineStr">
        <x:is>
          <x:t xml:space="preserve">We have scenarios and we test at least one per year (tabletop or technical test).</x:t>
        </x:is>
      </x:c>
      <x:c r="F56" s="3" t="n">
        <x:v>3</x:v>
      </x:c>
      <x:c r="G56" s="3" t="inlineStr">
        <x:is>
          <x:t xml:space="preserve">good_practice</x:t>
        </x:is>
      </x:c>
      <x:c r="H56" s="3" t="inlineStr">
        <x:is>
          <x:t xml:space="preserve"/>
        </x:is>
      </x:c>
      <x:c r="I56" s="3" t="inlineStr">
        <x:is>
          <x:t xml:space="preserve">Request_Evidence</x:t>
        </x:is>
      </x:c>
      <x:c r="J56" s="3" t="inlineStr">
        <x:is>
          <x:t xml:space="preserve">Y</x:t>
        </x:is>
      </x:c>
      <x:c r="K56" s="3" t="inlineStr">
        <x:is>
          <x:t xml:space="preserve">Provide scenario list + last exercise summary.</x:t>
        </x:is>
      </x:c>
    </x:row>
    <x:row r="57">
      <x:c r="A57" s="3" t="inlineStr">
        <x:is>
          <x:t xml:space="preserve">Executive</x:t>
        </x:is>
      </x:c>
      <x:c r="B57" s="3" t="inlineStr">
        <x:is>
          <x:t xml:space="preserve">EXCO-D2-Q04</x:t>
        </x:is>
      </x:c>
      <x:c r="C57" s="3" t="inlineStr">
        <x:is>
          <x:t xml:space="preserve">EXCO-D2-Q04-A5</x:t>
        </x:is>
      </x:c>
      <x:c r="D57" s="3" t="n">
        <x:v>6</x:v>
      </x:c>
      <x:c r="E57" s="3" t="inlineStr">
        <x:is>
          <x:t xml:space="preserve">Scenarios drive control improvements and detection engineering; tests are scheduled and lessons tracked.</x:t>
        </x:is>
      </x:c>
      <x:c r="F57" s="3" t="n">
        <x:v>4</x:v>
      </x:c>
      <x:c r="G57" s="3" t="inlineStr">
        <x:is>
          <x:t xml:space="preserve">optimized</x:t>
        </x:is>
      </x:c>
      <x:c r="H57" s="3" t="inlineStr">
        <x:is>
          <x:t xml:space="preserve"/>
        </x:is>
      </x:c>
      <x:c r="I57" s="3" t="inlineStr">
        <x:is>
          <x:t xml:space="preserve">Request_Evidence</x:t>
        </x:is>
      </x:c>
      <x:c r="J57" s="3" t="inlineStr">
        <x:is>
          <x:t xml:space="preserve">Y</x:t>
        </x:is>
      </x:c>
      <x:c r="K57" s="3" t="inlineStr">
        <x:is>
          <x:t xml:space="preserve"/>
        </x:is>
      </x:c>
    </x:row>
    <x:row r="58">
      <x:c r="A58" s="3" t="inlineStr">
        <x:is>
          <x:t xml:space="preserve">Executive</x:t>
        </x:is>
      </x:c>
      <x:c r="B58" s="3" t="inlineStr">
        <x:is>
          <x:t xml:space="preserve">EXCO-D2-Q05</x:t>
        </x:is>
      </x:c>
      <x:c r="C58" s="3" t="inlineStr">
        <x:is>
          <x:t xml:space="preserve">EXCO-D2-Q05-A1</x:t>
        </x:is>
      </x:c>
      <x:c r="D58" s="3" t="n">
        <x:v>1</x:v>
      </x:c>
      <x:c r="E58" s="3" t="inlineStr">
        <x:is>
          <x:t xml:space="preserve">No—there is no shared view; it would be decided during the incident.</x:t>
        </x:is>
      </x:c>
      <x:c r="F58" s="3" t="n">
        <x:v>0</x:v>
      </x:c>
      <x:c r="G58" s="3" t="inlineStr">
        <x:is>
          <x:t xml:space="preserve">misalignment_signal</x:t>
        </x:is>
      </x:c>
      <x:c r="H58" s="3" t="inlineStr">
        <x:is>
          <x:t xml:space="preserve">Operating Model Gap</x:t>
        </x:is>
      </x:c>
      <x:c r="I58" s="3" t="inlineStr">
        <x:is>
          <x:t xml:space="preserve">Align_On_Scenarios</x:t>
        </x:is>
      </x:c>
      <x:c r="J58" s="3" t="inlineStr">
        <x:is>
          <x:t xml:space="preserve">N</x:t>
        </x:is>
      </x:c>
      <x:c r="K58" s="3" t="inlineStr">
        <x:is>
          <x:t xml:space="preserve"/>
        </x:is>
      </x:c>
    </x:row>
    <x:row r="59">
      <x:c r="A59" s="3" t="inlineStr">
        <x:is>
          <x:t xml:space="preserve">Executive</x:t>
        </x:is>
      </x:c>
      <x:c r="B59" s="3" t="inlineStr">
        <x:is>
          <x:t xml:space="preserve">EXCO-D2-Q05</x:t>
        </x:is>
      </x:c>
      <x:c r="C59" s="3" t="inlineStr">
        <x:is>
          <x:t xml:space="preserve">EXCO-D2-Q05-A2</x:t>
        </x:is>
      </x:c>
      <x:c r="D59" s="3" t="n">
        <x:v>2</x:v>
      </x:c>
      <x:c r="E59" s="3" t="inlineStr">
        <x:is>
          <x:t xml:space="preserve">Some leaders have a view, but it’s not shared or consistent across the business.</x:t>
        </x:is>
      </x:c>
      <x:c r="F59" s="3" t="n">
        <x:v>1</x:v>
      </x:c>
      <x:c r="G59" s="3" t="inlineStr">
        <x:is>
          <x:t xml:space="preserve">misalignment_signal</x:t>
        </x:is>
      </x:c>
      <x:c r="H59" s="3" t="inlineStr">
        <x:is>
          <x:t xml:space="preserve">Operating Model Gap</x:t>
        </x:is>
      </x:c>
      <x:c r="I59" s="3" t="inlineStr">
        <x:is>
          <x:t xml:space="preserve">Align_On_Scenarios</x:t>
        </x:is>
      </x:c>
      <x:c r="J59" s="3" t="inlineStr">
        <x:is>
          <x:t xml:space="preserve">N</x:t>
        </x:is>
      </x:c>
      <x:c r="K59" s="3" t="inlineStr">
        <x:is>
          <x:t xml:space="preserve"/>
        </x:is>
      </x:c>
    </x:row>
    <x:row r="60">
      <x:c r="A60" s="3" t="inlineStr">
        <x:is>
          <x:t xml:space="preserve">Executive</x:t>
        </x:is>
      </x:c>
      <x:c r="B60" s="3" t="inlineStr">
        <x:is>
          <x:t xml:space="preserve">EXCO-D2-Q05</x:t>
        </x:is>
      </x:c>
      <x:c r="C60" s="3" t="inlineStr">
        <x:is>
          <x:t xml:space="preserve">EXCO-D2-Q05-A3</x:t>
        </x:is>
      </x:c>
      <x:c r="D60" s="3" t="n">
        <x:v>3</x:v>
      </x:c>
      <x:c r="E60" s="3" t="inlineStr">
        <x:is>
          <x:t xml:space="preserve">Yes—there is broad alignment, but we haven’t translated it into playbooks or tests.</x:t>
        </x:is>
      </x:c>
      <x:c r="F60" s="3" t="n">
        <x:v>2</x:v>
      </x:c>
      <x:c r="G60" s="3" t="inlineStr">
        <x:is>
          <x:t xml:space="preserve">shadow_signal</x:t>
        </x:is>
      </x:c>
      <x:c r="H60" s="3" t="inlineStr">
        <x:is>
          <x:t xml:space="preserve">Shadow Mature</x:t>
        </x:is>
      </x:c>
      <x:c r="I60" s="3" t="inlineStr">
        <x:is>
          <x:t xml:space="preserve">Convert_To_Playbooks</x:t>
        </x:is>
      </x:c>
      <x:c r="J60" s="3" t="inlineStr">
        <x:is>
          <x:t xml:space="preserve">N</x:t>
        </x:is>
      </x:c>
      <x:c r="K60" s="3" t="inlineStr">
        <x:is>
          <x:t xml:space="preserve"/>
        </x:is>
      </x:c>
    </x:row>
    <x:row r="61">
      <x:c r="A61" s="3" t="inlineStr">
        <x:is>
          <x:t xml:space="preserve">Executive</x:t>
        </x:is>
      </x:c>
      <x:c r="B61" s="3" t="inlineStr">
        <x:is>
          <x:t xml:space="preserve">EXCO-D2-Q06</x:t>
        </x:is>
      </x:c>
      <x:c r="C61" s="3" t="inlineStr">
        <x:is>
          <x:t xml:space="preserve">EXCO-D2-Q06-A0</x:t>
        </x:is>
      </x:c>
      <x:c r="D61" s="3" t="n">
        <x:v>1</x:v>
      </x:c>
      <x:c r="E61" s="3" t="inlineStr">
        <x:is>
          <x:t xml:space="preserve">I don’t know / not sure.</x:t>
        </x:is>
      </x:c>
      <x:c r="F61" s="3" t="n">
        <x:v>0</x:v>
      </x:c>
      <x:c r="G61" s="3" t="inlineStr">
        <x:is>
          <x:t xml:space="preserve">unknown</x:t>
        </x:is>
      </x:c>
      <x:c r="H61" s="3" t="inlineStr">
        <x:is>
          <x:t xml:space="preserve">Unknown</x:t>
        </x:is>
      </x:c>
      <x:c r="I61" s="3" t="inlineStr">
        <x:is>
          <x:t xml:space="preserve">Assess_Control_Lag</x:t>
        </x:is>
      </x:c>
      <x:c r="J61" s="3" t="inlineStr">
        <x:is>
          <x:t xml:space="preserve">N</x:t>
        </x:is>
      </x:c>
      <x:c r="K61" s="3" t="inlineStr">
        <x:is>
          <x:t xml:space="preserve"/>
        </x:is>
      </x:c>
    </x:row>
    <x:row r="62">
      <x:c r="A62" s="3" t="inlineStr">
        <x:is>
          <x:t xml:space="preserve">Executive</x:t>
        </x:is>
      </x:c>
      <x:c r="B62" s="3" t="inlineStr">
        <x:is>
          <x:t xml:space="preserve">EXCO-D2-Q06</x:t>
        </x:is>
      </x:c>
      <x:c r="C62" s="3" t="inlineStr">
        <x:is>
          <x:t xml:space="preserve">EXCO-D2-Q06-A1</x:t>
        </x:is>
      </x:c>
      <x:c r="D62" s="3" t="n">
        <x:v>2</x:v>
      </x:c>
      <x:c r="E62" s="3" t="inlineStr">
        <x:is>
          <x:t xml:space="preserve">We don’t adjust; we treat change events the same as normal operations.</x:t>
        </x:is>
      </x:c>
      <x:c r="F62" s="3" t="n">
        <x:v>0</x:v>
      </x:c>
      <x:c r="G62" s="3" t="inlineStr">
        <x:is>
          <x:t xml:space="preserve">control_lag_high</x:t>
        </x:is>
      </x:c>
      <x:c r="H62" s="3" t="inlineStr">
        <x:is>
          <x:t xml:space="preserve">Control Lag</x:t>
        </x:is>
      </x:c>
      <x:c r="I62" s="3" t="inlineStr">
        <x:is>
          <x:t xml:space="preserve">ControlLag_Sprint</x:t>
        </x:is>
      </x:c>
      <x:c r="J62" s="3" t="inlineStr">
        <x:is>
          <x:t xml:space="preserve">N</x:t>
        </x:is>
      </x:c>
      <x:c r="K62" s="3" t="inlineStr">
        <x:is>
          <x:t xml:space="preserve"/>
        </x:is>
      </x:c>
    </x:row>
    <x:row r="63">
      <x:c r="A63" s="3" t="inlineStr">
        <x:is>
          <x:t xml:space="preserve">Executive</x:t>
        </x:is>
      </x:c>
      <x:c r="B63" s="3" t="inlineStr">
        <x:is>
          <x:t xml:space="preserve">EXCO-D2-Q06</x:t>
        </x:is>
      </x:c>
      <x:c r="C63" s="3" t="inlineStr">
        <x:is>
          <x:t xml:space="preserve">EXCO-D2-Q06-A2</x:t>
        </x:is>
      </x:c>
      <x:c r="D63" s="3" t="n">
        <x:v>3</x:v>
      </x:c>
      <x:c r="E63" s="3" t="inlineStr">
        <x:is>
          <x:t xml:space="preserve">Adjustments are manual and slow (weeks+), and depend on individuals noticing issues.</x:t>
        </x:is>
      </x:c>
      <x:c r="F63" s="3" t="n">
        <x:v>1</x:v>
      </x:c>
      <x:c r="G63" s="3" t="inlineStr">
        <x:is>
          <x:t xml:space="preserve">control_lag_high,key_person_dependency</x:t>
        </x:is>
      </x:c>
      <x:c r="H63" s="3" t="inlineStr">
        <x:is>
          <x:t xml:space="preserve">Control Lag</x:t>
        </x:is>
      </x:c>
      <x:c r="I63" s="3" t="inlineStr">
        <x:is>
          <x:t xml:space="preserve">ControlLag_Sprint</x:t>
        </x:is>
      </x:c>
      <x:c r="J63" s="3" t="inlineStr">
        <x:is>
          <x:t xml:space="preserve">N</x:t>
        </x:is>
      </x:c>
      <x:c r="K63" s="3" t="inlineStr">
        <x:is>
          <x:t xml:space="preserve"/>
        </x:is>
      </x:c>
    </x:row>
    <x:row r="64">
      <x:c r="A64" s="3" t="inlineStr">
        <x:is>
          <x:t xml:space="preserve">Executive</x:t>
        </x:is>
      </x:c>
      <x:c r="B64" s="3" t="inlineStr">
        <x:is>
          <x:t xml:space="preserve">EXCO-D2-Q06</x:t>
        </x:is>
      </x:c>
      <x:c r="C64" s="3" t="inlineStr">
        <x:is>
          <x:t xml:space="preserve">EXCO-D2-Q06-A3</x:t>
        </x:is>
      </x:c>
      <x:c r="D64" s="3" t="n">
        <x:v>4</x:v>
      </x:c>
      <x:c r="E64" s="3" t="inlineStr">
        <x:is>
          <x:t xml:space="preserve">We have a defined approach, but it is not consistently applied or measured.</x:t>
        </x:is>
      </x:c>
      <x:c r="F64" s="3" t="n">
        <x:v>2</x:v>
      </x:c>
      <x:c r="G64" s="3" t="inlineStr">
        <x:is>
          <x:t xml:space="preserve">paper_process</x:t>
        </x:is>
      </x:c>
      <x:c r="H64" s="3" t="inlineStr">
        <x:is>
          <x:t xml:space="preserve">Paper Dragon</x:t>
        </x:is>
      </x:c>
      <x:c r="I64" s="3" t="inlineStr">
        <x:is>
          <x:t xml:space="preserve">Measure_Control_Lag</x:t>
        </x:is>
      </x:c>
      <x:c r="J64" s="3" t="inlineStr">
        <x:is>
          <x:t xml:space="preserve">N</x:t>
        </x:is>
      </x:c>
      <x:c r="K64" s="3" t="inlineStr">
        <x:is>
          <x:t xml:space="preserve"/>
        </x:is>
      </x:c>
    </x:row>
    <x:row r="65">
      <x:c r="A65" s="3" t="inlineStr">
        <x:is>
          <x:t xml:space="preserve">Executive</x:t>
        </x:is>
      </x:c>
      <x:c r="B65" s="3" t="inlineStr">
        <x:is>
          <x:t xml:space="preserve">EXCO-D2-Q06</x:t>
        </x:is>
      </x:c>
      <x:c r="C65" s="3" t="inlineStr">
        <x:is>
          <x:t xml:space="preserve">EXCO-D2-Q06-A4</x:t>
        </x:is>
      </x:c>
      <x:c r="D65" s="3" t="n">
        <x:v>5</x:v>
      </x:c>
      <x:c r="E65" s="3" t="inlineStr">
        <x:is>
          <x:t xml:space="preserve">We adjust within days with clear triggers (e.g., leavers, role changes, sensitive projects).</x:t>
        </x:is>
      </x:c>
      <x:c r="F65" s="3" t="n">
        <x:v>3</x:v>
      </x:c>
      <x:c r="G65" s="3" t="inlineStr">
        <x:is>
          <x:t xml:space="preserve">good_practice</x:t>
        </x:is>
      </x:c>
      <x:c r="H65" s="3" t="inlineStr">
        <x:is>
          <x:t xml:space="preserve"/>
        </x:is>
      </x:c>
      <x:c r="I65" s="3" t="inlineStr">
        <x:is>
          <x:t xml:space="preserve">Request_Evidence</x:t>
        </x:is>
      </x:c>
      <x:c r="J65" s="3" t="inlineStr">
        <x:is>
          <x:t xml:space="preserve">Y</x:t>
        </x:is>
      </x:c>
      <x:c r="K65" s="3" t="inlineStr">
        <x:is>
          <x:t xml:space="preserve">Provide example of last change event and what changed.</x:t>
        </x:is>
      </x:c>
    </x:row>
    <x:row r="66">
      <x:c r="A66" s="3" t="inlineStr">
        <x:is>
          <x:t xml:space="preserve">Executive</x:t>
        </x:is>
      </x:c>
      <x:c r="B66" s="3" t="inlineStr">
        <x:is>
          <x:t xml:space="preserve">EXCO-D2-Q06</x:t>
        </x:is>
      </x:c>
      <x:c r="C66" s="3" t="inlineStr">
        <x:is>
          <x:t xml:space="preserve">EXCO-D2-Q06-A5</x:t>
        </x:is>
      </x:c>
      <x:c r="D66" s="3" t="n">
        <x:v>6</x:v>
      </x:c>
      <x:c r="E66" s="3" t="inlineStr">
        <x:is>
          <x:t xml:space="preserve">We have automated or semi-automated playbooks and measure control lag; improvements are tracked.</x:t>
        </x:is>
      </x:c>
      <x:c r="F66" s="3" t="n">
        <x:v>4</x:v>
      </x:c>
      <x:c r="G66" s="3" t="inlineStr">
        <x:is>
          <x:t xml:space="preserve">optimized</x:t>
        </x:is>
      </x:c>
      <x:c r="H66" s="3" t="inlineStr">
        <x:is>
          <x:t xml:space="preserve"/>
        </x:is>
      </x:c>
      <x:c r="I66" s="3" t="inlineStr">
        <x:is>
          <x:t xml:space="preserve">Request_Evidence</x:t>
        </x:is>
      </x:c>
      <x:c r="J66" s="3" t="inlineStr">
        <x:is>
          <x:t xml:space="preserve">Y</x:t>
        </x:is>
      </x:c>
      <x:c r="K66" s="3" t="inlineStr">
        <x:is>
          <x:t xml:space="preserve"/>
        </x:is>
      </x:c>
    </x:row>
    <x:row r="67">
      <x:c r="A67" s="3" t="inlineStr">
        <x:is>
          <x:t xml:space="preserve">Executive</x:t>
        </x:is>
      </x:c>
      <x:c r="B67" s="3" t="inlineStr">
        <x:is>
          <x:t xml:space="preserve">EXCO-D2-Q07</x:t>
        </x:is>
      </x:c>
      <x:c r="C67" s="3" t="inlineStr">
        <x:is>
          <x:t xml:space="preserve">EXCO-D2-Q07-A1</x:t>
        </x:is>
      </x:c>
      <x:c r="D67" s="3" t="n">
        <x:v>1</x:v>
      </x:c>
      <x:c r="E67" s="3" t="inlineStr">
        <x:is>
          <x:t xml:space="preserve">No—we didn’t change anything specific.</x:t>
        </x:is>
      </x:c>
      <x:c r="F67" s="3" t="n">
        <x:v>0</x:v>
      </x:c>
      <x:c r="G67" s="3" t="inlineStr">
        <x:is>
          <x:t xml:space="preserve">control_lag_high</x:t>
        </x:is>
      </x:c>
      <x:c r="H67" s="3" t="inlineStr">
        <x:is>
          <x:t xml:space="preserve">Control Lag</x:t>
        </x:is>
      </x:c>
      <x:c r="I67" s="3" t="inlineStr">
        <x:is>
          <x:t xml:space="preserve">ControlLag_Sprint</x:t>
        </x:is>
      </x:c>
      <x:c r="J67" s="3" t="inlineStr">
        <x:is>
          <x:t xml:space="preserve">N</x:t>
        </x:is>
      </x:c>
      <x:c r="K67" s="3" t="inlineStr">
        <x:is>
          <x:t xml:space="preserve"/>
        </x:is>
      </x:c>
    </x:row>
    <x:row r="68">
      <x:c r="A68" s="3" t="inlineStr">
        <x:is>
          <x:t xml:space="preserve">Executive</x:t>
        </x:is>
      </x:c>
      <x:c r="B68" s="3" t="inlineStr">
        <x:is>
          <x:t xml:space="preserve">EXCO-D2-Q07</x:t>
        </x:is>
      </x:c>
      <x:c r="C68" s="3" t="inlineStr">
        <x:is>
          <x:t xml:space="preserve">EXCO-D2-Q07-A2</x:t>
        </x:is>
      </x:c>
      <x:c r="D68" s="3" t="n">
        <x:v>2</x:v>
      </x:c>
      <x:c r="E68" s="3" t="inlineStr">
        <x:is>
          <x:t xml:space="preserve">We tried, but changes were late or inconsistent.</x:t>
        </x:is>
      </x:c>
      <x:c r="F68" s="3" t="n">
        <x:v>1</x:v>
      </x:c>
      <x:c r="G68" s="3" t="inlineStr">
        <x:is>
          <x:t xml:space="preserve">control_lag_high</x:t>
        </x:is>
      </x:c>
      <x:c r="H68" s="3" t="inlineStr">
        <x:is>
          <x:t xml:space="preserve">Control Lag</x:t>
        </x:is>
      </x:c>
      <x:c r="I68" s="3" t="inlineStr">
        <x:is>
          <x:t xml:space="preserve">ControlLag_Sprint</x:t>
        </x:is>
      </x:c>
      <x:c r="J68" s="3" t="inlineStr">
        <x:is>
          <x:t xml:space="preserve">N</x:t>
        </x:is>
      </x:c>
      <x:c r="K68" s="3" t="inlineStr">
        <x:is>
          <x:t xml:space="preserve"/>
        </x:is>
      </x:c>
    </x:row>
    <x:row r="69">
      <x:c r="A69" s="3" t="inlineStr">
        <x:is>
          <x:t xml:space="preserve">Executive</x:t>
        </x:is>
      </x:c>
      <x:c r="B69" s="3" t="inlineStr">
        <x:is>
          <x:t xml:space="preserve">EXCO-D2-Q07</x:t>
        </x:is>
      </x:c>
      <x:c r="C69" s="3" t="inlineStr">
        <x:is>
          <x:t xml:space="preserve">EXCO-D2-Q07-A3</x:t>
        </x:is>
      </x:c>
      <x:c r="D69" s="3" t="n">
        <x:v>3</x:v>
      </x:c>
      <x:c r="E69" s="3" t="inlineStr">
        <x:is>
          <x:t xml:space="preserve">Yes—we made some targeted changes, but we didn’t track timing or impact.</x:t>
        </x:is>
      </x:c>
      <x:c r="F69" s="3" t="n">
        <x:v>2</x:v>
      </x:c>
      <x:c r="G69" s="3" t="inlineStr">
        <x:is>
          <x:t xml:space="preserve">partial_maturity</x:t>
        </x:is>
      </x:c>
      <x:c r="H69" s="3" t="inlineStr">
        <x:is>
          <x:t xml:space="preserve"/>
        </x:is>
      </x:c>
      <x:c r="I69" s="3" t="inlineStr">
        <x:is>
          <x:t xml:space="preserve">Measure_Control_Lag</x:t>
        </x:is>
      </x:c>
      <x:c r="J69" s="3" t="inlineStr">
        <x:is>
          <x:t xml:space="preserve">N</x:t>
        </x:is>
      </x:c>
      <x:c r="K69" s="3" t="inlineStr">
        <x:is>
          <x:t xml:space="preserve"/>
        </x:is>
      </x:c>
    </x:row>
    <x:row r="70">
      <x:c r="A70" s="3" t="inlineStr">
        <x:is>
          <x:t xml:space="preserve">Executive</x:t>
        </x:is>
      </x:c>
      <x:c r="B70" s="3" t="inlineStr">
        <x:is>
          <x:t xml:space="preserve">EXCO-D2-Q07</x:t>
        </x:is>
      </x:c>
      <x:c r="C70" s="3" t="inlineStr">
        <x:is>
          <x:t xml:space="preserve">EXCO-D2-Q07-A4</x:t>
        </x:is>
      </x:c>
      <x:c r="D70" s="3" t="n">
        <x:v>4</x:v>
      </x:c>
      <x:c r="E70" s="3" t="inlineStr">
        <x:is>
          <x:t xml:space="preserve">Yes—we can show what changed and when (e.g., within X days) and who approved it.</x:t>
        </x:is>
      </x:c>
      <x:c r="F70" s="3" t="n">
        <x:v>3</x:v>
      </x:c>
      <x:c r="G70" s="3" t="inlineStr">
        <x:is>
          <x:t xml:space="preserve">good_practice</x:t>
        </x:is>
      </x:c>
      <x:c r="H70" s="3" t="inlineStr">
        <x:is>
          <x:t xml:space="preserve"/>
        </x:is>
      </x:c>
      <x:c r="I70" s="3" t="inlineStr">
        <x:is>
          <x:t xml:space="preserve">Request_Evidence</x:t>
        </x:is>
      </x:c>
      <x:c r="J70" s="3" t="inlineStr">
        <x:is>
          <x:t xml:space="preserve">Y</x:t>
        </x:is>
      </x:c>
      <x:c r="K70" s="3" t="inlineStr">
        <x:is>
          <x:t xml:space="preserve">Provide example change log or approvals.</x:t>
        </x:is>
      </x:c>
    </x:row>
    <x:row r="71">
      <x:c r="A71" s="3" t="inlineStr">
        <x:is>
          <x:t xml:space="preserve">Executive</x:t>
        </x:is>
      </x:c>
      <x:c r="B71" s="3" t="inlineStr">
        <x:is>
          <x:t xml:space="preserve">EXCO-D2-Q08</x:t>
        </x:is>
      </x:c>
      <x:c r="C71" s="3" t="inlineStr">
        <x:is>
          <x:t xml:space="preserve">EXCO-D2-Q08-A0</x:t>
        </x:is>
      </x:c>
      <x:c r="D71" s="3" t="n">
        <x:v>1</x:v>
      </x:c>
      <x:c r="E71" s="3" t="inlineStr">
        <x:is>
          <x:t xml:space="preserve">I don’t know / not sure.</x:t>
        </x:is>
      </x:c>
      <x:c r="F71" s="3" t="n">
        <x:v>0</x:v>
      </x:c>
      <x:c r="G71" s="3" t="inlineStr">
        <x:is>
          <x:t xml:space="preserve">unknown</x:t>
        </x:is>
      </x:c>
      <x:c r="H71" s="3" t="inlineStr">
        <x:is>
          <x:t xml:space="preserve">Unknown</x:t>
        </x:is>
      </x:c>
      <x:c r="I71" s="3" t="inlineStr">
        <x:is>
          <x:t xml:space="preserve">Assess_ThirdParty</x:t>
        </x:is>
      </x:c>
      <x:c r="J71" s="3" t="inlineStr">
        <x:is>
          <x:t xml:space="preserve">N</x:t>
        </x:is>
      </x:c>
      <x:c r="K71" s="3" t="inlineStr">
        <x:is>
          <x:t xml:space="preserve"/>
        </x:is>
      </x:c>
    </x:row>
    <x:row r="72">
      <x:c r="A72" s="3" t="inlineStr">
        <x:is>
          <x:t xml:space="preserve">Executive</x:t>
        </x:is>
      </x:c>
      <x:c r="B72" s="3" t="inlineStr">
        <x:is>
          <x:t xml:space="preserve">EXCO-D2-Q08</x:t>
        </x:is>
      </x:c>
      <x:c r="C72" s="3" t="inlineStr">
        <x:is>
          <x:t xml:space="preserve">EXCO-D2-Q08-A1</x:t>
        </x:is>
      </x:c>
      <x:c r="D72" s="3" t="n">
        <x:v>2</x:v>
      </x:c>
      <x:c r="E72" s="3" t="inlineStr">
        <x:is>
          <x:t xml:space="preserve">No—third parties are treated differently; controls focus on employees only.</x:t>
        </x:is>
      </x:c>
      <x:c r="F72" s="3" t="n">
        <x:v>0</x:v>
      </x:c>
      <x:c r="G72" s="3" t="inlineStr">
        <x:is>
          <x:t xml:space="preserve">third_party_gap</x:t>
        </x:is>
      </x:c>
      <x:c r="H72" s="3" t="inlineStr">
        <x:is>
          <x:t xml:space="preserve">Visibility Gap</x:t>
        </x:is>
      </x:c>
      <x:c r="I72" s="3" t="inlineStr">
        <x:is>
          <x:t xml:space="preserve">Extend_To_ThirdParty</x:t>
        </x:is>
      </x:c>
      <x:c r="J72" s="3" t="inlineStr">
        <x:is>
          <x:t xml:space="preserve">N</x:t>
        </x:is>
      </x:c>
      <x:c r="K72" s="3" t="inlineStr">
        <x:is>
          <x:t xml:space="preserve"/>
        </x:is>
      </x:c>
    </x:row>
    <x:row r="73">
      <x:c r="A73" s="3" t="inlineStr">
        <x:is>
          <x:t xml:space="preserve">Executive</x:t>
        </x:is>
      </x:c>
      <x:c r="B73" s="3" t="inlineStr">
        <x:is>
          <x:t xml:space="preserve">EXCO-D2-Q08</x:t>
        </x:is>
      </x:c>
      <x:c r="C73" s="3" t="inlineStr">
        <x:is>
          <x:t xml:space="preserve">EXCO-D2-Q08-A2</x:t>
        </x:is>
      </x:c>
      <x:c r="D73" s="3" t="n">
        <x:v>3</x:v>
      </x:c>
      <x:c r="E73" s="3" t="inlineStr">
        <x:is>
          <x:t xml:space="preserve">Contracts say ‘follow security’, but we don’t verify it in practice.</x:t>
        </x:is>
      </x:c>
      <x:c r="F73" s="3" t="n">
        <x:v>1</x:v>
      </x:c>
      <x:c r="G73" s="3" t="inlineStr">
        <x:is>
          <x:t xml:space="preserve">paper_dragon_signal</x:t>
        </x:is>
      </x:c>
      <x:c r="H73" s="3" t="inlineStr">
        <x:is>
          <x:t xml:space="preserve">Paper Dragon</x:t>
        </x:is>
      </x:c>
      <x:c r="I73" s="3" t="inlineStr">
        <x:is>
          <x:t xml:space="preserve">Verify_ThirdParty</x:t>
        </x:is>
      </x:c>
      <x:c r="J73" s="3" t="inlineStr">
        <x:is>
          <x:t xml:space="preserve">N</x:t>
        </x:is>
      </x:c>
      <x:c r="K73" s="3" t="inlineStr">
        <x:is>
          <x:t xml:space="preserve"/>
        </x:is>
      </x:c>
    </x:row>
    <x:row r="74">
      <x:c r="A74" s="3" t="inlineStr">
        <x:is>
          <x:t xml:space="preserve">Executive</x:t>
        </x:is>
      </x:c>
      <x:c r="B74" s="3" t="inlineStr">
        <x:is>
          <x:t xml:space="preserve">EXCO-D2-Q08</x:t>
        </x:is>
      </x:c>
      <x:c r="C74" s="3" t="inlineStr">
        <x:is>
          <x:t xml:space="preserve">EXCO-D2-Q08-A3</x:t>
        </x:is>
      </x:c>
      <x:c r="D74" s="3" t="n">
        <x:v>4</x:v>
      </x:c>
      <x:c r="E74" s="3" t="inlineStr">
        <x:is>
          <x:t xml:space="preserve">We apply some controls (e.g., account expiry), but monitoring and offboarding is inconsistent.</x:t>
        </x:is>
      </x:c>
      <x:c r="F74" s="3" t="n">
        <x:v>2</x:v>
      </x:c>
      <x:c r="G74" s="3" t="inlineStr">
        <x:is>
          <x:t xml:space="preserve">inconsistent_execution</x:t>
        </x:is>
      </x:c>
      <x:c r="H74" s="3" t="inlineStr">
        <x:is>
          <x:t xml:space="preserve">Operating Model Gap</x:t>
        </x:is>
      </x:c>
      <x:c r="I74" s="3" t="inlineStr">
        <x:is>
          <x:t xml:space="preserve">Standardize_ThirdParty</x:t>
        </x:is>
      </x:c>
      <x:c r="J74" s="3" t="inlineStr">
        <x:is>
          <x:t xml:space="preserve">N</x:t>
        </x:is>
      </x:c>
      <x:c r="K74" s="3" t="inlineStr">
        <x:is>
          <x:t xml:space="preserve"/>
        </x:is>
      </x:c>
    </x:row>
    <x:row r="75">
      <x:c r="A75" s="3" t="inlineStr">
        <x:is>
          <x:t xml:space="preserve">Executive</x:t>
        </x:is>
      </x:c>
      <x:c r="B75" s="3" t="inlineStr">
        <x:is>
          <x:t xml:space="preserve">EXCO-D2-Q08</x:t>
        </x:is>
      </x:c>
      <x:c r="C75" s="3" t="inlineStr">
        <x:is>
          <x:t xml:space="preserve">EXCO-D2-Q08-A4</x:t>
        </x:is>
      </x:c>
      <x:c r="D75" s="3" t="n">
        <x:v>5</x:v>
      </x:c>
      <x:c r="E75" s="3" t="inlineStr">
        <x:is>
          <x:t xml:space="preserve">Third parties are included similarly to employees for access and offboarding; exceptions are tracked.</x:t>
        </x:is>
      </x:c>
      <x:c r="F75" s="3" t="n">
        <x:v>3</x:v>
      </x:c>
      <x:c r="G75" s="3" t="inlineStr">
        <x:is>
          <x:t xml:space="preserve">good_practice</x:t>
        </x:is>
      </x:c>
      <x:c r="H75" s="3" t="inlineStr">
        <x:is>
          <x:t xml:space="preserve"/>
        </x:is>
      </x:c>
      <x:c r="I75" s="3" t="inlineStr">
        <x:is>
          <x:t xml:space="preserve">Request_Evidence</x:t>
        </x:is>
      </x:c>
      <x:c r="J75" s="3" t="inlineStr">
        <x:is>
          <x:t xml:space="preserve">Y</x:t>
        </x:is>
      </x:c>
      <x:c r="K75" s="3" t="inlineStr">
        <x:is>
          <x:t xml:space="preserve"/>
        </x:is>
      </x:c>
    </x:row>
    <x:row r="76">
      <x:c r="A76" s="3" t="inlineStr">
        <x:is>
          <x:t xml:space="preserve">Executive</x:t>
        </x:is>
      </x:c>
      <x:c r="B76" s="3" t="inlineStr">
        <x:is>
          <x:t xml:space="preserve">EXCO-D2-Q08</x:t>
        </x:is>
      </x:c>
      <x:c r="C76" s="3" t="inlineStr">
        <x:is>
          <x:t xml:space="preserve">EXCO-D2-Q08-A5</x:t>
        </x:is>
      </x:c>
      <x:c r="D76" s="3" t="n">
        <x:v>6</x:v>
      </x:c>
      <x:c r="E76" s="3" t="inlineStr">
        <x:is>
          <x:t xml:space="preserve">Third-party access is risk-scored and monitored; onboarding/offboarding is automated with auditing.</x:t>
        </x:is>
      </x:c>
      <x:c r="F76" s="3" t="n">
        <x:v>4</x:v>
      </x:c>
      <x:c r="G76" s="3" t="inlineStr">
        <x:is>
          <x:t xml:space="preserve">optimized</x:t>
        </x:is>
      </x:c>
      <x:c r="H76" s="3" t="inlineStr">
        <x:is>
          <x:t xml:space="preserve"/>
        </x:is>
      </x:c>
      <x:c r="I76" s="3" t="inlineStr">
        <x:is>
          <x:t xml:space="preserve">Request_Evidence</x:t>
        </x:is>
      </x:c>
      <x:c r="J76" s="3" t="inlineStr">
        <x:is>
          <x:t xml:space="preserve">Y</x:t>
        </x:is>
      </x:c>
      <x:c r="K76" s="3" t="inlineStr">
        <x:is>
          <x:t xml:space="preserve"/>
        </x:is>
      </x:c>
    </x:row>
    <x:row r="77">
      <x:c r="A77" s="3" t="inlineStr">
        <x:is>
          <x:t xml:space="preserve">Executive</x:t>
        </x:is>
      </x:c>
      <x:c r="B77" s="3" t="inlineStr">
        <x:is>
          <x:t xml:space="preserve">EXCO-D3-Q01</x:t>
        </x:is>
      </x:c>
      <x:c r="C77" s="3" t="inlineStr">
        <x:is>
          <x:t xml:space="preserve">EXCO-D3-Q01-A0</x:t>
        </x:is>
      </x:c>
      <x:c r="D77" s="3" t="n">
        <x:v>1</x:v>
      </x:c>
      <x:c r="E77" s="3" t="inlineStr">
        <x:is>
          <x:t xml:space="preserve">I don’t know / not sure.</x:t>
        </x:is>
      </x:c>
      <x:c r="F77" s="3" t="n">
        <x:v>0</x:v>
      </x:c>
      <x:c r="G77" s="3" t="inlineStr">
        <x:is>
          <x:t xml:space="preserve">unknown</x:t>
        </x:is>
      </x:c>
      <x:c r="H77" s="3" t="inlineStr">
        <x:is>
          <x:t xml:space="preserve">Unknown</x:t>
        </x:is>
      </x:c>
      <x:c r="I77" s="3" t="inlineStr">
        <x:is>
          <x:t xml:space="preserve">Legal_Clarification</x:t>
        </x:is>
      </x:c>
      <x:c r="J77" s="3" t="inlineStr">
        <x:is>
          <x:t xml:space="preserve">N</x:t>
        </x:is>
      </x:c>
      <x:c r="K77" s="3" t="inlineStr">
        <x:is>
          <x:t xml:space="preserve"/>
        </x:is>
      </x:c>
    </x:row>
    <x:row r="78">
      <x:c r="A78" s="3" t="inlineStr">
        <x:is>
          <x:t xml:space="preserve">Executive</x:t>
        </x:is>
      </x:c>
      <x:c r="B78" s="3" t="inlineStr">
        <x:is>
          <x:t xml:space="preserve">EXCO-D3-Q01</x:t>
        </x:is>
      </x:c>
      <x:c r="C78" s="3" t="inlineStr">
        <x:is>
          <x:t xml:space="preserve">EXCO-D3-Q01-A1</x:t>
        </x:is>
      </x:c>
      <x:c r="D78" s="3" t="n">
        <x:v>2</x:v>
      </x:c>
      <x:c r="E78" s="3" t="inlineStr">
        <x:is>
          <x:t xml:space="preserve">No—monitoring is driven by what tools can do; approvals are unclear.</x:t>
        </x:is>
      </x:c>
      <x:c r="F78" s="3" t="n">
        <x:v>0</x:v>
      </x:c>
      <x:c r="G78" s="3" t="inlineStr">
        <x:is>
          <x:t xml:space="preserve">legal_red_flag</x:t>
        </x:is>
      </x:c>
      <x:c r="H78" s="3" t="inlineStr">
        <x:is>
          <x:t xml:space="preserve">Legal Exposure</x:t>
        </x:is>
      </x:c>
      <x:c r="I78" s="3" t="inlineStr">
        <x:is>
          <x:t xml:space="preserve">Legal_Defensibility_Audit</x:t>
        </x:is>
      </x:c>
      <x:c r="J78" s="3" t="inlineStr">
        <x:is>
          <x:t xml:space="preserve">N</x:t>
        </x:is>
      </x:c>
      <x:c r="K78" s="3" t="inlineStr">
        <x:is>
          <x:t xml:space="preserve"/>
        </x:is>
      </x:c>
    </x:row>
    <x:row r="79">
      <x:c r="A79" s="3" t="inlineStr">
        <x:is>
          <x:t xml:space="preserve">Executive</x:t>
        </x:is>
      </x:c>
      <x:c r="B79" s="3" t="inlineStr">
        <x:is>
          <x:t xml:space="preserve">EXCO-D3-Q01</x:t>
        </x:is>
      </x:c>
      <x:c r="C79" s="3" t="inlineStr">
        <x:is>
          <x:t xml:space="preserve">EXCO-D3-Q01-A2</x:t>
        </x:is>
      </x:c>
      <x:c r="D79" s="3" t="n">
        <x:v>3</x:v>
      </x:c>
      <x:c r="E79" s="3" t="inlineStr">
        <x:is>
          <x:t xml:space="preserve">Some informal approvals exist (verbal / ad-hoc), but not documented.</x:t>
        </x:is>
      </x:c>
      <x:c r="F79" s="3" t="n">
        <x:v>1</x:v>
      </x:c>
      <x:c r="G79" s="3" t="inlineStr">
        <x:is>
          <x:t xml:space="preserve">legal_red_flag,shadow_signal</x:t>
        </x:is>
      </x:c>
      <x:c r="H79" s="3" t="inlineStr">
        <x:is>
          <x:t xml:space="preserve">Legal Exposure</x:t>
        </x:is>
      </x:c>
      <x:c r="I79" s="3" t="inlineStr">
        <x:is>
          <x:t xml:space="preserve">Legal_Defensibility_Audit</x:t>
        </x:is>
      </x:c>
      <x:c r="J79" s="3" t="inlineStr">
        <x:is>
          <x:t xml:space="preserve">N</x:t>
        </x:is>
      </x:c>
      <x:c r="K79" s="3" t="inlineStr">
        <x:is>
          <x:t xml:space="preserve"/>
        </x:is>
      </x:c>
    </x:row>
    <x:row r="80">
      <x:c r="A80" s="3" t="inlineStr">
        <x:is>
          <x:t xml:space="preserve">Executive</x:t>
        </x:is>
      </x:c>
      <x:c r="B80" s="3" t="inlineStr">
        <x:is>
          <x:t xml:space="preserve">EXCO-D3-Q01</x:t>
        </x:is>
      </x:c>
      <x:c r="C80" s="3" t="inlineStr">
        <x:is>
          <x:t xml:space="preserve">EXCO-D3-Q01-A3</x:t>
        </x:is>
      </x:c>
      <x:c r="D80" s="3" t="n">
        <x:v>4</x:v>
      </x:c>
      <x:c r="E80" s="3" t="inlineStr">
        <x:is>
          <x:t xml:space="preserve">Policy exists, but it’s generic and not aligned to how monitoring works in practice.</x:t>
        </x:is>
      </x:c>
      <x:c r="F80" s="3" t="n">
        <x:v>2</x:v>
      </x:c>
      <x:c r="G80" s="3" t="inlineStr">
        <x:is>
          <x:t xml:space="preserve">paper_dragon_signal</x:t>
        </x:is>
      </x:c>
      <x:c r="H80" s="3" t="inlineStr">
        <x:is>
          <x:t xml:space="preserve">Paper Dragon</x:t>
        </x:is>
      </x:c>
      <x:c r="I80" s="3" t="inlineStr">
        <x:is>
          <x:t xml:space="preserve">Align_Policy_To_Reality</x:t>
        </x:is>
      </x:c>
      <x:c r="J80" s="3" t="inlineStr">
        <x:is>
          <x:t xml:space="preserve">Y</x:t>
        </x:is>
      </x:c>
      <x:c r="K80" s="3" t="inlineStr">
        <x:is>
          <x:t xml:space="preserve"/>
        </x:is>
      </x:c>
    </x:row>
    <x:row r="81">
      <x:c r="A81" s="3" t="inlineStr">
        <x:is>
          <x:t xml:space="preserve">Executive</x:t>
        </x:is>
      </x:c>
      <x:c r="B81" s="3" t="inlineStr">
        <x:is>
          <x:t xml:space="preserve">EXCO-D3-Q01</x:t>
        </x:is>
      </x:c>
      <x:c r="C81" s="3" t="inlineStr">
        <x:is>
          <x:t xml:space="preserve">EXCO-D3-Q01-A4</x:t>
        </x:is>
      </x:c>
      <x:c r="D81" s="3" t="n">
        <x:v>5</x:v>
      </x:c>
      <x:c r="E81" s="3" t="inlineStr">
        <x:is>
          <x:t xml:space="preserve">Approved framework exists; monitoring is risk-based and approvals/oversight are defined.</x:t>
        </x:is>
      </x:c>
      <x:c r="F81" s="3" t="n">
        <x:v>3</x:v>
      </x:c>
      <x:c r="G81" s="3" t="inlineStr">
        <x:is>
          <x:t xml:space="preserve">good_practice</x:t>
        </x:is>
      </x:c>
      <x:c r="H81" s="3" t="inlineStr">
        <x:is>
          <x:t xml:space="preserve"/>
        </x:is>
      </x:c>
      <x:c r="I81" s="3" t="inlineStr">
        <x:is>
          <x:t xml:space="preserve">Request_Evidence</x:t>
        </x:is>
      </x:c>
      <x:c r="J81" s="3" t="inlineStr">
        <x:is>
          <x:t xml:space="preserve">Y</x:t>
        </x:is>
      </x:c>
      <x:c r="K81" s="3" t="inlineStr">
        <x:is>
          <x:t xml:space="preserve">Provide monitoring policy/DPIA/LIA summary and access controls.</x:t>
        </x:is>
      </x:c>
    </x:row>
    <x:row r="82">
      <x:c r="A82" s="3" t="inlineStr">
        <x:is>
          <x:t xml:space="preserve">Executive</x:t>
        </x:is>
      </x:c>
      <x:c r="B82" s="3" t="inlineStr">
        <x:is>
          <x:t xml:space="preserve">EXCO-D3-Q01</x:t>
        </x:is>
      </x:c>
      <x:c r="C82" s="3" t="inlineStr">
        <x:is>
          <x:t xml:space="preserve">EXCO-D3-Q01-A5</x:t>
        </x:is>
      </x:c>
      <x:c r="D82" s="3" t="n">
        <x:v>6</x:v>
      </x:c>
      <x:c r="E82" s="3" t="inlineStr">
        <x:is>
          <x:t xml:space="preserve">Framework is co-designed with Legal/Privacy and relevant employee representation; audited periodically.</x:t>
        </x:is>
      </x:c>
      <x:c r="F82" s="3" t="n">
        <x:v>4</x:v>
      </x:c>
      <x:c r="G82" s="3" t="inlineStr">
        <x:is>
          <x:t xml:space="preserve">optimized</x:t>
        </x:is>
      </x:c>
      <x:c r="H82" s="3" t="inlineStr">
        <x:is>
          <x:t xml:space="preserve"/>
        </x:is>
      </x:c>
      <x:c r="I82" s="3" t="inlineStr">
        <x:is>
          <x:t xml:space="preserve">Request_Evidence</x:t>
        </x:is>
      </x:c>
      <x:c r="J82" s="3" t="inlineStr">
        <x:is>
          <x:t xml:space="preserve">Y</x:t>
        </x:is>
      </x:c>
      <x:c r="K82" s="3" t="inlineStr">
        <x:is>
          <x:t xml:space="preserve"/>
        </x:is>
      </x:c>
    </x:row>
    <x:row r="83">
      <x:c r="A83" s="3" t="inlineStr">
        <x:is>
          <x:t xml:space="preserve">Executive</x:t>
        </x:is>
      </x:c>
      <x:c r="B83" s="3" t="inlineStr">
        <x:is>
          <x:t xml:space="preserve">EXCO-D3-Q02</x:t>
        </x:is>
      </x:c>
      <x:c r="C83" s="3" t="inlineStr">
        <x:is>
          <x:t xml:space="preserve">EXCO-D3-Q02-A1</x:t>
        </x:is>
      </x:c>
      <x:c r="D83" s="3" t="n">
        <x:v>1</x:v>
      </x:c>
      <x:c r="E83" s="3" t="inlineStr">
        <x:is>
          <x:t xml:space="preserve">No—monitoring is treated as secret; ‘the less they know the better’.</x:t>
        </x:is>
      </x:c>
      <x:c r="F83" s="3" t="n">
        <x:v>0</x:v>
      </x:c>
      <x:c r="G83" s="3" t="inlineStr">
        <x:is>
          <x:t xml:space="preserve">toxic_enforcer_signal,legal_red_flag</x:t>
        </x:is>
      </x:c>
      <x:c r="H83" s="3" t="inlineStr">
        <x:is>
          <x:t xml:space="preserve">Toxic Enforcer</x:t>
        </x:is>
      </x:c>
      <x:c r="I83" s="3" t="inlineStr">
        <x:is>
          <x:t xml:space="preserve">Transparency_Remediation</x:t>
        </x:is>
      </x:c>
      <x:c r="J83" s="3" t="inlineStr">
        <x:is>
          <x:t xml:space="preserve">N</x:t>
        </x:is>
      </x:c>
      <x:c r="K83" s="3" t="inlineStr">
        <x:is>
          <x:t xml:space="preserve"/>
        </x:is>
      </x:c>
    </x:row>
    <x:row r="84">
      <x:c r="A84" s="3" t="inlineStr">
        <x:is>
          <x:t xml:space="preserve">Executive</x:t>
        </x:is>
      </x:c>
      <x:c r="B84" s="3" t="inlineStr">
        <x:is>
          <x:t xml:space="preserve">EXCO-D3-Q02</x:t>
        </x:is>
      </x:c>
      <x:c r="C84" s="3" t="inlineStr">
        <x:is>
          <x:t xml:space="preserve">EXCO-D3-Q02-A2</x:t>
        </x:is>
      </x:c>
      <x:c r="D84" s="3" t="n">
        <x:v>2</x:v>
      </x:c>
      <x:c r="E84" s="3" t="inlineStr">
        <x:is>
          <x:t xml:space="preserve">Only managers warn people informally; there is no consistent communication.</x:t>
        </x:is>
      </x:c>
      <x:c r="F84" s="3" t="n">
        <x:v>1</x:v>
      </x:c>
      <x:c r="G84" s="3" t="inlineStr">
        <x:is>
          <x:t xml:space="preserve">legal_red_flag</x:t>
        </x:is>
      </x:c>
      <x:c r="H84" s="3" t="inlineStr">
        <x:is>
          <x:t xml:space="preserve">Legal Exposure</x:t>
        </x:is>
      </x:c>
      <x:c r="I84" s="3" t="inlineStr">
        <x:is>
          <x:t xml:space="preserve">Transparency_Remediation</x:t>
        </x:is>
      </x:c>
      <x:c r="J84" s="3" t="inlineStr">
        <x:is>
          <x:t xml:space="preserve">N</x:t>
        </x:is>
      </x:c>
      <x:c r="K84" s="3" t="inlineStr">
        <x:is>
          <x:t xml:space="preserve"/>
        </x:is>
      </x:c>
    </x:row>
    <x:row r="85">
      <x:c r="A85" s="3" t="inlineStr">
        <x:is>
          <x:t xml:space="preserve">Executive</x:t>
        </x:is>
      </x:c>
      <x:c r="B85" s="3" t="inlineStr">
        <x:is>
          <x:t xml:space="preserve">EXCO-D3-Q02</x:t>
        </x:is>
      </x:c>
      <x:c r="C85" s="3" t="inlineStr">
        <x:is>
          <x:t xml:space="preserve">EXCO-D3-Q02-A3</x:t>
        </x:is>
      </x:c>
      <x:c r="D85" s="3" t="n">
        <x:v>3</x:v>
      </x:c>
      <x:c r="E85" s="3" t="inlineStr">
        <x:is>
          <x:t xml:space="preserve">There is some communication (e.g., acceptable use), but it’s hard to understand or easy to miss.</x:t>
        </x:is>
      </x:c>
      <x:c r="F85" s="3" t="n">
        <x:v>2</x:v>
      </x:c>
      <x:c r="G85" s="3" t="inlineStr">
        <x:is>
          <x:t xml:space="preserve">paper_process</x:t>
        </x:is>
      </x:c>
      <x:c r="H85" s="3" t="inlineStr">
        <x:is>
          <x:t xml:space="preserve">Paper Dragon</x:t>
        </x:is>
      </x:c>
      <x:c r="I85" s="3" t="inlineStr">
        <x:is>
          <x:t xml:space="preserve">Improve_Transparency</x:t>
        </x:is>
      </x:c>
      <x:c r="J85" s="3" t="inlineStr">
        <x:is>
          <x:t xml:space="preserve">N</x:t>
        </x:is>
      </x:c>
      <x:c r="K85" s="3" t="inlineStr">
        <x:is>
          <x:t xml:space="preserve"/>
        </x:is>
      </x:c>
    </x:row>
    <x:row r="86">
      <x:c r="A86" s="3" t="inlineStr">
        <x:is>
          <x:t xml:space="preserve">Executive</x:t>
        </x:is>
      </x:c>
      <x:c r="B86" s="3" t="inlineStr">
        <x:is>
          <x:t xml:space="preserve">EXCO-D3-Q02</x:t>
        </x:is>
      </x:c>
      <x:c r="C86" s="3" t="inlineStr">
        <x:is>
          <x:t xml:space="preserve">EXCO-D3-Q02-A4</x:t>
        </x:is>
      </x:c>
      <x:c r="D86" s="3" t="n">
        <x:v>4</x:v>
      </x:c>
      <x:c r="E86" s="3" t="inlineStr">
        <x:is>
          <x:t xml:space="preserve">Yes—there is clear communication and training explaining monitoring and privacy safeguards.</x:t>
        </x:is>
      </x:c>
      <x:c r="F86" s="3" t="n">
        <x:v>3</x:v>
      </x:c>
      <x:c r="G86" s="3" t="inlineStr">
        <x:is>
          <x:t xml:space="preserve">good_practice</x:t>
        </x:is>
      </x:c>
      <x:c r="H86" s="3" t="inlineStr">
        <x:is>
          <x:t xml:space="preserve"/>
        </x:is>
      </x:c>
      <x:c r="I86" s="3" t="inlineStr">
        <x:is>
          <x:t xml:space="preserve">Request_Evidence</x:t>
        </x:is>
      </x:c>
      <x:c r="J86" s="3" t="inlineStr">
        <x:is>
          <x:t xml:space="preserve">Y</x:t>
        </x:is>
      </x:c>
      <x:c r="K86" s="3" t="inlineStr">
        <x:is>
          <x:t xml:space="preserve"/>
        </x:is>
      </x:c>
    </x:row>
    <x:row r="87">
      <x:c r="A87" s="3" t="inlineStr">
        <x:is>
          <x:t xml:space="preserve">Executive</x:t>
        </x:is>
      </x:c>
      <x:c r="B87" s="3" t="inlineStr">
        <x:is>
          <x:t xml:space="preserve">EXCO-D3-Q03</x:t>
        </x:is>
      </x:c>
      <x:c r="C87" s="3" t="inlineStr">
        <x:is>
          <x:t xml:space="preserve">EXCO-D3-Q03-A1</x:t>
        </x:is>
      </x:c>
      <x:c r="D87" s="3" t="n">
        <x:v>1</x:v>
      </x:c>
      <x:c r="E87" s="3" t="inlineStr">
        <x:is>
          <x:t xml:space="preserve">Only buried in contracts/policies; most people wouldn’t know the details.</x:t>
        </x:is>
      </x:c>
      <x:c r="F87" s="3" t="n">
        <x:v>1</x:v>
      </x:c>
      <x:c r="G87" s="3" t="inlineStr">
        <x:is>
          <x:t xml:space="preserve">paper_dragon_signal</x:t>
        </x:is>
      </x:c>
      <x:c r="H87" s="3" t="inlineStr">
        <x:is>
          <x:t xml:space="preserve">Paper Dragon</x:t>
        </x:is>
      </x:c>
      <x:c r="I87" s="3" t="inlineStr">
        <x:is>
          <x:t xml:space="preserve">Improve_Transparency</x:t>
        </x:is>
      </x:c>
      <x:c r="J87" s="3" t="inlineStr">
        <x:is>
          <x:t xml:space="preserve">N</x:t>
        </x:is>
      </x:c>
      <x:c r="K87" s="3" t="inlineStr">
        <x:is>
          <x:t xml:space="preserve"/>
        </x:is>
      </x:c>
    </x:row>
    <x:row r="88">
      <x:c r="A88" s="3" t="inlineStr">
        <x:is>
          <x:t xml:space="preserve">Executive</x:t>
        </x:is>
      </x:c>
      <x:c r="B88" s="3" t="inlineStr">
        <x:is>
          <x:t xml:space="preserve">EXCO-D3-Q03</x:t>
        </x:is>
      </x:c>
      <x:c r="C88" s="3" t="inlineStr">
        <x:is>
          <x:t xml:space="preserve">EXCO-D3-Q03-A2</x:t>
        </x:is>
      </x:c>
      <x:c r="D88" s="3" t="n">
        <x:v>2</x:v>
      </x:c>
      <x:c r="E88" s="3" t="inlineStr">
        <x:is>
          <x:t xml:space="preserve">Basic acceptable-use statement exists, but does not explain monitoring scope or safeguards.</x:t>
        </x:is>
      </x:c>
      <x:c r="F88" s="3" t="n">
        <x:v>2</x:v>
      </x:c>
      <x:c r="G88" s="3" t="inlineStr">
        <x:is>
          <x:t xml:space="preserve">paper_process</x:t>
        </x:is>
      </x:c>
      <x:c r="H88" s="3" t="inlineStr">
        <x:is>
          <x:t xml:space="preserve">Paper Dragon</x:t>
        </x:is>
      </x:c>
      <x:c r="I88" s="3" t="inlineStr">
        <x:is>
          <x:t xml:space="preserve">Improve_Transparency</x:t>
        </x:is>
      </x:c>
      <x:c r="J88" s="3" t="inlineStr">
        <x:is>
          <x:t xml:space="preserve">N</x:t>
        </x:is>
      </x:c>
      <x:c r="K88" s="3" t="inlineStr">
        <x:is>
          <x:t xml:space="preserve"/>
        </x:is>
      </x:c>
    </x:row>
    <x:row r="89">
      <x:c r="A89" s="3" t="inlineStr">
        <x:is>
          <x:t xml:space="preserve">Executive</x:t>
        </x:is>
      </x:c>
      <x:c r="B89" s="3" t="inlineStr">
        <x:is>
          <x:t xml:space="preserve">EXCO-D3-Q03</x:t>
        </x:is>
      </x:c>
      <x:c r="C89" s="3" t="inlineStr">
        <x:is>
          <x:t xml:space="preserve">EXCO-D3-Q03-A3</x:t>
        </x:is>
      </x:c>
      <x:c r="D89" s="3" t="n">
        <x:v>3</x:v>
      </x:c>
      <x:c r="E89" s="3" t="inlineStr">
        <x:is>
          <x:t xml:space="preserve">Clear guidance exists and is communicated to staff at least annually.</x:t>
        </x:is>
      </x:c>
      <x:c r="F89" s="3" t="n">
        <x:v>3</x:v>
      </x:c>
      <x:c r="G89" s="3" t="inlineStr">
        <x:is>
          <x:t xml:space="preserve">good_practice</x:t>
        </x:is>
      </x:c>
      <x:c r="H89" s="3" t="inlineStr">
        <x:is>
          <x:t xml:space="preserve"/>
        </x:is>
      </x:c>
      <x:c r="I89" s="3" t="inlineStr">
        <x:is>
          <x:t xml:space="preserve">Request_Evidence</x:t>
        </x:is>
      </x:c>
      <x:c r="J89" s="3" t="inlineStr">
        <x:is>
          <x:t xml:space="preserve">Y</x:t>
        </x:is>
      </x:c>
      <x:c r="K89" s="3" t="inlineStr">
        <x:is>
          <x:t xml:space="preserve"/>
        </x:is>
      </x:c>
    </x:row>
    <x:row r="90">
      <x:c r="A90" s="3" t="inlineStr">
        <x:is>
          <x:t xml:space="preserve">Executive</x:t>
        </x:is>
      </x:c>
      <x:c r="B90" s="3" t="inlineStr">
        <x:is>
          <x:t xml:space="preserve">EXCO-D3-Q03</x:t>
        </x:is>
      </x:c>
      <x:c r="C90" s="3" t="inlineStr">
        <x:is>
          <x:t xml:space="preserve">EXCO-D3-Q03-A4</x:t>
        </x:is>
      </x:c>
      <x:c r="D90" s="3" t="n">
        <x:v>4</x:v>
      </x:c>
      <x:c r="E90" s="3" t="inlineStr">
        <x:is>
          <x:t xml:space="preserve">Full transparency with clear safeguards, escalation paths, and periodic review with stakeholders.</x:t>
        </x:is>
      </x:c>
      <x:c r="F90" s="3" t="n">
        <x:v>4</x:v>
      </x:c>
      <x:c r="G90" s="3" t="inlineStr">
        <x:is>
          <x:t xml:space="preserve">optimized</x:t>
        </x:is>
      </x:c>
      <x:c r="H90" s="3" t="inlineStr">
        <x:is>
          <x:t xml:space="preserve"/>
        </x:is>
      </x:c>
      <x:c r="I90" s="3" t="inlineStr">
        <x:is>
          <x:t xml:space="preserve">Request_Evidence</x:t>
        </x:is>
      </x:c>
      <x:c r="J90" s="3" t="inlineStr">
        <x:is>
          <x:t xml:space="preserve">Y</x:t>
        </x:is>
      </x:c>
      <x:c r="K90" s="3" t="inlineStr">
        <x:is>
          <x:t xml:space="preserve"/>
        </x:is>
      </x:c>
    </x:row>
    <x:row r="91">
      <x:c r="A91" s="3" t="inlineStr">
        <x:is>
          <x:t xml:space="preserve">Executive</x:t>
        </x:is>
      </x:c>
      <x:c r="B91" s="3" t="inlineStr">
        <x:is>
          <x:t xml:space="preserve">EXCO-D3-Q04</x:t>
        </x:is>
      </x:c>
      <x:c r="C91" s="3" t="inlineStr">
        <x:is>
          <x:t xml:space="preserve">EXCO-D3-Q04-A0</x:t>
        </x:is>
      </x:c>
      <x:c r="D91" s="3" t="n">
        <x:v>1</x:v>
      </x:c>
      <x:c r="E91" s="3" t="inlineStr">
        <x:is>
          <x:t xml:space="preserve">Not applicable / we don’t have employee representation in relevant jurisdictions.</x:t>
        </x:is>
      </x:c>
      <x:c r="F91" s="3" t="n">
        <x:v>2</x:v>
      </x:c>
      <x:c r="G91" s="3" t="inlineStr">
        <x:is>
          <x:t xml:space="preserve">n_a</x:t>
        </x:is>
      </x:c>
      <x:c r="H91" s="3" t="inlineStr">
        <x:is>
          <x:t xml:space="preserve"/>
        </x:is>
      </x:c>
      <x:c r="I91" s="3" t="inlineStr">
        <x:is>
          <x:t xml:space="preserve">Document_NA</x:t>
        </x:is>
      </x:c>
      <x:c r="J91" s="3" t="inlineStr">
        <x:is>
          <x:t xml:space="preserve">N</x:t>
        </x:is>
      </x:c>
      <x:c r="K91" s="3" t="inlineStr">
        <x:is>
          <x:t xml:space="preserve"/>
        </x:is>
      </x:c>
    </x:row>
    <x:row r="92">
      <x:c r="A92" s="3" t="inlineStr">
        <x:is>
          <x:t xml:space="preserve">Executive</x:t>
        </x:is>
      </x:c>
      <x:c r="B92" s="3" t="inlineStr">
        <x:is>
          <x:t xml:space="preserve">EXCO-D3-Q04</x:t>
        </x:is>
      </x:c>
      <x:c r="C92" s="3" t="inlineStr">
        <x:is>
          <x:t xml:space="preserve">EXCO-D3-Q04-A1</x:t>
        </x:is>
      </x:c>
      <x:c r="D92" s="3" t="n">
        <x:v>2</x:v>
      </x:c>
      <x:c r="E92" s="3" t="inlineStr">
        <x:is>
          <x:t xml:space="preserve">We avoid engagement; decisions are made unilaterally.</x:t>
        </x:is>
      </x:c>
      <x:c r="F92" s="3" t="n">
        <x:v>0</x:v>
      </x:c>
      <x:c r="G92" s="3" t="inlineStr">
        <x:is>
          <x:t xml:space="preserve">legal_red_flag</x:t>
        </x:is>
      </x:c>
      <x:c r="H92" s="3" t="inlineStr">
        <x:is>
          <x:t xml:space="preserve">Legal Exposure</x:t>
        </x:is>
      </x:c>
      <x:c r="I92" s="3" t="inlineStr">
        <x:is>
          <x:t xml:space="preserve">Stakeholder_Engagement</x:t>
        </x:is>
      </x:c>
      <x:c r="J92" s="3" t="inlineStr">
        <x:is>
          <x:t xml:space="preserve">N</x:t>
        </x:is>
      </x:c>
      <x:c r="K92" s="3" t="inlineStr">
        <x:is>
          <x:t xml:space="preserve"/>
        </x:is>
      </x:c>
    </x:row>
    <x:row r="93">
      <x:c r="A93" s="3" t="inlineStr">
        <x:is>
          <x:t xml:space="preserve">Executive</x:t>
        </x:is>
      </x:c>
      <x:c r="B93" s="3" t="inlineStr">
        <x:is>
          <x:t xml:space="preserve">EXCO-D3-Q04</x:t>
        </x:is>
      </x:c>
      <x:c r="C93" s="3" t="inlineStr">
        <x:is>
          <x:t xml:space="preserve">EXCO-D3-Q04-A2</x:t>
        </x:is>
      </x:c>
      <x:c r="D93" s="3" t="n">
        <x:v>3</x:v>
      </x:c>
      <x:c r="E93" s="3" t="inlineStr">
        <x:is>
          <x:t xml:space="preserve">Engagement happens late (after decisions), mainly to ‘inform’.</x:t>
        </x:is>
      </x:c>
      <x:c r="F93" s="3" t="n">
        <x:v>1</x:v>
      </x:c>
      <x:c r="G93" s="3" t="inlineStr">
        <x:is>
          <x:t xml:space="preserve">legal_red_flag</x:t>
        </x:is>
      </x:c>
      <x:c r="H93" s="3" t="inlineStr">
        <x:is>
          <x:t xml:space="preserve">Legal Exposure</x:t>
        </x:is>
      </x:c>
      <x:c r="I93" s="3" t="inlineStr">
        <x:is>
          <x:t xml:space="preserve">Stakeholder_Engagement</x:t>
        </x:is>
      </x:c>
      <x:c r="J93" s="3" t="inlineStr">
        <x:is>
          <x:t xml:space="preserve">N</x:t>
        </x:is>
      </x:c>
      <x:c r="K93" s="3" t="inlineStr">
        <x:is>
          <x:t xml:space="preserve"/>
        </x:is>
      </x:c>
    </x:row>
    <x:row r="94">
      <x:c r="A94" s="3" t="inlineStr">
        <x:is>
          <x:t xml:space="preserve">Executive</x:t>
        </x:is>
      </x:c>
      <x:c r="B94" s="3" t="inlineStr">
        <x:is>
          <x:t xml:space="preserve">EXCO-D3-Q04</x:t>
        </x:is>
      </x:c>
      <x:c r="C94" s="3" t="inlineStr">
        <x:is>
          <x:t xml:space="preserve">EXCO-D3-Q04-A3</x:t>
        </x:is>
      </x:c>
      <x:c r="D94" s="3" t="n">
        <x:v>4</x:v>
      </x:c>
      <x:c r="E94" s="3" t="inlineStr">
        <x:is>
          <x:t xml:space="preserve">Engagement is planned and happens before major monitoring changes.</x:t>
        </x:is>
      </x:c>
      <x:c r="F94" s="3" t="n">
        <x:v>3</x:v>
      </x:c>
      <x:c r="G94" s="3" t="inlineStr">
        <x:is>
          <x:t xml:space="preserve">good_practice</x:t>
        </x:is>
      </x:c>
      <x:c r="H94" s="3" t="inlineStr">
        <x:is>
          <x:t xml:space="preserve"/>
        </x:is>
      </x:c>
      <x:c r="I94" s="3" t="inlineStr">
        <x:is>
          <x:t xml:space="preserve">Request_Evidence</x:t>
        </x:is>
      </x:c>
      <x:c r="J94" s="3" t="inlineStr">
        <x:is>
          <x:t xml:space="preserve">Y</x:t>
        </x:is>
      </x:c>
      <x:c r="K94" s="3" t="inlineStr">
        <x:is>
          <x:t xml:space="preserve"/>
        </x:is>
      </x:c>
    </x:row>
    <x:row r="95">
      <x:c r="A95" s="3" t="inlineStr">
        <x:is>
          <x:t xml:space="preserve">Executive</x:t>
        </x:is>
      </x:c>
      <x:c r="B95" s="3" t="inlineStr">
        <x:is>
          <x:t xml:space="preserve">EXCO-D3-Q04</x:t>
        </x:is>
      </x:c>
      <x:c r="C95" s="3" t="inlineStr">
        <x:is>
          <x:t xml:space="preserve">EXCO-D3-Q04-A4</x:t>
        </x:is>
      </x:c>
      <x:c r="D95" s="3" t="n">
        <x:v>5</x:v>
      </x:c>
      <x:c r="E95" s="3" t="inlineStr">
        <x:is>
          <x:t xml:space="preserve">Monitoring design is co-developed; decisions and safeguards are documented and reviewed.</x:t>
        </x:is>
      </x:c>
      <x:c r="F95" s="3" t="n">
        <x:v>4</x:v>
      </x:c>
      <x:c r="G95" s="3" t="inlineStr">
        <x:is>
          <x:t xml:space="preserve">optimized</x:t>
        </x:is>
      </x:c>
      <x:c r="H95" s="3" t="inlineStr">
        <x:is>
          <x:t xml:space="preserve"/>
        </x:is>
      </x:c>
      <x:c r="I95" s="3" t="inlineStr">
        <x:is>
          <x:t xml:space="preserve">Request_Evidence</x:t>
        </x:is>
      </x:c>
      <x:c r="J95" s="3" t="inlineStr">
        <x:is>
          <x:t xml:space="preserve">Y</x:t>
        </x:is>
      </x:c>
      <x:c r="K95" s="3" t="inlineStr">
        <x:is>
          <x:t xml:space="preserve"/>
        </x:is>
      </x:c>
    </x:row>
    <x:row r="96">
      <x:c r="A96" s="3" t="inlineStr">
        <x:is>
          <x:t xml:space="preserve">Executive</x:t>
        </x:is>
      </x:c>
      <x:c r="B96" s="3" t="inlineStr">
        <x:is>
          <x:t xml:space="preserve">EXCO-D3-Q05</x:t>
        </x:is>
      </x:c>
      <x:c r="C96" s="3" t="inlineStr">
        <x:is>
          <x:t xml:space="preserve">EXCO-D3-Q05-A0</x:t>
        </x:is>
      </x:c>
      <x:c r="D96" s="3" t="n">
        <x:v>1</x:v>
      </x:c>
      <x:c r="E96" s="3" t="inlineStr">
        <x:is>
          <x:t xml:space="preserve">I don’t know / not sure.</x:t>
        </x:is>
      </x:c>
      <x:c r="F96" s="3" t="n">
        <x:v>0</x:v>
      </x:c>
      <x:c r="G96" s="3" t="inlineStr">
        <x:is>
          <x:t xml:space="preserve">unknown</x:t>
        </x:is>
      </x:c>
      <x:c r="H96" s="3" t="inlineStr">
        <x:is>
          <x:t xml:space="preserve">Unknown</x:t>
        </x:is>
      </x:c>
      <x:c r="I96" s="3" t="inlineStr">
        <x:is>
          <x:t xml:space="preserve">Assess_Evidence_Handling</x:t>
        </x:is>
      </x:c>
      <x:c r="J96" s="3" t="inlineStr">
        <x:is>
          <x:t xml:space="preserve">N</x:t>
        </x:is>
      </x:c>
      <x:c r="K96" s="3" t="inlineStr">
        <x:is>
          <x:t xml:space="preserve"/>
        </x:is>
      </x:c>
    </x:row>
    <x:row r="97">
      <x:c r="A97" s="3" t="inlineStr">
        <x:is>
          <x:t xml:space="preserve">Executive</x:t>
        </x:is>
      </x:c>
      <x:c r="B97" s="3" t="inlineStr">
        <x:is>
          <x:t xml:space="preserve">EXCO-D3-Q05</x:t>
        </x:is>
      </x:c>
      <x:c r="C97" s="3" t="inlineStr">
        <x:is>
          <x:t xml:space="preserve">EXCO-D3-Q05-A1</x:t>
        </x:is>
      </x:c>
      <x:c r="D97" s="3" t="n">
        <x:v>2</x:v>
      </x:c>
      <x:c r="E97" s="3" t="inlineStr">
        <x:is>
          <x:t xml:space="preserve">Weak—people take screenshots or export logs with little documentation.</x:t>
        </x:is>
      </x:c>
      <x:c r="F97" s="3" t="n">
        <x:v>0</x:v>
      </x:c>
      <x:c r="G97" s="3" t="inlineStr">
        <x:is>
          <x:t xml:space="preserve">forensic_gap</x:t>
        </x:is>
      </x:c>
      <x:c r="H97" s="3" t="inlineStr">
        <x:is>
          <x:t xml:space="preserve">Legal Exposure</x:t>
        </x:is>
      </x:c>
      <x:c r="I97" s="3" t="inlineStr">
        <x:is>
          <x:t xml:space="preserve">Evidence_Upgrade</x:t>
        </x:is>
      </x:c>
      <x:c r="J97" s="3" t="inlineStr">
        <x:is>
          <x:t xml:space="preserve">N</x:t>
        </x:is>
      </x:c>
      <x:c r="K97" s="3" t="inlineStr">
        <x:is>
          <x:t xml:space="preserve"/>
        </x:is>
      </x:c>
    </x:row>
    <x:row r="98">
      <x:c r="A98" s="3" t="inlineStr">
        <x:is>
          <x:t xml:space="preserve">Executive</x:t>
        </x:is>
      </x:c>
      <x:c r="B98" s="3" t="inlineStr">
        <x:is>
          <x:t xml:space="preserve">EXCO-D3-Q05</x:t>
        </x:is>
      </x:c>
      <x:c r="C98" s="3" t="inlineStr">
        <x:is>
          <x:t xml:space="preserve">EXCO-D3-Q05-A2</x:t>
        </x:is>
      </x:c>
      <x:c r="D98" s="3" t="n">
        <x:v>3</x:v>
      </x:c>
      <x:c r="E98" s="3" t="inlineStr">
        <x:is>
          <x:t xml:space="preserve">Ad-hoc—IT can pull logs, but process is inconsistent and not audited.</x:t>
        </x:is>
      </x:c>
      <x:c r="F98" s="3" t="n">
        <x:v>1</x:v>
      </x:c>
      <x:c r="G98" s="3" t="inlineStr">
        <x:is>
          <x:t xml:space="preserve">forensic_gap</x:t>
        </x:is>
      </x:c>
      <x:c r="H98" s="3" t="inlineStr">
        <x:is>
          <x:t xml:space="preserve">Resilience Gap</x:t>
        </x:is>
      </x:c>
      <x:c r="I98" s="3" t="inlineStr">
        <x:is>
          <x:t xml:space="preserve">Evidence_Upgrade</x:t>
        </x:is>
      </x:c>
      <x:c r="J98" s="3" t="inlineStr">
        <x:is>
          <x:t xml:space="preserve">N</x:t>
        </x:is>
      </x:c>
      <x:c r="K98" s="3" t="inlineStr">
        <x:is>
          <x:t xml:space="preserve"/>
        </x:is>
      </x:c>
    </x:row>
    <x:row r="99">
      <x:c r="A99" s="3" t="inlineStr">
        <x:is>
          <x:t xml:space="preserve">Executive</x:t>
        </x:is>
      </x:c>
      <x:c r="B99" s="3" t="inlineStr">
        <x:is>
          <x:t xml:space="preserve">EXCO-D3-Q05</x:t>
        </x:is>
      </x:c>
      <x:c r="C99" s="3" t="inlineStr">
        <x:is>
          <x:t xml:space="preserve">EXCO-D3-Q05-A3</x:t>
        </x:is>
      </x:c>
      <x:c r="D99" s="3" t="n">
        <x:v>4</x:v>
      </x:c>
      <x:c r="E99" s="3" t="inlineStr">
        <x:is>
          <x:t xml:space="preserve">Documented chain-of-custody exists, but it’s not consistently used.</x:t>
        </x:is>
      </x:c>
      <x:c r="F99" s="3" t="n">
        <x:v>2</x:v>
      </x:c>
      <x:c r="G99" s="3" t="inlineStr">
        <x:is>
          <x:t xml:space="preserve">paper_dragon_signal</x:t>
        </x:is>
      </x:c>
      <x:c r="H99" s="3" t="inlineStr">
        <x:is>
          <x:t xml:space="preserve">Paper Dragon</x:t>
        </x:is>
      </x:c>
      <x:c r="I99" s="3" t="inlineStr">
        <x:is>
          <x:t xml:space="preserve">Enforce_Custody_Process</x:t>
        </x:is>
      </x:c>
      <x:c r="J99" s="3" t="inlineStr">
        <x:is>
          <x:t xml:space="preserve">N</x:t>
        </x:is>
      </x:c>
      <x:c r="K99" s="3" t="inlineStr">
        <x:is>
          <x:t xml:space="preserve"/>
        </x:is>
      </x:c>
    </x:row>
    <x:row r="100">
      <x:c r="A100" s="3" t="inlineStr">
        <x:is>
          <x:t xml:space="preserve">Executive</x:t>
        </x:is>
      </x:c>
      <x:c r="B100" s="3" t="inlineStr">
        <x:is>
          <x:t xml:space="preserve">EXCO-D3-Q05</x:t>
        </x:is>
      </x:c>
      <x:c r="C100" s="3" t="inlineStr">
        <x:is>
          <x:t xml:space="preserve">EXCO-D3-Q05-A4</x:t>
        </x:is>
      </x:c>
      <x:c r="D100" s="3" t="n">
        <x:v>5</x:v>
      </x:c>
      <x:c r="E100" s="3" t="inlineStr">
        <x:is>
          <x:t xml:space="preserve">Evidence handling is standardised and used for every case; access and retention are controlled.</x:t>
        </x:is>
      </x:c>
      <x:c r="F100" s="3" t="n">
        <x:v>3</x:v>
      </x:c>
      <x:c r="G100" s="3" t="inlineStr">
        <x:is>
          <x:t xml:space="preserve">good_practice</x:t>
        </x:is>
      </x:c>
      <x:c r="H100" s="3" t="inlineStr">
        <x:is>
          <x:t xml:space="preserve"/>
        </x:is>
      </x:c>
      <x:c r="I100" s="3" t="inlineStr">
        <x:is>
          <x:t xml:space="preserve">Request_Evidence</x:t>
        </x:is>
      </x:c>
      <x:c r="J100" s="3" t="inlineStr">
        <x:is>
          <x:t xml:space="preserve">Y</x:t>
        </x:is>
      </x:c>
      <x:c r="K100" s="3" t="inlineStr">
        <x:is>
          <x:t xml:space="preserve"/>
        </x:is>
      </x:c>
    </x:row>
    <x:row r="101">
      <x:c r="A101" s="3" t="inlineStr">
        <x:is>
          <x:t xml:space="preserve">Executive</x:t>
        </x:is>
      </x:c>
      <x:c r="B101" s="3" t="inlineStr">
        <x:is>
          <x:t xml:space="preserve">EXCO-D3-Q05</x:t>
        </x:is>
      </x:c>
      <x:c r="C101" s="3" t="inlineStr">
        <x:is>
          <x:t xml:space="preserve">EXCO-D3-Q05-A5</x:t>
        </x:is>
      </x:c>
      <x:c r="D101" s="3" t="n">
        <x:v>6</x:v>
      </x:c>
      <x:c r="E101" s="3" t="inlineStr">
        <x:is>
          <x:t xml:space="preserve">Tamper-evident logs and regular independent checks/audits of the evidence process.</x:t>
        </x:is>
      </x:c>
      <x:c r="F101" s="3" t="n">
        <x:v>4</x:v>
      </x:c>
      <x:c r="G101" s="3" t="inlineStr">
        <x:is>
          <x:t xml:space="preserve">optimized</x:t>
        </x:is>
      </x:c>
      <x:c r="H101" s="3" t="inlineStr">
        <x:is>
          <x:t xml:space="preserve"/>
        </x:is>
      </x:c>
      <x:c r="I101" s="3" t="inlineStr">
        <x:is>
          <x:t xml:space="preserve">Request_Evidence</x:t>
        </x:is>
      </x:c>
      <x:c r="J101" s="3" t="inlineStr">
        <x:is>
          <x:t xml:space="preserve">Y</x:t>
        </x:is>
      </x:c>
      <x:c r="K101" s="3" t="inlineStr">
        <x:is>
          <x:t xml:space="preserve"/>
        </x:is>
      </x:c>
    </x:row>
    <x:row r="102">
      <x:c r="A102" s="3" t="inlineStr">
        <x:is>
          <x:t xml:space="preserve">Executive</x:t>
        </x:is>
      </x:c>
      <x:c r="B102" s="3" t="inlineStr">
        <x:is>
          <x:t xml:space="preserve">EXCO-D3-Q06</x:t>
        </x:is>
      </x:c>
      <x:c r="C102" s="3" t="inlineStr">
        <x:is>
          <x:t xml:space="preserve">EXCO-D3-Q06-A0</x:t>
        </x:is>
      </x:c>
      <x:c r="D102" s="3" t="n">
        <x:v>1</x:v>
      </x:c>
      <x:c r="E102" s="3" t="inlineStr">
        <x:is>
          <x:t xml:space="preserve">I don’t know / not sure.</x:t>
        </x:is>
      </x:c>
      <x:c r="F102" s="3" t="n">
        <x:v>0</x:v>
      </x:c>
      <x:c r="G102" s="3" t="inlineStr">
        <x:is>
          <x:t xml:space="preserve">unknown</x:t>
        </x:is>
      </x:c>
      <x:c r="H102" s="3" t="inlineStr">
        <x:is>
          <x:t xml:space="preserve">Unknown</x:t>
        </x:is>
      </x:c>
      <x:c r="I102" s="3" t="inlineStr">
        <x:is>
          <x:t xml:space="preserve">Assess_Data_Residency</x:t>
        </x:is>
      </x:c>
      <x:c r="J102" s="3" t="inlineStr">
        <x:is>
          <x:t xml:space="preserve">N</x:t>
        </x:is>
      </x:c>
      <x:c r="K102" s="3" t="inlineStr">
        <x:is>
          <x:t xml:space="preserve"/>
        </x:is>
      </x:c>
    </x:row>
    <x:row r="103">
      <x:c r="A103" s="3" t="inlineStr">
        <x:is>
          <x:t xml:space="preserve">Executive</x:t>
        </x:is>
      </x:c>
      <x:c r="B103" s="3" t="inlineStr">
        <x:is>
          <x:t xml:space="preserve">EXCO-D3-Q06</x:t>
        </x:is>
      </x:c>
      <x:c r="C103" s="3" t="inlineStr">
        <x:is>
          <x:t xml:space="preserve">EXCO-D3-Q06-A1</x:t>
        </x:is>
      </x:c>
      <x:c r="D103" s="3" t="n">
        <x:v>2</x:v>
      </x:c>
      <x:c r="E103" s="3" t="inlineStr">
        <x:is>
          <x:t xml:space="preserve">No—storage locations and retention are not tracked or controlled.</x:t>
        </x:is>
      </x:c>
      <x:c r="F103" s="3" t="n">
        <x:v>0</x:v>
      </x:c>
      <x:c r="G103" s="3" t="inlineStr">
        <x:is>
          <x:t xml:space="preserve">legal_red_flag</x:t>
        </x:is>
      </x:c>
      <x:c r="H103" s="3" t="inlineStr">
        <x:is>
          <x:t xml:space="preserve">Legal Exposure</x:t>
        </x:is>
      </x:c>
      <x:c r="I103" s="3" t="inlineStr">
        <x:is>
          <x:t xml:space="preserve">Residency_Retention_Remediation</x:t>
        </x:is>
      </x:c>
      <x:c r="J103" s="3" t="inlineStr">
        <x:is>
          <x:t xml:space="preserve">N</x:t>
        </x:is>
      </x:c>
      <x:c r="K103" s="3" t="inlineStr">
        <x:is>
          <x:t xml:space="preserve"/>
        </x:is>
      </x:c>
    </x:row>
    <x:row r="104">
      <x:c r="A104" s="3" t="inlineStr">
        <x:is>
          <x:t xml:space="preserve">Executive</x:t>
        </x:is>
      </x:c>
      <x:c r="B104" s="3" t="inlineStr">
        <x:is>
          <x:t xml:space="preserve">EXCO-D3-Q06</x:t>
        </x:is>
      </x:c>
      <x:c r="C104" s="3" t="inlineStr">
        <x:is>
          <x:t xml:space="preserve">EXCO-D3-Q06-A2</x:t>
        </x:is>
      </x:c>
      <x:c r="D104" s="3" t="n">
        <x:v>3</x:v>
      </x:c>
      <x:c r="E104" s="3" t="inlineStr">
        <x:is>
          <x:t xml:space="preserve">Policy says ‘keep it local/limited’, but the technical reality varies by tool/region.</x:t>
        </x:is>
      </x:c>
      <x:c r="F104" s="3" t="n">
        <x:v>1</x:v>
      </x:c>
      <x:c r="G104" s="3" t="inlineStr">
        <x:is>
          <x:t xml:space="preserve">paper_dragon_signal</x:t>
        </x:is>
      </x:c>
      <x:c r="H104" s="3" t="inlineStr">
        <x:is>
          <x:t xml:space="preserve">Paper Dragon</x:t>
        </x:is>
      </x:c>
      <x:c r="I104" s="3" t="inlineStr">
        <x:is>
          <x:t xml:space="preserve">Validate_Tech_Reality</x:t>
        </x:is>
      </x:c>
      <x:c r="J104" s="3" t="inlineStr">
        <x:is>
          <x:t xml:space="preserve">N</x:t>
        </x:is>
      </x:c>
      <x:c r="K104" s="3" t="inlineStr">
        <x:is>
          <x:t xml:space="preserve"/>
        </x:is>
      </x:c>
    </x:row>
    <x:row r="105">
      <x:c r="A105" s="3" t="inlineStr">
        <x:is>
          <x:t xml:space="preserve">Executive</x:t>
        </x:is>
      </x:c>
      <x:c r="B105" s="3" t="inlineStr">
        <x:is>
          <x:t xml:space="preserve">EXCO-D3-Q06</x:t>
        </x:is>
      </x:c>
      <x:c r="C105" s="3" t="inlineStr">
        <x:is>
          <x:t xml:space="preserve">EXCO-D3-Q06-A3</x:t>
        </x:is>
      </x:c>
      <x:c r="D105" s="3" t="n">
        <x:v>4</x:v>
      </x:c>
      <x:c r="E105" s="3" t="inlineStr">
        <x:is>
          <x:t xml:space="preserve">We have defined retention and know primary storage regions, but auditing is limited.</x:t>
        </x:is>
      </x:c>
      <x:c r="F105" s="3" t="n">
        <x:v>2</x:v>
      </x:c>
      <x:c r="G105" s="3" t="inlineStr">
        <x:is>
          <x:t xml:space="preserve">partial_maturity</x:t>
        </x:is>
      </x:c>
      <x:c r="H105" s="3" t="inlineStr">
        <x:is>
          <x:t xml:space="preserve"/>
        </x:is>
      </x:c>
      <x:c r="I105" s="3" t="inlineStr">
        <x:is>
          <x:t xml:space="preserve">Improve_Auditability</x:t>
        </x:is>
      </x:c>
      <x:c r="J105" s="3" t="inlineStr">
        <x:is>
          <x:t xml:space="preserve">N</x:t>
        </x:is>
      </x:c>
      <x:c r="K105" s="3" t="inlineStr">
        <x:is>
          <x:t xml:space="preserve"/>
        </x:is>
      </x:c>
    </x:row>
    <x:row r="106">
      <x:c r="A106" s="3" t="inlineStr">
        <x:is>
          <x:t xml:space="preserve">Executive</x:t>
        </x:is>
      </x:c>
      <x:c r="B106" s="3" t="inlineStr">
        <x:is>
          <x:t xml:space="preserve">EXCO-D3-Q06</x:t>
        </x:is>
      </x:c>
      <x:c r="C106" s="3" t="inlineStr">
        <x:is>
          <x:t xml:space="preserve">EXCO-D3-Q06-A4</x:t>
        </x:is>
      </x:c>
      <x:c r="D106" s="3" t="n">
        <x:v>5</x:v>
      </x:c>
      <x:c r="E106" s="3" t="inlineStr">
        <x:is>
          <x:t xml:space="preserve">Retention, access, and storage locations are controlled and reviewed; exceptions are approved.</x:t>
        </x:is>
      </x:c>
      <x:c r="F106" s="3" t="n">
        <x:v>3</x:v>
      </x:c>
      <x:c r="G106" s="3" t="inlineStr">
        <x:is>
          <x:t xml:space="preserve">good_practice</x:t>
        </x:is>
      </x:c>
      <x:c r="H106" s="3" t="inlineStr">
        <x:is>
          <x:t xml:space="preserve"/>
        </x:is>
      </x:c>
      <x:c r="I106" s="3" t="inlineStr">
        <x:is>
          <x:t xml:space="preserve">Request_Evidence</x:t>
        </x:is>
      </x:c>
      <x:c r="J106" s="3" t="inlineStr">
        <x:is>
          <x:t xml:space="preserve">Y</x:t>
        </x:is>
      </x:c>
      <x:c r="K106" s="3" t="inlineStr">
        <x:is>
          <x:t xml:space="preserve"/>
        </x:is>
      </x:c>
    </x:row>
    <x:row r="107">
      <x:c r="A107" s="3" t="inlineStr">
        <x:is>
          <x:t xml:space="preserve">Executive</x:t>
        </x:is>
      </x:c>
      <x:c r="B107" s="3" t="inlineStr">
        <x:is>
          <x:t xml:space="preserve">EXCO-D3-Q06</x:t>
        </x:is>
      </x:c>
      <x:c r="C107" s="3" t="inlineStr">
        <x:is>
          <x:t xml:space="preserve">EXCO-D3-Q06-A5</x:t>
        </x:is>
      </x:c>
      <x:c r="D107" s="3" t="n">
        <x:v>6</x:v>
      </x:c>
      <x:c r="E107" s="3" t="inlineStr">
        <x:is>
          <x:t xml:space="preserve">Automated controls (geo-fencing/region controls) with audits and reporting.</x:t>
        </x:is>
      </x:c>
      <x:c r="F107" s="3" t="n">
        <x:v>4</x:v>
      </x:c>
      <x:c r="G107" s="3" t="inlineStr">
        <x:is>
          <x:t xml:space="preserve">optimized</x:t>
        </x:is>
      </x:c>
      <x:c r="H107" s="3" t="inlineStr">
        <x:is>
          <x:t xml:space="preserve"/>
        </x:is>
      </x:c>
      <x:c r="I107" s="3" t="inlineStr">
        <x:is>
          <x:t xml:space="preserve">Request_Evidence</x:t>
        </x:is>
      </x:c>
      <x:c r="J107" s="3" t="inlineStr">
        <x:is>
          <x:t xml:space="preserve">Y</x:t>
        </x:is>
      </x:c>
      <x:c r="K107" s="3" t="inlineStr">
        <x:is>
          <x:t xml:space="preserve"/>
        </x:is>
      </x:c>
    </x:row>
    <x:row r="108">
      <x:c r="A108" s="3" t="inlineStr">
        <x:is>
          <x:t xml:space="preserve">Executive</x:t>
        </x:is>
      </x:c>
      <x:c r="B108" s="3" t="inlineStr">
        <x:is>
          <x:t xml:space="preserve">EXCO-D4-Q01</x:t>
        </x:is>
      </x:c>
      <x:c r="C108" s="3" t="inlineStr">
        <x:is>
          <x:t xml:space="preserve">EXCO-D4-Q01-A0</x:t>
        </x:is>
      </x:c>
      <x:c r="D108" s="3" t="n">
        <x:v>1</x:v>
      </x:c>
      <x:c r="E108" s="3" t="inlineStr">
        <x:is>
          <x:t xml:space="preserve">I don’t know / not sure.</x:t>
        </x:is>
      </x:c>
      <x:c r="F108" s="3" t="n">
        <x:v>0</x:v>
      </x:c>
      <x:c r="G108" s="3" t="inlineStr">
        <x:is>
          <x:t xml:space="preserve">unknown</x:t>
        </x:is>
      </x:c>
      <x:c r="H108" s="3" t="inlineStr">
        <x:is>
          <x:t xml:space="preserve">Unknown</x:t>
        </x:is>
      </x:c>
      <x:c r="I108" s="3" t="inlineStr">
        <x:is>
          <x:t xml:space="preserve">Culture_Diagnostics</x:t>
        </x:is>
      </x:c>
      <x:c r="J108" s="3" t="inlineStr">
        <x:is>
          <x:t xml:space="preserve">N</x:t>
        </x:is>
      </x:c>
      <x:c r="K108" s="3" t="inlineStr">
        <x:is>
          <x:t xml:space="preserve"/>
        </x:is>
      </x:c>
    </x:row>
    <x:row r="109">
      <x:c r="A109" s="3" t="inlineStr">
        <x:is>
          <x:t xml:space="preserve">Executive</x:t>
        </x:is>
      </x:c>
      <x:c r="B109" s="3" t="inlineStr">
        <x:is>
          <x:t xml:space="preserve">EXCO-D4-Q01</x:t>
        </x:is>
      </x:c>
      <x:c r="C109" s="3" t="inlineStr">
        <x:is>
          <x:t xml:space="preserve">EXCO-D4-Q01-A1</x:t>
        </x:is>
      </x:c>
      <x:c r="D109" s="3" t="n">
        <x:v>2</x:v>
      </x:c>
      <x:c r="E109" s="3" t="inlineStr">
        <x:is>
          <x:t xml:space="preserve">Unsafe—people fear retaliation or being labelled a troublemaker.</x:t>
        </x:is>
      </x:c>
      <x:c r="F109" s="3" t="n">
        <x:v>0</x:v>
      </x:c>
      <x:c r="G109" s="3" t="inlineStr">
        <x:is>
          <x:t xml:space="preserve">culture_risk,toxic_enforcer_signal</x:t>
        </x:is>
      </x:c>
      <x:c r="H109" s="3" t="inlineStr">
        <x:is>
          <x:t xml:space="preserve">Culture Risk</x:t>
        </x:is>
      </x:c>
      <x:c r="I109" s="3" t="inlineStr">
        <x:is>
          <x:t xml:space="preserve">Culture_Workshop</x:t>
        </x:is>
      </x:c>
      <x:c r="J109" s="3" t="inlineStr">
        <x:is>
          <x:t xml:space="preserve">N</x:t>
        </x:is>
      </x:c>
      <x:c r="K109" s="3" t="inlineStr">
        <x:is>
          <x:t xml:space="preserve"/>
        </x:is>
      </x:c>
    </x:row>
    <x:row r="110">
      <x:c r="A110" s="3" t="inlineStr">
        <x:is>
          <x:t xml:space="preserve">Executive</x:t>
        </x:is>
      </x:c>
      <x:c r="B110" s="3" t="inlineStr">
        <x:is>
          <x:t xml:space="preserve">EXCO-D4-Q01</x:t>
        </x:is>
      </x:c>
      <x:c r="C110" s="3" t="inlineStr">
        <x:is>
          <x:t xml:space="preserve">EXCO-D4-Q01-A2</x:t>
        </x:is>
      </x:c>
      <x:c r="D110" s="3" t="n">
        <x:v>3</x:v>
      </x:c>
      <x:c r="E110" s="3" t="inlineStr">
        <x:is>
          <x:t xml:space="preserve">Some people report issues informally to trusted managers; outcomes depend on who you are.</x:t>
        </x:is>
      </x:c>
      <x:c r="F110" s="3" t="n">
        <x:v>1</x:v>
      </x:c>
      <x:c r="G110" s="3" t="inlineStr">
        <x:is>
          <x:t xml:space="preserve">informal_only</x:t>
        </x:is>
      </x:c>
      <x:c r="H110" s="3" t="inlineStr">
        <x:is>
          <x:t xml:space="preserve">Operating Model Gap</x:t>
        </x:is>
      </x:c>
      <x:c r="I110" s="3" t="inlineStr">
        <x:is>
          <x:t xml:space="preserve">Strengthen_SpeakUp</x:t>
        </x:is>
      </x:c>
      <x:c r="J110" s="3" t="inlineStr">
        <x:is>
          <x:t xml:space="preserve">N</x:t>
        </x:is>
      </x:c>
      <x:c r="K110" s="3" t="inlineStr">
        <x:is>
          <x:t xml:space="preserve"/>
        </x:is>
      </x:c>
    </x:row>
    <x:row r="111">
      <x:c r="A111" s="3" t="inlineStr">
        <x:is>
          <x:t xml:space="preserve">Executive</x:t>
        </x:is>
      </x:c>
      <x:c r="B111" s="3" t="inlineStr">
        <x:is>
          <x:t xml:space="preserve">EXCO-D4-Q01</x:t>
        </x:is>
      </x:c>
      <x:c r="C111" s="3" t="inlineStr">
        <x:is>
          <x:t xml:space="preserve">EXCO-D4-Q01-A3</x:t>
        </x:is>
      </x:c>
      <x:c r="D111" s="3" t="n">
        <x:v>4</x:v>
      </x:c>
      <x:c r="E111" s="3" t="inlineStr">
        <x:is>
          <x:t xml:space="preserve">We have formal channels (hotline/HR), but people don’t trust them or rarely use them.</x:t>
        </x:is>
      </x:c>
      <x:c r="F111" s="3" t="n">
        <x:v>2</x:v>
      </x:c>
      <x:c r="G111" s="3" t="inlineStr">
        <x:is>
          <x:t xml:space="preserve">paper_process</x:t>
        </x:is>
      </x:c>
      <x:c r="H111" s="3" t="inlineStr">
        <x:is>
          <x:t xml:space="preserve">Paper Dragon</x:t>
        </x:is>
      </x:c>
      <x:c r="I111" s="3" t="inlineStr">
        <x:is>
          <x:t xml:space="preserve">Improve_SpeakUp_System</x:t>
        </x:is>
      </x:c>
      <x:c r="J111" s="3" t="inlineStr">
        <x:is>
          <x:t xml:space="preserve">N</x:t>
        </x:is>
      </x:c>
      <x:c r="K111" s="3" t="inlineStr">
        <x:is>
          <x:t xml:space="preserve"/>
        </x:is>
      </x:c>
    </x:row>
    <x:row r="112">
      <x:c r="A112" s="3" t="inlineStr">
        <x:is>
          <x:t xml:space="preserve">Executive</x:t>
        </x:is>
      </x:c>
      <x:c r="B112" s="3" t="inlineStr">
        <x:is>
          <x:t xml:space="preserve">EXCO-D4-Q01</x:t>
        </x:is>
      </x:c>
      <x:c r="C112" s="3" t="inlineStr">
        <x:is>
          <x:t xml:space="preserve">EXCO-D4-Q01-A4</x:t>
        </x:is>
      </x:c>
      <x:c r="D112" s="3" t="n">
        <x:v>5</x:v>
      </x:c>
      <x:c r="E112" s="3" t="inlineStr">
        <x:is>
          <x:t xml:space="preserve">People generally trust reporting channels; retaliation is actively prevented and investigated.</x:t>
        </x:is>
      </x:c>
      <x:c r="F112" s="3" t="n">
        <x:v>3</x:v>
      </x:c>
      <x:c r="G112" s="3" t="inlineStr">
        <x:is>
          <x:t xml:space="preserve">good_practice</x:t>
        </x:is>
      </x:c>
      <x:c r="H112" s="3" t="inlineStr">
        <x:is>
          <x:t xml:space="preserve"/>
        </x:is>
      </x:c>
      <x:c r="I112" s="3" t="inlineStr">
        <x:is>
          <x:t xml:space="preserve">Request_Evidence</x:t>
        </x:is>
      </x:c>
      <x:c r="J112" s="3" t="inlineStr">
        <x:is>
          <x:t xml:space="preserve">Y</x:t>
        </x:is>
      </x:c>
      <x:c r="K112" s="3" t="inlineStr">
        <x:is>
          <x:t xml:space="preserve">Provide policy/metrics: number of reports, time to respond, retaliation cases.</x:t>
        </x:is>
      </x:c>
    </x:row>
    <x:row r="113">
      <x:c r="A113" s="3" t="inlineStr">
        <x:is>
          <x:t xml:space="preserve">Executive</x:t>
        </x:is>
      </x:c>
      <x:c r="B113" s="3" t="inlineStr">
        <x:is>
          <x:t xml:space="preserve">EXCO-D4-Q01</x:t>
        </x:is>
      </x:c>
      <x:c r="C113" s="3" t="inlineStr">
        <x:is>
          <x:t xml:space="preserve">EXCO-D4-Q01-A5</x:t>
        </x:is>
      </x:c>
      <x:c r="D113" s="3" t="n">
        <x:v>6</x:v>
      </x:c>
      <x:c r="E113" s="3" t="inlineStr">
        <x:is>
          <x:t xml:space="preserve">Speak-up is normalised; feedback loops exist and positive reporting is recognised.</x:t>
        </x:is>
      </x:c>
      <x:c r="F113" s="3" t="n">
        <x:v>4</x:v>
      </x:c>
      <x:c r="G113" s="3" t="inlineStr">
        <x:is>
          <x:t xml:space="preserve">optimized</x:t>
        </x:is>
      </x:c>
      <x:c r="H113" s="3" t="inlineStr">
        <x:is>
          <x:t xml:space="preserve"/>
        </x:is>
      </x:c>
      <x:c r="I113" s="3" t="inlineStr">
        <x:is>
          <x:t xml:space="preserve">Request_Evidence</x:t>
        </x:is>
      </x:c>
      <x:c r="J113" s="3" t="inlineStr">
        <x:is>
          <x:t xml:space="preserve">Y</x:t>
        </x:is>
      </x:c>
      <x:c r="K113" s="3" t="inlineStr">
        <x:is>
          <x:t xml:space="preserve"/>
        </x:is>
      </x:c>
    </x:row>
    <x:row r="114">
      <x:c r="A114" s="3" t="inlineStr">
        <x:is>
          <x:t xml:space="preserve">Executive</x:t>
        </x:is>
      </x:c>
      <x:c r="B114" s="3" t="inlineStr">
        <x:is>
          <x:t xml:space="preserve">EXCO-D4-Q02</x:t>
        </x:is>
      </x:c>
      <x:c r="C114" s="3" t="inlineStr">
        <x:is>
          <x:t xml:space="preserve">EXCO-D4-Q02-A1</x:t>
        </x:is>
      </x:c>
      <x:c r="D114" s="3" t="n">
        <x:v>1</x:v>
      </x:c>
      <x:c r="E114" s="3" t="inlineStr">
        <x:is>
          <x:t xml:space="preserve">No—security decisions are final; there is no independent review.</x:t>
        </x:is>
      </x:c>
      <x:c r="F114" s="3" t="n">
        <x:v>0</x:v>
      </x:c>
      <x:c r="G114" s="3" t="inlineStr">
        <x:is>
          <x:t xml:space="preserve">toxic_enforcer_signal,legal_red_flag</x:t>
        </x:is>
      </x:c>
      <x:c r="H114" s="3" t="inlineStr">
        <x:is>
          <x:t xml:space="preserve">Toxic Enforcer</x:t>
        </x:is>
      </x:c>
      <x:c r="I114" s="3" t="inlineStr">
        <x:is>
          <x:t xml:space="preserve">Add_Appeals_Process</x:t>
        </x:is>
      </x:c>
      <x:c r="J114" s="3" t="inlineStr">
        <x:is>
          <x:t xml:space="preserve">N</x:t>
        </x:is>
      </x:c>
      <x:c r="K114" s="3" t="inlineStr">
        <x:is>
          <x:t xml:space="preserve"/>
        </x:is>
      </x:c>
    </x:row>
    <x:row r="115">
      <x:c r="A115" s="3" t="inlineStr">
        <x:is>
          <x:t xml:space="preserve">Executive</x:t>
        </x:is>
      </x:c>
      <x:c r="B115" s="3" t="inlineStr">
        <x:is>
          <x:t xml:space="preserve">EXCO-D4-Q02</x:t>
        </x:is>
      </x:c>
      <x:c r="C115" s="3" t="inlineStr">
        <x:is>
          <x:t xml:space="preserve">EXCO-D4-Q02-A2</x:t>
        </x:is>
      </x:c>
      <x:c r="D115" s="3" t="n">
        <x:v>2</x:v>
      </x:c>
      <x:c r="E115" s="3" t="inlineStr">
        <x:is>
          <x:t xml:space="preserve">Only informal complaints to managers; outcomes vary.</x:t>
        </x:is>
      </x:c>
      <x:c r="F115" s="3" t="n">
        <x:v>1</x:v>
      </x:c>
      <x:c r="G115" s="3" t="inlineStr">
        <x:is>
          <x:t xml:space="preserve">inconsistent_execution</x:t>
        </x:is>
      </x:c>
      <x:c r="H115" s="3" t="inlineStr">
        <x:is>
          <x:t xml:space="preserve">Culture Risk</x:t>
        </x:is>
      </x:c>
      <x:c r="I115" s="3" t="inlineStr">
        <x:is>
          <x:t xml:space="preserve">Add_Appeals_Process</x:t>
        </x:is>
      </x:c>
      <x:c r="J115" s="3" t="inlineStr">
        <x:is>
          <x:t xml:space="preserve">N</x:t>
        </x:is>
      </x:c>
      <x:c r="K115" s="3" t="inlineStr">
        <x:is>
          <x:t xml:space="preserve"/>
        </x:is>
      </x:c>
    </x:row>
    <x:row r="116">
      <x:c r="A116" s="3" t="inlineStr">
        <x:is>
          <x:t xml:space="preserve">Executive</x:t>
        </x:is>
      </x:c>
      <x:c r="B116" s="3" t="inlineStr">
        <x:is>
          <x:t xml:space="preserve">EXCO-D4-Q02</x:t>
        </x:is>
      </x:c>
      <x:c r="C116" s="3" t="inlineStr">
        <x:is>
          <x:t xml:space="preserve">EXCO-D4-Q02-A3</x:t>
        </x:is>
      </x:c>
      <x:c r="D116" s="3" t="n">
        <x:v>3</x:v>
      </x:c>
      <x:c r="E116" s="3" t="inlineStr">
        <x:is>
          <x:t xml:space="preserve">There is a general HR grievance route, but it’s not designed for monitoring/investigation fairness.</x:t>
        </x:is>
      </x:c>
      <x:c r="F116" s="3" t="n">
        <x:v>2</x:v>
      </x:c>
      <x:c r="G116" s="3" t="inlineStr">
        <x:is>
          <x:t xml:space="preserve">paper_process</x:t>
        </x:is>
      </x:c>
      <x:c r="H116" s="3" t="inlineStr">
        <x:is>
          <x:t xml:space="preserve">Paper Dragon</x:t>
        </x:is>
      </x:c>
      <x:c r="I116" s="3" t="inlineStr">
        <x:is>
          <x:t xml:space="preserve">Design_Fairness_Process</x:t>
        </x:is>
      </x:c>
      <x:c r="J116" s="3" t="inlineStr">
        <x:is>
          <x:t xml:space="preserve">N</x:t>
        </x:is>
      </x:c>
      <x:c r="K116" s="3" t="inlineStr">
        <x:is>
          <x:t xml:space="preserve"/>
        </x:is>
      </x:c>
    </x:row>
    <x:row r="117">
      <x:c r="A117" s="3" t="inlineStr">
        <x:is>
          <x:t xml:space="preserve">Executive</x:t>
        </x:is>
      </x:c>
      <x:c r="B117" s="3" t="inlineStr">
        <x:is>
          <x:t xml:space="preserve">EXCO-D4-Q02</x:t>
        </x:is>
      </x:c>
      <x:c r="C117" s="3" t="inlineStr">
        <x:is>
          <x:t xml:space="preserve">EXCO-D4-Q02-A4</x:t>
        </x:is>
      </x:c>
      <x:c r="D117" s="3" t="n">
        <x:v>4</x:v>
      </x:c>
      <x:c r="E117" s="3" t="inlineStr">
        <x:is>
          <x:t xml:space="preserve">Independent review exists (privacy/ombuds); outcomes are documented.</x:t>
        </x:is>
      </x:c>
      <x:c r="F117" s="3" t="n">
        <x:v>3</x:v>
      </x:c>
      <x:c r="G117" s="3" t="inlineStr">
        <x:is>
          <x:t xml:space="preserve">good_practice</x:t>
        </x:is>
      </x:c>
      <x:c r="H117" s="3" t="inlineStr">
        <x:is>
          <x:t xml:space="preserve"/>
        </x:is>
      </x:c>
      <x:c r="I117" s="3" t="inlineStr">
        <x:is>
          <x:t xml:space="preserve">Request_Evidence</x:t>
        </x:is>
      </x:c>
      <x:c r="J117" s="3" t="inlineStr">
        <x:is>
          <x:t xml:space="preserve">Y</x:t>
        </x:is>
      </x:c>
      <x:c r="K117" s="3" t="inlineStr">
        <x:is>
          <x:t xml:space="preserve"/>
        </x:is>
      </x:c>
    </x:row>
    <x:row r="118">
      <x:c r="A118" s="3" t="inlineStr">
        <x:is>
          <x:t xml:space="preserve">Executive</x:t>
        </x:is>
      </x:c>
      <x:c r="B118" s="3" t="inlineStr">
        <x:is>
          <x:t xml:space="preserve">EXCO-D4-Q02</x:t>
        </x:is>
      </x:c>
      <x:c r="C118" s="3" t="inlineStr">
        <x:is>
          <x:t xml:space="preserve">EXCO-D4-Q02-A5</x:t>
        </x:is>
      </x:c>
      <x:c r="D118" s="3" t="n">
        <x:v>5</x:v>
      </x:c>
      <x:c r="E118" s="3" t="inlineStr">
        <x:is>
          <x:t xml:space="preserve">Transparent multi-department appeal with audit trail and periodic review.</x:t>
        </x:is>
      </x:c>
      <x:c r="F118" s="3" t="n">
        <x:v>4</x:v>
      </x:c>
      <x:c r="G118" s="3" t="inlineStr">
        <x:is>
          <x:t xml:space="preserve">optimized</x:t>
        </x:is>
      </x:c>
      <x:c r="H118" s="3" t="inlineStr">
        <x:is>
          <x:t xml:space="preserve"/>
        </x:is>
      </x:c>
      <x:c r="I118" s="3" t="inlineStr">
        <x:is>
          <x:t xml:space="preserve">Request_Evidence</x:t>
        </x:is>
      </x:c>
      <x:c r="J118" s="3" t="inlineStr">
        <x:is>
          <x:t xml:space="preserve">Y</x:t>
        </x:is>
      </x:c>
      <x:c r="K118" s="3" t="inlineStr">
        <x:is>
          <x:t xml:space="preserve"/>
        </x:is>
      </x:c>
    </x:row>
    <x:row r="119">
      <x:c r="A119" s="3" t="inlineStr">
        <x:is>
          <x:t xml:space="preserve">Executive</x:t>
        </x:is>
      </x:c>
      <x:c r="B119" s="3" t="inlineStr">
        <x:is>
          <x:t xml:space="preserve">EXCO-D4-Q03</x:t>
        </x:is>
      </x:c>
      <x:c r="C119" s="3" t="inlineStr">
        <x:is>
          <x:t xml:space="preserve">EXCO-D4-Q03-A0</x:t>
        </x:is>
      </x:c>
      <x:c r="D119" s="3" t="n">
        <x:v>1</x:v>
      </x:c>
      <x:c r="E119" s="3" t="inlineStr">
        <x:is>
          <x:t xml:space="preserve">I don’t know / not sure.</x:t>
        </x:is>
      </x:c>
      <x:c r="F119" s="3" t="n">
        <x:v>0</x:v>
      </x:c>
      <x:c r="G119" s="3" t="inlineStr">
        <x:is>
          <x:t xml:space="preserve">unknown</x:t>
        </x:is>
      </x:c>
      <x:c r="H119" s="3" t="inlineStr">
        <x:is>
          <x:t xml:space="preserve">Unknown</x:t>
        </x:is>
      </x:c>
      <x:c r="I119" s="3" t="inlineStr">
        <x:is>
          <x:t xml:space="preserve">Manager_Enablement</x:t>
        </x:is>
      </x:c>
      <x:c r="J119" s="3" t="inlineStr">
        <x:is>
          <x:t xml:space="preserve">N</x:t>
        </x:is>
      </x:c>
      <x:c r="K119" s="3" t="inlineStr">
        <x:is>
          <x:t xml:space="preserve"/>
        </x:is>
      </x:c>
    </x:row>
    <x:row r="120">
      <x:c r="A120" s="3" t="inlineStr">
        <x:is>
          <x:t xml:space="preserve">Executive</x:t>
        </x:is>
      </x:c>
      <x:c r="B120" s="3" t="inlineStr">
        <x:is>
          <x:t xml:space="preserve">EXCO-D4-Q03</x:t>
        </x:is>
      </x:c>
      <x:c r="C120" s="3" t="inlineStr">
        <x:is>
          <x:t xml:space="preserve">EXCO-D4-Q03-A1</x:t>
        </x:is>
      </x:c>
      <x:c r="D120" s="3" t="n">
        <x:v>2</x:v>
      </x:c>
      <x:c r="E120" s="3" t="inlineStr">
        <x:is>
          <x:t xml:space="preserve">There is no structured approach; issues are dealt with only after a serious event.</x:t>
        </x:is>
      </x:c>
      <x:c r="F120" s="3" t="n">
        <x:v>0</x:v>
      </x:c>
      <x:c r="G120" s="3" t="inlineStr">
        <x:is>
          <x:t xml:space="preserve">foundational_gap</x:t>
        </x:is>
      </x:c>
      <x:c r="H120" s="3" t="inlineStr">
        <x:is>
          <x:t xml:space="preserve">Culture Risk</x:t>
        </x:is>
      </x:c>
      <x:c r="I120" s="3" t="inlineStr">
        <x:is>
          <x:t xml:space="preserve">Manager_Enablement</x:t>
        </x:is>
      </x:c>
      <x:c r="J120" s="3" t="inlineStr">
        <x:is>
          <x:t xml:space="preserve">N</x:t>
        </x:is>
      </x:c>
      <x:c r="K120" s="3" t="inlineStr">
        <x:is>
          <x:t xml:space="preserve"/>
        </x:is>
      </x:c>
    </x:row>
    <x:row r="121">
      <x:c r="A121" s="3" t="inlineStr">
        <x:is>
          <x:t xml:space="preserve">Executive</x:t>
        </x:is>
      </x:c>
      <x:c r="B121" s="3" t="inlineStr">
        <x:is>
          <x:t xml:space="preserve">EXCO-D4-Q03</x:t>
        </x:is>
      </x:c>
      <x:c r="C121" s="3" t="inlineStr">
        <x:is>
          <x:t xml:space="preserve">EXCO-D4-Q03-A2</x:t>
        </x:is>
      </x:c>
      <x:c r="D121" s="3" t="n">
        <x:v>3</x:v>
      </x:c>
      <x:c r="E121" s="3" t="inlineStr">
        <x:is>
          <x:t xml:space="preserve">Depends on the manager; some intervene well, others avoid it.</x:t>
        </x:is>
      </x:c>
      <x:c r="F121" s="3" t="n">
        <x:v>1</x:v>
      </x:c>
      <x:c r="G121" s="3" t="inlineStr">
        <x:is>
          <x:t xml:space="preserve">inconsistent_execution</x:t>
        </x:is>
      </x:c>
      <x:c r="H121" s="3" t="inlineStr">
        <x:is>
          <x:t xml:space="preserve">Operating Model Gap</x:t>
        </x:is>
      </x:c>
      <x:c r="I121" s="3" t="inlineStr">
        <x:is>
          <x:t xml:space="preserve">Manager_Training</x:t>
        </x:is>
      </x:c>
      <x:c r="J121" s="3" t="inlineStr">
        <x:is>
          <x:t xml:space="preserve">N</x:t>
        </x:is>
      </x:c>
      <x:c r="K121" s="3" t="inlineStr">
        <x:is>
          <x:t xml:space="preserve"/>
        </x:is>
      </x:c>
    </x:row>
    <x:row r="122">
      <x:c r="A122" s="3" t="inlineStr">
        <x:is>
          <x:t xml:space="preserve">Executive</x:t>
        </x:is>
      </x:c>
      <x:c r="B122" s="3" t="inlineStr">
        <x:is>
          <x:t xml:space="preserve">EXCO-D4-Q03</x:t>
        </x:is>
      </x:c>
      <x:c r="C122" s="3" t="inlineStr">
        <x:is>
          <x:t xml:space="preserve">EXCO-D4-Q03-A3</x:t>
        </x:is>
      </x:c>
      <x:c r="D122" s="3" t="n">
        <x:v>4</x:v>
      </x:c>
      <x:c r="E122" s="3" t="inlineStr">
        <x:is>
          <x:t xml:space="preserve">HR provides guidance, but it’s not connected to insider risk or security concerns.</x:t>
        </x:is>
      </x:c>
      <x:c r="F122" s="3" t="n">
        <x:v>2</x:v>
      </x:c>
      <x:c r="G122" s="3" t="inlineStr">
        <x:is>
          <x:t xml:space="preserve">partial_maturity</x:t>
        </x:is>
      </x:c>
      <x:c r="H122" s="3" t="inlineStr">
        <x:is>
          <x:t xml:space="preserve"/>
        </x:is>
      </x:c>
      <x:c r="I122" s="3" t="inlineStr">
        <x:is>
          <x:t xml:space="preserve">Integrate_HR_Security</x:t>
        </x:is>
      </x:c>
      <x:c r="J122" s="3" t="inlineStr">
        <x:is>
          <x:t xml:space="preserve">N</x:t>
        </x:is>
      </x:c>
      <x:c r="K122" s="3" t="inlineStr">
        <x:is>
          <x:t xml:space="preserve"/>
        </x:is>
      </x:c>
    </x:row>
    <x:row r="123">
      <x:c r="A123" s="3" t="inlineStr">
        <x:is>
          <x:t xml:space="preserve">Executive</x:t>
        </x:is>
      </x:c>
      <x:c r="B123" s="3" t="inlineStr">
        <x:is>
          <x:t xml:space="preserve">EXCO-D4-Q03</x:t>
        </x:is>
      </x:c>
      <x:c r="C123" s="3" t="inlineStr">
        <x:is>
          <x:t xml:space="preserve">EXCO-D4-Q03-A4</x:t>
        </x:is>
      </x:c>
      <x:c r="D123" s="3" t="n">
        <x:v>5</x:v>
      </x:c>
      <x:c r="E123" s="3" t="inlineStr">
        <x:is>
          <x:t xml:space="preserve">Managers have clear guidance, escalation paths and support; interventions are tracked.</x:t>
        </x:is>
      </x:c>
      <x:c r="F123" s="3" t="n">
        <x:v>3</x:v>
      </x:c>
      <x:c r="G123" s="3" t="inlineStr">
        <x:is>
          <x:t xml:space="preserve">good_practice</x:t>
        </x:is>
      </x:c>
      <x:c r="H123" s="3" t="inlineStr">
        <x:is>
          <x:t xml:space="preserve"/>
        </x:is>
      </x:c>
      <x:c r="I123" s="3" t="inlineStr">
        <x:is>
          <x:t xml:space="preserve">Request_Evidence</x:t>
        </x:is>
      </x:c>
      <x:c r="J123" s="3" t="inlineStr">
        <x:is>
          <x:t xml:space="preserve">Y</x:t>
        </x:is>
      </x:c>
      <x:c r="K123" s="3" t="inlineStr">
        <x:is>
          <x:t xml:space="preserve"/>
        </x:is>
      </x:c>
    </x:row>
    <x:row r="124">
      <x:c r="A124" s="3" t="inlineStr">
        <x:is>
          <x:t xml:space="preserve">Executive</x:t>
        </x:is>
      </x:c>
      <x:c r="B124" s="3" t="inlineStr">
        <x:is>
          <x:t xml:space="preserve">EXCO-D4-Q03</x:t>
        </x:is>
      </x:c>
      <x:c r="C124" s="3" t="inlineStr">
        <x:is>
          <x:t xml:space="preserve">EXCO-D4-Q03-A5</x:t>
        </x:is>
      </x:c>
      <x:c r="D124" s="3" t="n">
        <x:v>6</x:v>
      </x:c>
      <x:c r="E124" s="3" t="inlineStr">
        <x:is>
          <x:t xml:space="preserve">Manager capability is measured; early interventions reduce repeat incidents; learning loops exist.</x:t>
        </x:is>
      </x:c>
      <x:c r="F124" s="3" t="n">
        <x:v>4</x:v>
      </x:c>
      <x:c r="G124" s="3" t="inlineStr">
        <x:is>
          <x:t xml:space="preserve">optimized</x:t>
        </x:is>
      </x:c>
      <x:c r="H124" s="3" t="inlineStr">
        <x:is>
          <x:t xml:space="preserve"/>
        </x:is>
      </x:c>
      <x:c r="I124" s="3" t="inlineStr">
        <x:is>
          <x:t xml:space="preserve">Request_Evidence</x:t>
        </x:is>
      </x:c>
      <x:c r="J124" s="3" t="inlineStr">
        <x:is>
          <x:t xml:space="preserve">Y</x:t>
        </x:is>
      </x:c>
      <x:c r="K124" s="3" t="inlineStr">
        <x:is>
          <x:t xml:space="preserve"/>
        </x:is>
      </x:c>
    </x:row>
    <x:row r="125">
      <x:c r="A125" s="3" t="inlineStr">
        <x:is>
          <x:t xml:space="preserve">Executive</x:t>
        </x:is>
      </x:c>
      <x:c r="B125" s="3" t="inlineStr">
        <x:is>
          <x:t xml:space="preserve">EXCO-D4-Q04</x:t>
        </x:is>
      </x:c>
      <x:c r="C125" s="3" t="inlineStr">
        <x:is>
          <x:t xml:space="preserve">EXCO-D4-Q04-A0</x:t>
        </x:is>
      </x:c>
      <x:c r="D125" s="3" t="n">
        <x:v>1</x:v>
      </x:c>
      <x:c r="E125" s="3" t="inlineStr">
        <x:is>
          <x:t xml:space="preserve">I don’t know / not sure.</x:t>
        </x:is>
      </x:c>
      <x:c r="F125" s="3" t="n">
        <x:v>0</x:v>
      </x:c>
      <x:c r="G125" s="3" t="inlineStr">
        <x:is>
          <x:t xml:space="preserve">unknown</x:t>
        </x:is>
      </x:c>
      <x:c r="H125" s="3" t="inlineStr">
        <x:is>
          <x:t xml:space="preserve">Unknown</x:t>
        </x:is>
      </x:c>
      <x:c r="I125" s="3" t="inlineStr">
        <x:is>
          <x:t xml:space="preserve">Culture_Workshop</x:t>
        </x:is>
      </x:c>
      <x:c r="J125" s="3" t="inlineStr">
        <x:is>
          <x:t xml:space="preserve">N</x:t>
        </x:is>
      </x:c>
      <x:c r="K125" s="3" t="inlineStr">
        <x:is>
          <x:t xml:space="preserve"/>
        </x:is>
      </x:c>
    </x:row>
    <x:row r="126">
      <x:c r="A126" s="3" t="inlineStr">
        <x:is>
          <x:t xml:space="preserve">Executive</x:t>
        </x:is>
      </x:c>
      <x:c r="B126" s="3" t="inlineStr">
        <x:is>
          <x:t xml:space="preserve">EXCO-D4-Q04</x:t>
        </x:is>
      </x:c>
      <x:c r="C126" s="3" t="inlineStr">
        <x:is>
          <x:t xml:space="preserve">EXCO-D4-Q04-A1</x:t>
        </x:is>
      </x:c>
      <x:c r="D126" s="3" t="n">
        <x:v>2</x:v>
      </x:c>
      <x:c r="E126" s="3" t="inlineStr">
        <x:is>
          <x:t xml:space="preserve">We mainly focus on catching and punishing bad behaviour.</x:t>
        </x:is>
      </x:c>
      <x:c r="F126" s="3" t="n">
        <x:v>0</x:v>
      </x:c>
      <x:c r="G126" s="3" t="inlineStr">
        <x:is>
          <x:t xml:space="preserve">toxic_enforcer_signal</x:t>
        </x:is>
      </x:c>
      <x:c r="H126" s="3" t="inlineStr">
        <x:is>
          <x:t xml:space="preserve">Toxic Enforcer</x:t>
        </x:is>
      </x:c>
      <x:c r="I126" s="3" t="inlineStr">
        <x:is>
          <x:t xml:space="preserve">Behavioral_Design</x:t>
        </x:is>
      </x:c>
      <x:c r="J126" s="3" t="inlineStr">
        <x:is>
          <x:t xml:space="preserve">N</x:t>
        </x:is>
      </x:c>
      <x:c r="K126" s="3" t="inlineStr">
        <x:is>
          <x:t xml:space="preserve"/>
        </x:is>
      </x:c>
    </x:row>
    <x:row r="127">
      <x:c r="A127" s="3" t="inlineStr">
        <x:is>
          <x:t xml:space="preserve">Executive</x:t>
        </x:is>
      </x:c>
      <x:c r="B127" s="3" t="inlineStr">
        <x:is>
          <x:t xml:space="preserve">EXCO-D4-Q04</x:t>
        </x:is>
      </x:c>
      <x:c r="C127" s="3" t="inlineStr">
        <x:is>
          <x:t xml:space="preserve">EXCO-D4-Q04-A2</x:t>
        </x:is>
      </x:c>
      <x:c r="D127" s="3" t="n">
        <x:v>3</x:v>
      </x:c>
      <x:c r="E127" s="3" t="inlineStr">
        <x:is>
          <x:t xml:space="preserve">Managers sometimes thank people informally, but nothing systematic exists.</x:t>
        </x:is>
      </x:c>
      <x:c r="F127" s="3" t="n">
        <x:v>1</x:v>
      </x:c>
      <x:c r="G127" s="3" t="inlineStr">
        <x:is>
          <x:t xml:space="preserve">informal_only</x:t>
        </x:is>
      </x:c>
      <x:c r="H127" s="3" t="inlineStr">
        <x:is>
          <x:t xml:space="preserve">Shadow Mature</x:t>
        </x:is>
      </x:c>
      <x:c r="I127" s="3" t="inlineStr">
        <x:is>
          <x:t xml:space="preserve">Formalize_Reinforcement</x:t>
        </x:is>
      </x:c>
      <x:c r="J127" s="3" t="inlineStr">
        <x:is>
          <x:t xml:space="preserve">N</x:t>
        </x:is>
      </x:c>
      <x:c r="K127" s="3" t="inlineStr">
        <x:is>
          <x:t xml:space="preserve"/>
        </x:is>
      </x:c>
    </x:row>
    <x:row r="128">
      <x:c r="A128" s="3" t="inlineStr">
        <x:is>
          <x:t xml:space="preserve">Executive</x:t>
        </x:is>
      </x:c>
      <x:c r="B128" s="3" t="inlineStr">
        <x:is>
          <x:t xml:space="preserve">EXCO-D4-Q04</x:t>
        </x:is>
      </x:c>
      <x:c r="C128" s="3" t="inlineStr">
        <x:is>
          <x:t xml:space="preserve">EXCO-D4-Q04-A3</x:t>
        </x:is>
      </x:c>
      <x:c r="D128" s="3" t="n">
        <x:v>4</x:v>
      </x:c>
      <x:c r="E128" s="3" t="inlineStr">
        <x:is>
          <x:t xml:space="preserve">We do generic awareness communications, but behaviour change isn’t measured.</x:t>
        </x:is>
      </x:c>
      <x:c r="F128" s="3" t="n">
        <x:v>2</x:v>
      </x:c>
      <x:c r="G128" s="3" t="inlineStr">
        <x:is>
          <x:t xml:space="preserve">paper_process</x:t>
        </x:is>
      </x:c>
      <x:c r="H128" s="3" t="inlineStr">
        <x:is>
          <x:t xml:space="preserve">Paper Dragon</x:t>
        </x:is>
      </x:c>
      <x:c r="I128" s="3" t="inlineStr">
        <x:is>
          <x:t xml:space="preserve">Behavioral_Design</x:t>
        </x:is>
      </x:c>
      <x:c r="J128" s="3" t="inlineStr">
        <x:is>
          <x:t xml:space="preserve">N</x:t>
        </x:is>
      </x:c>
      <x:c r="K128" s="3" t="inlineStr">
        <x:is>
          <x:t xml:space="preserve"/>
        </x:is>
      </x:c>
    </x:row>
    <x:row r="129">
      <x:c r="A129" s="3" t="inlineStr">
        <x:is>
          <x:t xml:space="preserve">Executive</x:t>
        </x:is>
      </x:c>
      <x:c r="B129" s="3" t="inlineStr">
        <x:is>
          <x:t xml:space="preserve">EXCO-D4-Q04</x:t>
        </x:is>
      </x:c>
      <x:c r="C129" s="3" t="inlineStr">
        <x:is>
          <x:t xml:space="preserve">EXCO-D4-Q04-A4</x:t>
        </x:is>
      </x:c>
      <x:c r="D129" s="3" t="n">
        <x:v>5</x:v>
      </x:c>
      <x:c r="E129" s="3" t="inlineStr">
        <x:is>
          <x:t xml:space="preserve">We recognise good reporting and measure participation/engagement.</x:t>
        </x:is>
      </x:c>
      <x:c r="F129" s="3" t="n">
        <x:v>3</x:v>
      </x:c>
      <x:c r="G129" s="3" t="inlineStr">
        <x:is>
          <x:t xml:space="preserve">good_practice</x:t>
        </x:is>
      </x:c>
      <x:c r="H129" s="3" t="inlineStr">
        <x:is>
          <x:t xml:space="preserve"/>
        </x:is>
      </x:c>
      <x:c r="I129" s="3" t="inlineStr">
        <x:is>
          <x:t xml:space="preserve">Request_Evidence</x:t>
        </x:is>
      </x:c>
      <x:c r="J129" s="3" t="inlineStr">
        <x:is>
          <x:t xml:space="preserve">Y</x:t>
        </x:is>
      </x:c>
      <x:c r="K129" s="3" t="inlineStr">
        <x:is>
          <x:t xml:space="preserve"/>
        </x:is>
      </x:c>
    </x:row>
    <x:row r="130">
      <x:c r="A130" s="3" t="inlineStr">
        <x:is>
          <x:t xml:space="preserve">Executive</x:t>
        </x:is>
      </x:c>
      <x:c r="B130" s="3" t="inlineStr">
        <x:is>
          <x:t xml:space="preserve">EXCO-D4-Q04</x:t>
        </x:is>
      </x:c>
      <x:c r="C130" s="3" t="inlineStr">
        <x:is>
          <x:t xml:space="preserve">EXCO-D4-Q04-A5</x:t>
        </x:is>
      </x:c>
      <x:c r="D130" s="3" t="n">
        <x:v>6</x:v>
      </x:c>
      <x:c r="E130" s="3" t="inlineStr">
        <x:is>
          <x:t xml:space="preserve">We run behavioural programs (nudges, simplification, incentives) with measurable outcomes.</x:t>
        </x:is>
      </x:c>
      <x:c r="F130" s="3" t="n">
        <x:v>4</x:v>
      </x:c>
      <x:c r="G130" s="3" t="inlineStr">
        <x:is>
          <x:t xml:space="preserve">optimized</x:t>
        </x:is>
      </x:c>
      <x:c r="H130" s="3" t="inlineStr">
        <x:is>
          <x:t xml:space="preserve"/>
        </x:is>
      </x:c>
      <x:c r="I130" s="3" t="inlineStr">
        <x:is>
          <x:t xml:space="preserve">Request_Evidence</x:t>
        </x:is>
      </x:c>
      <x:c r="J130" s="3" t="inlineStr">
        <x:is>
          <x:t xml:space="preserve">Y</x:t>
        </x:is>
      </x:c>
      <x:c r="K130" s="3" t="inlineStr">
        <x:is>
          <x:t xml:space="preserve"/>
        </x:is>
      </x:c>
    </x:row>
    <x:row r="131">
      <x:c r="A131" s="3" t="inlineStr">
        <x:is>
          <x:t xml:space="preserve">Executive</x:t>
        </x:is>
      </x:c>
      <x:c r="B131" s="3" t="inlineStr">
        <x:is>
          <x:t xml:space="preserve">EXCO-D5-Q01</x:t>
        </x:is>
      </x:c>
      <x:c r="C131" s="3" t="inlineStr">
        <x:is>
          <x:t xml:space="preserve">EXCO-D5-Q01-A0</x:t>
        </x:is>
      </x:c>
      <x:c r="D131" s="3" t="n">
        <x:v>1</x:v>
      </x:c>
      <x:c r="E131" s="3" t="inlineStr">
        <x:is>
          <x:t xml:space="preserve">I don’t know / not sure.</x:t>
        </x:is>
      </x:c>
      <x:c r="F131" s="3" t="n">
        <x:v>0</x:v>
      </x:c>
      <x:c r="G131" s="3" t="inlineStr">
        <x:is>
          <x:t xml:space="preserve">unknown</x:t>
        </x:is>
      </x:c>
      <x:c r="H131" s="3" t="inlineStr">
        <x:is>
          <x:t xml:space="preserve">Unknown</x:t>
        </x:is>
      </x:c>
      <x:c r="I131" s="3" t="inlineStr">
        <x:is>
          <x:t xml:space="preserve">Assess_Friction</x:t>
        </x:is>
      </x:c>
      <x:c r="J131" s="3" t="inlineStr">
        <x:is>
          <x:t xml:space="preserve">N</x:t>
        </x:is>
      </x:c>
      <x:c r="K131" s="3" t="inlineStr">
        <x:is>
          <x:t xml:space="preserve"/>
        </x:is>
      </x:c>
    </x:row>
    <x:row r="132">
      <x:c r="A132" s="3" t="inlineStr">
        <x:is>
          <x:t xml:space="preserve">Executive</x:t>
        </x:is>
      </x:c>
      <x:c r="B132" s="3" t="inlineStr">
        <x:is>
          <x:t xml:space="preserve">EXCO-D5-Q01</x:t>
        </x:is>
      </x:c>
      <x:c r="C132" s="3" t="inlineStr">
        <x:is>
          <x:t xml:space="preserve">EXCO-D5-Q01-A1</x:t>
        </x:is>
      </x:c>
      <x:c r="D132" s="3" t="n">
        <x:v>2</x:v>
      </x:c>
      <x:c r="E132" s="3" t="inlineStr">
        <x:is>
          <x:t xml:space="preserve">High friction—controls frequently block normal work; people regularly use workarounds.</x:t>
        </x:is>
      </x:c>
      <x:c r="F132" s="3" t="n">
        <x:v>0</x:v>
      </x:c>
      <x:c r="G132" s="3" t="inlineStr">
        <x:is>
          <x:t xml:space="preserve">bypass_pressure</x:t>
        </x:is>
      </x:c>
      <x:c r="H132" s="3" t="inlineStr">
        <x:is>
          <x:t xml:space="preserve">Bypass Pressure</x:t>
        </x:is>
      </x:c>
      <x:c r="I132" s="3" t="inlineStr">
        <x:is>
          <x:t xml:space="preserve">Security_UX_Review</x:t>
        </x:is>
      </x:c>
      <x:c r="J132" s="3" t="inlineStr">
        <x:is>
          <x:t xml:space="preserve">N</x:t>
        </x:is>
      </x:c>
      <x:c r="K132" s="3" t="inlineStr">
        <x:is>
          <x:t xml:space="preserve"/>
        </x:is>
      </x:c>
    </x:row>
    <x:row r="133">
      <x:c r="A133" s="3" t="inlineStr">
        <x:is>
          <x:t xml:space="preserve">Executive</x:t>
        </x:is>
      </x:c>
      <x:c r="B133" s="3" t="inlineStr">
        <x:is>
          <x:t xml:space="preserve">EXCO-D5-Q01</x:t>
        </x:is>
      </x:c>
      <x:c r="C133" s="3" t="inlineStr">
        <x:is>
          <x:t xml:space="preserve">EXCO-D5-Q01-A2</x:t>
        </x:is>
      </x:c>
      <x:c r="D133" s="3" t="n">
        <x:v>3</x:v>
      </x:c>
      <x:c r="E133" s="3" t="inlineStr">
        <x:is>
          <x:t xml:space="preserve">Moderate friction—workarounds happen in some teams or processes.</x:t>
        </x:is>
      </x:c>
      <x:c r="F133" s="3" t="n">
        <x:v>1</x:v>
      </x:c>
      <x:c r="G133" s="3" t="inlineStr">
        <x:is>
          <x:t xml:space="preserve">bypass_pressure</x:t>
        </x:is>
      </x:c>
      <x:c r="H133" s="3" t="inlineStr">
        <x:is>
          <x:t xml:space="preserve">Bypass Pressure</x:t>
        </x:is>
      </x:c>
      <x:c r="I133" s="3" t="inlineStr">
        <x:is>
          <x:t xml:space="preserve">Security_UX_Review</x:t>
        </x:is>
      </x:c>
      <x:c r="J133" s="3" t="inlineStr">
        <x:is>
          <x:t xml:space="preserve">N</x:t>
        </x:is>
      </x:c>
      <x:c r="K133" s="3" t="inlineStr">
        <x:is>
          <x:t xml:space="preserve"/>
        </x:is>
      </x:c>
    </x:row>
    <x:row r="134">
      <x:c r="A134" s="3" t="inlineStr">
        <x:is>
          <x:t xml:space="preserve">Executive</x:t>
        </x:is>
      </x:c>
      <x:c r="B134" s="3" t="inlineStr">
        <x:is>
          <x:t xml:space="preserve">EXCO-D5-Q01</x:t>
        </x:is>
      </x:c>
      <x:c r="C134" s="3" t="inlineStr">
        <x:is>
          <x:t xml:space="preserve">EXCO-D5-Q01-A3</x:t>
        </x:is>
      </x:c>
      <x:c r="D134" s="3" t="n">
        <x:v>4</x:v>
      </x:c>
      <x:c r="E134" s="3" t="inlineStr">
        <x:is>
          <x:t xml:space="preserve">We think it’s fine, but we don’t measure exceptions, bypasses, or complaints.</x:t>
        </x:is>
      </x:c>
      <x:c r="F134" s="3" t="n">
        <x:v>2</x:v>
      </x:c>
      <x:c r="G134" s="3" t="inlineStr">
        <x:is>
          <x:t xml:space="preserve">blind_spot</x:t>
        </x:is>
      </x:c>
      <x:c r="H134" s="3" t="inlineStr">
        <x:is>
          <x:t xml:space="preserve">Paper Dragon</x:t>
        </x:is>
      </x:c>
      <x:c r="I134" s="3" t="inlineStr">
        <x:is>
          <x:t xml:space="preserve">Measure_Friction</x:t>
        </x:is>
      </x:c>
      <x:c r="J134" s="3" t="inlineStr">
        <x:is>
          <x:t xml:space="preserve">N</x:t>
        </x:is>
      </x:c>
      <x:c r="K134" s="3" t="inlineStr">
        <x:is>
          <x:t xml:space="preserve"/>
        </x:is>
      </x:c>
    </x:row>
    <x:row r="135">
      <x:c r="A135" s="3" t="inlineStr">
        <x:is>
          <x:t xml:space="preserve">Executive</x:t>
        </x:is>
      </x:c>
      <x:c r="B135" s="3" t="inlineStr">
        <x:is>
          <x:t xml:space="preserve">EXCO-D5-Q01</x:t>
        </x:is>
      </x:c>
      <x:c r="C135" s="3" t="inlineStr">
        <x:is>
          <x:t xml:space="preserve">EXCO-D5-Q01-A4</x:t>
        </x:is>
      </x:c>
      <x:c r="D135" s="3" t="n">
        <x:v>5</x:v>
      </x:c>
      <x:c r="E135" s="3" t="inlineStr">
        <x:is>
          <x:t xml:space="preserve">Friction is monitored (exceptions, tickets, false positives) and we improve controls regularly.</x:t>
        </x:is>
      </x:c>
      <x:c r="F135" s="3" t="n">
        <x:v>3</x:v>
      </x:c>
      <x:c r="G135" s="3" t="inlineStr">
        <x:is>
          <x:t xml:space="preserve">good_practice</x:t>
        </x:is>
      </x:c>
      <x:c r="H135" s="3" t="inlineStr">
        <x:is>
          <x:t xml:space="preserve"/>
        </x:is>
      </x:c>
      <x:c r="I135" s="3" t="inlineStr">
        <x:is>
          <x:t xml:space="preserve">Request_Evidence</x:t>
        </x:is>
      </x:c>
      <x:c r="J135" s="3" t="inlineStr">
        <x:is>
          <x:t xml:space="preserve">Y</x:t>
        </x:is>
      </x:c>
      <x:c r="K135" s="3" t="inlineStr">
        <x:is>
          <x:t xml:space="preserve"/>
        </x:is>
      </x:c>
    </x:row>
    <x:row r="136">
      <x:c r="A136" s="3" t="inlineStr">
        <x:is>
          <x:t xml:space="preserve">Executive</x:t>
        </x:is>
      </x:c>
      <x:c r="B136" s="3" t="inlineStr">
        <x:is>
          <x:t xml:space="preserve">EXCO-D5-Q01</x:t>
        </x:is>
      </x:c>
      <x:c r="C136" s="3" t="inlineStr">
        <x:is>
          <x:t xml:space="preserve">EXCO-D5-Q01-A5</x:t>
        </x:is>
      </x:c>
      <x:c r="D136" s="3" t="n">
        <x:v>6</x:v>
      </x:c>
      <x:c r="E136" s="3" t="inlineStr">
        <x:is>
          <x:t xml:space="preserve">Controls are designed for usability; bypass signals are low and measured; improvements are continuous.</x:t>
        </x:is>
      </x:c>
      <x:c r="F136" s="3" t="n">
        <x:v>4</x:v>
      </x:c>
      <x:c r="G136" s="3" t="inlineStr">
        <x:is>
          <x:t xml:space="preserve">optimized</x:t>
        </x:is>
      </x:c>
      <x:c r="H136" s="3" t="inlineStr">
        <x:is>
          <x:t xml:space="preserve"/>
        </x:is>
      </x:c>
      <x:c r="I136" s="3" t="inlineStr">
        <x:is>
          <x:t xml:space="preserve">Request_Evidence</x:t>
        </x:is>
      </x:c>
      <x:c r="J136" s="3" t="inlineStr">
        <x:is>
          <x:t xml:space="preserve">Y</x:t>
        </x:is>
      </x:c>
      <x:c r="K136" s="3" t="inlineStr">
        <x:is>
          <x:t xml:space="preserve"/>
        </x:is>
      </x:c>
    </x:row>
    <x:row r="137">
      <x:c r="A137" s="3" t="inlineStr">
        <x:is>
          <x:t xml:space="preserve">Executive</x:t>
        </x:is>
      </x:c>
      <x:c r="B137" s="3" t="inlineStr">
        <x:is>
          <x:t xml:space="preserve">EXCO-D5-Q02</x:t>
        </x:is>
      </x:c>
      <x:c r="C137" s="3" t="inlineStr">
        <x:is>
          <x:t xml:space="preserve">EXCO-D5-Q02-A1</x:t>
        </x:is>
      </x:c>
      <x:c r="D137" s="3" t="n">
        <x:v>1</x:v>
      </x:c>
      <x:c r="E137" s="3" t="inlineStr">
        <x:is>
          <x:t xml:space="preserve">No—we only find out after incidents or audits.</x:t>
        </x:is>
      </x:c>
      <x:c r="F137" s="3" t="n">
        <x:v>0</x:v>
      </x:c>
      <x:c r="G137" s="3" t="inlineStr">
        <x:is>
          <x:t xml:space="preserve">bypass_pressure,visibility_gap</x:t>
        </x:is>
      </x:c>
      <x:c r="H137" s="3" t="inlineStr">
        <x:is>
          <x:t xml:space="preserve">Bypass Pressure</x:t>
        </x:is>
      </x:c>
      <x:c r="I137" s="3" t="inlineStr">
        <x:is>
          <x:t xml:space="preserve">ShadowIT_Discovery</x:t>
        </x:is>
      </x:c>
      <x:c r="J137" s="3" t="inlineStr">
        <x:is>
          <x:t xml:space="preserve">N</x:t>
        </x:is>
      </x:c>
      <x:c r="K137" s="3" t="inlineStr">
        <x:is>
          <x:t xml:space="preserve"/>
        </x:is>
      </x:c>
    </x:row>
    <x:row r="138">
      <x:c r="A138" s="3" t="inlineStr">
        <x:is>
          <x:t xml:space="preserve">Executive</x:t>
        </x:is>
      </x:c>
      <x:c r="B138" s="3" t="inlineStr">
        <x:is>
          <x:t xml:space="preserve">EXCO-D5-Q02</x:t>
        </x:is>
      </x:c>
      <x:c r="C138" s="3" t="inlineStr">
        <x:is>
          <x:t xml:space="preserve">EXCO-D5-Q02-A2</x:t>
        </x:is>
      </x:c>
      <x:c r="D138" s="3" t="n">
        <x:v>2</x:v>
      </x:c>
      <x:c r="E138" s="3" t="inlineStr">
        <x:is>
          <x:t xml:space="preserve">We hear about it informally, but we don’t have a structured view of causes.</x:t>
        </x:is>
      </x:c>
      <x:c r="F138" s="3" t="n">
        <x:v>1</x:v>
      </x:c>
      <x:c r="G138" s="3" t="inlineStr">
        <x:is>
          <x:t xml:space="preserve">shadow_signal</x:t>
        </x:is>
      </x:c>
      <x:c r="H138" s="3" t="inlineStr">
        <x:is>
          <x:t xml:space="preserve">Shadow Mature</x:t>
        </x:is>
      </x:c>
      <x:c r="I138" s="3" t="inlineStr">
        <x:is>
          <x:t xml:space="preserve">ShadowIT_Discovery</x:t>
        </x:is>
      </x:c>
      <x:c r="J138" s="3" t="inlineStr">
        <x:is>
          <x:t xml:space="preserve">N</x:t>
        </x:is>
      </x:c>
      <x:c r="K138" s="3" t="inlineStr">
        <x:is>
          <x:t xml:space="preserve"/>
        </x:is>
      </x:c>
    </x:row>
    <x:row r="139">
      <x:c r="A139" s="3" t="inlineStr">
        <x:is>
          <x:t xml:space="preserve">Executive</x:t>
        </x:is>
      </x:c>
      <x:c r="B139" s="3" t="inlineStr">
        <x:is>
          <x:t xml:space="preserve">EXCO-D5-Q02</x:t>
        </x:is>
      </x:c>
      <x:c r="C139" s="3" t="inlineStr">
        <x:is>
          <x:t xml:space="preserve">EXCO-D5-Q02-A3</x:t>
        </x:is>
      </x:c>
      <x:c r="D139" s="3" t="n">
        <x:v>3</x:v>
      </x:c>
      <x:c r="E139" s="3" t="inlineStr">
        <x:is>
          <x:t xml:space="preserve">We track some signals (tickets, audits), but visibility is incomplete.</x:t>
        </x:is>
      </x:c>
      <x:c r="F139" s="3" t="n">
        <x:v>2</x:v>
      </x:c>
      <x:c r="G139" s="3" t="inlineStr">
        <x:is>
          <x:t xml:space="preserve">partial_visibility</x:t>
        </x:is>
      </x:c>
      <x:c r="H139" s="3" t="inlineStr">
        <x:is>
          <x:t xml:space="preserve"/>
        </x:is>
      </x:c>
      <x:c r="I139" s="3" t="inlineStr">
        <x:is>
          <x:t xml:space="preserve">Improve_Visibility</x:t>
        </x:is>
      </x:c>
      <x:c r="J139" s="3" t="inlineStr">
        <x:is>
          <x:t xml:space="preserve">N</x:t>
        </x:is>
      </x:c>
      <x:c r="K139" s="3" t="inlineStr">
        <x:is>
          <x:t xml:space="preserve"/>
        </x:is>
      </x:c>
    </x:row>
    <x:row r="140">
      <x:c r="A140" s="3" t="inlineStr">
        <x:is>
          <x:t xml:space="preserve">Executive</x:t>
        </x:is>
      </x:c>
      <x:c r="B140" s="3" t="inlineStr">
        <x:is>
          <x:t xml:space="preserve">EXCO-D5-Q02</x:t>
        </x:is>
      </x:c>
      <x:c r="C140" s="3" t="inlineStr">
        <x:is>
          <x:t xml:space="preserve">EXCO-D5-Q02-A4</x:t>
        </x:is>
      </x:c>
      <x:c r="D140" s="3" t="n">
        <x:v>4</x:v>
      </x:c>
      <x:c r="E140" s="3" t="inlineStr">
        <x:is>
          <x:t xml:space="preserve">Yes—we track workarounds and address root causes (usability, process speed, missing tools).</x:t>
        </x:is>
      </x:c>
      <x:c r="F140" s="3" t="n">
        <x:v>3</x:v>
      </x:c>
      <x:c r="G140" s="3" t="inlineStr">
        <x:is>
          <x:t xml:space="preserve">good_practice</x:t>
        </x:is>
      </x:c>
      <x:c r="H140" s="3" t="inlineStr">
        <x:is>
          <x:t xml:space="preserve"/>
        </x:is>
      </x:c>
      <x:c r="I140" s="3" t="inlineStr">
        <x:is>
          <x:t xml:space="preserve">Request_Evidence</x:t>
        </x:is>
      </x:c>
      <x:c r="J140" s="3" t="inlineStr">
        <x:is>
          <x:t xml:space="preserve">Y</x:t>
        </x:is>
      </x:c>
      <x:c r="K140" s="3" t="inlineStr">
        <x:is>
          <x:t xml:space="preserve"/>
        </x:is>
      </x:c>
    </x:row>
    <x:row r="141">
      <x:c r="A141" s="3" t="inlineStr">
        <x:is>
          <x:t xml:space="preserve">Executive</x:t>
        </x:is>
      </x:c>
      <x:c r="B141" s="3" t="inlineStr">
        <x:is>
          <x:t xml:space="preserve">EXCO-D5-Q03</x:t>
        </x:is>
      </x:c>
      <x:c r="C141" s="3" t="inlineStr">
        <x:is>
          <x:t xml:space="preserve">EXCO-D5-Q03-A0</x:t>
        </x:is>
      </x:c>
      <x:c r="D141" s="3" t="n">
        <x:v>1</x:v>
      </x:c>
      <x:c r="E141" s="3" t="inlineStr">
        <x:is>
          <x:t xml:space="preserve">I don’t know / not sure.</x:t>
        </x:is>
      </x:c>
      <x:c r="F141" s="3" t="n">
        <x:v>0</x:v>
      </x:c>
      <x:c r="G141" s="3" t="inlineStr">
        <x:is>
          <x:t xml:space="preserve">unknown</x:t>
        </x:is>
      </x:c>
      <x:c r="H141" s="3" t="inlineStr">
        <x:is>
          <x:t xml:space="preserve">Unknown</x:t>
        </x:is>
      </x:c>
      <x:c r="I141" s="3" t="inlineStr">
        <x:is>
          <x:t xml:space="preserve">ShadowIT_Process</x:t>
        </x:is>
      </x:c>
      <x:c r="J141" s="3" t="inlineStr">
        <x:is>
          <x:t xml:space="preserve">N</x:t>
        </x:is>
      </x:c>
      <x:c r="K141" s="3" t="inlineStr">
        <x:is>
          <x:t xml:space="preserve"/>
        </x:is>
      </x:c>
    </x:row>
    <x:row r="142">
      <x:c r="A142" s="3" t="inlineStr">
        <x:is>
          <x:t xml:space="preserve">Executive</x:t>
        </x:is>
      </x:c>
      <x:c r="B142" s="3" t="inlineStr">
        <x:is>
          <x:t xml:space="preserve">EXCO-D5-Q03</x:t>
        </x:is>
      </x:c>
      <x:c r="C142" s="3" t="inlineStr">
        <x:is>
          <x:t xml:space="preserve">EXCO-D5-Q03-A1</x:t>
        </x:is>
      </x:c>
      <x:c r="D142" s="3" t="n">
        <x:v>2</x:v>
      </x:c>
      <x:c r="E142" s="3" t="inlineStr">
        <x:is>
          <x:t xml:space="preserve">No—shadow IT is blocked/punished, but alternatives are not provided.</x:t>
        </x:is>
      </x:c>
      <x:c r="F142" s="3" t="n">
        <x:v>0</x:v>
      </x:c>
      <x:c r="G142" s="3" t="inlineStr">
        <x:is>
          <x:t xml:space="preserve">toxic_enforcer_signal,bypass_pressure</x:t>
        </x:is>
      </x:c>
      <x:c r="H142" s="3" t="inlineStr">
        <x:is>
          <x:t xml:space="preserve">Bypass Pressure</x:t>
        </x:is>
      </x:c>
      <x:c r="I142" s="3" t="inlineStr">
        <x:is>
          <x:t xml:space="preserve">Security_UX_Review</x:t>
        </x:is>
      </x:c>
      <x:c r="J142" s="3" t="inlineStr">
        <x:is>
          <x:t xml:space="preserve">N</x:t>
        </x:is>
      </x:c>
      <x:c r="K142" s="3" t="inlineStr">
        <x:is>
          <x:t xml:space="preserve"/>
        </x:is>
      </x:c>
    </x:row>
    <x:row r="143">
      <x:c r="A143" s="3" t="inlineStr">
        <x:is>
          <x:t xml:space="preserve">Executive</x:t>
        </x:is>
      </x:c>
      <x:c r="B143" s="3" t="inlineStr">
        <x:is>
          <x:t xml:space="preserve">EXCO-D5-Q03</x:t>
        </x:is>
      </x:c>
      <x:c r="C143" s="3" t="inlineStr">
        <x:is>
          <x:t xml:space="preserve">EXCO-D5-Q03-A2</x:t>
        </x:is>
      </x:c>
      <x:c r="D143" s="3" t="n">
        <x:v>3</x:v>
      </x:c>
      <x:c r="E143" s="3" t="inlineStr">
        <x:is>
          <x:t xml:space="preserve">Sometimes—depends on the team; approvals are slow.</x:t>
        </x:is>
      </x:c>
      <x:c r="F143" s="3" t="n">
        <x:v>1</x:v>
      </x:c>
      <x:c r="G143" s="3" t="inlineStr">
        <x:is>
          <x:t xml:space="preserve">control_lag_high</x:t>
        </x:is>
      </x:c>
      <x:c r="H143" s="3" t="inlineStr">
        <x:is>
          <x:t xml:space="preserve">Control Lag</x:t>
        </x:is>
      </x:c>
      <x:c r="I143" s="3" t="inlineStr">
        <x:is>
          <x:t xml:space="preserve">Speed_Alternatives</x:t>
        </x:is>
      </x:c>
      <x:c r="J143" s="3" t="inlineStr">
        <x:is>
          <x:t xml:space="preserve">N</x:t>
        </x:is>
      </x:c>
      <x:c r="K143" s="3" t="inlineStr">
        <x:is>
          <x:t xml:space="preserve"/>
        </x:is>
      </x:c>
    </x:row>
    <x:row r="144">
      <x:c r="A144" s="3" t="inlineStr">
        <x:is>
          <x:t xml:space="preserve">Executive</x:t>
        </x:is>
      </x:c>
      <x:c r="B144" s="3" t="inlineStr">
        <x:is>
          <x:t xml:space="preserve">EXCO-D5-Q03</x:t>
        </x:is>
      </x:c>
      <x:c r="C144" s="3" t="inlineStr">
        <x:is>
          <x:t xml:space="preserve">EXCO-D5-Q03-A3</x:t>
        </x:is>
      </x:c>
      <x:c r="D144" s="3" t="n">
        <x:v>4</x:v>
      </x:c>
      <x:c r="E144" s="3" t="inlineStr">
        <x:is>
          <x:t xml:space="preserve">We have a process, but it’s not measured (time-to-approve, adoption).</x:t>
        </x:is>
      </x:c>
      <x:c r="F144" s="3" t="n">
        <x:v>2</x:v>
      </x:c>
      <x:c r="G144" s="3" t="inlineStr">
        <x:is>
          <x:t xml:space="preserve">paper_process</x:t>
        </x:is>
      </x:c>
      <x:c r="H144" s="3" t="inlineStr">
        <x:is>
          <x:t xml:space="preserve">Paper Dragon</x:t>
        </x:is>
      </x:c>
      <x:c r="I144" s="3" t="inlineStr">
        <x:is>
          <x:t xml:space="preserve">Measure_Alt_Delivery</x:t>
        </x:is>
      </x:c>
      <x:c r="J144" s="3" t="inlineStr">
        <x:is>
          <x:t xml:space="preserve">N</x:t>
        </x:is>
      </x:c>
      <x:c r="K144" s="3" t="inlineStr">
        <x:is>
          <x:t xml:space="preserve"/>
        </x:is>
      </x:c>
    </x:row>
    <x:row r="145">
      <x:c r="A145" s="3" t="inlineStr">
        <x:is>
          <x:t xml:space="preserve">Executive</x:t>
        </x:is>
      </x:c>
      <x:c r="B145" s="3" t="inlineStr">
        <x:is>
          <x:t xml:space="preserve">EXCO-D5-Q03</x:t>
        </x:is>
      </x:c>
      <x:c r="C145" s="3" t="inlineStr">
        <x:is>
          <x:t xml:space="preserve">EXCO-D5-Q03-A4</x:t>
        </x:is>
      </x:c>
      <x:c r="D145" s="3" t="n">
        <x:v>5</x:v>
      </x:c>
      <x:c r="E145" s="3" t="inlineStr">
        <x:is>
          <x:t xml:space="preserve">Yes—there is a fast review and rollout process; adoption is tracked.</x:t>
        </x:is>
      </x:c>
      <x:c r="F145" s="3" t="n">
        <x:v>3</x:v>
      </x:c>
      <x:c r="G145" s="3" t="inlineStr">
        <x:is>
          <x:t xml:space="preserve">good_practice</x:t>
        </x:is>
      </x:c>
      <x:c r="H145" s="3" t="inlineStr">
        <x:is>
          <x:t xml:space="preserve"/>
        </x:is>
      </x:c>
      <x:c r="I145" s="3" t="inlineStr">
        <x:is>
          <x:t xml:space="preserve">Request_Evidence</x:t>
        </x:is>
      </x:c>
      <x:c r="J145" s="3" t="inlineStr">
        <x:is>
          <x:t xml:space="preserve">Y</x:t>
        </x:is>
      </x:c>
      <x:c r="K145" s="3" t="inlineStr">
        <x:is>
          <x:t xml:space="preserve"/>
        </x:is>
      </x:c>
    </x:row>
    <x:row r="146">
      <x:c r="A146" s="3" t="inlineStr">
        <x:is>
          <x:t xml:space="preserve">Executive</x:t>
        </x:is>
      </x:c>
      <x:c r="B146" s="3" t="inlineStr">
        <x:is>
          <x:t xml:space="preserve">EXCO-D5-Q03</x:t>
        </x:is>
      </x:c>
      <x:c r="C146" s="3" t="inlineStr">
        <x:is>
          <x:t xml:space="preserve">EXCO-D5-Q03-A5</x:t>
        </x:is>
      </x:c>
      <x:c r="D146" s="3" t="n">
        <x:v>6</x:v>
      </x:c>
      <x:c r="E146" s="3" t="inlineStr">
        <x:is>
          <x:t xml:space="preserve">Yes—secure alternatives are delivered quickly (days), with continuous feedback and improvement.</x:t>
        </x:is>
      </x:c>
      <x:c r="F146" s="3" t="n">
        <x:v>4</x:v>
      </x:c>
      <x:c r="G146" s="3" t="inlineStr">
        <x:is>
          <x:t xml:space="preserve">optimized</x:t>
        </x:is>
      </x:c>
      <x:c r="H146" s="3" t="inlineStr">
        <x:is>
          <x:t xml:space="preserve"/>
        </x:is>
      </x:c>
      <x:c r="I146" s="3" t="inlineStr">
        <x:is>
          <x:t xml:space="preserve">Request_Evidence</x:t>
        </x:is>
      </x:c>
      <x:c r="J146" s="3" t="inlineStr">
        <x:is>
          <x:t xml:space="preserve">Y</x:t>
        </x:is>
      </x:c>
      <x:c r="K146" s="3" t="inlineStr">
        <x:is>
          <x:t xml:space="preserve"/>
        </x:is>
      </x:c>
    </x:row>
    <x:row r="147">
      <x:c r="A147" s="3" t="inlineStr">
        <x:is>
          <x:t xml:space="preserve">Executive</x:t>
        </x:is>
      </x:c>
      <x:c r="B147" s="3" t="inlineStr">
        <x:is>
          <x:t xml:space="preserve">EXCO-D6-Q01</x:t>
        </x:is>
      </x:c>
      <x:c r="C147" s="3" t="inlineStr">
        <x:is>
          <x:t xml:space="preserve">EXCO-D6-Q01-A0</x:t>
        </x:is>
      </x:c>
      <x:c r="D147" s="3" t="n">
        <x:v>1</x:v>
      </x:c>
      <x:c r="E147" s="3" t="inlineStr">
        <x:is>
          <x:t xml:space="preserve">I don’t know / not sure.</x:t>
        </x:is>
      </x:c>
      <x:c r="F147" s="3" t="n">
        <x:v>0</x:v>
      </x:c>
      <x:c r="G147" s="3" t="inlineStr">
        <x:is>
          <x:t xml:space="preserve">unknown</x:t>
        </x:is>
      </x:c>
      <x:c r="H147" s="3" t="inlineStr">
        <x:is>
          <x:t xml:space="preserve">Unknown</x:t>
        </x:is>
      </x:c>
      <x:c r="I147" s="3" t="inlineStr">
        <x:is>
          <x:t xml:space="preserve">Assess_Detection</x:t>
        </x:is>
      </x:c>
      <x:c r="J147" s="3" t="inlineStr">
        <x:is>
          <x:t xml:space="preserve">N</x:t>
        </x:is>
      </x:c>
      <x:c r="K147" s="3" t="inlineStr">
        <x:is>
          <x:t xml:space="preserve"/>
        </x:is>
      </x:c>
    </x:row>
    <x:row r="148">
      <x:c r="A148" s="3" t="inlineStr">
        <x:is>
          <x:t xml:space="preserve">Executive</x:t>
        </x:is>
      </x:c>
      <x:c r="B148" s="3" t="inlineStr">
        <x:is>
          <x:t xml:space="preserve">EXCO-D6-Q01</x:t>
        </x:is>
      </x:c>
      <x:c r="C148" s="3" t="inlineStr">
        <x:is>
          <x:t xml:space="preserve">EXCO-D6-Q01-A1</x:t>
        </x:is>
      </x:c>
      <x:c r="D148" s="3" t="n">
        <x:v>2</x:v>
      </x:c>
      <x:c r="E148" s="3" t="inlineStr">
        <x:is>
          <x:t xml:space="preserve">Reactive—mostly investigated after a serious incident or tip-off.</x:t>
        </x:is>
      </x:c>
      <x:c r="F148" s="3" t="n">
        <x:v>0</x:v>
      </x:c>
      <x:c r="G148" s="3" t="inlineStr">
        <x:is>
          <x:t xml:space="preserve">foundational_gap</x:t>
        </x:is>
      </x:c>
      <x:c r="H148" s="3" t="inlineStr">
        <x:is>
          <x:t xml:space="preserve">Resilience Gap</x:t>
        </x:is>
      </x:c>
      <x:c r="I148" s="3" t="inlineStr">
        <x:is>
          <x:t xml:space="preserve">Build_Detection_Strategy</x:t>
        </x:is>
      </x:c>
      <x:c r="J148" s="3" t="inlineStr">
        <x:is>
          <x:t xml:space="preserve">N</x:t>
        </x:is>
      </x:c>
      <x:c r="K148" s="3" t="inlineStr">
        <x:is>
          <x:t xml:space="preserve"/>
        </x:is>
      </x:c>
    </x:row>
    <x:row r="149">
      <x:c r="A149" s="3" t="inlineStr">
        <x:is>
          <x:t xml:space="preserve">Executive</x:t>
        </x:is>
      </x:c>
      <x:c r="B149" s="3" t="inlineStr">
        <x:is>
          <x:t xml:space="preserve">EXCO-D6-Q01</x:t>
        </x:is>
      </x:c>
      <x:c r="C149" s="3" t="inlineStr">
        <x:is>
          <x:t xml:space="preserve">EXCO-D6-Q01-A2</x:t>
        </x:is>
      </x:c>
      <x:c r="D149" s="3" t="n">
        <x:v>3</x:v>
      </x:c>
      <x:c r="E149" s="3" t="inlineStr">
        <x:is>
          <x:t xml:space="preserve">Ad-hoc—experienced individuals spot patterns, but it’s not systematic.</x:t>
        </x:is>
      </x:c>
      <x:c r="F149" s="3" t="n">
        <x:v>1</x:v>
      </x:c>
      <x:c r="G149" s="3" t="inlineStr">
        <x:is>
          <x:t xml:space="preserve">key_person_dependency,shadow_signal</x:t>
        </x:is>
      </x:c>
      <x:c r="H149" s="3" t="inlineStr">
        <x:is>
          <x:t xml:space="preserve">Shadow Mature</x:t>
        </x:is>
      </x:c>
      <x:c r="I149" s="3" t="inlineStr">
        <x:is>
          <x:t xml:space="preserve">Systematize_Detection</x:t>
        </x:is>
      </x:c>
      <x:c r="J149" s="3" t="inlineStr">
        <x:is>
          <x:t xml:space="preserve">N</x:t>
        </x:is>
      </x:c>
      <x:c r="K149" s="3" t="inlineStr">
        <x:is>
          <x:t xml:space="preserve"/>
        </x:is>
      </x:c>
    </x:row>
    <x:row r="150">
      <x:c r="A150" s="3" t="inlineStr">
        <x:is>
          <x:t xml:space="preserve">Executive</x:t>
        </x:is>
      </x:c>
      <x:c r="B150" s="3" t="inlineStr">
        <x:is>
          <x:t xml:space="preserve">EXCO-D6-Q01</x:t>
        </x:is>
      </x:c>
      <x:c r="C150" s="3" t="inlineStr">
        <x:is>
          <x:t xml:space="preserve">EXCO-D6-Q01-A3</x:t>
        </x:is>
      </x:c>
      <x:c r="D150" s="3" t="n">
        <x:v>4</x:v>
      </x:c>
      <x:c r="E150" s="3" t="inlineStr">
        <x:is>
          <x:t xml:space="preserve">Rule-based monitoring exists (thresholds), but quality (false positives/coverage) is not measured.</x:t>
        </x:is>
      </x:c>
      <x:c r="F150" s="3" t="n">
        <x:v>2</x:v>
      </x:c>
      <x:c r="G150" s="3" t="inlineStr">
        <x:is>
          <x:t xml:space="preserve">paper_process</x:t>
        </x:is>
      </x:c>
      <x:c r="H150" s="3" t="inlineStr">
        <x:is>
          <x:t xml:space="preserve">Paper Dragon</x:t>
        </x:is>
      </x:c>
      <x:c r="I150" s="3" t="inlineStr">
        <x:is>
          <x:t xml:space="preserve">Improve_Metrics</x:t>
        </x:is>
      </x:c>
      <x:c r="J150" s="3" t="inlineStr">
        <x:is>
          <x:t xml:space="preserve">N</x:t>
        </x:is>
      </x:c>
      <x:c r="K150" s="3" t="inlineStr">
        <x:is>
          <x:t xml:space="preserve"/>
        </x:is>
      </x:c>
    </x:row>
    <x:row r="151">
      <x:c r="A151" s="3" t="inlineStr">
        <x:is>
          <x:t xml:space="preserve">Executive</x:t>
        </x:is>
      </x:c>
      <x:c r="B151" s="3" t="inlineStr">
        <x:is>
          <x:t xml:space="preserve">EXCO-D6-Q01</x:t>
        </x:is>
      </x:c>
      <x:c r="C151" s="3" t="inlineStr">
        <x:is>
          <x:t xml:space="preserve">EXCO-D6-Q01-A4</x:t>
        </x:is>
      </x:c>
      <x:c r="D151" s="3" t="n">
        <x:v>5</x:v>
      </x:c>
      <x:c r="E151" s="3" t="inlineStr">
        <x:is>
          <x:t xml:space="preserve">Risk-based monitoring focuses on sensitive data/systems; detection quality is measured.</x:t>
        </x:is>
      </x:c>
      <x:c r="F151" s="3" t="n">
        <x:v>3</x:v>
      </x:c>
      <x:c r="G151" s="3" t="inlineStr">
        <x:is>
          <x:t xml:space="preserve">good_practice</x:t>
        </x:is>
      </x:c>
      <x:c r="H151" s="3" t="inlineStr">
        <x:is>
          <x:t xml:space="preserve"/>
        </x:is>
      </x:c>
      <x:c r="I151" s="3" t="inlineStr">
        <x:is>
          <x:t xml:space="preserve">Request_Evidence</x:t>
        </x:is>
      </x:c>
      <x:c r="J151" s="3" t="inlineStr">
        <x:is>
          <x:t xml:space="preserve">Y</x:t>
        </x:is>
      </x:c>
      <x:c r="K151" s="3" t="inlineStr">
        <x:is>
          <x:t xml:space="preserve"/>
        </x:is>
      </x:c>
    </x:row>
    <x:row r="152">
      <x:c r="A152" s="3" t="inlineStr">
        <x:is>
          <x:t xml:space="preserve">Executive</x:t>
        </x:is>
      </x:c>
      <x:c r="B152" s="3" t="inlineStr">
        <x:is>
          <x:t xml:space="preserve">EXCO-D6-Q01</x:t>
        </x:is>
      </x:c>
      <x:c r="C152" s="3" t="inlineStr">
        <x:is>
          <x:t xml:space="preserve">EXCO-D6-Q01-A5</x:t>
        </x:is>
      </x:c>
      <x:c r="D152" s="3" t="n">
        <x:v>6</x:v>
      </x:c>
      <x:c r="E152" s="3" t="inlineStr">
        <x:is>
          <x:t xml:space="preserve">Integrated detection combining multiple signals with continuous tuning and independent quality checks.</x:t>
        </x:is>
      </x:c>
      <x:c r="F152" s="3" t="n">
        <x:v>4</x:v>
      </x:c>
      <x:c r="G152" s="3" t="inlineStr">
        <x:is>
          <x:t xml:space="preserve">optimized</x:t>
        </x:is>
      </x:c>
      <x:c r="H152" s="3" t="inlineStr">
        <x:is>
          <x:t xml:space="preserve"/>
        </x:is>
      </x:c>
      <x:c r="I152" s="3" t="inlineStr">
        <x:is>
          <x:t xml:space="preserve">Request_Evidence</x:t>
        </x:is>
      </x:c>
      <x:c r="J152" s="3" t="inlineStr">
        <x:is>
          <x:t xml:space="preserve">Y</x:t>
        </x:is>
      </x:c>
      <x:c r="K152" s="3" t="inlineStr">
        <x:is>
          <x:t xml:space="preserve"/>
        </x:is>
      </x:c>
    </x:row>
    <x:row r="153">
      <x:c r="A153" s="3" t="inlineStr">
        <x:is>
          <x:t xml:space="preserve">Executive</x:t>
        </x:is>
      </x:c>
      <x:c r="B153" s="3" t="inlineStr">
        <x:is>
          <x:t xml:space="preserve">EXCO-D6-Q02</x:t>
        </x:is>
      </x:c>
      <x:c r="C153" s="3" t="inlineStr">
        <x:is>
          <x:t xml:space="preserve">EXCO-D6-Q02-A1</x:t>
        </x:is>
      </x:c>
      <x:c r="D153" s="3" t="n">
        <x:v>1</x:v>
      </x:c>
      <x:c r="E153" s="3" t="inlineStr">
        <x:is>
          <x:t xml:space="preserve">No—escalations are inconsistent or avoided.</x:t>
        </x:is>
      </x:c>
      <x:c r="F153" s="3" t="n">
        <x:v>0</x:v>
      </x:c>
      <x:c r="G153" s="3" t="inlineStr">
        <x:is>
          <x:t xml:space="preserve">foundational_gap</x:t>
        </x:is>
      </x:c>
      <x:c r="H153" s="3" t="inlineStr">
        <x:is>
          <x:t xml:space="preserve">Operating Model Gap</x:t>
        </x:is>
      </x:c>
      <x:c r="I153" s="3" t="inlineStr">
        <x:is>
          <x:t xml:space="preserve">Define_Escalation</x:t>
        </x:is>
      </x:c>
      <x:c r="J153" s="3" t="inlineStr">
        <x:is>
          <x:t xml:space="preserve">N</x:t>
        </x:is>
      </x:c>
      <x:c r="K153" s="3" t="inlineStr">
        <x:is>
          <x:t xml:space="preserve"/>
        </x:is>
      </x:c>
    </x:row>
    <x:row r="154">
      <x:c r="A154" s="3" t="inlineStr">
        <x:is>
          <x:t xml:space="preserve">Executive</x:t>
        </x:is>
      </x:c>
      <x:c r="B154" s="3" t="inlineStr">
        <x:is>
          <x:t xml:space="preserve">EXCO-D6-Q02</x:t>
        </x:is>
      </x:c>
      <x:c r="C154" s="3" t="inlineStr">
        <x:is>
          <x:t xml:space="preserve">EXCO-D6-Q02-A2</x:t>
        </x:is>
      </x:c>
      <x:c r="D154" s="3" t="n">
        <x:v>2</x:v>
      </x:c>
      <x:c r="E154" s="3" t="inlineStr">
        <x:is>
          <x:t xml:space="preserve">Yes, but it depends on individuals and is not documented.</x:t>
        </x:is>
      </x:c>
      <x:c r="F154" s="3" t="n">
        <x:v>1</x:v>
      </x:c>
      <x:c r="G154" s="3" t="inlineStr">
        <x:is>
          <x:t xml:space="preserve">shadow_signal</x:t>
        </x:is>
      </x:c>
      <x:c r="H154" s="3" t="inlineStr">
        <x:is>
          <x:t xml:space="preserve">Shadow Mature</x:t>
        </x:is>
      </x:c>
      <x:c r="I154" s="3" t="inlineStr">
        <x:is>
          <x:t xml:space="preserve">Formalize_Escalation</x:t>
        </x:is>
      </x:c>
      <x:c r="J154" s="3" t="inlineStr">
        <x:is>
          <x:t xml:space="preserve">N</x:t>
        </x:is>
      </x:c>
      <x:c r="K154" s="3" t="inlineStr">
        <x:is>
          <x:t xml:space="preserve"/>
        </x:is>
      </x:c>
    </x:row>
    <x:row r="155">
      <x:c r="A155" s="3" t="inlineStr">
        <x:is>
          <x:t xml:space="preserve">Executive</x:t>
        </x:is>
      </x:c>
      <x:c r="B155" s="3" t="inlineStr">
        <x:is>
          <x:t xml:space="preserve">EXCO-D6-Q02</x:t>
        </x:is>
      </x:c>
      <x:c r="C155" s="3" t="inlineStr">
        <x:is>
          <x:t xml:space="preserve">EXCO-D6-Q02-A3</x:t>
        </x:is>
      </x:c>
      <x:c r="D155" s="3" t="n">
        <x:v>3</x:v>
      </x:c>
      <x:c r="E155" s="3" t="inlineStr">
        <x:is>
          <x:t xml:space="preserve">Yes—there is a known path to escalate concerns and it is used consistently.</x:t>
        </x:is>
      </x:c>
      <x:c r="F155" s="3" t="n">
        <x:v>2</x:v>
      </x:c>
      <x:c r="G155" s="3" t="inlineStr">
        <x:is>
          <x:t xml:space="preserve">good_practice</x:t>
        </x:is>
      </x:c>
      <x:c r="H155" s="3" t="inlineStr">
        <x:is>
          <x:t xml:space="preserve"/>
        </x:is>
      </x:c>
      <x:c r="I155" s="3" t="inlineStr">
        <x:is>
          <x:t xml:space="preserve">Request_Evidence</x:t>
        </x:is>
      </x:c>
      <x:c r="J155" s="3" t="inlineStr">
        <x:is>
          <x:t xml:space="preserve">Y</x:t>
        </x:is>
      </x:c>
      <x:c r="K155" s="3" t="inlineStr">
        <x:is>
          <x:t xml:space="preserve">Provide example of a recent escalation path (anonymised).</x:t>
        </x:is>
      </x:c>
    </x:row>
    <x:row r="156">
      <x:c r="A156" s="3" t="inlineStr">
        <x:is>
          <x:t xml:space="preserve">Executive</x:t>
        </x:is>
      </x:c>
      <x:c r="B156" s="3" t="inlineStr">
        <x:is>
          <x:t xml:space="preserve">EXCO-D6-Q02</x:t>
        </x:is>
      </x:c>
      <x:c r="C156" s="3" t="inlineStr">
        <x:is>
          <x:t xml:space="preserve">EXCO-D6-Q02-A4</x:t>
        </x:is>
      </x:c>
      <x:c r="D156" s="3" t="n">
        <x:v>4</x:v>
      </x:c>
      <x:c r="E156" s="3" t="inlineStr">
        <x:is>
          <x:t xml:space="preserve">Yes—and escalations are tracked with outcomes (time-to-triage, closure quality).</x:t>
        </x:is>
      </x:c>
      <x:c r="F156" s="3" t="n">
        <x:v>3</x:v>
      </x:c>
      <x:c r="G156" s="3" t="inlineStr">
        <x:is>
          <x:t xml:space="preserve">optimized</x:t>
        </x:is>
      </x:c>
      <x:c r="H156" s="3" t="inlineStr">
        <x:is>
          <x:t xml:space="preserve"/>
        </x:is>
      </x:c>
      <x:c r="I156" s="3" t="inlineStr">
        <x:is>
          <x:t xml:space="preserve">Request_Evidence</x:t>
        </x:is>
      </x:c>
      <x:c r="J156" s="3" t="inlineStr">
        <x:is>
          <x:t xml:space="preserve">Y</x:t>
        </x:is>
      </x:c>
      <x:c r="K156" s="3" t="inlineStr">
        <x:is>
          <x:t xml:space="preserve"/>
        </x:is>
      </x:c>
    </x:row>
    <x:row r="157">
      <x:c r="A157" s="3" t="inlineStr">
        <x:is>
          <x:t xml:space="preserve">Executive</x:t>
        </x:is>
      </x:c>
      <x:c r="B157" s="3" t="inlineStr">
        <x:is>
          <x:t xml:space="preserve">EXCO-D6-Q03</x:t>
        </x:is>
      </x:c>
      <x:c r="C157" s="3" t="inlineStr">
        <x:is>
          <x:t xml:space="preserve">EXCO-D6-Q03-A0</x:t>
        </x:is>
      </x:c>
      <x:c r="D157" s="3" t="n">
        <x:v>1</x:v>
      </x:c>
      <x:c r="E157" s="3" t="inlineStr">
        <x:is>
          <x:t xml:space="preserve">I don’t know / not sure.</x:t>
        </x:is>
      </x:c>
      <x:c r="F157" s="3" t="n">
        <x:v>0</x:v>
      </x:c>
      <x:c r="G157" s="3" t="inlineStr">
        <x:is>
          <x:t xml:space="preserve">unknown</x:t>
        </x:is>
      </x:c>
      <x:c r="H157" s="3" t="inlineStr">
        <x:is>
          <x:t xml:space="preserve">Unknown</x:t>
        </x:is>
      </x:c>
      <x:c r="I157" s="3" t="inlineStr">
        <x:is>
          <x:t xml:space="preserve">Legal_Defensibility_Audit</x:t>
        </x:is>
      </x:c>
      <x:c r="J157" s="3" t="inlineStr">
        <x:is>
          <x:t xml:space="preserve">N</x:t>
        </x:is>
      </x:c>
      <x:c r="K157" s="3" t="inlineStr">
        <x:is>
          <x:t xml:space="preserve"/>
        </x:is>
      </x:c>
    </x:row>
    <x:row r="158">
      <x:c r="A158" s="3" t="inlineStr">
        <x:is>
          <x:t xml:space="preserve">Executive</x:t>
        </x:is>
      </x:c>
      <x:c r="B158" s="3" t="inlineStr">
        <x:is>
          <x:t xml:space="preserve">EXCO-D6-Q03</x:t>
        </x:is>
      </x:c>
      <x:c r="C158" s="3" t="inlineStr">
        <x:is>
          <x:t xml:space="preserve">EXCO-D6-Q03-A1</x:t>
        </x:is>
      </x:c>
      <x:c r="D158" s="3" t="n">
        <x:v>2</x:v>
      </x:c>
      <x:c r="E158" s="3" t="inlineStr">
        <x:is>
          <x:t xml:space="preserve">No—HR and Security share information informally when they think it’s needed.</x:t>
        </x:is>
      </x:c>
      <x:c r="F158" s="3" t="n">
        <x:v>0</x:v>
      </x:c>
      <x:c r="G158" s="3" t="inlineStr">
        <x:is>
          <x:t xml:space="preserve">legal_red_flag</x:t>
        </x:is>
      </x:c>
      <x:c r="H158" s="3" t="inlineStr">
        <x:is>
          <x:t xml:space="preserve">Legal Exposure</x:t>
        </x:is>
      </x:c>
      <x:c r="I158" s="3" t="inlineStr">
        <x:is>
          <x:t xml:space="preserve">Legal_Defensibility_Audit</x:t>
        </x:is>
      </x:c>
      <x:c r="J158" s="3" t="inlineStr">
        <x:is>
          <x:t xml:space="preserve">N</x:t>
        </x:is>
      </x:c>
      <x:c r="K158" s="3" t="inlineStr">
        <x:is>
          <x:t xml:space="preserve"/>
        </x:is>
      </x:c>
    </x:row>
    <x:row r="159">
      <x:c r="A159" s="3" t="inlineStr">
        <x:is>
          <x:t xml:space="preserve">Executive</x:t>
        </x:is>
      </x:c>
      <x:c r="B159" s="3" t="inlineStr">
        <x:is>
          <x:t xml:space="preserve">EXCO-D6-Q03</x:t>
        </x:is>
      </x:c>
      <x:c r="C159" s="3" t="inlineStr">
        <x:is>
          <x:t xml:space="preserve">EXCO-D6-Q03-A2</x:t>
        </x:is>
      </x:c>
      <x:c r="D159" s="3" t="n">
        <x:v>3</x:v>
      </x:c>
      <x:c r="E159" s="3" t="inlineStr">
        <x:is>
          <x:t xml:space="preserve">Some sharing exists via spreadsheets/emails, but approvals and safeguards are unclear.</x:t>
        </x:is>
      </x:c>
      <x:c r="F159" s="3" t="n">
        <x:v>1</x:v>
      </x:c>
      <x:c r="G159" s="3" t="inlineStr">
        <x:is>
          <x:t xml:space="preserve">legal_red_flag</x:t>
        </x:is>
      </x:c>
      <x:c r="H159" s="3" t="inlineStr">
        <x:is>
          <x:t xml:space="preserve">Legal Exposure</x:t>
        </x:is>
      </x:c>
      <x:c r="I159" s="3" t="inlineStr">
        <x:is>
          <x:t xml:space="preserve">Legal_Defensibility_Audit</x:t>
        </x:is>
      </x:c>
      <x:c r="J159" s="3" t="inlineStr">
        <x:is>
          <x:t xml:space="preserve">N</x:t>
        </x:is>
      </x:c>
      <x:c r="K159" s="3" t="inlineStr">
        <x:is>
          <x:t xml:space="preserve"/>
        </x:is>
      </x:c>
    </x:row>
    <x:row r="160">
      <x:c r="A160" s="3" t="inlineStr">
        <x:is>
          <x:t xml:space="preserve">Executive</x:t>
        </x:is>
      </x:c>
      <x:c r="B160" s="3" t="inlineStr">
        <x:is>
          <x:t xml:space="preserve">EXCO-D6-Q03</x:t>
        </x:is>
      </x:c>
      <x:c r="C160" s="3" t="inlineStr">
        <x:is>
          <x:t xml:space="preserve">EXCO-D6-Q03-A3</x:t>
        </x:is>
      </x:c>
      <x:c r="D160" s="3" t="n">
        <x:v>4</x:v>
      </x:c>
      <x:c r="E160" s="3" t="inlineStr">
        <x:is>
          <x:t xml:space="preserve">Governance exists, but practice varies by region or manager.</x:t>
        </x:is>
      </x:c>
      <x:c r="F160" s="3" t="n">
        <x:v>2</x:v>
      </x:c>
      <x:c r="G160" s="3" t="inlineStr">
        <x:is>
          <x:t xml:space="preserve">inconsistent_execution</x:t>
        </x:is>
      </x:c>
      <x:c r="H160" s="3" t="inlineStr">
        <x:is>
          <x:t xml:space="preserve">Operating Model Gap</x:t>
        </x:is>
      </x:c>
      <x:c r="I160" s="3" t="inlineStr">
        <x:is>
          <x:t xml:space="preserve">Standardize_Governance</x:t>
        </x:is>
      </x:c>
      <x:c r="J160" s="3" t="inlineStr">
        <x:is>
          <x:t xml:space="preserve">N</x:t>
        </x:is>
      </x:c>
      <x:c r="K160" s="3" t="inlineStr">
        <x:is>
          <x:t xml:space="preserve"/>
        </x:is>
      </x:c>
    </x:row>
    <x:row r="161">
      <x:c r="A161" s="3" t="inlineStr">
        <x:is>
          <x:t xml:space="preserve">Executive</x:t>
        </x:is>
      </x:c>
      <x:c r="B161" s="3" t="inlineStr">
        <x:is>
          <x:t xml:space="preserve">EXCO-D6-Q03</x:t>
        </x:is>
      </x:c>
      <x:c r="C161" s="3" t="inlineStr">
        <x:is>
          <x:t xml:space="preserve">EXCO-D6-Q03-A4</x:t>
        </x:is>
      </x:c>
      <x:c r="D161" s="3" t="n">
        <x:v>5</x:v>
      </x:c>
      <x:c r="E161" s="3" t="inlineStr">
        <x:is>
          <x:t xml:space="preserve">Clear governance exists with approvals, minimisation, retention, and audit trails.</x:t>
        </x:is>
      </x:c>
      <x:c r="F161" s="3" t="n">
        <x:v>3</x:v>
      </x:c>
      <x:c r="G161" s="3" t="inlineStr">
        <x:is>
          <x:t xml:space="preserve">good_practice</x:t>
        </x:is>
      </x:c>
      <x:c r="H161" s="3" t="inlineStr">
        <x:is>
          <x:t xml:space="preserve"/>
        </x:is>
      </x:c>
      <x:c r="I161" s="3" t="inlineStr">
        <x:is>
          <x:t xml:space="preserve">Request_Evidence</x:t>
        </x:is>
      </x:c>
      <x:c r="J161" s="3" t="inlineStr">
        <x:is>
          <x:t xml:space="preserve">Y</x:t>
        </x:is>
      </x:c>
      <x:c r="K161" s="3" t="inlineStr">
        <x:is>
          <x:t xml:space="preserve"/>
        </x:is>
      </x:c>
    </x:row>
    <x:row r="162">
      <x:c r="A162" s="3" t="inlineStr">
        <x:is>
          <x:t xml:space="preserve">Executive</x:t>
        </x:is>
      </x:c>
      <x:c r="B162" s="3" t="inlineStr">
        <x:is>
          <x:t xml:space="preserve">EXCO-D6-Q03</x:t>
        </x:is>
      </x:c>
      <x:c r="C162" s="3" t="inlineStr">
        <x:is>
          <x:t xml:space="preserve">EXCO-D6-Q03-A5</x:t>
        </x:is>
      </x:c>
      <x:c r="D162" s="3" t="n">
        <x:v>6</x:v>
      </x:c>
      <x:c r="E162" s="3" t="inlineStr">
        <x:is>
          <x:t xml:space="preserve">Governance is mature and audited; role-based access and transparency safeguards are strong.</x:t>
        </x:is>
      </x:c>
      <x:c r="F162" s="3" t="n">
        <x:v>4</x:v>
      </x:c>
      <x:c r="G162" s="3" t="inlineStr">
        <x:is>
          <x:t xml:space="preserve">optimized</x:t>
        </x:is>
      </x:c>
      <x:c r="H162" s="3" t="inlineStr">
        <x:is>
          <x:t xml:space="preserve"/>
        </x:is>
      </x:c>
      <x:c r="I162" s="3" t="inlineStr">
        <x:is>
          <x:t xml:space="preserve">Request_Evidence</x:t>
        </x:is>
      </x:c>
      <x:c r="J162" s="3" t="inlineStr">
        <x:is>
          <x:t xml:space="preserve">Y</x:t>
        </x:is>
      </x:c>
      <x:c r="K162" s="3" t="inlineStr">
        <x:is>
          <x:t xml:space="preserve"/>
        </x:is>
      </x:c>
    </x:row>
    <x:row r="163">
      <x:c r="A163" s="3" t="inlineStr">
        <x:is>
          <x:t xml:space="preserve">Executive</x:t>
        </x:is>
      </x:c>
      <x:c r="B163" s="3" t="inlineStr">
        <x:is>
          <x:t xml:space="preserve">EXCO-D7-Q01</x:t>
        </x:is>
      </x:c>
      <x:c r="C163" s="3" t="inlineStr">
        <x:is>
          <x:t xml:space="preserve">EXCO-D7-Q01-A0</x:t>
        </x:is>
      </x:c>
      <x:c r="D163" s="3" t="n">
        <x:v>1</x:v>
      </x:c>
      <x:c r="E163" s="3" t="inlineStr">
        <x:is>
          <x:t xml:space="preserve">I don’t know / not sure.</x:t>
        </x:is>
      </x:c>
      <x:c r="F163" s="3" t="n">
        <x:v>0</x:v>
      </x:c>
      <x:c r="G163" s="3" t="inlineStr">
        <x:is>
          <x:t xml:space="preserve">unknown</x:t>
        </x:is>
      </x:c>
      <x:c r="H163" s="3" t="inlineStr">
        <x:is>
          <x:t xml:space="preserve">Unknown</x:t>
        </x:is>
      </x:c>
      <x:c r="I163" s="3" t="inlineStr">
        <x:is>
          <x:t xml:space="preserve">Assess_Case_Model</x:t>
        </x:is>
      </x:c>
      <x:c r="J163" s="3" t="inlineStr">
        <x:is>
          <x:t xml:space="preserve">N</x:t>
        </x:is>
      </x:c>
      <x:c r="K163" s="3" t="inlineStr">
        <x:is>
          <x:t xml:space="preserve"/>
        </x:is>
      </x:c>
    </x:row>
    <x:row r="164">
      <x:c r="A164" s="3" t="inlineStr">
        <x:is>
          <x:t xml:space="preserve">Executive</x:t>
        </x:is>
      </x:c>
      <x:c r="B164" s="3" t="inlineStr">
        <x:is>
          <x:t xml:space="preserve">EXCO-D7-Q01</x:t>
        </x:is>
      </x:c>
      <x:c r="C164" s="3" t="inlineStr">
        <x:is>
          <x:t xml:space="preserve">EXCO-D7-Q01-A1</x:t>
        </x:is>
      </x:c>
      <x:c r="D164" s="3" t="n">
        <x:v>2</x:v>
      </x:c>
      <x:c r="E164" s="3" t="inlineStr">
        <x:is>
          <x:t xml:space="preserve">Siloed—teams act separately and information sharing is difficult.</x:t>
        </x:is>
      </x:c>
      <x:c r="F164" s="3" t="n">
        <x:v>0</x:v>
      </x:c>
      <x:c r="G164" s="3" t="inlineStr">
        <x:is>
          <x:t xml:space="preserve">siloed</x:t>
        </x:is>
      </x:c>
      <x:c r="H164" s="3" t="inlineStr">
        <x:is>
          <x:t xml:space="preserve">Resilience Gap</x:t>
        </x:is>
      </x:c>
      <x:c r="I164" s="3" t="inlineStr">
        <x:is>
          <x:t xml:space="preserve">Design_Case_Model</x:t>
        </x:is>
      </x:c>
      <x:c r="J164" s="3" t="inlineStr">
        <x:is>
          <x:t xml:space="preserve">N</x:t>
        </x:is>
      </x:c>
      <x:c r="K164" s="3" t="inlineStr">
        <x:is>
          <x:t xml:space="preserve"/>
        </x:is>
      </x:c>
    </x:row>
    <x:row r="165">
      <x:c r="A165" s="3" t="inlineStr">
        <x:is>
          <x:t xml:space="preserve">Executive</x:t>
        </x:is>
      </x:c>
      <x:c r="B165" s="3" t="inlineStr">
        <x:is>
          <x:t xml:space="preserve">EXCO-D7-Q01</x:t>
        </x:is>
      </x:c>
      <x:c r="C165" s="3" t="inlineStr">
        <x:is>
          <x:t xml:space="preserve">EXCO-D7-Q01-A2</x:t>
        </x:is>
      </x:c>
      <x:c r="D165" s="3" t="n">
        <x:v>3</x:v>
      </x:c>
      <x:c r="E165" s="3" t="inlineStr">
        <x:is>
          <x:t xml:space="preserve">Ad-hoc—teams coordinate through email/chat when needed.</x:t>
        </x:is>
      </x:c>
      <x:c r="F165" s="3" t="n">
        <x:v>1</x:v>
      </x:c>
      <x:c r="G165" s="3" t="inlineStr">
        <x:is>
          <x:t xml:space="preserve">informal_only</x:t>
        </x:is>
      </x:c>
      <x:c r="H165" s="3" t="inlineStr">
        <x:is>
          <x:t xml:space="preserve">Shadow Mature</x:t>
        </x:is>
      </x:c>
      <x:c r="I165" s="3" t="inlineStr">
        <x:is>
          <x:t xml:space="preserve">Formalize_Case_Model</x:t>
        </x:is>
      </x:c>
      <x:c r="J165" s="3" t="inlineStr">
        <x:is>
          <x:t xml:space="preserve">N</x:t>
        </x:is>
      </x:c>
      <x:c r="K165" s="3" t="inlineStr">
        <x:is>
          <x:t xml:space="preserve"/>
        </x:is>
      </x:c>
    </x:row>
    <x:row r="166">
      <x:c r="A166" s="3" t="inlineStr">
        <x:is>
          <x:t xml:space="preserve">Executive</x:t>
        </x:is>
      </x:c>
      <x:c r="B166" s="3" t="inlineStr">
        <x:is>
          <x:t xml:space="preserve">EXCO-D7-Q01</x:t>
        </x:is>
      </x:c>
      <x:c r="C166" s="3" t="inlineStr">
        <x:is>
          <x:t xml:space="preserve">EXCO-D7-Q01-A3</x:t>
        </x:is>
      </x:c>
      <x:c r="D166" s="3" t="n">
        <x:v>4</x:v>
      </x:c>
      <x:c r="E166" s="3" t="inlineStr">
        <x:is>
          <x:t xml:space="preserve">A process exists, but it’s generic (not tailored for insider cases) or inconsistently used.</x:t>
        </x:is>
      </x:c>
      <x:c r="F166" s="3" t="n">
        <x:v>2</x:v>
      </x:c>
      <x:c r="G166" s="3" t="inlineStr">
        <x:is>
          <x:t xml:space="preserve">paper_process</x:t>
        </x:is>
      </x:c>
      <x:c r="H166" s="3" t="inlineStr">
        <x:is>
          <x:t xml:space="preserve">Paper Dragon</x:t>
        </x:is>
      </x:c>
      <x:c r="I166" s="3" t="inlineStr">
        <x:is>
          <x:t xml:space="preserve">Insider_Playbooks</x:t>
        </x:is>
      </x:c>
      <x:c r="J166" s="3" t="inlineStr">
        <x:is>
          <x:t xml:space="preserve">N</x:t>
        </x:is>
      </x:c>
      <x:c r="K166" s="3" t="inlineStr">
        <x:is>
          <x:t xml:space="preserve"/>
        </x:is>
      </x:c>
    </x:row>
    <x:row r="167">
      <x:c r="A167" s="3" t="inlineStr">
        <x:is>
          <x:t xml:space="preserve">Executive</x:t>
        </x:is>
      </x:c>
      <x:c r="B167" s="3" t="inlineStr">
        <x:is>
          <x:t xml:space="preserve">EXCO-D7-Q01</x:t>
        </x:is>
      </x:c>
      <x:c r="C167" s="3" t="inlineStr">
        <x:is>
          <x:t xml:space="preserve">EXCO-D7-Q01-A4</x:t>
        </x:is>
      </x:c>
      <x:c r="D167" s="3" t="n">
        <x:v>5</x:v>
      </x:c>
      <x:c r="E167" s="3" t="inlineStr">
        <x:is>
          <x:t xml:space="preserve">Predefined cross-functional taskforce exists with clear roles and decision points.</x:t>
        </x:is>
      </x:c>
      <x:c r="F167" s="3" t="n">
        <x:v>3</x:v>
      </x:c>
      <x:c r="G167" s="3" t="inlineStr">
        <x:is>
          <x:t xml:space="preserve">good_practice</x:t>
        </x:is>
      </x:c>
      <x:c r="H167" s="3" t="inlineStr">
        <x:is>
          <x:t xml:space="preserve"/>
        </x:is>
      </x:c>
      <x:c r="I167" s="3" t="inlineStr">
        <x:is>
          <x:t xml:space="preserve">Request_Evidence</x:t>
        </x:is>
      </x:c>
      <x:c r="J167" s="3" t="inlineStr">
        <x:is>
          <x:t xml:space="preserve">Y</x:t>
        </x:is>
      </x:c>
      <x:c r="K167" s="3" t="inlineStr">
        <x:is>
          <x:t xml:space="preserve"/>
        </x:is>
      </x:c>
    </x:row>
    <x:row r="168">
      <x:c r="A168" s="3" t="inlineStr">
        <x:is>
          <x:t xml:space="preserve">Executive</x:t>
        </x:is>
      </x:c>
      <x:c r="B168" s="3" t="inlineStr">
        <x:is>
          <x:t xml:space="preserve">EXCO-D7-Q01</x:t>
        </x:is>
      </x:c>
      <x:c r="C168" s="3" t="inlineStr">
        <x:is>
          <x:t xml:space="preserve">EXCO-D7-Q01-A5</x:t>
        </x:is>
      </x:c>
      <x:c r="D168" s="3" t="n">
        <x:v>6</x:v>
      </x:c>
      <x:c r="E168" s="3" t="inlineStr">
        <x:is>
          <x:t xml:space="preserve">Unified case management with metrics, quality checks, and documented learning loops.</x:t>
        </x:is>
      </x:c>
      <x:c r="F168" s="3" t="n">
        <x:v>4</x:v>
      </x:c>
      <x:c r="G168" s="3" t="inlineStr">
        <x:is>
          <x:t xml:space="preserve">optimized</x:t>
        </x:is>
      </x:c>
      <x:c r="H168" s="3" t="inlineStr">
        <x:is>
          <x:t xml:space="preserve"/>
        </x:is>
      </x:c>
      <x:c r="I168" s="3" t="inlineStr">
        <x:is>
          <x:t xml:space="preserve">Request_Evidence</x:t>
        </x:is>
      </x:c>
      <x:c r="J168" s="3" t="inlineStr">
        <x:is>
          <x:t xml:space="preserve">Y</x:t>
        </x:is>
      </x:c>
      <x:c r="K168" s="3" t="inlineStr">
        <x:is>
          <x:t xml:space="preserve"/>
        </x:is>
      </x:c>
    </x:row>
    <x:row r="169">
      <x:c r="A169" s="3" t="inlineStr">
        <x:is>
          <x:t xml:space="preserve">Executive</x:t>
        </x:is>
      </x:c>
      <x:c r="B169" s="3" t="inlineStr">
        <x:is>
          <x:t xml:space="preserve">EXCO-D7-Q02</x:t>
        </x:is>
      </x:c>
      <x:c r="C169" s="3" t="inlineStr">
        <x:is>
          <x:t xml:space="preserve">EXCO-D7-Q02-A1</x:t>
        </x:is>
      </x:c>
      <x:c r="D169" s="3" t="n">
        <x:v>1</x:v>
      </x:c>
      <x:c r="E169" s="3" t="inlineStr">
        <x:is>
          <x:t xml:space="preserve">No—coordination is slow and unclear; decisions get stuck.</x:t>
        </x:is>
      </x:c>
      <x:c r="F169" s="3" t="n">
        <x:v>0</x:v>
      </x:c>
      <x:c r="G169" s="3" t="inlineStr">
        <x:is>
          <x:t xml:space="preserve">foundational_gap</x:t>
        </x:is>
      </x:c>
      <x:c r="H169" s="3" t="inlineStr">
        <x:is>
          <x:t xml:space="preserve">Resilience Gap</x:t>
        </x:is>
      </x:c>
      <x:c r="I169" s="3" t="inlineStr">
        <x:is>
          <x:t xml:space="preserve">Design_Case_Model</x:t>
        </x:is>
      </x:c>
      <x:c r="J169" s="3" t="inlineStr">
        <x:is>
          <x:t xml:space="preserve">N</x:t>
        </x:is>
      </x:c>
      <x:c r="K169" s="3" t="inlineStr">
        <x:is>
          <x:t xml:space="preserve"/>
        </x:is>
      </x:c>
    </x:row>
    <x:row r="170">
      <x:c r="A170" s="3" t="inlineStr">
        <x:is>
          <x:t xml:space="preserve">Executive</x:t>
        </x:is>
      </x:c>
      <x:c r="B170" s="3" t="inlineStr">
        <x:is>
          <x:t xml:space="preserve">EXCO-D7-Q02</x:t>
        </x:is>
      </x:c>
      <x:c r="C170" s="3" t="inlineStr">
        <x:is>
          <x:t xml:space="preserve">EXCO-D7-Q02-A2</x:t>
        </x:is>
      </x:c>
      <x:c r="D170" s="3" t="n">
        <x:v>2</x:v>
      </x:c>
      <x:c r="E170" s="3" t="inlineStr">
        <x:is>
          <x:t xml:space="preserve">Sometimes—depends on personal relationships; outcomes vary.</x:t>
        </x:is>
      </x:c>
      <x:c r="F170" s="3" t="n">
        <x:v>1</x:v>
      </x:c>
      <x:c r="G170" s="3" t="inlineStr">
        <x:is>
          <x:t xml:space="preserve">shadow_signal</x:t>
        </x:is>
      </x:c>
      <x:c r="H170" s="3" t="inlineStr">
        <x:is>
          <x:t xml:space="preserve">Shadow Mature</x:t>
        </x:is>
      </x:c>
      <x:c r="I170" s="3" t="inlineStr">
        <x:is>
          <x:t xml:space="preserve">Formalize_Case_Model</x:t>
        </x:is>
      </x:c>
      <x:c r="J170" s="3" t="inlineStr">
        <x:is>
          <x:t xml:space="preserve">N</x:t>
        </x:is>
      </x:c>
      <x:c r="K170" s="3" t="inlineStr">
        <x:is>
          <x:t xml:space="preserve"/>
        </x:is>
      </x:c>
    </x:row>
    <x:row r="171">
      <x:c r="A171" s="3" t="inlineStr">
        <x:is>
          <x:t xml:space="preserve">Executive</x:t>
        </x:is>
      </x:c>
      <x:c r="B171" s="3" t="inlineStr">
        <x:is>
          <x:t xml:space="preserve">EXCO-D7-Q02</x:t>
        </x:is>
      </x:c>
      <x:c r="C171" s="3" t="inlineStr">
        <x:is>
          <x:t xml:space="preserve">EXCO-D7-Q02-A3</x:t>
        </x:is>
      </x:c>
      <x:c r="D171" s="3" t="n">
        <x:v>3</x:v>
      </x:c>
      <x:c r="E171" s="3" t="inlineStr">
        <x:is>
          <x:t xml:space="preserve">Yes—there is an understood way of working, even if not documented.</x:t>
        </x:is>
      </x:c>
      <x:c r="F171" s="3" t="n">
        <x:v>2</x:v>
      </x:c>
      <x:c r="G171" s="3" t="inlineStr">
        <x:is>
          <x:t xml:space="preserve">shadow_mature_signal</x:t>
        </x:is>
      </x:c>
      <x:c r="H171" s="3" t="inlineStr">
        <x:is>
          <x:t xml:space="preserve">Shadow Mature</x:t>
        </x:is>
      </x:c>
      <x:c r="I171" s="3" t="inlineStr">
        <x:is>
          <x:t xml:space="preserve">Capture_Playbook</x:t>
        </x:is>
      </x:c>
      <x:c r="J171" s="3" t="inlineStr">
        <x:is>
          <x:t xml:space="preserve">N</x:t>
        </x:is>
      </x:c>
      <x:c r="K171" s="3" t="inlineStr">
        <x:is>
          <x:t xml:space="preserve"/>
        </x:is>
      </x:c>
    </x:row>
    <x:row r="172">
      <x:c r="A172" s="3" t="inlineStr">
        <x:is>
          <x:t xml:space="preserve">Executive</x:t>
        </x:is>
      </x:c>
      <x:c r="B172" s="3" t="inlineStr">
        <x:is>
          <x:t xml:space="preserve">EXCO-D7-Q02</x:t>
        </x:is>
      </x:c>
      <x:c r="C172" s="3" t="inlineStr">
        <x:is>
          <x:t xml:space="preserve">EXCO-D7-Q02-A4</x:t>
        </x:is>
      </x:c>
      <x:c r="D172" s="3" t="n">
        <x:v>4</x:v>
      </x:c>
      <x:c r="E172" s="3" t="inlineStr">
        <x:is>
          <x:t xml:space="preserve">Yes—and we can point to recent examples and decision logs.</x:t>
        </x:is>
      </x:c>
      <x:c r="F172" s="3" t="n">
        <x:v>3</x:v>
      </x:c>
      <x:c r="G172" s="3" t="inlineStr">
        <x:is>
          <x:t xml:space="preserve">good_practice</x:t>
        </x:is>
      </x:c>
      <x:c r="H172" s="3" t="inlineStr">
        <x:is>
          <x:t xml:space="preserve"/>
        </x:is>
      </x:c>
      <x:c r="I172" s="3" t="inlineStr">
        <x:is>
          <x:t xml:space="preserve">Request_Evidence</x:t>
        </x:is>
      </x:c>
      <x:c r="J172" s="3" t="inlineStr">
        <x:is>
          <x:t xml:space="preserve">Y</x:t>
        </x:is>
      </x:c>
      <x:c r="K172" s="3" t="inlineStr">
        <x:is>
          <x:t xml:space="preserve"/>
        </x:is>
      </x:c>
    </x:row>
    <x:row r="173">
      <x:c r="A173" s="3" t="inlineStr">
        <x:is>
          <x:t xml:space="preserve">Executive</x:t>
        </x:is>
      </x:c>
      <x:c r="B173" s="3" t="inlineStr">
        <x:is>
          <x:t xml:space="preserve">EXCO-D7-Q03</x:t>
        </x:is>
      </x:c>
      <x:c r="C173" s="3" t="inlineStr">
        <x:is>
          <x:t xml:space="preserve">EXCO-D7-Q03-A0</x:t>
        </x:is>
      </x:c>
      <x:c r="D173" s="3" t="n">
        <x:v>1</x:v>
      </x:c>
      <x:c r="E173" s="3" t="inlineStr">
        <x:is>
          <x:t xml:space="preserve">I don’t know / not sure.</x:t>
        </x:is>
      </x:c>
      <x:c r="F173" s="3" t="n">
        <x:v>0</x:v>
      </x:c>
      <x:c r="G173" s="3" t="inlineStr">
        <x:is>
          <x:t xml:space="preserve">unknown</x:t>
        </x:is>
      </x:c>
      <x:c r="H173" s="3" t="inlineStr">
        <x:is>
          <x:t xml:space="preserve">Unknown</x:t>
        </x:is>
      </x:c>
      <x:c r="I173" s="3" t="inlineStr">
        <x:is>
          <x:t xml:space="preserve">Plan_Exercises</x:t>
        </x:is>
      </x:c>
      <x:c r="J173" s="3" t="inlineStr">
        <x:is>
          <x:t xml:space="preserve">N</x:t>
        </x:is>
      </x:c>
      <x:c r="K173" s="3" t="inlineStr">
        <x:is>
          <x:t xml:space="preserve"/>
        </x:is>
      </x:c>
    </x:row>
    <x:row r="174">
      <x:c r="A174" s="3" t="inlineStr">
        <x:is>
          <x:t xml:space="preserve">Executive</x:t>
        </x:is>
      </x:c>
      <x:c r="B174" s="3" t="inlineStr">
        <x:is>
          <x:t xml:space="preserve">EXCO-D7-Q03</x:t>
        </x:is>
      </x:c>
      <x:c r="C174" s="3" t="inlineStr">
        <x:is>
          <x:t xml:space="preserve">EXCO-D7-Q03-A1</x:t>
        </x:is>
      </x:c>
      <x:c r="D174" s="3" t="n">
        <x:v>2</x:v>
      </x:c>
      <x:c r="E174" s="3" t="inlineStr">
        <x:is>
          <x:t xml:space="preserve">No—we haven’t practised insider scenarios.</x:t>
        </x:is>
      </x:c>
      <x:c r="F174" s="3" t="n">
        <x:v>0</x:v>
      </x:c>
      <x:c r="G174" s="3" t="inlineStr">
        <x:is>
          <x:t xml:space="preserve">foundational_gap</x:t>
        </x:is>
      </x:c>
      <x:c r="H174" s="3" t="inlineStr">
        <x:is>
          <x:t xml:space="preserve">Resilience Gap</x:t>
        </x:is>
      </x:c>
      <x:c r="I174" s="3" t="inlineStr">
        <x:is>
          <x:t xml:space="preserve">Plan_Exercises</x:t>
        </x:is>
      </x:c>
      <x:c r="J174" s="3" t="inlineStr">
        <x:is>
          <x:t xml:space="preserve">N</x:t>
        </x:is>
      </x:c>
      <x:c r="K174" s="3" t="inlineStr">
        <x:is>
          <x:t xml:space="preserve"/>
        </x:is>
      </x:c>
    </x:row>
    <x:row r="175">
      <x:c r="A175" s="3" t="inlineStr">
        <x:is>
          <x:t xml:space="preserve">Executive</x:t>
        </x:is>
      </x:c>
      <x:c r="B175" s="3" t="inlineStr">
        <x:is>
          <x:t xml:space="preserve">EXCO-D7-Q03</x:t>
        </x:is>
      </x:c>
      <x:c r="C175" s="3" t="inlineStr">
        <x:is>
          <x:t xml:space="preserve">EXCO-D7-Q03-A2</x:t>
        </x:is>
      </x:c>
      <x:c r="D175" s="3" t="n">
        <x:v>3</x:v>
      </x:c>
      <x:c r="E175" s="3" t="inlineStr">
        <x:is>
          <x:t xml:space="preserve">We’ve done a one-off exercise, but it didn’t lead to tracked improvements.</x:t>
        </x:is>
      </x:c>
      <x:c r="F175" s="3" t="n">
        <x:v>1</x:v>
      </x:c>
      <x:c r="G175" s="3" t="inlineStr">
        <x:is>
          <x:t xml:space="preserve">paper_process</x:t>
        </x:is>
      </x:c>
      <x:c r="H175" s="3" t="inlineStr">
        <x:is>
          <x:t xml:space="preserve">Paper Dragon</x:t>
        </x:is>
      </x:c>
      <x:c r="I175" s="3" t="inlineStr">
        <x:is>
          <x:t xml:space="preserve">Improve_Exercise_Loop</x:t>
        </x:is>
      </x:c>
      <x:c r="J175" s="3" t="inlineStr">
        <x:is>
          <x:t xml:space="preserve">N</x:t>
        </x:is>
      </x:c>
      <x:c r="K175" s="3" t="inlineStr">
        <x:is>
          <x:t xml:space="preserve"/>
        </x:is>
      </x:c>
    </x:row>
    <x:row r="176">
      <x:c r="A176" s="3" t="inlineStr">
        <x:is>
          <x:t xml:space="preserve">Executive</x:t>
        </x:is>
      </x:c>
      <x:c r="B176" s="3" t="inlineStr">
        <x:is>
          <x:t xml:space="preserve">EXCO-D7-Q03</x:t>
        </x:is>
      </x:c>
      <x:c r="C176" s="3" t="inlineStr">
        <x:is>
          <x:t xml:space="preserve">EXCO-D7-Q03-A3</x:t>
        </x:is>
      </x:c>
      <x:c r="D176" s="3" t="n">
        <x:v>4</x:v>
      </x:c>
      <x:c r="E176" s="3" t="inlineStr">
        <x:is>
          <x:t xml:space="preserve">We practise occasionally and track actions, but completion is inconsistent.</x:t>
        </x:is>
      </x:c>
      <x:c r="F176" s="3" t="n">
        <x:v>2</x:v>
      </x:c>
      <x:c r="G176" s="3" t="inlineStr">
        <x:is>
          <x:t xml:space="preserve">inconsistent_execution</x:t>
        </x:is>
      </x:c>
      <x:c r="H176" s="3" t="inlineStr">
        <x:is>
          <x:t xml:space="preserve">Operating Model Gap</x:t>
        </x:is>
      </x:c>
      <x:c r="I176" s="3" t="inlineStr">
        <x:is>
          <x:t xml:space="preserve">Improve_Exercise_Loop</x:t>
        </x:is>
      </x:c>
      <x:c r="J176" s="3" t="inlineStr">
        <x:is>
          <x:t xml:space="preserve">N</x:t>
        </x:is>
      </x:c>
      <x:c r="K176" s="3" t="inlineStr">
        <x:is>
          <x:t xml:space="preserve"/>
        </x:is>
      </x:c>
    </x:row>
    <x:row r="177">
      <x:c r="A177" s="3" t="inlineStr">
        <x:is>
          <x:t xml:space="preserve">Executive</x:t>
        </x:is>
      </x:c>
      <x:c r="B177" s="3" t="inlineStr">
        <x:is>
          <x:t xml:space="preserve">EXCO-D7-Q03</x:t>
        </x:is>
      </x:c>
      <x:c r="C177" s="3" t="inlineStr">
        <x:is>
          <x:t xml:space="preserve">EXCO-D7-Q03-A4</x:t>
        </x:is>
      </x:c>
      <x:c r="D177" s="3" t="n">
        <x:v>5</x:v>
      </x:c>
      <x:c r="E177" s="3" t="inlineStr">
        <x:is>
          <x:t xml:space="preserve">We practise at least annually and close out improvements with owners/dates.</x:t>
        </x:is>
      </x:c>
      <x:c r="F177" s="3" t="n">
        <x:v>3</x:v>
      </x:c>
      <x:c r="G177" s="3" t="inlineStr">
        <x:is>
          <x:t xml:space="preserve">good_practice</x:t>
        </x:is>
      </x:c>
      <x:c r="H177" s="3" t="inlineStr">
        <x:is>
          <x:t xml:space="preserve"/>
        </x:is>
      </x:c>
      <x:c r="I177" s="3" t="inlineStr">
        <x:is>
          <x:t xml:space="preserve">Request_Evidence</x:t>
        </x:is>
      </x:c>
      <x:c r="J177" s="3" t="inlineStr">
        <x:is>
          <x:t xml:space="preserve">Y</x:t>
        </x:is>
      </x:c>
      <x:c r="K177" s="3" t="inlineStr">
        <x:is>
          <x:t xml:space="preserve"/>
        </x:is>
      </x:c>
    </x:row>
    <x:row r="178">
      <x:c r="A178" s="3" t="inlineStr">
        <x:is>
          <x:t xml:space="preserve">Executive</x:t>
        </x:is>
      </x:c>
      <x:c r="B178" s="3" t="inlineStr">
        <x:is>
          <x:t xml:space="preserve">EXCO-D7-Q03</x:t>
        </x:is>
      </x:c>
      <x:c r="C178" s="3" t="inlineStr">
        <x:is>
          <x:t xml:space="preserve">EXCO-D7-Q03-A5</x:t>
        </x:is>
      </x:c>
      <x:c r="D178" s="3" t="n">
        <x:v>6</x:v>
      </x:c>
      <x:c r="E178" s="3" t="inlineStr">
        <x:is>
          <x:t xml:space="preserve">Exercises are scheduled; improvement completion is measured; results feed into roadmap.</x:t>
        </x:is>
      </x:c>
      <x:c r="F178" s="3" t="n">
        <x:v>4</x:v>
      </x:c>
      <x:c r="G178" s="3" t="inlineStr">
        <x:is>
          <x:t xml:space="preserve">optimized</x:t>
        </x:is>
      </x:c>
      <x:c r="H178" s="3" t="inlineStr">
        <x:is>
          <x:t xml:space="preserve"/>
        </x:is>
      </x:c>
      <x:c r="I178" s="3" t="inlineStr">
        <x:is>
          <x:t xml:space="preserve">Request_Evidence</x:t>
        </x:is>
      </x:c>
      <x:c r="J178" s="3" t="inlineStr">
        <x:is>
          <x:t xml:space="preserve">Y</x:t>
        </x:is>
      </x:c>
      <x:c r="K178" s="3" t="inlineStr">
        <x:is>
          <x:t xml:space="preserve"/>
        </x:is>
      </x:c>
    </x:row>
    <x:row r="179">
      <x:c r="A179" s="3" t="inlineStr">
        <x:is>
          <x:t xml:space="preserve">Executive</x:t>
        </x:is>
      </x:c>
      <x:c r="B179" s="3" t="inlineStr">
        <x:is>
          <x:t xml:space="preserve">EXCO-D7-Q04</x:t>
        </x:is>
      </x:c>
      <x:c r="C179" s="3" t="inlineStr">
        <x:is>
          <x:t xml:space="preserve">EXCO-D7-Q04-A0</x:t>
        </x:is>
      </x:c>
      <x:c r="D179" s="3" t="n">
        <x:v>1</x:v>
      </x:c>
      <x:c r="E179" s="3" t="inlineStr">
        <x:is>
          <x:t xml:space="preserve">I don’t know / not sure.</x:t>
        </x:is>
      </x:c>
      <x:c r="F179" s="3" t="n">
        <x:v>0</x:v>
      </x:c>
      <x:c r="G179" s="3" t="inlineStr">
        <x:is>
          <x:t xml:space="preserve">unknown</x:t>
        </x:is>
      </x:c>
      <x:c r="H179" s="3" t="inlineStr">
        <x:is>
          <x:t xml:space="preserve">Unknown</x:t>
        </x:is>
      </x:c>
      <x:c r="I179" s="3" t="inlineStr">
        <x:is>
          <x:t xml:space="preserve">Define_LE_Plan</x:t>
        </x:is>
      </x:c>
      <x:c r="J179" s="3" t="inlineStr">
        <x:is>
          <x:t xml:space="preserve">N</x:t>
        </x:is>
      </x:c>
      <x:c r="K179" s="3" t="inlineStr">
        <x:is>
          <x:t xml:space="preserve"/>
        </x:is>
      </x:c>
    </x:row>
    <x:row r="180">
      <x:c r="A180" s="3" t="inlineStr">
        <x:is>
          <x:t xml:space="preserve">Executive</x:t>
        </x:is>
      </x:c>
      <x:c r="B180" s="3" t="inlineStr">
        <x:is>
          <x:t xml:space="preserve">EXCO-D7-Q04</x:t>
        </x:is>
      </x:c>
      <x:c r="C180" s="3" t="inlineStr">
        <x:is>
          <x:t xml:space="preserve">EXCO-D7-Q04-A1</x:t>
        </x:is>
      </x:c>
      <x:c r="D180" s="3" t="n">
        <x:v>2</x:v>
      </x:c>
      <x:c r="E180" s="3" t="inlineStr">
        <x:is>
          <x:t xml:space="preserve">No—we decide during a crisis.</x:t>
        </x:is>
      </x:c>
      <x:c r="F180" s="3" t="n">
        <x:v>0</x:v>
      </x:c>
      <x:c r="G180" s="3" t="inlineStr">
        <x:is>
          <x:t xml:space="preserve">foundational_gap</x:t>
        </x:is>
      </x:c>
      <x:c r="H180" s="3" t="inlineStr">
        <x:is>
          <x:t xml:space="preserve">Resilience Gap</x:t>
        </x:is>
      </x:c>
      <x:c r="I180" s="3" t="inlineStr">
        <x:is>
          <x:t xml:space="preserve">Define_LE_Plan</x:t>
        </x:is>
      </x:c>
      <x:c r="J180" s="3" t="inlineStr">
        <x:is>
          <x:t xml:space="preserve">N</x:t>
        </x:is>
      </x:c>
      <x:c r="K180" s="3" t="inlineStr">
        <x:is>
          <x:t xml:space="preserve"/>
        </x:is>
      </x:c>
    </x:row>
    <x:row r="181">
      <x:c r="A181" s="3" t="inlineStr">
        <x:is>
          <x:t xml:space="preserve">Executive</x:t>
        </x:is>
      </x:c>
      <x:c r="B181" s="3" t="inlineStr">
        <x:is>
          <x:t xml:space="preserve">EXCO-D7-Q04</x:t>
        </x:is>
      </x:c>
      <x:c r="C181" s="3" t="inlineStr">
        <x:is>
          <x:t xml:space="preserve">EXCO-D7-Q04-A2</x:t>
        </x:is>
      </x:c>
      <x:c r="D181" s="3" t="n">
        <x:v>3</x:v>
      </x:c>
      <x:c r="E181" s="3" t="inlineStr">
        <x:is>
          <x:t xml:space="preserve">We have informal contacts, but no defined criteria or approvals.</x:t>
        </x:is>
      </x:c>
      <x:c r="F181" s="3" t="n">
        <x:v>1</x:v>
      </x:c>
      <x:c r="G181" s="3" t="inlineStr">
        <x:is>
          <x:t xml:space="preserve">ad_hoc</x:t>
        </x:is>
      </x:c>
      <x:c r="H181" s="3" t="inlineStr">
        <x:is>
          <x:t xml:space="preserve">Operating Model Gap</x:t>
        </x:is>
      </x:c>
      <x:c r="I181" s="3" t="inlineStr">
        <x:is>
          <x:t xml:space="preserve">Define_LE_Plan</x:t>
        </x:is>
      </x:c>
      <x:c r="J181" s="3" t="inlineStr">
        <x:is>
          <x:t xml:space="preserve">N</x:t>
        </x:is>
      </x:c>
      <x:c r="K181" s="3" t="inlineStr">
        <x:is>
          <x:t xml:space="preserve"/>
        </x:is>
      </x:c>
    </x:row>
    <x:row r="182">
      <x:c r="A182" s="3" t="inlineStr">
        <x:is>
          <x:t xml:space="preserve">Executive</x:t>
        </x:is>
      </x:c>
      <x:c r="B182" s="3" t="inlineStr">
        <x:is>
          <x:t xml:space="preserve">EXCO-D7-Q04</x:t>
        </x:is>
      </x:c>
      <x:c r="C182" s="3" t="inlineStr">
        <x:is>
          <x:t xml:space="preserve">EXCO-D7-Q04-A3</x:t>
        </x:is>
      </x:c>
      <x:c r="D182" s="3" t="n">
        <x:v>4</x:v>
      </x:c>
      <x:c r="E182" s="3" t="inlineStr">
        <x:is>
          <x:t xml:space="preserve">A policy exists, but it is generic and not practised.</x:t>
        </x:is>
      </x:c>
      <x:c r="F182" s="3" t="n">
        <x:v>2</x:v>
      </x:c>
      <x:c r="G182" s="3" t="inlineStr">
        <x:is>
          <x:t xml:space="preserve">paper_process</x:t>
        </x:is>
      </x:c>
      <x:c r="H182" s="3" t="inlineStr">
        <x:is>
          <x:t xml:space="preserve">Paper Dragon</x:t>
        </x:is>
      </x:c>
      <x:c r="I182" s="3" t="inlineStr">
        <x:is>
          <x:t xml:space="preserve">Exercise_LE_Plan</x:t>
        </x:is>
      </x:c>
      <x:c r="J182" s="3" t="inlineStr">
        <x:is>
          <x:t xml:space="preserve">N</x:t>
        </x:is>
      </x:c>
      <x:c r="K182" s="3" t="inlineStr">
        <x:is>
          <x:t xml:space="preserve"/>
        </x:is>
      </x:c>
    </x:row>
    <x:row r="183">
      <x:c r="A183" s="3" t="inlineStr">
        <x:is>
          <x:t xml:space="preserve">Executive</x:t>
        </x:is>
      </x:c>
      <x:c r="B183" s="3" t="inlineStr">
        <x:is>
          <x:t xml:space="preserve">EXCO-D7-Q04</x:t>
        </x:is>
      </x:c>
      <x:c r="C183" s="3" t="inlineStr">
        <x:is>
          <x:t xml:space="preserve">EXCO-D7-Q04-A4</x:t>
        </x:is>
      </x:c>
      <x:c r="D183" s="3" t="n">
        <x:v>5</x:v>
      </x:c>
      <x:c r="E183" s="3" t="inlineStr">
        <x:is>
          <x:t xml:space="preserve">Criteria and approvals are defined; communications roles are clear.</x:t>
        </x:is>
      </x:c>
      <x:c r="F183" s="3" t="n">
        <x:v>3</x:v>
      </x:c>
      <x:c r="G183" s="3" t="inlineStr">
        <x:is>
          <x:t xml:space="preserve">good_practice</x:t>
        </x:is>
      </x:c>
      <x:c r="H183" s="3" t="inlineStr">
        <x:is>
          <x:t xml:space="preserve"/>
        </x:is>
      </x:c>
      <x:c r="I183" s="3" t="inlineStr">
        <x:is>
          <x:t xml:space="preserve">Request_Evidence</x:t>
        </x:is>
      </x:c>
      <x:c r="J183" s="3" t="inlineStr">
        <x:is>
          <x:t xml:space="preserve">Y</x:t>
        </x:is>
      </x:c>
      <x:c r="K183" s="3" t="inlineStr">
        <x:is>
          <x:t xml:space="preserve"/>
        </x:is>
      </x:c>
    </x:row>
    <x:row r="184">
      <x:c r="A184" s="3" t="inlineStr">
        <x:is>
          <x:t xml:space="preserve">Executive</x:t>
        </x:is>
      </x:c>
      <x:c r="B184" s="3" t="inlineStr">
        <x:is>
          <x:t xml:space="preserve">EXCO-D7-Q04</x:t>
        </x:is>
      </x:c>
      <x:c r="C184" s="3" t="inlineStr">
        <x:is>
          <x:t xml:space="preserve">EXCO-D7-Q04-A5</x:t>
        </x:is>
      </x:c>
      <x:c r="D184" s="3" t="n">
        <x:v>6</x:v>
      </x:c>
      <x:c r="E184" s="3" t="inlineStr">
        <x:is>
          <x:t xml:space="preserve">Plan is integrated with crisis management; practised and improved regularly.</x:t>
        </x:is>
      </x:c>
      <x:c r="F184" s="3" t="n">
        <x:v>4</x:v>
      </x:c>
      <x:c r="G184" s="3" t="inlineStr">
        <x:is>
          <x:t xml:space="preserve">optimized</x:t>
        </x:is>
      </x:c>
      <x:c r="H184" s="3" t="inlineStr">
        <x:is>
          <x:t xml:space="preserve"/>
        </x:is>
      </x:c>
      <x:c r="I184" s="3" t="inlineStr">
        <x:is>
          <x:t xml:space="preserve">Request_Evidence</x:t>
        </x:is>
      </x:c>
      <x:c r="J184" s="3" t="inlineStr">
        <x:is>
          <x:t xml:space="preserve">Y</x:t>
        </x:is>
      </x:c>
      <x:c r="K184" s="3" t="inlineStr">
        <x:is>
          <x:t xml:space="preserve"/>
        </x:is>
      </x:c>
    </x:row>
    <x:row r="185">
      <x:c r="A185" s="3" t="inlineStr">
        <x:is>
          <x:t xml:space="preserve">Executive</x:t>
        </x:is>
      </x:c>
      <x:c r="B185" s="3" t="inlineStr">
        <x:is>
          <x:t xml:space="preserve">EXCO-D7-Q05</x:t>
        </x:is>
      </x:c>
      <x:c r="C185" s="3" t="inlineStr">
        <x:is>
          <x:t xml:space="preserve">EXCO-D7-Q05-A0</x:t>
        </x:is>
      </x:c>
      <x:c r="D185" s="3" t="n">
        <x:v>1</x:v>
      </x:c>
      <x:c r="E185" s="3" t="inlineStr">
        <x:is>
          <x:t xml:space="preserve">I don’t know / not sure.</x:t>
        </x:is>
      </x:c>
      <x:c r="F185" s="3" t="n">
        <x:v>0</x:v>
      </x:c>
      <x:c r="G185" s="3" t="inlineStr">
        <x:is>
          <x:t xml:space="preserve">unknown</x:t>
        </x:is>
      </x:c>
      <x:c r="H185" s="3" t="inlineStr">
        <x:is>
          <x:t xml:space="preserve">Unknown</x:t>
        </x:is>
      </x:c>
      <x:c r="I185" s="3" t="inlineStr">
        <x:is>
          <x:t xml:space="preserve">Create_Trust_Playbook</x:t>
        </x:is>
      </x:c>
      <x:c r="J185" s="3" t="inlineStr">
        <x:is>
          <x:t xml:space="preserve">N</x:t>
        </x:is>
      </x:c>
      <x:c r="K185" s="3" t="inlineStr">
        <x:is>
          <x:t xml:space="preserve"/>
        </x:is>
      </x:c>
    </x:row>
    <x:row r="186">
      <x:c r="A186" s="3" t="inlineStr">
        <x:is>
          <x:t xml:space="preserve">Executive</x:t>
        </x:is>
      </x:c>
      <x:c r="B186" s="3" t="inlineStr">
        <x:is>
          <x:t xml:space="preserve">EXCO-D7-Q05</x:t>
        </x:is>
      </x:c>
      <x:c r="C186" s="3" t="inlineStr">
        <x:is>
          <x:t xml:space="preserve">EXCO-D7-Q05-A1</x:t>
        </x:is>
      </x:c>
      <x:c r="D186" s="3" t="n">
        <x:v>2</x:v>
      </x:c>
      <x:c r="E186" s="3" t="inlineStr">
        <x:is>
          <x:t xml:space="preserve">No—focus is only on technical fix and PR; trust is not addressed.</x:t>
        </x:is>
      </x:c>
      <x:c r="F186" s="3" t="n">
        <x:v>0</x:v>
      </x:c>
      <x:c r="G186" s="3" t="inlineStr">
        <x:is>
          <x:t xml:space="preserve">culture_risk</x:t>
        </x:is>
      </x:c>
      <x:c r="H186" s="3" t="inlineStr">
        <x:is>
          <x:t xml:space="preserve">Culture Risk</x:t>
        </x:is>
      </x:c>
      <x:c r="I186" s="3" t="inlineStr">
        <x:is>
          <x:t xml:space="preserve">Create_Trust_Playbook</x:t>
        </x:is>
      </x:c>
      <x:c r="J186" s="3" t="inlineStr">
        <x:is>
          <x:t xml:space="preserve">N</x:t>
        </x:is>
      </x:c>
      <x:c r="K186" s="3" t="inlineStr">
        <x:is>
          <x:t xml:space="preserve"/>
        </x:is>
      </x:c>
    </x:row>
    <x:row r="187">
      <x:c r="A187" s="3" t="inlineStr">
        <x:is>
          <x:t xml:space="preserve">Executive</x:t>
        </x:is>
      </x:c>
      <x:c r="B187" s="3" t="inlineStr">
        <x:is>
          <x:t xml:space="preserve">EXCO-D7-Q05</x:t>
        </x:is>
      </x:c>
      <x:c r="C187" s="3" t="inlineStr">
        <x:is>
          <x:t xml:space="preserve">EXCO-D7-Q05-A2</x:t>
        </x:is>
      </x:c>
      <x:c r="D187" s="3" t="n">
        <x:v>3</x:v>
      </x:c>
      <x:c r="E187" s="3" t="inlineStr">
        <x:is>
          <x:t xml:space="preserve">Managers try to handle it informally, but there is no structured support.</x:t>
        </x:is>
      </x:c>
      <x:c r="F187" s="3" t="n">
        <x:v>1</x:v>
      </x:c>
      <x:c r="G187" s="3" t="inlineStr">
        <x:is>
          <x:t xml:space="preserve">informal_only</x:t>
        </x:is>
      </x:c>
      <x:c r="H187" s="3" t="inlineStr">
        <x:is>
          <x:t xml:space="preserve">Operating Model Gap</x:t>
        </x:is>
      </x:c>
      <x:c r="I187" s="3" t="inlineStr">
        <x:is>
          <x:t xml:space="preserve">Create_Trust_Playbook</x:t>
        </x:is>
      </x:c>
      <x:c r="J187" s="3" t="inlineStr">
        <x:is>
          <x:t xml:space="preserve">N</x:t>
        </x:is>
      </x:c>
      <x:c r="K187" s="3" t="inlineStr">
        <x:is>
          <x:t xml:space="preserve"/>
        </x:is>
      </x:c>
    </x:row>
    <x:row r="188">
      <x:c r="A188" s="3" t="inlineStr">
        <x:is>
          <x:t xml:space="preserve">Executive</x:t>
        </x:is>
      </x:c>
      <x:c r="B188" s="3" t="inlineStr">
        <x:is>
          <x:t xml:space="preserve">EXCO-D7-Q05</x:t>
        </x:is>
      </x:c>
      <x:c r="C188" s="3" t="inlineStr">
        <x:is>
          <x:t xml:space="preserve">EXCO-D7-Q05-A3</x:t>
        </x:is>
      </x:c>
      <x:c r="D188" s="3" t="n">
        <x:v>4</x:v>
      </x:c>
      <x:c r="E188" s="3" t="inlineStr">
        <x:is>
          <x:t xml:space="preserve">We have some steps (comms, HR support), but it isn’t documented or measured.</x:t>
        </x:is>
      </x:c>
      <x:c r="F188" s="3" t="n">
        <x:v>2</x:v>
      </x:c>
      <x:c r="G188" s="3" t="inlineStr">
        <x:is>
          <x:t xml:space="preserve">paper_process</x:t>
        </x:is>
      </x:c>
      <x:c r="H188" s="3" t="inlineStr">
        <x:is>
          <x:t xml:space="preserve">Paper Dragon</x:t>
        </x:is>
      </x:c>
      <x:c r="I188" s="3" t="inlineStr">
        <x:is>
          <x:t xml:space="preserve">Formalize_Trust_Playbook</x:t>
        </x:is>
      </x:c>
      <x:c r="J188" s="3" t="inlineStr">
        <x:is>
          <x:t xml:space="preserve">N</x:t>
        </x:is>
      </x:c>
      <x:c r="K188" s="3" t="inlineStr">
        <x:is>
          <x:t xml:space="preserve"/>
        </x:is>
      </x:c>
    </x:row>
    <x:row r="189">
      <x:c r="A189" s="3" t="inlineStr">
        <x:is>
          <x:t xml:space="preserve">Executive</x:t>
        </x:is>
      </x:c>
      <x:c r="B189" s="3" t="inlineStr">
        <x:is>
          <x:t xml:space="preserve">EXCO-D7-Q05</x:t>
        </x:is>
      </x:c>
      <x:c r="C189" s="3" t="inlineStr">
        <x:is>
          <x:t xml:space="preserve">EXCO-D7-Q05-A4</x:t>
        </x:is>
      </x:c>
      <x:c r="D189" s="3" t="n">
        <x:v>5</x:v>
      </x:c>
      <x:c r="E189" s="3" t="inlineStr">
        <x:is>
          <x:t xml:space="preserve">We have a documented trust restoration approach and apply it after incidents.</x:t>
        </x:is>
      </x:c>
      <x:c r="F189" s="3" t="n">
        <x:v>3</x:v>
      </x:c>
      <x:c r="G189" s="3" t="inlineStr">
        <x:is>
          <x:t xml:space="preserve">good_practice</x:t>
        </x:is>
      </x:c>
      <x:c r="H189" s="3" t="inlineStr">
        <x:is>
          <x:t xml:space="preserve"/>
        </x:is>
      </x:c>
      <x:c r="I189" s="3" t="inlineStr">
        <x:is>
          <x:t xml:space="preserve">Request_Evidence</x:t>
        </x:is>
      </x:c>
      <x:c r="J189" s="3" t="inlineStr">
        <x:is>
          <x:t xml:space="preserve">Y</x:t>
        </x:is>
      </x:c>
      <x:c r="K189" s="3" t="inlineStr">
        <x:is>
          <x:t xml:space="preserve"/>
        </x:is>
      </x:c>
    </x:row>
    <x:row r="190">
      <x:c r="A190" s="3" t="inlineStr">
        <x:is>
          <x:t xml:space="preserve">Executive</x:t>
        </x:is>
      </x:c>
      <x:c r="B190" s="3" t="inlineStr">
        <x:is>
          <x:t xml:space="preserve">EXCO-D7-Q05</x:t>
        </x:is>
      </x:c>
      <x:c r="C190" s="3" t="inlineStr">
        <x:is>
          <x:t xml:space="preserve">EXCO-D7-Q05-A5</x:t>
        </x:is>
      </x:c>
      <x:c r="D190" s="3" t="n">
        <x:v>6</x:v>
      </x:c>
      <x:c r="E190" s="3" t="inlineStr">
        <x:is>
          <x:t xml:space="preserve">We measure trust recovery (surveys, attrition, grievances) and improve controls accordingly.</x:t>
        </x:is>
      </x:c>
      <x:c r="F190" s="3" t="n">
        <x:v>4</x:v>
      </x:c>
      <x:c r="G190" s="3" t="inlineStr">
        <x:is>
          <x:t xml:space="preserve">optimized</x:t>
        </x:is>
      </x:c>
      <x:c r="H190" s="3" t="inlineStr">
        <x:is>
          <x:t xml:space="preserve"/>
        </x:is>
      </x:c>
      <x:c r="I190" s="3" t="inlineStr">
        <x:is>
          <x:t xml:space="preserve">Request_Evidence</x:t>
        </x:is>
      </x:c>
      <x:c r="J190" s="3" t="inlineStr">
        <x:is>
          <x:t xml:space="preserve">Y</x:t>
        </x:is>
      </x:c>
      <x:c r="K190" s="3" t="inlineStr">
        <x:is>
          <x:t xml:space="preserve"/>
        </x:is>
      </x:c>
    </x:row>
    <x:row r="191">
      <x:c r="A191" s="3" t="inlineStr">
        <x:is>
          <x:t xml:space="preserve">Executive</x:t>
        </x:is>
      </x:c>
      <x:c r="B191" s="3" t="inlineStr">
        <x:is>
          <x:t xml:space="preserve">EXCO-D8-Q01</x:t>
        </x:is>
      </x:c>
      <x:c r="C191" s="3" t="inlineStr">
        <x:is>
          <x:t xml:space="preserve">EXCO-D8-Q01-A0</x:t>
        </x:is>
      </x:c>
      <x:c r="D191" s="3" t="n">
        <x:v>1</x:v>
      </x:c>
      <x:c r="E191" s="3" t="inlineStr">
        <x:is>
          <x:t xml:space="preserve">I don’t know / not sure.</x:t>
        </x:is>
      </x:c>
      <x:c r="F191" s="3" t="n">
        <x:v>0</x:v>
      </x:c>
      <x:c r="G191" s="3" t="inlineStr">
        <x:is>
          <x:t xml:space="preserve">unknown</x:t>
        </x:is>
      </x:c>
      <x:c r="H191" s="3" t="inlineStr">
        <x:is>
          <x:t xml:space="preserve">Unknown</x:t>
        </x:is>
      </x:c>
      <x:c r="I191" s="3" t="inlineStr">
        <x:is>
          <x:t xml:space="preserve">Define_KPIs</x:t>
        </x:is>
      </x:c>
      <x:c r="J191" s="3" t="inlineStr">
        <x:is>
          <x:t xml:space="preserve">N</x:t>
        </x:is>
      </x:c>
      <x:c r="K191" s="3" t="inlineStr">
        <x:is>
          <x:t xml:space="preserve"/>
        </x:is>
      </x:c>
    </x:row>
    <x:row r="192">
      <x:c r="A192" s="3" t="inlineStr">
        <x:is>
          <x:t xml:space="preserve">Executive</x:t>
        </x:is>
      </x:c>
      <x:c r="B192" s="3" t="inlineStr">
        <x:is>
          <x:t xml:space="preserve">EXCO-D8-Q01</x:t>
        </x:is>
      </x:c>
      <x:c r="C192" s="3" t="inlineStr">
        <x:is>
          <x:t xml:space="preserve">EXCO-D8-Q01-A1</x:t>
        </x:is>
      </x:c>
      <x:c r="D192" s="3" t="n">
        <x:v>2</x:v>
      </x:c>
      <x:c r="E192" s="3" t="inlineStr">
        <x:is>
          <x:t xml:space="preserve">It isn’t reported unless there is a crisis.</x:t>
        </x:is>
      </x:c>
      <x:c r="F192" s="3" t="n">
        <x:v>0</x:v>
      </x:c>
      <x:c r="G192" s="3" t="inlineStr">
        <x:is>
          <x:t xml:space="preserve">foundational_gap</x:t>
        </x:is>
      </x:c>
      <x:c r="H192" s="3" t="inlineStr">
        <x:is>
          <x:t xml:space="preserve">Operating Model Gap</x:t>
        </x:is>
      </x:c>
      <x:c r="I192" s="3" t="inlineStr">
        <x:is>
          <x:t xml:space="preserve">Define_KPIs</x:t>
        </x:is>
      </x:c>
      <x:c r="J192" s="3" t="inlineStr">
        <x:is>
          <x:t xml:space="preserve">N</x:t>
        </x:is>
      </x:c>
      <x:c r="K192" s="3" t="inlineStr">
        <x:is>
          <x:t xml:space="preserve"/>
        </x:is>
      </x:c>
    </x:row>
    <x:row r="193">
      <x:c r="A193" s="3" t="inlineStr">
        <x:is>
          <x:t xml:space="preserve">Executive</x:t>
        </x:is>
      </x:c>
      <x:c r="B193" s="3" t="inlineStr">
        <x:is>
          <x:t xml:space="preserve">EXCO-D8-Q01</x:t>
        </x:is>
      </x:c>
      <x:c r="C193" s="3" t="inlineStr">
        <x:is>
          <x:t xml:space="preserve">EXCO-D8-Q01-A2</x:t>
        </x:is>
      </x:c>
      <x:c r="D193" s="3" t="n">
        <x:v>3</x:v>
      </x:c>
      <x:c r="E193" s="3" t="inlineStr">
        <x:is>
          <x:t xml:space="preserve">Reporting focuses on vanity numbers (e.g., number of alerts) without business meaning.</x:t>
        </x:is>
      </x:c>
      <x:c r="F193" s="3" t="n">
        <x:v>1</x:v>
      </x:c>
      <x:c r="G193" s="3" t="inlineStr">
        <x:is>
          <x:t xml:space="preserve">vanity_metrics</x:t>
        </x:is>
      </x:c>
      <x:c r="H193" s="3" t="inlineStr">
        <x:is>
          <x:t xml:space="preserve">Paper Dragon</x:t>
        </x:is>
      </x:c>
      <x:c r="I193" s="3" t="inlineStr">
        <x:is>
          <x:t xml:space="preserve">Upgrade_KPIs</x:t>
        </x:is>
      </x:c>
      <x:c r="J193" s="3" t="inlineStr">
        <x:is>
          <x:t xml:space="preserve">N</x:t>
        </x:is>
      </x:c>
      <x:c r="K193" s="3" t="inlineStr">
        <x:is>
          <x:t xml:space="preserve"/>
        </x:is>
      </x:c>
    </x:row>
    <x:row r="194">
      <x:c r="A194" s="3" t="inlineStr">
        <x:is>
          <x:t xml:space="preserve">Executive</x:t>
        </x:is>
      </x:c>
      <x:c r="B194" s="3" t="inlineStr">
        <x:is>
          <x:t xml:space="preserve">EXCO-D8-Q01</x:t>
        </x:is>
      </x:c>
      <x:c r="C194" s="3" t="inlineStr">
        <x:is>
          <x:t xml:space="preserve">EXCO-D8-Q01-A3</x:t>
        </x:is>
      </x:c>
      <x:c r="D194" s="3" t="n">
        <x:v>4</x:v>
      </x:c>
      <x:c r="E194" s="3" t="inlineStr">
        <x:is>
          <x:t xml:space="preserve">Reporting focuses on compliance (‘we have policies’), not operational reality.</x:t>
        </x:is>
      </x:c>
      <x:c r="F194" s="3" t="n">
        <x:v>2</x:v>
      </x:c>
      <x:c r="G194" s="3" t="inlineStr">
        <x:is>
          <x:t xml:space="preserve">paper_dragon_signal</x:t>
        </x:is>
      </x:c>
      <x:c r="H194" s="3" t="inlineStr">
        <x:is>
          <x:t xml:space="preserve">Paper Dragon</x:t>
        </x:is>
      </x:c>
      <x:c r="I194" s="3" t="inlineStr">
        <x:is>
          <x:t xml:space="preserve">Upgrade_KPIs</x:t>
        </x:is>
      </x:c>
      <x:c r="J194" s="3" t="inlineStr">
        <x:is>
          <x:t xml:space="preserve">N</x:t>
        </x:is>
      </x:c>
      <x:c r="K194" s="3" t="inlineStr">
        <x:is>
          <x:t xml:space="preserve"/>
        </x:is>
      </x:c>
    </x:row>
    <x:row r="195">
      <x:c r="A195" s="3" t="inlineStr">
        <x:is>
          <x:t xml:space="preserve">Executive</x:t>
        </x:is>
      </x:c>
      <x:c r="B195" s="3" t="inlineStr">
        <x:is>
          <x:t xml:space="preserve">EXCO-D8-Q01</x:t>
        </x:is>
      </x:c>
      <x:c r="C195" s="3" t="inlineStr">
        <x:is>
          <x:t xml:space="preserve">EXCO-D8-Q01-A4</x:t>
        </x:is>
      </x:c>
      <x:c r="D195" s="3" t="n">
        <x:v>5</x:v>
      </x:c>
      <x:c r="E195" s="3" t="inlineStr">
        <x:is>
          <x:t xml:space="preserve">We report useful operational KPIs at least quarterly and decisions/actions follow.</x:t>
        </x:is>
      </x:c>
      <x:c r="F195" s="3" t="n">
        <x:v>3</x:v>
      </x:c>
      <x:c r="G195" s="3" t="inlineStr">
        <x:is>
          <x:t xml:space="preserve">good_practice</x:t>
        </x:is>
      </x:c>
      <x:c r="H195" s="3" t="inlineStr">
        <x:is>
          <x:t xml:space="preserve"/>
        </x:is>
      </x:c>
      <x:c r="I195" s="3" t="inlineStr">
        <x:is>
          <x:t xml:space="preserve">Request_Evidence</x:t>
        </x:is>
      </x:c>
      <x:c r="J195" s="3" t="inlineStr">
        <x:is>
          <x:t xml:space="preserve">Y</x:t>
        </x:is>
      </x:c>
      <x:c r="K195" s="3" t="inlineStr">
        <x:is>
          <x:t xml:space="preserve"/>
        </x:is>
      </x:c>
    </x:row>
    <x:row r="196">
      <x:c r="A196" s="3" t="inlineStr">
        <x:is>
          <x:t xml:space="preserve">Executive</x:t>
        </x:is>
      </x:c>
      <x:c r="B196" s="3" t="inlineStr">
        <x:is>
          <x:t xml:space="preserve">EXCO-D8-Q01</x:t>
        </x:is>
      </x:c>
      <x:c r="C196" s="3" t="inlineStr">
        <x:is>
          <x:t xml:space="preserve">EXCO-D8-Q01-A5</x:t>
        </x:is>
      </x:c>
      <x:c r="D196" s="3" t="n">
        <x:v>6</x:v>
      </x:c>
      <x:c r="E196" s="3" t="inlineStr">
        <x:is>
          <x:t xml:space="preserve">Real-time or frequent dashboards tied to risk appetite; actions are tracked and outcomes measured.</x:t>
        </x:is>
      </x:c>
      <x:c r="F196" s="3" t="n">
        <x:v>4</x:v>
      </x:c>
      <x:c r="G196" s="3" t="inlineStr">
        <x:is>
          <x:t xml:space="preserve">optimized</x:t>
        </x:is>
      </x:c>
      <x:c r="H196" s="3" t="inlineStr">
        <x:is>
          <x:t xml:space="preserve"/>
        </x:is>
      </x:c>
      <x:c r="I196" s="3" t="inlineStr">
        <x:is>
          <x:t xml:space="preserve">Request_Evidence</x:t>
        </x:is>
      </x:c>
      <x:c r="J196" s="3" t="inlineStr">
        <x:is>
          <x:t xml:space="preserve">Y</x:t>
        </x:is>
      </x:c>
      <x:c r="K196" s="3" t="inlineStr">
        <x:is>
          <x:t xml:space="preserve"/>
        </x:is>
      </x:c>
    </x:row>
    <x:row r="197">
      <x:c r="A197" s="3" t="inlineStr">
        <x:is>
          <x:t xml:space="preserve">Executive</x:t>
        </x:is>
      </x:c>
      <x:c r="B197" s="3" t="inlineStr">
        <x:is>
          <x:t xml:space="preserve">EXCO-D8-Q02</x:t>
        </x:is>
      </x:c>
      <x:c r="C197" s="3" t="inlineStr">
        <x:is>
          <x:t xml:space="preserve">EXCO-D8-Q02-A1</x:t>
        </x:is>
      </x:c>
      <x:c r="D197" s="3" t="n">
        <x:v>1</x:v>
      </x:c>
      <x:c r="E197" s="3" t="inlineStr">
        <x:is>
          <x:t xml:space="preserve">No—near misses are not captured or discussed.</x:t>
        </x:is>
      </x:c>
      <x:c r="F197" s="3" t="n">
        <x:v>0</x:v>
      </x:c>
      <x:c r="G197" s="3" t="inlineStr">
        <x:is>
          <x:t xml:space="preserve">foundational_gap</x:t>
        </x:is>
      </x:c>
      <x:c r="H197" s="3" t="inlineStr">
        <x:is>
          <x:t xml:space="preserve">Operating Model Gap</x:t>
        </x:is>
      </x:c>
      <x:c r="I197" s="3" t="inlineStr">
        <x:is>
          <x:t xml:space="preserve">Create_NearMiss_Process</x:t>
        </x:is>
      </x:c>
      <x:c r="J197" s="3" t="inlineStr">
        <x:is>
          <x:t xml:space="preserve">N</x:t>
        </x:is>
      </x:c>
      <x:c r="K197" s="3" t="inlineStr">
        <x:is>
          <x:t xml:space="preserve"/>
        </x:is>
      </x:c>
    </x:row>
    <x:row r="198">
      <x:c r="A198" s="3" t="inlineStr">
        <x:is>
          <x:t xml:space="preserve">Executive</x:t>
        </x:is>
      </x:c>
      <x:c r="B198" s="3" t="inlineStr">
        <x:is>
          <x:t xml:space="preserve">EXCO-D8-Q02</x:t>
        </x:is>
      </x:c>
      <x:c r="C198" s="3" t="inlineStr">
        <x:is>
          <x:t xml:space="preserve">EXCO-D8-Q02-A2</x:t>
        </x:is>
      </x:c>
      <x:c r="D198" s="3" t="n">
        <x:v>2</x:v>
      </x:c>
      <x:c r="E198" s="3" t="inlineStr">
        <x:is>
          <x:t xml:space="preserve">Sometimes informally, but we don’t track patterns or improvements.</x:t>
        </x:is>
      </x:c>
      <x:c r="F198" s="3" t="n">
        <x:v>1</x:v>
      </x:c>
      <x:c r="G198" s="3" t="inlineStr">
        <x:is>
          <x:t xml:space="preserve">shadow_signal</x:t>
        </x:is>
      </x:c>
      <x:c r="H198" s="3" t="inlineStr">
        <x:is>
          <x:t xml:space="preserve">Shadow Mature</x:t>
        </x:is>
      </x:c>
      <x:c r="I198" s="3" t="inlineStr">
        <x:is>
          <x:t xml:space="preserve">Formalize_NearMiss_Process</x:t>
        </x:is>
      </x:c>
      <x:c r="J198" s="3" t="inlineStr">
        <x:is>
          <x:t xml:space="preserve">N</x:t>
        </x:is>
      </x:c>
      <x:c r="K198" s="3" t="inlineStr">
        <x:is>
          <x:t xml:space="preserve"/>
        </x:is>
      </x:c>
    </x:row>
    <x:row r="199">
      <x:c r="A199" s="3" t="inlineStr">
        <x:is>
          <x:t xml:space="preserve">Executive</x:t>
        </x:is>
      </x:c>
      <x:c r="B199" s="3" t="inlineStr">
        <x:is>
          <x:t xml:space="preserve">EXCO-D8-Q02</x:t>
        </x:is>
      </x:c>
      <x:c r="C199" s="3" t="inlineStr">
        <x:is>
          <x:t xml:space="preserve">EXCO-D8-Q02-A3</x:t>
        </x:is>
      </x:c>
      <x:c r="D199" s="3" t="n">
        <x:v>3</x:v>
      </x:c>
      <x:c r="E199" s="3" t="inlineStr">
        <x:is>
          <x:t xml:space="preserve">Yes—we review and document improvements, but completion is inconsistent.</x:t>
        </x:is>
      </x:c>
      <x:c r="F199" s="3" t="n">
        <x:v>2</x:v>
      </x:c>
      <x:c r="G199" s="3" t="inlineStr">
        <x:is>
          <x:t xml:space="preserve">inconsistent_execution</x:t>
        </x:is>
      </x:c>
      <x:c r="H199" s="3" t="inlineStr">
        <x:is>
          <x:t xml:space="preserve">Operating Model Gap</x:t>
        </x:is>
      </x:c>
      <x:c r="I199" s="3" t="inlineStr">
        <x:is>
          <x:t xml:space="preserve">Close_Learning_Loop</x:t>
        </x:is>
      </x:c>
      <x:c r="J199" s="3" t="inlineStr">
        <x:is>
          <x:t xml:space="preserve">N</x:t>
        </x:is>
      </x:c>
      <x:c r="K199" s="3" t="inlineStr">
        <x:is>
          <x:t xml:space="preserve"/>
        </x:is>
      </x:c>
    </x:row>
    <x:row r="200">
      <x:c r="A200" s="3" t="inlineStr">
        <x:is>
          <x:t xml:space="preserve">Executive</x:t>
        </x:is>
      </x:c>
      <x:c r="B200" s="3" t="inlineStr">
        <x:is>
          <x:t xml:space="preserve">EXCO-D8-Q02</x:t>
        </x:is>
      </x:c>
      <x:c r="C200" s="3" t="inlineStr">
        <x:is>
          <x:t xml:space="preserve">EXCO-D8-Q02-A4</x:t>
        </x:is>
      </x:c>
      <x:c r="D200" s="3" t="n">
        <x:v>4</x:v>
      </x:c>
      <x:c r="E200" s="3" t="inlineStr">
        <x:is>
          <x:t xml:space="preserve">Yes—near misses feed into roadmap and are reported periodically.</x:t>
        </x:is>
      </x:c>
      <x:c r="F200" s="3" t="n">
        <x:v>3</x:v>
      </x:c>
      <x:c r="G200" s="3" t="inlineStr">
        <x:is>
          <x:t xml:space="preserve">good_practice</x:t>
        </x:is>
      </x:c>
      <x:c r="H200" s="3" t="inlineStr">
        <x:is>
          <x:t xml:space="preserve"/>
        </x:is>
      </x:c>
      <x:c r="I200" s="3" t="inlineStr">
        <x:is>
          <x:t xml:space="preserve">Request_Evidence</x:t>
        </x:is>
      </x:c>
      <x:c r="J200" s="3" t="inlineStr">
        <x:is>
          <x:t xml:space="preserve">Y</x:t>
        </x:is>
      </x:c>
      <x:c r="K200" s="3" t="inlineStr">
        <x:is>
          <x:t xml:space="preserve"/>
        </x:is>
      </x:c>
    </x:row>
    <x:row r="201">
      <x:c r="A201" s="3" t="inlineStr">
        <x:is>
          <x:t xml:space="preserve">Executive</x:t>
        </x:is>
      </x:c>
      <x:c r="B201" s="3" t="inlineStr">
        <x:is>
          <x:t xml:space="preserve">EXCO-D8-Q03</x:t>
        </x:is>
      </x:c>
      <x:c r="C201" s="3" t="inlineStr">
        <x:is>
          <x:t xml:space="preserve">EXCO-D8-Q03-A0</x:t>
        </x:is>
      </x:c>
      <x:c r="D201" s="3" t="n">
        <x:v>1</x:v>
      </x:c>
      <x:c r="E201" s="3" t="inlineStr">
        <x:is>
          <x:t xml:space="preserve">I don’t know / not sure.</x:t>
        </x:is>
      </x:c>
      <x:c r="F201" s="3" t="n">
        <x:v>0</x:v>
      </x:c>
      <x:c r="G201" s="3" t="inlineStr">
        <x:is>
          <x:t xml:space="preserve">unknown</x:t>
        </x:is>
      </x:c>
      <x:c r="H201" s="3" t="inlineStr">
        <x:is>
          <x:t xml:space="preserve">Unknown</x:t>
        </x:is>
      </x:c>
      <x:c r="I201" s="3" t="inlineStr">
        <x:is>
          <x:t xml:space="preserve">Define_Cadence</x:t>
        </x:is>
      </x:c>
      <x:c r="J201" s="3" t="inlineStr">
        <x:is>
          <x:t xml:space="preserve">N</x:t>
        </x:is>
      </x:c>
      <x:c r="K201" s="3" t="inlineStr">
        <x:is>
          <x:t xml:space="preserve"/>
        </x:is>
      </x:c>
    </x:row>
    <x:row r="202">
      <x:c r="A202" s="3" t="inlineStr">
        <x:is>
          <x:t xml:space="preserve">Executive</x:t>
        </x:is>
      </x:c>
      <x:c r="B202" s="3" t="inlineStr">
        <x:is>
          <x:t xml:space="preserve">EXCO-D8-Q03</x:t>
        </x:is>
      </x:c>
      <x:c r="C202" s="3" t="inlineStr">
        <x:is>
          <x:t xml:space="preserve">EXCO-D8-Q03-A1</x:t>
        </x:is>
      </x:c>
      <x:c r="D202" s="3" t="n">
        <x:v>2</x:v>
      </x:c>
      <x:c r="E202" s="3" t="inlineStr">
        <x:is>
          <x:t xml:space="preserve">Never—only after serious incidents.</x:t>
        </x:is>
      </x:c>
      <x:c r="F202" s="3" t="n">
        <x:v>0</x:v>
      </x:c>
      <x:c r="G202" s="3" t="inlineStr">
        <x:is>
          <x:t xml:space="preserve">foundational_gap</x:t>
        </x:is>
      </x:c>
      <x:c r="H202" s="3" t="inlineStr">
        <x:is>
          <x:t xml:space="preserve">Operating Model Gap</x:t>
        </x:is>
      </x:c>
      <x:c r="I202" s="3" t="inlineStr">
        <x:is>
          <x:t xml:space="preserve">Set_Cadence</x:t>
        </x:is>
      </x:c>
      <x:c r="J202" s="3" t="inlineStr">
        <x:is>
          <x:t xml:space="preserve">N</x:t>
        </x:is>
      </x:c>
      <x:c r="K202" s="3" t="inlineStr">
        <x:is>
          <x:t xml:space="preserve"/>
        </x:is>
      </x:c>
    </x:row>
    <x:row r="203">
      <x:c r="A203" s="3" t="inlineStr">
        <x:is>
          <x:t xml:space="preserve">Executive</x:t>
        </x:is>
      </x:c>
      <x:c r="B203" s="3" t="inlineStr">
        <x:is>
          <x:t xml:space="preserve">EXCO-D8-Q03</x:t>
        </x:is>
      </x:c>
      <x:c r="C203" s="3" t="inlineStr">
        <x:is>
          <x:t xml:space="preserve">EXCO-D8-Q03-A2</x:t>
        </x:is>
      </x:c>
      <x:c r="D203" s="3" t="n">
        <x:v>3</x:v>
      </x:c>
      <x:c r="E203" s="3" t="inlineStr">
        <x:is>
          <x:t xml:space="preserve">Occasional/on request (e.g., every few years).</x:t>
        </x:is>
      </x:c>
      <x:c r="F203" s="3" t="n">
        <x:v>1</x:v>
      </x:c>
      <x:c r="G203" s="3" t="inlineStr">
        <x:is>
          <x:t xml:space="preserve">low_cadence</x:t>
        </x:is>
      </x:c>
      <x:c r="H203" s="3" t="inlineStr">
        <x:is>
          <x:t xml:space="preserve">Operating Model Gap</x:t>
        </x:is>
      </x:c>
      <x:c r="I203" s="3" t="inlineStr">
        <x:is>
          <x:t xml:space="preserve">Set_Cadence</x:t>
        </x:is>
      </x:c>
      <x:c r="J203" s="3" t="inlineStr">
        <x:is>
          <x:t xml:space="preserve">N</x:t>
        </x:is>
      </x:c>
      <x:c r="K203" s="3" t="inlineStr">
        <x:is>
          <x:t xml:space="preserve"/>
        </x:is>
      </x:c>
    </x:row>
    <x:row r="204">
      <x:c r="A204" s="3" t="inlineStr">
        <x:is>
          <x:t xml:space="preserve">Executive</x:t>
        </x:is>
      </x:c>
      <x:c r="B204" s="3" t="inlineStr">
        <x:is>
          <x:t xml:space="preserve">EXCO-D8-Q03</x:t>
        </x:is>
      </x:c>
      <x:c r="C204" s="3" t="inlineStr">
        <x:is>
          <x:t xml:space="preserve">EXCO-D8-Q03-A3</x:t>
        </x:is>
      </x:c>
      <x:c r="D204" s="3" t="n">
        <x:v>4</x:v>
      </x:c>
      <x:c r="E204" s="3" t="inlineStr">
        <x:is>
          <x:t xml:space="preserve">Annual ‘tick-box’ review with limited follow-up.</x:t>
        </x:is>
      </x:c>
      <x:c r="F204" s="3" t="n">
        <x:v>2</x:v>
      </x:c>
      <x:c r="G204" s="3" t="inlineStr">
        <x:is>
          <x:t xml:space="preserve">paper_process</x:t>
        </x:is>
      </x:c>
      <x:c r="H204" s="3" t="inlineStr">
        <x:is>
          <x:t xml:space="preserve">Paper Dragon</x:t>
        </x:is>
      </x:c>
      <x:c r="I204" s="3" t="inlineStr">
        <x:is>
          <x:t xml:space="preserve">Improve_Cadence</x:t>
        </x:is>
      </x:c>
      <x:c r="J204" s="3" t="inlineStr">
        <x:is>
          <x:t xml:space="preserve">N</x:t>
        </x:is>
      </x:c>
      <x:c r="K204" s="3" t="inlineStr">
        <x:is>
          <x:t xml:space="preserve"/>
        </x:is>
      </x:c>
    </x:row>
    <x:row r="205">
      <x:c r="A205" s="3" t="inlineStr">
        <x:is>
          <x:t xml:space="preserve">Executive</x:t>
        </x:is>
      </x:c>
      <x:c r="B205" s="3" t="inlineStr">
        <x:is>
          <x:t xml:space="preserve">EXCO-D8-Q03</x:t>
        </x:is>
      </x:c>
      <x:c r="C205" s="3" t="inlineStr">
        <x:is>
          <x:t xml:space="preserve">EXCO-D8-Q03-A4</x:t>
        </x:is>
      </x:c>
      <x:c r="D205" s="3" t="n">
        <x:v>5</x:v>
      </x:c>
      <x:c r="E205" s="3" t="inlineStr">
        <x:is>
          <x:t xml:space="preserve">At least quarterly with tracked actions.</x:t>
        </x:is>
      </x:c>
      <x:c r="F205" s="3" t="n">
        <x:v>3</x:v>
      </x:c>
      <x:c r="G205" s="3" t="inlineStr">
        <x:is>
          <x:t xml:space="preserve">good_practice</x:t>
        </x:is>
      </x:c>
      <x:c r="H205" s="3" t="inlineStr">
        <x:is>
          <x:t xml:space="preserve"/>
        </x:is>
      </x:c>
      <x:c r="I205" s="3" t="inlineStr">
        <x:is>
          <x:t xml:space="preserve">Request_Evidence</x:t>
        </x:is>
      </x:c>
      <x:c r="J205" s="3" t="inlineStr">
        <x:is>
          <x:t xml:space="preserve">Y</x:t>
        </x:is>
      </x:c>
      <x:c r="K205" s="3" t="inlineStr">
        <x:is>
          <x:t xml:space="preserve"/>
        </x:is>
      </x:c>
    </x:row>
    <x:row r="206">
      <x:c r="A206" s="3" t="inlineStr">
        <x:is>
          <x:t xml:space="preserve">Executive</x:t>
        </x:is>
      </x:c>
      <x:c r="B206" s="3" t="inlineStr">
        <x:is>
          <x:t xml:space="preserve">EXCO-D8-Q03</x:t>
        </x:is>
      </x:c>
      <x:c r="C206" s="3" t="inlineStr">
        <x:is>
          <x:t xml:space="preserve">EXCO-D8-Q03-A5</x:t>
        </x:is>
      </x:c>
      <x:c r="D206" s="3" t="n">
        <x:v>6</x:v>
      </x:c>
      <x:c r="E206" s="3" t="inlineStr">
        <x:is>
          <x:t xml:space="preserve">Frequent review tied to risk appetite; actions and outcomes are continuously monitored.</x:t>
        </x:is>
      </x:c>
      <x:c r="F206" s="3" t="n">
        <x:v>4</x:v>
      </x:c>
      <x:c r="G206" s="3" t="inlineStr">
        <x:is>
          <x:t xml:space="preserve">optimized</x:t>
        </x:is>
      </x:c>
      <x:c r="H206" s="3" t="inlineStr">
        <x:is>
          <x:t xml:space="preserve"/>
        </x:is>
      </x:c>
      <x:c r="I206" s="3" t="inlineStr">
        <x:is>
          <x:t xml:space="preserve">Request_Evidence</x:t>
        </x:is>
      </x:c>
      <x:c r="J206" s="3" t="inlineStr">
        <x:is>
          <x:t xml:space="preserve">Y</x:t>
        </x:is>
      </x:c>
      <x:c r="K206" s="3" t="inlineStr">
        <x:is>
          <x:t xml:space="preserve"/>
        </x:is>
      </x:c>
    </x:row>
    <x:row r="207">
      <x:c r="A207" s="3" t="inlineStr">
        <x:is>
          <x:t xml:space="preserve">Executive</x:t>
        </x:is>
      </x:c>
      <x:c r="B207" s="3" t="inlineStr">
        <x:is>
          <x:t xml:space="preserve">EXCO-D8-Q04</x:t>
        </x:is>
      </x:c>
      <x:c r="C207" s="3" t="inlineStr">
        <x:is>
          <x:t xml:space="preserve">EXCO-D8-Q04-A0</x:t>
        </x:is>
      </x:c>
      <x:c r="D207" s="3" t="n">
        <x:v>1</x:v>
      </x:c>
      <x:c r="E207" s="3" t="inlineStr">
        <x:is>
          <x:t xml:space="preserve">I don’t know / not sure.</x:t>
        </x:is>
      </x:c>
      <x:c r="F207" s="3" t="n">
        <x:v>0</x:v>
      </x:c>
      <x:c r="G207" s="3" t="inlineStr">
        <x:is>
          <x:t xml:space="preserve">unknown</x:t>
        </x:is>
      </x:c>
      <x:c r="H207" s="3" t="inlineStr">
        <x:is>
          <x:t xml:space="preserve">Unknown</x:t>
        </x:is>
      </x:c>
      <x:c r="I207" s="3" t="inlineStr">
        <x:is>
          <x:t xml:space="preserve">Plan_Assurance</x:t>
        </x:is>
      </x:c>
      <x:c r="J207" s="3" t="inlineStr">
        <x:is>
          <x:t xml:space="preserve">N</x:t>
        </x:is>
      </x:c>
      <x:c r="K207" s="3" t="inlineStr">
        <x:is>
          <x:t xml:space="preserve"/>
        </x:is>
      </x:c>
    </x:row>
    <x:row r="208">
      <x:c r="A208" s="3" t="inlineStr">
        <x:is>
          <x:t xml:space="preserve">Executive</x:t>
        </x:is>
      </x:c>
      <x:c r="B208" s="3" t="inlineStr">
        <x:is>
          <x:t xml:space="preserve">EXCO-D8-Q04</x:t>
        </x:is>
      </x:c>
      <x:c r="C208" s="3" t="inlineStr">
        <x:is>
          <x:t xml:space="preserve">EXCO-D8-Q04-A1</x:t>
        </x:is>
      </x:c>
      <x:c r="D208" s="3" t="n">
        <x:v>2</x:v>
      </x:c>
      <x:c r="E208" s="3" t="inlineStr">
        <x:is>
          <x:t xml:space="preserve">No—there is no independent review.</x:t>
        </x:is>
      </x:c>
      <x:c r="F208" s="3" t="n">
        <x:v>0</x:v>
      </x:c>
      <x:c r="G208" s="3" t="inlineStr">
        <x:is>
          <x:t xml:space="preserve">foundational_gap</x:t>
        </x:is>
      </x:c>
      <x:c r="H208" s="3" t="inlineStr">
        <x:is>
          <x:t xml:space="preserve">Paper Dragon</x:t>
        </x:is>
      </x:c>
      <x:c r="I208" s="3" t="inlineStr">
        <x:is>
          <x:t xml:space="preserve">Plan_Assurance</x:t>
        </x:is>
      </x:c>
      <x:c r="J208" s="3" t="inlineStr">
        <x:is>
          <x:t xml:space="preserve">N</x:t>
        </x:is>
      </x:c>
      <x:c r="K208" s="3" t="inlineStr">
        <x:is>
          <x:t xml:space="preserve"/>
        </x:is>
      </x:c>
    </x:row>
    <x:row r="209">
      <x:c r="A209" s="3" t="inlineStr">
        <x:is>
          <x:t xml:space="preserve">Executive</x:t>
        </x:is>
      </x:c>
      <x:c r="B209" s="3" t="inlineStr">
        <x:is>
          <x:t xml:space="preserve">EXCO-D8-Q04</x:t>
        </x:is>
      </x:c>
      <x:c r="C209" s="3" t="inlineStr">
        <x:is>
          <x:t xml:space="preserve">EXCO-D8-Q04-A2</x:t>
        </x:is>
      </x:c>
      <x:c r="D209" s="3" t="n">
        <x:v>3</x:v>
      </x:c>
      <x:c r="E209" s="3" t="inlineStr">
        <x:is>
          <x:t xml:space="preserve">Ad-hoc reviews happen after incidents only.</x:t>
        </x:is>
      </x:c>
      <x:c r="F209" s="3" t="n">
        <x:v>1</x:v>
      </x:c>
      <x:c r="G209" s="3" t="inlineStr">
        <x:is>
          <x:t xml:space="preserve">reactive</x:t>
        </x:is>
      </x:c>
      <x:c r="H209" s="3" t="inlineStr">
        <x:is>
          <x:t xml:space="preserve">Paper Dragon</x:t>
        </x:is>
      </x:c>
      <x:c r="I209" s="3" t="inlineStr">
        <x:is>
          <x:t xml:space="preserve">Plan_Assurance</x:t>
        </x:is>
      </x:c>
      <x:c r="J209" s="3" t="inlineStr">
        <x:is>
          <x:t xml:space="preserve">N</x:t>
        </x:is>
      </x:c>
      <x:c r="K209" s="3" t="inlineStr">
        <x:is>
          <x:t xml:space="preserve"/>
        </x:is>
      </x:c>
    </x:row>
    <x:row r="210">
      <x:c r="A210" s="3" t="inlineStr">
        <x:is>
          <x:t xml:space="preserve">Executive</x:t>
        </x:is>
      </x:c>
      <x:c r="B210" s="3" t="inlineStr">
        <x:is>
          <x:t xml:space="preserve">EXCO-D8-Q04</x:t>
        </x:is>
      </x:c>
      <x:c r="C210" s="3" t="inlineStr">
        <x:is>
          <x:t xml:space="preserve">EXCO-D8-Q04-A3</x:t>
        </x:is>
      </x:c>
      <x:c r="D210" s="3" t="n">
        <x:v>4</x:v>
      </x:c>
      <x:c r="E210" s="3" t="inlineStr">
        <x:is>
          <x:t xml:space="preserve">Internal audit reviews exist but focus mainly on policy compliance.</x:t>
        </x:is>
      </x:c>
      <x:c r="F210" s="3" t="n">
        <x:v>2</x:v>
      </x:c>
      <x:c r="G210" s="3" t="inlineStr">
        <x:is>
          <x:t xml:space="preserve">paper_process</x:t>
        </x:is>
      </x:c>
      <x:c r="H210" s="3" t="inlineStr">
        <x:is>
          <x:t xml:space="preserve">Paper Dragon</x:t>
        </x:is>
      </x:c>
      <x:c r="I210" s="3" t="inlineStr">
        <x:is>
          <x:t xml:space="preserve">Assurance_On_Reality</x:t>
        </x:is>
      </x:c>
      <x:c r="J210" s="3" t="inlineStr">
        <x:is>
          <x:t xml:space="preserve">N</x:t>
        </x:is>
      </x:c>
      <x:c r="K210" s="3" t="inlineStr">
        <x:is>
          <x:t xml:space="preserve"/>
        </x:is>
      </x:c>
    </x:row>
    <x:row r="211">
      <x:c r="A211" s="3" t="inlineStr">
        <x:is>
          <x:t xml:space="preserve">Executive</x:t>
        </x:is>
      </x:c>
      <x:c r="B211" s="3" t="inlineStr">
        <x:is>
          <x:t xml:space="preserve">EXCO-D8-Q04</x:t>
        </x:is>
      </x:c>
      <x:c r="C211" s="3" t="inlineStr">
        <x:is>
          <x:t xml:space="preserve">EXCO-D8-Q04-A4</x:t>
        </x:is>
      </x:c>
      <x:c r="D211" s="3" t="n">
        <x:v>5</x:v>
      </x:c>
      <x:c r="E211" s="3" t="inlineStr">
        <x:is>
          <x:t xml:space="preserve">Independent review confirms operational reality (sampling of cases/logs/process usage).</x:t>
        </x:is>
      </x:c>
      <x:c r="F211" s="3" t="n">
        <x:v>3</x:v>
      </x:c>
      <x:c r="G211" s="3" t="inlineStr">
        <x:is>
          <x:t xml:space="preserve">good_practice</x:t>
        </x:is>
      </x:c>
      <x:c r="H211" s="3" t="inlineStr">
        <x:is>
          <x:t xml:space="preserve"/>
        </x:is>
      </x:c>
      <x:c r="I211" s="3" t="inlineStr">
        <x:is>
          <x:t xml:space="preserve">Request_Evidence</x:t>
        </x:is>
      </x:c>
      <x:c r="J211" s="3" t="inlineStr">
        <x:is>
          <x:t xml:space="preserve">Y</x:t>
        </x:is>
      </x:c>
      <x:c r="K211" s="3" t="inlineStr">
        <x:is>
          <x:t xml:space="preserve"/>
        </x:is>
      </x:c>
    </x:row>
    <x:row r="212">
      <x:c r="A212" s="3" t="inlineStr">
        <x:is>
          <x:t xml:space="preserve">Executive</x:t>
        </x:is>
      </x:c>
      <x:c r="B212" s="3" t="inlineStr">
        <x:is>
          <x:t xml:space="preserve">EXCO-D8-Q04</x:t>
        </x:is>
      </x:c>
      <x:c r="C212" s="3" t="inlineStr">
        <x:is>
          <x:t xml:space="preserve">EXCO-D8-Q04-A5</x:t>
        </x:is>
      </x:c>
      <x:c r="D212" s="3" t="n">
        <x:v>6</x:v>
      </x:c>
      <x:c r="E212" s="3" t="inlineStr">
        <x:is>
          <x:t xml:space="preserve">Regular independent assurance with sampling and remediation tracking; results inform investment.</x:t>
        </x:is>
      </x:c>
      <x:c r="F212" s="3" t="n">
        <x:v>4</x:v>
      </x:c>
      <x:c r="G212" s="3" t="inlineStr">
        <x:is>
          <x:t xml:space="preserve">optimized</x:t>
        </x:is>
      </x:c>
      <x:c r="H212" s="3" t="inlineStr">
        <x:is>
          <x:t xml:space="preserve"/>
        </x:is>
      </x:c>
      <x:c r="I212" s="3" t="inlineStr">
        <x:is>
          <x:t xml:space="preserve">Request_Evidence</x:t>
        </x:is>
      </x:c>
      <x:c r="J212" s="3" t="inlineStr">
        <x:is>
          <x:t xml:space="preserve">Y</x:t>
        </x:is>
      </x:c>
      <x:c r="K212" s="3" t="inlineStr">
        <x:is>
          <x:t xml:space="preserve"/>
        </x:is>
      </x:c>
    </x:row>
    <x:row r="213">
      <x:c r="A213" s="3" t="inlineStr">
        <x:is>
          <x:t xml:space="preserve">HR</x:t>
        </x:is>
      </x:c>
      <x:c r="B213" s="3" t="inlineStr">
        <x:is>
          <x:t xml:space="preserve">HR-D1-Q01</x:t>
        </x:is>
      </x:c>
      <x:c r="C213" s="3" t="inlineStr">
        <x:is>
          <x:t xml:space="preserve">HR-D1-Q01-A0</x:t>
        </x:is>
      </x:c>
      <x:c r="D213" s="3" t="n">
        <x:v>1</x:v>
      </x:c>
      <x:c r="E213" s="3" t="inlineStr">
        <x:is>
          <x:t xml:space="preserve">I don't know / Not sure.</x:t>
        </x:is>
      </x:c>
      <x:c r="F213" s="3" t="n">
        <x:v>0</x:v>
      </x:c>
      <x:c r="G213" s="3" t="inlineStr">
        <x:is>
          <x:t xml:space="preserve">low-confidence</x:t>
        </x:is>
      </x:c>
      <x:c r="H213" s="3" t="inlineStr">
        <x:is>
          <x:t xml:space="preserve">Operating Model Gap</x:t>
        </x:is>
      </x:c>
      <x:c r="I213" s="3" t="inlineStr">
        <x:is>
          <x:t xml:space="preserve">Clarify roles</x:t>
        </x:is>
      </x:c>
      <x:c r="J213" s="3" t="inlineStr">
        <x:is>
          <x:t xml:space="preserve">N</x:t>
        </x:is>
      </x:c>
      <x:c r="K213" s="3" t="inlineStr">
        <x:is>
          <x:t xml:space="preserve"/>
        </x:is>
      </x:c>
    </x:row>
    <x:row r="214">
      <x:c r="A214" s="3" t="inlineStr">
        <x:is>
          <x:t xml:space="preserve">HR</x:t>
        </x:is>
      </x:c>
      <x:c r="B214" s="3" t="inlineStr">
        <x:is>
          <x:t xml:space="preserve">HR-D1-Q01</x:t>
        </x:is>
      </x:c>
      <x:c r="C214" s="3" t="inlineStr">
        <x:is>
          <x:t xml:space="preserve">HR-D1-Q01-A1</x:t>
        </x:is>
      </x:c>
      <x:c r="D214" s="3" t="n">
        <x:v>2</x:v>
      </x:c>
      <x:c r="E214" s="3" t="inlineStr">
        <x:is>
          <x:t xml:space="preserve">None: HR treats these as 'IT problems' unless there is a major incident.</x:t>
        </x:is>
      </x:c>
      <x:c r="F214" s="3" t="n">
        <x:v>0</x:v>
      </x:c>
      <x:c r="G214" s="3" t="inlineStr">
        <x:is>
          <x:t xml:space="preserve">paper_dragon_signal</x:t>
        </x:is>
      </x:c>
      <x:c r="H214" s="3" t="inlineStr">
        <x:is>
          <x:t xml:space="preserve">Operating Model Gap</x:t>
        </x:is>
      </x:c>
      <x:c r="I214" s="3" t="inlineStr">
        <x:is>
          <x:t xml:space="preserve">Define operating model</x:t>
        </x:is>
      </x:c>
      <x:c r="J214" s="3" t="inlineStr">
        <x:is>
          <x:t xml:space="preserve">N</x:t>
        </x:is>
      </x:c>
      <x:c r="K214" s="3" t="inlineStr">
        <x:is>
          <x:t xml:space="preserve"/>
        </x:is>
      </x:c>
    </x:row>
    <x:row r="215">
      <x:c r="A215" s="3" t="inlineStr">
        <x:is>
          <x:t xml:space="preserve">HR</x:t>
        </x:is>
      </x:c>
      <x:c r="B215" s="3" t="inlineStr">
        <x:is>
          <x:t xml:space="preserve">HR-D1-Q01</x:t>
        </x:is>
      </x:c>
      <x:c r="C215" s="3" t="inlineStr">
        <x:is>
          <x:t xml:space="preserve">HR-D1-Q01-A2</x:t>
        </x:is>
      </x:c>
      <x:c r="D215" s="3" t="n">
        <x:v>3</x:v>
      </x:c>
      <x:c r="E215" s="3" t="inlineStr">
        <x:is>
          <x:t xml:space="preserve">Ad-hoc: HR coordinates only when Security/Legal asks (case-by-case).</x:t>
        </x:is>
      </x:c>
      <x:c r="F215" s="3" t="n">
        <x:v>1</x:v>
      </x:c>
      <x:c r="G215" s="3" t="inlineStr">
        <x:is>
          <x:t xml:space="preserve">shadow_mature_signal</x:t>
        </x:is>
      </x:c>
      <x:c r="H215" s="3" t="inlineStr">
        <x:is>
          <x:t xml:space="preserve">Operating Model Gap</x:t>
        </x:is>
      </x:c>
      <x:c r="I215" s="3" t="inlineStr">
        <x:is>
          <x:t xml:space="preserve">Define coordination cadence</x:t>
        </x:is>
      </x:c>
      <x:c r="J215" s="3" t="inlineStr">
        <x:is>
          <x:t xml:space="preserve">N</x:t>
        </x:is>
      </x:c>
      <x:c r="K215" s="3" t="inlineStr">
        <x:is>
          <x:t xml:space="preserve">Example: last case HR was involved in.</x:t>
        </x:is>
      </x:c>
    </x:row>
    <x:row r="216">
      <x:c r="A216" s="3" t="inlineStr">
        <x:is>
          <x:t xml:space="preserve">HR</x:t>
        </x:is>
      </x:c>
      <x:c r="B216" s="3" t="inlineStr">
        <x:is>
          <x:t xml:space="preserve">HR-D1-Q01</x:t>
        </x:is>
      </x:c>
      <x:c r="C216" s="3" t="inlineStr">
        <x:is>
          <x:t xml:space="preserve">HR-D1-Q01-A3</x:t>
        </x:is>
      </x:c>
      <x:c r="D216" s="3" t="n">
        <x:v>4</x:v>
      </x:c>
      <x:c r="E216" s="3" t="inlineStr">
        <x:is>
          <x:t xml:space="preserve">Defined: HR has a named contact and standard steps to coordinate with Security/Legal.</x:t>
        </x:is>
      </x:c>
      <x:c r="F216" s="3" t="n">
        <x:v>2</x:v>
      </x:c>
      <x:c r="G216" s="3" t="inlineStr">
        <x:is>
          <x:t xml:space="preserve"/>
        </x:is>
      </x:c>
      <x:c r="H216" s="3" t="inlineStr">
        <x:is>
          <x:t xml:space="preserve">Operating Model Gap</x:t>
        </x:is>
      </x:c>
      <x:c r="I216" s="3" t="inlineStr">
        <x:is>
          <x:t xml:space="preserve">Standardize workflow</x:t>
        </x:is>
      </x:c>
      <x:c r="J216" s="3" t="inlineStr">
        <x:is>
          <x:t xml:space="preserve">N</x:t>
        </x:is>
      </x:c>
      <x:c r="K216" s="3" t="inlineStr">
        <x:is>
          <x:t xml:space="preserve">Share the role name/title and a short process description.</x:t>
        </x:is>
      </x:c>
    </x:row>
    <x:row r="217">
      <x:c r="A217" s="3" t="inlineStr">
        <x:is>
          <x:t xml:space="preserve">HR</x:t>
        </x:is>
      </x:c>
      <x:c r="B217" s="3" t="inlineStr">
        <x:is>
          <x:t xml:space="preserve">HR-D1-Q01</x:t>
        </x:is>
      </x:c>
      <x:c r="C217" s="3" t="inlineStr">
        <x:is>
          <x:t xml:space="preserve">HR-D1-Q01-A4</x:t>
        </x:is>
      </x:c>
      <x:c r="D217" s="3" t="n">
        <x:v>5</x:v>
      </x:c>
      <x:c r="E217" s="3" t="inlineStr">
        <x:is>
          <x:t xml:space="preserve">Managed: Regular cross-functional check-ins and agreed decision rights for people-risk cases.</x:t>
        </x:is>
      </x:c>
      <x:c r="F217" s="3" t="n">
        <x:v>3</x:v>
      </x:c>
      <x:c r="G217" s="3" t="inlineStr">
        <x:is>
          <x:t xml:space="preserve"/>
        </x:is>
      </x:c>
      <x:c r="H217" s="3" t="inlineStr">
        <x:is>
          <x:t xml:space="preserve">Operating Model Gap</x:t>
        </x:is>
      </x:c>
      <x:c r="I217" s="3" t="inlineStr">
        <x:is>
          <x:t xml:space="preserve">Formalize governance</x:t>
        </x:is>
      </x:c>
      <x:c r="J217" s="3" t="inlineStr">
        <x:is>
          <x:t xml:space="preserve">N</x:t>
        </x:is>
      </x:c>
      <x:c r="K217" s="3" t="inlineStr">
        <x:is>
          <x:t xml:space="preserve">Evidence: meeting cadence, terms of reference.</x:t>
        </x:is>
      </x:c>
    </x:row>
    <x:row r="218">
      <x:c r="A218" s="3" t="inlineStr">
        <x:is>
          <x:t xml:space="preserve">HR</x:t>
        </x:is>
      </x:c>
      <x:c r="B218" s="3" t="inlineStr">
        <x:is>
          <x:t xml:space="preserve">HR-D1-Q01</x:t>
        </x:is>
      </x:c>
      <x:c r="C218" s="3" t="inlineStr">
        <x:is>
          <x:t xml:space="preserve">HR-D1-Q01-A5</x:t>
        </x:is>
      </x:c>
      <x:c r="D218" s="3" t="n">
        <x:v>6</x:v>
      </x:c>
      <x:c r="E218" s="3" t="inlineStr">
        <x:is>
          <x:t xml:space="preserve">Optimized: Exec sponsor expects HR/Security/Legal collaboration with KPIs and routine reporting.</x:t>
        </x:is>
      </x:c>
      <x:c r="F218" s="3" t="n">
        <x:v>4</x:v>
      </x:c>
      <x:c r="G218" s="3" t="inlineStr">
        <x:is>
          <x:t xml:space="preserve"/>
        </x:is>
      </x:c>
      <x:c r="H218" s="3" t="inlineStr">
        <x:is>
          <x:t xml:space="preserve">Operating Model Gap</x:t>
        </x:is>
      </x:c>
      <x:c r="I218" s="3" t="inlineStr">
        <x:is>
          <x:t xml:space="preserve">Maintain governance</x:t>
        </x:is>
      </x:c>
      <x:c r="J218" s="3" t="inlineStr">
        <x:is>
          <x:t xml:space="preserve">N</x:t>
        </x:is>
      </x:c>
      <x:c r="K218" s="3" t="inlineStr">
        <x:is>
          <x:t xml:space="preserve">Evidence: KPI pack, steering charter.</x:t>
        </x:is>
      </x:c>
    </x:row>
    <x:row r="219">
      <x:c r="A219" s="3" t="inlineStr">
        <x:is>
          <x:t xml:space="preserve">HR</x:t>
        </x:is>
      </x:c>
      <x:c r="B219" s="3" t="inlineStr">
        <x:is>
          <x:t xml:space="preserve">HR-D1-Q02</x:t>
        </x:is>
      </x:c>
      <x:c r="C219" s="3" t="inlineStr">
        <x:is>
          <x:t xml:space="preserve">HR-D1-Q02-A1</x:t>
        </x:is>
      </x:c>
      <x:c r="D219" s="3" t="n">
        <x:v>1</x:v>
      </x:c>
      <x:c r="E219" s="3" t="inlineStr">
        <x:is>
          <x:t xml:space="preserve">No: HR and Security operate separately; coordination is slow or rare.</x:t>
        </x:is>
      </x:c>
      <x:c r="F219" s="3" t="n">
        <x:v>0</x:v>
      </x:c>
      <x:c r="G219" s="3" t="inlineStr">
        <x:is>
          <x:t xml:space="preserve">paper_dragon_signal</x:t>
        </x:is>
      </x:c>
      <x:c r="H219" s="3" t="inlineStr">
        <x:is>
          <x:t xml:space="preserve">Operating Model Gap</x:t>
        </x:is>
      </x:c>
      <x:c r="I219" s="3" t="inlineStr">
        <x:is>
          <x:t xml:space="preserve">Set coordination trigger</x:t>
        </x:is>
      </x:c>
      <x:c r="J219" s="3" t="inlineStr">
        <x:is>
          <x:t xml:space="preserve">N</x:t>
        </x:is>
      </x:c>
      <x:c r="K219" s="3" t="inlineStr">
        <x:is>
          <x:t xml:space="preserve"/>
        </x:is>
      </x:c>
    </x:row>
    <x:row r="220">
      <x:c r="A220" s="3" t="inlineStr">
        <x:is>
          <x:t xml:space="preserve">HR</x:t>
        </x:is>
      </x:c>
      <x:c r="B220" s="3" t="inlineStr">
        <x:is>
          <x:t xml:space="preserve">HR-D1-Q02</x:t>
        </x:is>
      </x:c>
      <x:c r="C220" s="3" t="inlineStr">
        <x:is>
          <x:t xml:space="preserve">HR-D1-Q02-A2</x:t>
        </x:is>
      </x:c>
      <x:c r="D220" s="3" t="n">
        <x:v>2</x:v>
      </x:c>
      <x:c r="E220" s="3" t="inlineStr">
        <x:is>
          <x:t xml:space="preserve">Sometimes: depends on personal relationships; not consistent.</x:t>
        </x:is>
      </x:c>
      <x:c r="F220" s="3" t="n">
        <x:v>1</x:v>
      </x:c>
      <x:c r="G220" s="3" t="inlineStr">
        <x:is>
          <x:t xml:space="preserve">key_person_dependency,shadow_mature_signal</x:t>
        </x:is>
      </x:c>
      <x:c r="H220" s="3" t="inlineStr">
        <x:is>
          <x:t xml:space="preserve">Operating Model Gap</x:t>
        </x:is>
      </x:c>
      <x:c r="I220" s="3" t="inlineStr">
        <x:is>
          <x:t xml:space="preserve">Create standard escalation path</x:t>
        </x:is>
      </x:c>
      <x:c r="J220" s="3" t="inlineStr">
        <x:is>
          <x:t xml:space="preserve">N</x:t>
        </x:is>
      </x:c>
      <x:c r="K220" s="3" t="inlineStr">
        <x:is>
          <x:t xml:space="preserve"/>
        </x:is>
      </x:c>
    </x:row>
    <x:row r="221">
      <x:c r="A221" s="3" t="inlineStr">
        <x:is>
          <x:t xml:space="preserve">HR</x:t>
        </x:is>
      </x:c>
      <x:c r="B221" s="3" t="inlineStr">
        <x:is>
          <x:t xml:space="preserve">HR-D1-Q02</x:t>
        </x:is>
      </x:c>
      <x:c r="C221" s="3" t="inlineStr">
        <x:is>
          <x:t xml:space="preserve">HR-D1-Q02-A3</x:t>
        </x:is>
      </x:c>
      <x:c r="D221" s="3" t="n">
        <x:v>3</x:v>
      </x:c>
      <x:c r="E221" s="3" t="inlineStr">
        <x:is>
          <x:t xml:space="preserve">Usually: HR and Security have an agreed way to connect within days.</x:t>
        </x:is>
      </x:c>
      <x:c r="F221" s="3" t="n">
        <x:v>2</x:v>
      </x:c>
      <x:c r="G221" s="3" t="inlineStr">
        <x:is>
          <x:t xml:space="preserve"/>
        </x:is>
      </x:c>
      <x:c r="H221" s="3" t="inlineStr">
        <x:is>
          <x:t xml:space="preserve">Operating Model Gap</x:t>
        </x:is>
      </x:c>
      <x:c r="I221" s="3" t="inlineStr">
        <x:is>
          <x:t xml:space="preserve">Document escalation</x:t>
        </x:is>
      </x:c>
      <x:c r="J221" s="3" t="inlineStr">
        <x:is>
          <x:t xml:space="preserve">N</x:t>
        </x:is>
      </x:c>
      <x:c r="K221" s="3" t="inlineStr">
        <x:is>
          <x:t xml:space="preserve">Example: typical response time.</x:t>
        </x:is>
      </x:c>
    </x:row>
    <x:row r="222">
      <x:c r="A222" s="3" t="inlineStr">
        <x:is>
          <x:t xml:space="preserve">HR</x:t>
        </x:is>
      </x:c>
      <x:c r="B222" s="3" t="inlineStr">
        <x:is>
          <x:t xml:space="preserve">HR-D1-Q02</x:t>
        </x:is>
      </x:c>
      <x:c r="C222" s="3" t="inlineStr">
        <x:is>
          <x:t xml:space="preserve">HR-D1-Q02-A4</x:t>
        </x:is>
      </x:c>
      <x:c r="D222" s="3" t="n">
        <x:v>4</x:v>
      </x:c>
      <x:c r="E222" s="3" t="inlineStr">
        <x:is>
          <x:t xml:space="preserve">Yes: HR and Security coordinate within 24–48 hours for relevant concerns.</x:t>
        </x:is>
      </x:c>
      <x:c r="F222" s="3" t="n">
        <x:v>3</x:v>
      </x:c>
      <x:c r="G222" s="3" t="inlineStr">
        <x:is>
          <x:t xml:space="preserve"/>
        </x:is>
      </x:c>
      <x:c r="H222" s="3" t="inlineStr">
        <x:is>
          <x:t xml:space="preserve">Operating Model Gap</x:t>
        </x:is>
      </x:c>
      <x:c r="I222" s="3" t="inlineStr">
        <x:is>
          <x:t xml:space="preserve">Maintain and test workflow</x:t>
        </x:is>
      </x:c>
      <x:c r="J222" s="3" t="inlineStr">
        <x:is>
          <x:t xml:space="preserve">N</x:t>
        </x:is>
      </x:c>
      <x:c r="K222" s="3" t="inlineStr">
        <x:is>
          <x:t xml:space="preserve">Evidence: redacted case timeline or process.</x:t>
        </x:is>
      </x:c>
    </x:row>
    <x:row r="223">
      <x:c r="A223" s="3" t="inlineStr">
        <x:is>
          <x:t xml:space="preserve">HR</x:t>
        </x:is>
      </x:c>
      <x:c r="B223" s="3" t="inlineStr">
        <x:is>
          <x:t xml:space="preserve">HR-D1-Q03</x:t>
        </x:is>
      </x:c>
      <x:c r="C223" s="3" t="inlineStr">
        <x:is>
          <x:t xml:space="preserve">HR-D1-Q03-A1</x:t>
        </x:is>
      </x:c>
      <x:c r="D223" s="3" t="n">
        <x:v>1</x:v>
      </x:c>
      <x:c r="E223" s="3" t="inlineStr">
        <x:is>
          <x:t xml:space="preserve">No one: responsibilities are split and unclear.</x:t>
        </x:is>
      </x:c>
      <x:c r="F223" s="3" t="n">
        <x:v>0</x:v>
      </x:c>
      <x:c r="G223" s="3" t="inlineStr">
        <x:is>
          <x:t xml:space="preserve">paper_dragon_signal</x:t>
        </x:is>
      </x:c>
      <x:c r="H223" s="3" t="inlineStr">
        <x:is>
          <x:t xml:space="preserve">Operating Model Gap</x:t>
        </x:is>
      </x:c>
      <x:c r="I223" s="3" t="inlineStr">
        <x:is>
          <x:t xml:space="preserve">Assign accountable owner</x:t>
        </x:is>
      </x:c>
      <x:c r="J223" s="3" t="inlineStr">
        <x:is>
          <x:t xml:space="preserve">N</x:t>
        </x:is>
      </x:c>
      <x:c r="K223" s="3" t="inlineStr">
        <x:is>
          <x:t xml:space="preserve"/>
        </x:is>
      </x:c>
    </x:row>
    <x:row r="224">
      <x:c r="A224" s="3" t="inlineStr">
        <x:is>
          <x:t xml:space="preserve">HR</x:t>
        </x:is>
      </x:c>
      <x:c r="B224" s="3" t="inlineStr">
        <x:is>
          <x:t xml:space="preserve">HR-D1-Q03</x:t>
        </x:is>
      </x:c>
      <x:c r="C224" s="3" t="inlineStr">
        <x:is>
          <x:t xml:space="preserve">HR-D1-Q03-A2</x:t>
        </x:is>
      </x:c>
      <x:c r="D224" s="3" t="n">
        <x:v>2</x:v>
      </x:c>
      <x:c r="E224" s="3" t="inlineStr">
        <x:is>
          <x:t xml:space="preserve">Informal: a senior HR person handles it when needed, but it’s not in their role/KPIs.</x:t>
        </x:is>
      </x:c>
      <x:c r="F224" s="3" t="n">
        <x:v>1</x:v>
      </x:c>
      <x:c r="G224" s="3" t="inlineStr">
        <x:is>
          <x:t xml:space="preserve">key_person_dependency</x:t>
        </x:is>
      </x:c>
      <x:c r="H224" s="3" t="inlineStr">
        <x:is>
          <x:t xml:space="preserve">Operating Model Gap</x:t>
        </x:is>
      </x:c>
      <x:c r="I224" s="3" t="inlineStr">
        <x:is>
          <x:t xml:space="preserve">Formalize accountability</x:t>
        </x:is>
      </x:c>
      <x:c r="J224" s="3" t="inlineStr">
        <x:is>
          <x:t xml:space="preserve">N</x:t>
        </x:is>
      </x:c>
      <x:c r="K224" s="3" t="inlineStr">
        <x:is>
          <x:t xml:space="preserve"/>
        </x:is>
      </x:c>
    </x:row>
    <x:row r="225">
      <x:c r="A225" s="3" t="inlineStr">
        <x:is>
          <x:t xml:space="preserve">HR</x:t>
        </x:is>
      </x:c>
      <x:c r="B225" s="3" t="inlineStr">
        <x:is>
          <x:t xml:space="preserve">HR-D1-Q03</x:t>
        </x:is>
      </x:c>
      <x:c r="C225" s="3" t="inlineStr">
        <x:is>
          <x:t xml:space="preserve">HR-D1-Q03-A3</x:t>
        </x:is>
      </x:c>
      <x:c r="D225" s="3" t="n">
        <x:v>3</x:v>
      </x:c>
      <x:c r="E225" s="3" t="inlineStr">
        <x:is>
          <x:t xml:space="preserve">Named: a role is responsible, with documented remit.</x:t>
        </x:is>
      </x:c>
      <x:c r="F225" s="3" t="n">
        <x:v>2</x:v>
      </x:c>
      <x:c r="G225" s="3" t="inlineStr">
        <x:is>
          <x:t xml:space="preserve"/>
        </x:is>
      </x:c>
      <x:c r="H225" s="3" t="inlineStr">
        <x:is>
          <x:t xml:space="preserve">Operating Model Gap</x:t>
        </x:is>
      </x:c>
      <x:c r="I225" s="3" t="inlineStr">
        <x:is>
          <x:t xml:space="preserve">Define KPIs</x:t>
        </x:is>
      </x:c>
      <x:c r="J225" s="3" t="inlineStr">
        <x:is>
          <x:t xml:space="preserve">N</x:t>
        </x:is>
      </x:c>
      <x:c r="K225" s="3" t="inlineStr">
        <x:is>
          <x:t xml:space="preserve">Evidence: role description or RACI.</x:t>
        </x:is>
      </x:c>
    </x:row>
    <x:row r="226">
      <x:c r="A226" s="3" t="inlineStr">
        <x:is>
          <x:t xml:space="preserve">HR</x:t>
        </x:is>
      </x:c>
      <x:c r="B226" s="3" t="inlineStr">
        <x:is>
          <x:t xml:space="preserve">HR-D1-Q03</x:t>
        </x:is>
      </x:c>
      <x:c r="C226" s="3" t="inlineStr">
        <x:is>
          <x:t xml:space="preserve">HR-D1-Q03-A4</x:t>
        </x:is>
      </x:c>
      <x:c r="D226" s="3" t="n">
        <x:v>4</x:v>
      </x:c>
      <x:c r="E226" s="3" t="inlineStr">
        <x:is>
          <x:t xml:space="preserve">Named + empowered: role has decision rights and access to Legal/Security support.</x:t>
        </x:is>
      </x:c>
      <x:c r="F226" s="3" t="n">
        <x:v>3</x:v>
      </x:c>
      <x:c r="G226" s="3" t="inlineStr">
        <x:is>
          <x:t xml:space="preserve"/>
        </x:is>
      </x:c>
      <x:c r="H226" s="3" t="inlineStr">
        <x:is>
          <x:t xml:space="preserve">Operating Model Gap</x:t>
        </x:is>
      </x:c>
      <x:c r="I226" s="3" t="inlineStr">
        <x:is>
          <x:t xml:space="preserve">Maintain operating model</x:t>
        </x:is>
      </x:c>
      <x:c r="J226" s="3" t="inlineStr">
        <x:is>
          <x:t xml:space="preserve">N</x:t>
        </x:is>
      </x:c>
      <x:c r="K226" s="3" t="inlineStr">
        <x:is>
          <x:t xml:space="preserve">Evidence: RACI + escalation path.</x:t>
        </x:is>
      </x:c>
    </x:row>
    <x:row r="227">
      <x:c r="A227" s="3" t="inlineStr">
        <x:is>
          <x:t xml:space="preserve">HR</x:t>
        </x:is>
      </x:c>
      <x:c r="B227" s="3" t="inlineStr">
        <x:is>
          <x:t xml:space="preserve">HR-D1-Q03</x:t>
        </x:is>
      </x:c>
      <x:c r="C227" s="3" t="inlineStr">
        <x:is>
          <x:t xml:space="preserve">HR-D1-Q03-A5</x:t>
        </x:is>
      </x:c>
      <x:c r="D227" s="3" t="n">
        <x:v>5</x:v>
      </x:c>
      <x:c r="E227" s="3" t="inlineStr">
        <x:is>
          <x:t xml:space="preserve">Governed: accountability embedded in HR KPIs and reviewed with exec sponsor.</x:t>
        </x:is>
      </x:c>
      <x:c r="F227" s="3" t="n">
        <x:v>4</x:v>
      </x:c>
      <x:c r="G227" s="3" t="inlineStr">
        <x:is>
          <x:t xml:space="preserve"/>
        </x:is>
      </x:c>
      <x:c r="H227" s="3" t="inlineStr">
        <x:is>
          <x:t xml:space="preserve">Operating Model Gap</x:t>
        </x:is>
      </x:c>
      <x:c r="I227" s="3" t="inlineStr">
        <x:is>
          <x:t xml:space="preserve">Maintain governance cadence</x:t>
        </x:is>
      </x:c>
      <x:c r="J227" s="3" t="inlineStr">
        <x:is>
          <x:t xml:space="preserve">N</x:t>
        </x:is>
      </x:c>
      <x:c r="K227" s="3" t="inlineStr">
        <x:is>
          <x:t xml:space="preserve">Evidence: KPI pack / steering minutes.</x:t>
        </x:is>
      </x:c>
    </x:row>
    <x:row r="228">
      <x:c r="A228" s="3" t="inlineStr">
        <x:is>
          <x:t xml:space="preserve">HR</x:t>
        </x:is>
      </x:c>
      <x:c r="B228" s="3" t="inlineStr">
        <x:is>
          <x:t xml:space="preserve">HR-D1-Q04</x:t>
        </x:is>
      </x:c>
      <x:c r="C228" s="3" t="inlineStr">
        <x:is>
          <x:t xml:space="preserve">HR-D1-Q04-A1</x:t>
        </x:is>
      </x:c>
      <x:c r="D228" s="3" t="n">
        <x:v>1</x:v>
      </x:c>
      <x:c r="E228" s="3" t="inlineStr">
        <x:is>
          <x:t xml:space="preserve">None: every case is handled differently.</x:t>
        </x:is>
      </x:c>
      <x:c r="F228" s="3" t="n">
        <x:v>0</x:v>
      </x:c>
      <x:c r="G228" s="3" t="inlineStr">
        <x:is>
          <x:t xml:space="preserve">paper_dragon_signal</x:t>
        </x:is>
      </x:c>
      <x:c r="H228" s="3" t="inlineStr">
        <x:is>
          <x:t xml:space="preserve">Operating Model Gap</x:t>
        </x:is>
      </x:c>
      <x:c r="I228" s="3" t="inlineStr">
        <x:is>
          <x:t xml:space="preserve">Create case workflow</x:t>
        </x:is>
      </x:c>
      <x:c r="J228" s="3" t="inlineStr">
        <x:is>
          <x:t xml:space="preserve">N</x:t>
        </x:is>
      </x:c>
      <x:c r="K228" s="3" t="inlineStr">
        <x:is>
          <x:t xml:space="preserve"/>
        </x:is>
      </x:c>
    </x:row>
    <x:row r="229">
      <x:c r="A229" s="3" t="inlineStr">
        <x:is>
          <x:t xml:space="preserve">HR</x:t>
        </x:is>
      </x:c>
      <x:c r="B229" s="3" t="inlineStr">
        <x:is>
          <x:t xml:space="preserve">HR-D1-Q04</x:t>
        </x:is>
      </x:c>
      <x:c r="C229" s="3" t="inlineStr">
        <x:is>
          <x:t xml:space="preserve">HR-D1-Q04-A2</x:t>
        </x:is>
      </x:c>
      <x:c r="D229" s="3" t="n">
        <x:v>2</x:v>
      </x:c>
      <x:c r="E229" s="3" t="inlineStr">
        <x:is>
          <x:t xml:space="preserve">Ad-hoc: teams collaborate via email/chats; decisions are unclear.</x:t>
        </x:is>
      </x:c>
      <x:c r="F229" s="3" t="n">
        <x:v>1</x:v>
      </x:c>
      <x:c r="G229" s="3" t="inlineStr">
        <x:is>
          <x:t xml:space="preserve">shadow_mature_signal</x:t>
        </x:is>
      </x:c>
      <x:c r="H229" s="3" t="inlineStr">
        <x:is>
          <x:t xml:space="preserve">Operating Model Gap</x:t>
        </x:is>
      </x:c>
      <x:c r="I229" s="3" t="inlineStr">
        <x:is>
          <x:t xml:space="preserve">Define roles &amp; steps</x:t>
        </x:is>
      </x:c>
      <x:c r="J229" s="3" t="inlineStr">
        <x:is>
          <x:t xml:space="preserve">N</x:t>
        </x:is>
      </x:c>
      <x:c r="K229" s="3" t="inlineStr">
        <x:is>
          <x:t xml:space="preserve">Example: last case workflow.</x:t>
        </x:is>
      </x:c>
    </x:row>
    <x:row r="230">
      <x:c r="A230" s="3" t="inlineStr">
        <x:is>
          <x:t xml:space="preserve">HR</x:t>
        </x:is>
      </x:c>
      <x:c r="B230" s="3" t="inlineStr">
        <x:is>
          <x:t xml:space="preserve">HR-D1-Q04</x:t>
        </x:is>
      </x:c>
      <x:c r="C230" s="3" t="inlineStr">
        <x:is>
          <x:t xml:space="preserve">HR-D1-Q04-A3</x:t>
        </x:is>
      </x:c>
      <x:c r="D230" s="3" t="n">
        <x:v>3</x:v>
      </x:c>
      <x:c r="E230" s="3" t="inlineStr">
        <x:is>
          <x:t xml:space="preserve">Documented: workflow exists but not always followed.</x:t>
        </x:is>
      </x:c>
      <x:c r="F230" s="3" t="n">
        <x:v>2</x:v>
      </x:c>
      <x:c r="G230" s="3" t="inlineStr">
        <x:is>
          <x:t xml:space="preserve"/>
        </x:is>
      </x:c>
      <x:c r="H230" s="3" t="inlineStr">
        <x:is>
          <x:t xml:space="preserve">Operating Model Gap</x:t>
        </x:is>
      </x:c>
      <x:c r="I230" s="3" t="inlineStr">
        <x:is>
          <x:t xml:space="preserve">Improve adherence</x:t>
        </x:is>
      </x:c>
      <x:c r="J230" s="3" t="inlineStr">
        <x:is>
          <x:t xml:space="preserve">N</x:t>
        </x:is>
      </x:c>
      <x:c r="K230" s="3" t="inlineStr">
        <x:is>
          <x:t xml:space="preserve">Evidence: workflow doc, training.</x:t>
        </x:is>
      </x:c>
    </x:row>
    <x:row r="231">
      <x:c r="A231" s="3" t="inlineStr">
        <x:is>
          <x:t xml:space="preserve">HR</x:t>
        </x:is>
      </x:c>
      <x:c r="B231" s="3" t="inlineStr">
        <x:is>
          <x:t xml:space="preserve">HR-D1-Q04</x:t>
        </x:is>
      </x:c>
      <x:c r="C231" s="3" t="inlineStr">
        <x:is>
          <x:t xml:space="preserve">HR-D1-Q04-A4</x:t>
        </x:is>
      </x:c>
      <x:c r="D231" s="3" t="n">
        <x:v>4</x:v>
      </x:c>
      <x:c r="E231" s="3" t="inlineStr">
        <x:is>
          <x:t xml:space="preserve">Used: consistently followed with privacy/legal checkpoints.</x:t>
        </x:is>
      </x:c>
      <x:c r="F231" s="3" t="n">
        <x:v>3</x:v>
      </x:c>
      <x:c r="G231" s="3" t="inlineStr">
        <x:is>
          <x:t xml:space="preserve"/>
        </x:is>
      </x:c>
      <x:c r="H231" s="3" t="inlineStr">
        <x:is>
          <x:t xml:space="preserve">Legal Exposure</x:t>
        </x:is>
      </x:c>
      <x:c r="I231" s="3" t="inlineStr">
        <x:is>
          <x:t xml:space="preserve">Maintain and audit workflow</x:t>
        </x:is>
      </x:c>
      <x:c r="J231" s="3" t="inlineStr">
        <x:is>
          <x:t xml:space="preserve">N</x:t>
        </x:is>
      </x:c>
      <x:c r="K231" s="3" t="inlineStr">
        <x:is>
          <x:t xml:space="preserve">Evidence: redacted case checklist.</x:t>
        </x:is>
      </x:c>
    </x:row>
    <x:row r="232">
      <x:c r="A232" s="3" t="inlineStr">
        <x:is>
          <x:t xml:space="preserve">HR</x:t>
        </x:is>
      </x:c>
      <x:c r="B232" s="3" t="inlineStr">
        <x:is>
          <x:t xml:space="preserve">HR-D1-Q04</x:t>
        </x:is>
      </x:c>
      <x:c r="C232" s="3" t="inlineStr">
        <x:is>
          <x:t xml:space="preserve">HR-D1-Q04-A5</x:t>
        </x:is>
      </x:c>
      <x:c r="D232" s="3" t="n">
        <x:v>5</x:v>
      </x:c>
      <x:c r="E232" s="3" t="inlineStr">
        <x:is>
          <x:t xml:space="preserve">Audited: tested/audited and improved after cases or exercises.</x:t>
        </x:is>
      </x:c>
      <x:c r="F232" s="3" t="n">
        <x:v>4</x:v>
      </x:c>
      <x:c r="G232" s="3" t="inlineStr">
        <x:is>
          <x:t xml:space="preserve"/>
        </x:is>
      </x:c>
      <x:c r="H232" s="3" t="inlineStr">
        <x:is>
          <x:t xml:space="preserve">Legal Exposure</x:t>
        </x:is>
      </x:c>
      <x:c r="I232" s="3" t="inlineStr">
        <x:is>
          <x:t xml:space="preserve">Continue assurance</x:t>
        </x:is>
      </x:c>
      <x:c r="J232" s="3" t="inlineStr">
        <x:is>
          <x:t xml:space="preserve">N</x:t>
        </x:is>
      </x:c>
      <x:c r="K232" s="3" t="inlineStr">
        <x:is>
          <x:t xml:space="preserve">Evidence: audit/exercise notes.</x:t>
        </x:is>
      </x:c>
    </x:row>
    <x:row r="233">
      <x:c r="A233" s="3" t="inlineStr">
        <x:is>
          <x:t xml:space="preserve">HR</x:t>
        </x:is>
      </x:c>
      <x:c r="B233" s="3" t="inlineStr">
        <x:is>
          <x:t xml:space="preserve">HR-D2-Q05</x:t>
        </x:is>
      </x:c>
      <x:c r="C233" s="3" t="inlineStr">
        <x:is>
          <x:t xml:space="preserve">HR-D2-Q05-A0</x:t>
        </x:is>
      </x:c>
      <x:c r="D233" s="3" t="n">
        <x:v>1</x:v>
      </x:c>
      <x:c r="E233" s="3" t="inlineStr">
        <x:is>
          <x:t xml:space="preserve">I don't know / Not sure.</x:t>
        </x:is>
      </x:c>
      <x:c r="F233" s="3" t="n">
        <x:v>0</x:v>
      </x:c>
      <x:c r="G233" s="3" t="inlineStr">
        <x:is>
          <x:t xml:space="preserve">low-confidence</x:t>
        </x:is>
      </x:c>
      <x:c r="H233" s="3" t="inlineStr">
        <x:is>
          <x:t xml:space="preserve">Culture Risk</x:t>
        </x:is>
      </x:c>
      <x:c r="I233" s="3" t="inlineStr">
        <x:is>
          <x:t xml:space="preserve">Clarify channels</x:t>
        </x:is>
      </x:c>
      <x:c r="J233" s="3" t="inlineStr">
        <x:is>
          <x:t xml:space="preserve">N</x:t>
        </x:is>
      </x:c>
      <x:c r="K233" s="3" t="inlineStr">
        <x:is>
          <x:t xml:space="preserve"/>
        </x:is>
      </x:c>
    </x:row>
    <x:row r="234">
      <x:c r="A234" s="3" t="inlineStr">
        <x:is>
          <x:t xml:space="preserve">HR</x:t>
        </x:is>
      </x:c>
      <x:c r="B234" s="3" t="inlineStr">
        <x:is>
          <x:t xml:space="preserve">HR-D2-Q05</x:t>
        </x:is>
      </x:c>
      <x:c r="C234" s="3" t="inlineStr">
        <x:is>
          <x:t xml:space="preserve">HR-D2-Q05-A1</x:t>
        </x:is>
      </x:c>
      <x:c r="D234" s="3" t="n">
        <x:v>2</x:v>
      </x:c>
      <x:c r="E234" s="3" t="inlineStr">
        <x:is>
          <x:t xml:space="preserve">No: people mostly stay silent or only talk informally.</x:t>
        </x:is>
      </x:c>
      <x:c r="F234" s="3" t="n">
        <x:v>0</x:v>
      </x:c>
      <x:c r="G234" s="3" t="inlineStr">
        <x:is>
          <x:t xml:space="preserve">culture_risk,toxic_enforcer_signal</x:t>
        </x:is>
      </x:c>
      <x:c r="H234" s="3" t="inlineStr">
        <x:is>
          <x:t xml:space="preserve">Culture Risk</x:t>
        </x:is>
      </x:c>
      <x:c r="I234" s="3" t="inlineStr">
        <x:is>
          <x:t xml:space="preserve">Design protected reporting</x:t>
        </x:is>
      </x:c>
      <x:c r="J234" s="3" t="inlineStr">
        <x:is>
          <x:t xml:space="preserve">N</x:t>
        </x:is>
      </x:c>
      <x:c r="K234" s="3" t="inlineStr">
        <x:is>
          <x:t xml:space="preserve"/>
        </x:is>
      </x:c>
    </x:row>
    <x:row r="235">
      <x:c r="A235" s="3" t="inlineStr">
        <x:is>
          <x:t xml:space="preserve">HR</x:t>
        </x:is>
      </x:c>
      <x:c r="B235" s="3" t="inlineStr">
        <x:is>
          <x:t xml:space="preserve">HR-D2-Q05</x:t>
        </x:is>
      </x:c>
      <x:c r="C235" s="3" t="inlineStr">
        <x:is>
          <x:t xml:space="preserve">HR-D2-Q05-A2</x:t>
        </x:is>
      </x:c>
      <x:c r="D235" s="3" t="n">
        <x:v>3</x:v>
      </x:c>
      <x:c r="E235" s="3" t="inlineStr">
        <x:is>
          <x:t xml:space="preserve">Basic: a channel exists, but people fear consequences or don't trust it.</x:t>
        </x:is>
      </x:c>
      <x:c r="F235" s="3" t="n">
        <x:v>1</x:v>
      </x:c>
      <x:c r="G235" s="3" t="inlineStr">
        <x:is>
          <x:t xml:space="preserve">culture_risk</x:t>
        </x:is>
      </x:c>
      <x:c r="H235" s="3" t="inlineStr">
        <x:is>
          <x:t xml:space="preserve">Culture Risk</x:t>
        </x:is>
      </x:c>
      <x:c r="I235" s="3" t="inlineStr">
        <x:is>
          <x:t xml:space="preserve">Improve trust &amp; protections</x:t>
        </x:is>
      </x:c>
      <x:c r="J235" s="3" t="inlineStr">
        <x:is>
          <x:t xml:space="preserve">N</x:t>
        </x:is>
      </x:c>
      <x:c r="K235" s="3" t="inlineStr">
        <x:is>
          <x:t xml:space="preserve">Evidence: channel description, communications.</x:t>
        </x:is>
      </x:c>
    </x:row>
    <x:row r="236">
      <x:c r="A236" s="3" t="inlineStr">
        <x:is>
          <x:t xml:space="preserve">HR</x:t>
        </x:is>
      </x:c>
      <x:c r="B236" s="3" t="inlineStr">
        <x:is>
          <x:t xml:space="preserve">HR-D2-Q05</x:t>
        </x:is>
      </x:c>
      <x:c r="C236" s="3" t="inlineStr">
        <x:is>
          <x:t xml:space="preserve">HR-D2-Q05-A3</x:t>
        </x:is>
      </x:c>
      <x:c r="D236" s="3" t="n">
        <x:v>4</x:v>
      </x:c>
      <x:c r="E236" s="3" t="inlineStr">
        <x:is>
          <x:t xml:space="preserve">Defined: multiple channels exist and non-retaliation is communicated, but quality varies.</x:t>
        </x:is>
      </x:c>
      <x:c r="F236" s="3" t="n">
        <x:v>2</x:v>
      </x:c>
      <x:c r="G236" s="3" t="inlineStr">
        <x:is>
          <x:t xml:space="preserve"/>
        </x:is>
      </x:c>
      <x:c r="H236" s="3" t="inlineStr">
        <x:is>
          <x:t xml:space="preserve">Culture Risk</x:t>
        </x:is>
      </x:c>
      <x:c r="I236" s="3" t="inlineStr">
        <x:is>
          <x:t xml:space="preserve">Strengthen triage &amp; feedback</x:t>
        </x:is>
      </x:c>
      <x:c r="J236" s="3" t="inlineStr">
        <x:is>
          <x:t xml:space="preserve">N</x:t>
        </x:is>
      </x:c>
      <x:c r="K236" s="3" t="inlineStr">
        <x:is>
          <x:t xml:space="preserve">Evidence: policy + comms.</x:t>
        </x:is>
      </x:c>
    </x:row>
    <x:row r="237">
      <x:c r="A237" s="3" t="inlineStr">
        <x:is>
          <x:t xml:space="preserve">HR</x:t>
        </x:is>
      </x:c>
      <x:c r="B237" s="3" t="inlineStr">
        <x:is>
          <x:t xml:space="preserve">HR-D2-Q05</x:t>
        </x:is>
      </x:c>
      <x:c r="C237" s="3" t="inlineStr">
        <x:is>
          <x:t xml:space="preserve">HR-D2-Q05-A4</x:t>
        </x:is>
      </x:c>
      <x:c r="D237" s="3" t="n">
        <x:v>5</x:v>
      </x:c>
      <x:c r="E237" s="3" t="inlineStr">
        <x:is>
          <x:t xml:space="preserve">Trusted: channels are used; confidentiality respected; retaliation investigated.</x:t>
        </x:is>
      </x:c>
      <x:c r="F237" s="3" t="n">
        <x:v>3</x:v>
      </x:c>
      <x:c r="G237" s="3" t="inlineStr">
        <x:is>
          <x:t xml:space="preserve"/>
        </x:is>
      </x:c>
      <x:c r="H237" s="3" t="inlineStr">
        <x:is>
          <x:t xml:space="preserve">Culture Risk</x:t>
        </x:is>
      </x:c>
      <x:c r="I237" s="3" t="inlineStr">
        <x:is>
          <x:t xml:space="preserve">Maintain and measure trust</x:t>
        </x:is>
      </x:c>
      <x:c r="J237" s="3" t="inlineStr">
        <x:is>
          <x:t xml:space="preserve">N</x:t>
        </x:is>
      </x:c>
      <x:c r="K237" s="3" t="inlineStr">
        <x:is>
          <x:t xml:space="preserve">Evidence: anonymized metrics on reports/retaliation.</x:t>
        </x:is>
      </x:c>
    </x:row>
    <x:row r="238">
      <x:c r="A238" s="3" t="inlineStr">
        <x:is>
          <x:t xml:space="preserve">HR</x:t>
        </x:is>
      </x:c>
      <x:c r="B238" s="3" t="inlineStr">
        <x:is>
          <x:t xml:space="preserve">HR-D2-Q05</x:t>
        </x:is>
      </x:c>
      <x:c r="C238" s="3" t="inlineStr">
        <x:is>
          <x:t xml:space="preserve">HR-D2-Q05-A5</x:t>
        </x:is>
      </x:c>
      <x:c r="D238" s="3" t="n">
        <x:v>6</x:v>
      </x:c>
      <x:c r="E238" s="3" t="inlineStr">
        <x:is>
          <x:t xml:space="preserve">High trust: people report early; outcomes drive improvements; trust is measured.</x:t>
        </x:is>
      </x:c>
      <x:c r="F238" s="3" t="n">
        <x:v>4</x:v>
      </x:c>
      <x:c r="G238" s="3" t="inlineStr">
        <x:is>
          <x:t xml:space="preserve"/>
        </x:is>
      </x:c>
      <x:c r="H238" s="3" t="inlineStr">
        <x:is>
          <x:t xml:space="preserve">Culture Risk</x:t>
        </x:is>
      </x:c>
      <x:c r="I238" s="3" t="inlineStr">
        <x:is>
          <x:t xml:space="preserve">Maintain maturity</x:t>
        </x:is>
      </x:c>
      <x:c r="J238" s="3" t="inlineStr">
        <x:is>
          <x:t xml:space="preserve">N</x:t>
        </x:is>
      </x:c>
      <x:c r="K238" s="3" t="inlineStr">
        <x:is>
          <x:t xml:space="preserve">Evidence: trends + action plans.</x:t>
        </x:is>
      </x:c>
    </x:row>
    <x:row r="239">
      <x:c r="A239" s="3" t="inlineStr">
        <x:is>
          <x:t xml:space="preserve">HR</x:t>
        </x:is>
      </x:c>
      <x:c r="B239" s="3" t="inlineStr">
        <x:is>
          <x:t xml:space="preserve">HR-D2-Q06</x:t>
        </x:is>
      </x:c>
      <x:c r="C239" s="3" t="inlineStr">
        <x:is>
          <x:t xml:space="preserve">HR-D2-Q06-A1</x:t>
        </x:is>
      </x:c>
      <x:c r="D239" s="3" t="n">
        <x:v>1</x:v>
      </x:c>
      <x:c r="E239" s="3" t="inlineStr">
        <x:is>
          <x:t xml:space="preserve">They usually aren’t raised; people avoid speaking up.</x:t>
        </x:is>
      </x:c>
      <x:c r="F239" s="3" t="n">
        <x:v>0</x:v>
      </x:c>
      <x:c r="G239" s="3" t="inlineStr">
        <x:is>
          <x:t xml:space="preserve">culture_risk</x:t>
        </x:is>
      </x:c>
      <x:c r="H239" s="3" t="inlineStr">
        <x:is>
          <x:t xml:space="preserve">Culture Risk</x:t>
        </x:is>
      </x:c>
      <x:c r="I239" s="3" t="inlineStr">
        <x:is>
          <x:t xml:space="preserve">Implement channels</x:t>
        </x:is>
      </x:c>
      <x:c r="J239" s="3" t="inlineStr">
        <x:is>
          <x:t xml:space="preserve">N</x:t>
        </x:is>
      </x:c>
      <x:c r="K239" s="3" t="inlineStr">
        <x:is>
          <x:t xml:space="preserve"/>
        </x:is>
      </x:c>
    </x:row>
    <x:row r="240">
      <x:c r="A240" s="3" t="inlineStr">
        <x:is>
          <x:t xml:space="preserve">HR</x:t>
        </x:is>
      </x:c>
      <x:c r="B240" s="3" t="inlineStr">
        <x:is>
          <x:t xml:space="preserve">HR-D2-Q06</x:t>
        </x:is>
      </x:c>
      <x:c r="C240" s="3" t="inlineStr">
        <x:is>
          <x:t xml:space="preserve">HR-D2-Q06-A2</x:t>
        </x:is>
      </x:c>
      <x:c r="D240" s="3" t="n">
        <x:v>2</x:v>
      </x:c>
      <x:c r="E240" s="3" t="inlineStr">
        <x:is>
          <x:t xml:space="preserve">Only to a trusted manager/HR contact; depends on relationships.</x:t>
        </x:is>
      </x:c>
      <x:c r="F240" s="3" t="n">
        <x:v>1</x:v>
      </x:c>
      <x:c r="G240" s="3" t="inlineStr">
        <x:is>
          <x:t xml:space="preserve">key_person_dependency</x:t>
        </x:is>
      </x:c>
      <x:c r="H240" s="3" t="inlineStr">
        <x:is>
          <x:t xml:space="preserve">Culture Risk</x:t>
        </x:is>
      </x:c>
      <x:c r="I240" s="3" t="inlineStr">
        <x:is>
          <x:t xml:space="preserve">Create consistent process</x:t>
        </x:is>
      </x:c>
      <x:c r="J240" s="3" t="inlineStr">
        <x:is>
          <x:t xml:space="preserve">N</x:t>
        </x:is>
      </x:c>
      <x:c r="K240" s="3" t="inlineStr">
        <x:is>
          <x:t xml:space="preserve"/>
        </x:is>
      </x:c>
    </x:row>
    <x:row r="241">
      <x:c r="A241" s="3" t="inlineStr">
        <x:is>
          <x:t xml:space="preserve">HR</x:t>
        </x:is>
      </x:c>
      <x:c r="B241" s="3" t="inlineStr">
        <x:is>
          <x:t xml:space="preserve">HR-D2-Q06</x:t>
        </x:is>
      </x:c>
      <x:c r="C241" s="3" t="inlineStr">
        <x:is>
          <x:t xml:space="preserve">HR-D2-Q06-A3</x:t>
        </x:is>
      </x:c>
      <x:c r="D241" s="3" t="n">
        <x:v>3</x:v>
      </x:c>
      <x:c r="E241" s="3" t="inlineStr">
        <x:is>
          <x:t xml:space="preserve">Sometimes reported, but follow-up is inconsistent and not documented.</x:t>
        </x:is>
      </x:c>
      <x:c r="F241" s="3" t="n">
        <x:v>2</x:v>
      </x:c>
      <x:c r="G241" s="3" t="inlineStr">
        <x:is>
          <x:t xml:space="preserve">shadow_mature_signal</x:t>
        </x:is>
      </x:c>
      <x:c r="H241" s="3" t="inlineStr">
        <x:is>
          <x:t xml:space="preserve">Operating Model Gap</x:t>
        </x:is>
      </x:c>
      <x:c r="I241" s="3" t="inlineStr">
        <x:is>
          <x:t xml:space="preserve">Standardize triage</x:t>
        </x:is>
      </x:c>
      <x:c r="J241" s="3" t="inlineStr">
        <x:is>
          <x:t xml:space="preserve">N</x:t>
        </x:is>
      </x:c>
      <x:c r="K241" s="3" t="inlineStr">
        <x:is>
          <x:t xml:space="preserve"/>
        </x:is>
      </x:c>
    </x:row>
    <x:row r="242">
      <x:c r="A242" s="3" t="inlineStr">
        <x:is>
          <x:t xml:space="preserve">HR</x:t>
        </x:is>
      </x:c>
      <x:c r="B242" s="3" t="inlineStr">
        <x:is>
          <x:t xml:space="preserve">HR-D2-Q06</x:t>
        </x:is>
      </x:c>
      <x:c r="C242" s="3" t="inlineStr">
        <x:is>
          <x:t xml:space="preserve">HR-D2-Q06-A4</x:t>
        </x:is>
      </x:c>
      <x:c r="D242" s="3" t="n">
        <x:v>4</x:v>
      </x:c>
      <x:c r="E242" s="3" t="inlineStr">
        <x:is>
          <x:t xml:space="preserve">Raised and acted on quickly even if informal; patterns discussed.</x:t>
        </x:is>
      </x:c>
      <x:c r="F242" s="3" t="n">
        <x:v>3</x:v>
      </x:c>
      <x:c r="G242" s="3" t="inlineStr">
        <x:is>
          <x:t xml:space="preserve">shadow_mature_signal</x:t>
        </x:is>
      </x:c>
      <x:c r="H242" s="3" t="inlineStr">
        <x:is>
          <x:t xml:space="preserve">Culture Risk</x:t>
        </x:is>
      </x:c>
      <x:c r="I242" s="3" t="inlineStr">
        <x:is>
          <x:t xml:space="preserve">Formalize without harming trust</x:t>
        </x:is>
      </x:c>
      <x:c r="J242" s="3" t="inlineStr">
        <x:is>
          <x:t xml:space="preserve">N</x:t>
        </x:is>
      </x:c>
      <x:c r="K242" s="3" t="inlineStr">
        <x:is>
          <x:t xml:space="preserve">Example: concerns per quarter.</x:t>
        </x:is>
      </x:c>
    </x:row>
    <x:row r="243">
      <x:c r="A243" s="3" t="inlineStr">
        <x:is>
          <x:t xml:space="preserve">HR</x:t>
        </x:is>
      </x:c>
      <x:c r="B243" s="3" t="inlineStr">
        <x:is>
          <x:t xml:space="preserve">HR-D2-Q07</x:t>
        </x:is>
      </x:c>
      <x:c r="C243" s="3" t="inlineStr">
        <x:is>
          <x:t xml:space="preserve">HR-D2-Q07-A1</x:t>
        </x:is>
      </x:c>
      <x:c r="D243" s="3" t="n">
        <x:v>1</x:v>
      </x:c>
      <x:c r="E243" s="3" t="inlineStr">
        <x:is>
          <x:t xml:space="preserve">No explicit protection; handled like any other conflict.</x:t>
        </x:is>
      </x:c>
      <x:c r="F243" s="3" t="n">
        <x:v>0</x:v>
      </x:c>
      <x:c r="G243" s="3" t="inlineStr">
        <x:is>
          <x:t xml:space="preserve">legal_exposure,culture_risk</x:t>
        </x:is>
      </x:c>
      <x:c r="H243" s="3" t="inlineStr">
        <x:is>
          <x:t xml:space="preserve">Legal Exposure</x:t>
        </x:is>
      </x:c>
      <x:c r="I243" s="3" t="inlineStr">
        <x:is>
          <x:t xml:space="preserve">Define non-retaliation policy</x:t>
        </x:is>
      </x:c>
      <x:c r="J243" s="3" t="inlineStr">
        <x:is>
          <x:t xml:space="preserve">N</x:t>
        </x:is>
      </x:c>
      <x:c r="K243" s="3" t="inlineStr">
        <x:is>
          <x:t xml:space="preserve"/>
        </x:is>
      </x:c>
    </x:row>
    <x:row r="244">
      <x:c r="A244" s="3" t="inlineStr">
        <x:is>
          <x:t xml:space="preserve">HR</x:t>
        </x:is>
      </x:c>
      <x:c r="B244" s="3" t="inlineStr">
        <x:is>
          <x:t xml:space="preserve">HR-D2-Q07</x:t>
        </x:is>
      </x:c>
      <x:c r="C244" s="3" t="inlineStr">
        <x:is>
          <x:t xml:space="preserve">HR-D2-Q07-A2</x:t>
        </x:is>
      </x:c>
      <x:c r="D244" s="3" t="n">
        <x:v>2</x:v>
      </x:c>
      <x:c r="E244" s="3" t="inlineStr">
        <x:is>
          <x:t xml:space="preserve">Policy exists but not well-known; enforcement inconsistent.</x:t>
        </x:is>
      </x:c>
      <x:c r="F244" s="3" t="n">
        <x:v>1</x:v>
      </x:c>
      <x:c r="G244" s="3" t="inlineStr">
        <x:is>
          <x:t xml:space="preserve">paper_dragon_signal</x:t>
        </x:is>
      </x:c>
      <x:c r="H244" s="3" t="inlineStr">
        <x:is>
          <x:t xml:space="preserve">Paper Dragon</x:t>
        </x:is>
      </x:c>
      <x:c r="I244" s="3" t="inlineStr">
        <x:is>
          <x:t xml:space="preserve">Improve training &amp; enforcement</x:t>
        </x:is>
      </x:c>
      <x:c r="J244" s="3" t="inlineStr">
        <x:is>
          <x:t xml:space="preserve">N</x:t>
        </x:is>
      </x:c>
      <x:c r="K244" s="3" t="inlineStr">
        <x:is>
          <x:t xml:space="preserve">Evidence: policy and comms.</x:t>
        </x:is>
      </x:c>
    </x:row>
    <x:row r="245">
      <x:c r="A245" s="3" t="inlineStr">
        <x:is>
          <x:t xml:space="preserve">HR</x:t>
        </x:is>
      </x:c>
      <x:c r="B245" s="3" t="inlineStr">
        <x:is>
          <x:t xml:space="preserve">HR-D2-Q07</x:t>
        </x:is>
      </x:c>
      <x:c r="C245" s="3" t="inlineStr">
        <x:is>
          <x:t xml:space="preserve">HR-D2-Q07-A3</x:t>
        </x:is>
      </x:c>
      <x:c r="D245" s="3" t="n">
        <x:v>3</x:v>
      </x:c>
      <x:c r="E245" s="3" t="inlineStr">
        <x:is>
          <x:t xml:space="preserve">Managers trained; retaliation checks part of investigations.</x:t>
        </x:is>
      </x:c>
      <x:c r="F245" s="3" t="n">
        <x:v>2</x:v>
      </x:c>
      <x:c r="G245" s="3" t="inlineStr">
        <x:is>
          <x:t xml:space="preserve"/>
        </x:is>
      </x:c>
      <x:c r="H245" s="3" t="inlineStr">
        <x:is>
          <x:t xml:space="preserve">Culture Risk</x:t>
        </x:is>
      </x:c>
      <x:c r="I245" s="3" t="inlineStr">
        <x:is>
          <x:t xml:space="preserve">Improve monitoring &amp; metrics</x:t>
        </x:is>
      </x:c>
      <x:c r="J245" s="3" t="inlineStr">
        <x:is>
          <x:t xml:space="preserve">N</x:t>
        </x:is>
      </x:c>
      <x:c r="K245" s="3" t="inlineStr">
        <x:is>
          <x:t xml:space="preserve">Evidence: training completion.</x:t>
        </x:is>
      </x:c>
    </x:row>
    <x:row r="246">
      <x:c r="A246" s="3" t="inlineStr">
        <x:is>
          <x:t xml:space="preserve">HR</x:t>
        </x:is>
      </x:c>
      <x:c r="B246" s="3" t="inlineStr">
        <x:is>
          <x:t xml:space="preserve">HR-D2-Q07</x:t>
        </x:is>
      </x:c>
      <x:c r="C246" s="3" t="inlineStr">
        <x:is>
          <x:t xml:space="preserve">HR-D2-Q07-A4</x:t>
        </x:is>
      </x:c>
      <x:c r="D246" s="3" t="n">
        <x:v>4</x:v>
      </x:c>
      <x:c r="E246" s="3" t="inlineStr">
        <x:is>
          <x:t xml:space="preserve">Active monitoring: retaliation claims tracked and escalated; outcomes documented.</x:t>
        </x:is>
      </x:c>
      <x:c r="F246" s="3" t="n">
        <x:v>3</x:v>
      </x:c>
      <x:c r="G246" s="3" t="inlineStr">
        <x:is>
          <x:t xml:space="preserve"/>
        </x:is>
      </x:c>
      <x:c r="H246" s="3" t="inlineStr">
        <x:is>
          <x:t xml:space="preserve">Culture Risk</x:t>
        </x:is>
      </x:c>
      <x:c r="I246" s="3" t="inlineStr">
        <x:is>
          <x:t xml:space="preserve">Maintain assurance</x:t>
        </x:is>
      </x:c>
      <x:c r="J246" s="3" t="inlineStr">
        <x:is>
          <x:t xml:space="preserve">N</x:t>
        </x:is>
      </x:c>
      <x:c r="K246" s="3" t="inlineStr">
        <x:is>
          <x:t xml:space="preserve">Evidence: anonymized retaliation metrics.</x:t>
        </x:is>
      </x:c>
    </x:row>
    <x:row r="247">
      <x:c r="A247" s="3" t="inlineStr">
        <x:is>
          <x:t xml:space="preserve">HR</x:t>
        </x:is>
      </x:c>
      <x:c r="B247" s="3" t="inlineStr">
        <x:is>
          <x:t xml:space="preserve">HR-D2-Q07</x:t>
        </x:is>
      </x:c>
      <x:c r="C247" s="3" t="inlineStr">
        <x:is>
          <x:t xml:space="preserve">HR-D2-Q07-A5</x:t>
        </x:is>
      </x:c>
      <x:c r="D247" s="3" t="n">
        <x:v>5</x:v>
      </x:c>
      <x:c r="E247" s="3" t="inlineStr">
        <x:is>
          <x:t xml:space="preserve">Independent oversight reviews retaliation handling.</x:t>
        </x:is>
      </x:c>
      <x:c r="F247" s="3" t="n">
        <x:v>4</x:v>
      </x:c>
      <x:c r="G247" s="3" t="inlineStr">
        <x:is>
          <x:t xml:space="preserve"/>
        </x:is>
      </x:c>
      <x:c r="H247" s="3" t="inlineStr">
        <x:is>
          <x:t xml:space="preserve">Culture Risk</x:t>
        </x:is>
      </x:c>
      <x:c r="I247" s="3" t="inlineStr">
        <x:is>
          <x:t xml:space="preserve">Maintain oversight</x:t>
        </x:is>
      </x:c>
      <x:c r="J247" s="3" t="inlineStr">
        <x:is>
          <x:t xml:space="preserve">N</x:t>
        </x:is>
      </x:c>
      <x:c r="K247" s="3" t="inlineStr">
        <x:is>
          <x:t xml:space="preserve">Evidence: oversight process.</x:t>
        </x:is>
      </x:c>
    </x:row>
    <x:row r="248">
      <x:c r="A248" s="3" t="inlineStr">
        <x:is>
          <x:t xml:space="preserve">HR</x:t>
        </x:is>
      </x:c>
      <x:c r="B248" s="3" t="inlineStr">
        <x:is>
          <x:t xml:space="preserve">HR-D2-Q08</x:t>
        </x:is>
      </x:c>
      <x:c r="C248" s="3" t="inlineStr">
        <x:is>
          <x:t xml:space="preserve">HR-D2-Q08-A1</x:t>
        </x:is>
      </x:c>
      <x:c r="D248" s="3" t="n">
        <x:v>1</x:v>
      </x:c>
      <x:c r="E248" s="3" t="inlineStr">
        <x:is>
          <x:t xml:space="preserve">Unclear: reporters often hear nothing back.</x:t>
        </x:is>
      </x:c>
      <x:c r="F248" s="3" t="n">
        <x:v>0</x:v>
      </x:c>
      <x:c r="G248" s="3" t="inlineStr">
        <x:is>
          <x:t xml:space="preserve">culture_risk</x:t>
        </x:is>
      </x:c>
      <x:c r="H248" s="3" t="inlineStr">
        <x:is>
          <x:t xml:space="preserve">Culture Risk</x:t>
        </x:is>
      </x:c>
      <x:c r="I248" s="3" t="inlineStr">
        <x:is>
          <x:t xml:space="preserve">Define SLAs and tracking</x:t>
        </x:is>
      </x:c>
      <x:c r="J248" s="3" t="inlineStr">
        <x:is>
          <x:t xml:space="preserve">N</x:t>
        </x:is>
      </x:c>
      <x:c r="K248" s="3" t="inlineStr">
        <x:is>
          <x:t xml:space="preserve"/>
        </x:is>
      </x:c>
    </x:row>
    <x:row r="249">
      <x:c r="A249" s="3" t="inlineStr">
        <x:is>
          <x:t xml:space="preserve">HR</x:t>
        </x:is>
      </x:c>
      <x:c r="B249" s="3" t="inlineStr">
        <x:is>
          <x:t xml:space="preserve">HR-D2-Q08</x:t>
        </x:is>
      </x:c>
      <x:c r="C249" s="3" t="inlineStr">
        <x:is>
          <x:t xml:space="preserve">HR-D2-Q08-A2</x:t>
        </x:is>
      </x:c>
      <x:c r="D249" s="3" t="n">
        <x:v>2</x:v>
      </x:c>
      <x:c r="E249" s="3" t="inlineStr">
        <x:is>
          <x:t xml:space="preserve">Slow: depends on workload; no tracking.</x:t>
        </x:is>
      </x:c>
      <x:c r="F249" s="3" t="n">
        <x:v>1</x:v>
      </x:c>
      <x:c r="G249" s="3" t="inlineStr">
        <x:is>
          <x:t xml:space="preserve">operating_model_gap</x:t>
        </x:is>
      </x:c>
      <x:c r="H249" s="3" t="inlineStr">
        <x:is>
          <x:t xml:space="preserve">Operating Model Gap</x:t>
        </x:is>
      </x:c>
      <x:c r="I249" s="3" t="inlineStr">
        <x:is>
          <x:t xml:space="preserve">Introduce case tracking</x:t>
        </x:is>
      </x:c>
      <x:c r="J249" s="3" t="inlineStr">
        <x:is>
          <x:t xml:space="preserve">N</x:t>
        </x:is>
      </x:c>
      <x:c r="K249" s="3" t="inlineStr">
        <x:is>
          <x:t xml:space="preserve"/>
        </x:is>
      </x:c>
    </x:row>
    <x:row r="250">
      <x:c r="A250" s="3" t="inlineStr">
        <x:is>
          <x:t xml:space="preserve">HR</x:t>
        </x:is>
      </x:c>
      <x:c r="B250" s="3" t="inlineStr">
        <x:is>
          <x:t xml:space="preserve">HR-D2-Q08</x:t>
        </x:is>
      </x:c>
      <x:c r="C250" s="3" t="inlineStr">
        <x:is>
          <x:t xml:space="preserve">HR-D2-Q08-A3</x:t>
        </x:is>
      </x:c>
      <x:c r="D250" s="3" t="n">
        <x:v>3</x:v>
      </x:c>
      <x:c r="E250" s="3" t="inlineStr">
        <x:is>
          <x:t xml:space="preserve">Basic: acknowledgement within ~1–2 weeks; tracking not consistent.</x:t>
        </x:is>
      </x:c>
      <x:c r="F250" s="3" t="n">
        <x:v>2</x:v>
      </x:c>
      <x:c r="G250" s="3" t="inlineStr">
        <x:is>
          <x:t xml:space="preserve"/>
        </x:is>
      </x:c>
      <x:c r="H250" s="3" t="inlineStr">
        <x:is>
          <x:t xml:space="preserve">Operating Model Gap</x:t>
        </x:is>
      </x:c>
      <x:c r="I250" s="3" t="inlineStr">
        <x:is>
          <x:t xml:space="preserve">Improve SLAs</x:t>
        </x:is>
      </x:c>
      <x:c r="J250" s="3" t="inlineStr">
        <x:is>
          <x:t xml:space="preserve">N</x:t>
        </x:is>
      </x:c>
      <x:c r="K250" s="3" t="inlineStr">
        <x:is>
          <x:t xml:space="preserve">Evidence: redacted timestamps.</x:t>
        </x:is>
      </x:c>
    </x:row>
    <x:row r="251">
      <x:c r="A251" s="3" t="inlineStr">
        <x:is>
          <x:t xml:space="preserve">HR</x:t>
        </x:is>
      </x:c>
      <x:c r="B251" s="3" t="inlineStr">
        <x:is>
          <x:t xml:space="preserve">HR-D2-Q08</x:t>
        </x:is>
      </x:c>
      <x:c r="C251" s="3" t="inlineStr">
        <x:is>
          <x:t xml:space="preserve">HR-D2-Q08-A4</x:t>
        </x:is>
      </x:c>
      <x:c r="D251" s="3" t="n">
        <x:v>4</x:v>
      </x:c>
      <x:c r="E251" s="3" t="inlineStr">
        <x:is>
          <x:t xml:space="preserve">Managed: acknowledgement within 2–3 days; triage within a week; documented routing.</x:t>
        </x:is>
      </x:c>
      <x:c r="F251" s="3" t="n">
        <x:v>3</x:v>
      </x:c>
      <x:c r="G251" s="3" t="inlineStr">
        <x:is>
          <x:t xml:space="preserve"/>
        </x:is>
      </x:c>
      <x:c r="H251" s="3" t="inlineStr">
        <x:is>
          <x:t xml:space="preserve">Operating Model Gap</x:t>
        </x:is>
      </x:c>
      <x:c r="I251" s="3" t="inlineStr">
        <x:is>
          <x:t xml:space="preserve">Maintain and monitor</x:t>
        </x:is>
      </x:c>
      <x:c r="J251" s="3" t="inlineStr">
        <x:is>
          <x:t xml:space="preserve">N</x:t>
        </x:is>
      </x:c>
      <x:c r="K251" s="3" t="inlineStr">
        <x:is>
          <x:t xml:space="preserve">Evidence: workflow metrics.</x:t>
        </x:is>
      </x:c>
    </x:row>
    <x:row r="252">
      <x:c r="A252" s="3" t="inlineStr">
        <x:is>
          <x:t xml:space="preserve">HR</x:t>
        </x:is>
      </x:c>
      <x:c r="B252" s="3" t="inlineStr">
        <x:is>
          <x:t xml:space="preserve">HR-D2-Q08</x:t>
        </x:is>
      </x:c>
      <x:c r="C252" s="3" t="inlineStr">
        <x:is>
          <x:t xml:space="preserve">HR-D2-Q08-A5</x:t>
        </x:is>
      </x:c>
      <x:c r="D252" s="3" t="n">
        <x:v>5</x:v>
      </x:c>
      <x:c r="E252" s="3" t="inlineStr">
        <x:is>
          <x:t xml:space="preserve">Optimized: SLAs monitored; backlog managed; appropriate status updates provided.</x:t>
        </x:is>
      </x:c>
      <x:c r="F252" s="3" t="n">
        <x:v>4</x:v>
      </x:c>
      <x:c r="G252" s="3" t="inlineStr">
        <x:is>
          <x:t xml:space="preserve"/>
        </x:is>
      </x:c>
      <x:c r="H252" s="3" t="inlineStr">
        <x:is>
          <x:t xml:space="preserve">Operating Model Gap</x:t>
        </x:is>
      </x:c>
      <x:c r="I252" s="3" t="inlineStr">
        <x:is>
          <x:t xml:space="preserve">Continuous improvement</x:t>
        </x:is>
      </x:c>
      <x:c r="J252" s="3" t="inlineStr">
        <x:is>
          <x:t xml:space="preserve">N</x:t>
        </x:is>
      </x:c>
      <x:c r="K252" s="3" t="inlineStr">
        <x:is>
          <x:t xml:space="preserve">Evidence: anonymized KPI dashboard.</x:t>
        </x:is>
      </x:c>
    </x:row>
    <x:row r="253">
      <x:c r="A253" s="3" t="inlineStr">
        <x:is>
          <x:t xml:space="preserve">HR</x:t>
        </x:is>
      </x:c>
      <x:c r="B253" s="3" t="inlineStr">
        <x:is>
          <x:t xml:space="preserve">HR-D3-Q09</x:t>
        </x:is>
      </x:c>
      <x:c r="C253" s="3" t="inlineStr">
        <x:is>
          <x:t xml:space="preserve">HR-D3-Q09-A0</x:t>
        </x:is>
      </x:c>
      <x:c r="D253" s="3" t="n">
        <x:v>1</x:v>
      </x:c>
      <x:c r="E253" s="3" t="inlineStr">
        <x:is>
          <x:t xml:space="preserve">I don't know / Not sure.</x:t>
        </x:is>
      </x:c>
      <x:c r="F253" s="3" t="n">
        <x:v>0</x:v>
      </x:c>
      <x:c r="G253" s="3" t="inlineStr">
        <x:is>
          <x:t xml:space="preserve">low-confidence</x:t>
        </x:is>
      </x:c>
      <x:c r="H253" s="3" t="inlineStr">
        <x:is>
          <x:t xml:space="preserve">Culture Risk</x:t>
        </x:is>
      </x:c>
      <x:c r="I253" s="3" t="inlineStr">
        <x:is>
          <x:t xml:space="preserve">Clarify manager support</x:t>
        </x:is>
      </x:c>
      <x:c r="J253" s="3" t="inlineStr">
        <x:is>
          <x:t xml:space="preserve">N</x:t>
        </x:is>
      </x:c>
      <x:c r="K253" s="3" t="inlineStr">
        <x:is>
          <x:t xml:space="preserve"/>
        </x:is>
      </x:c>
    </x:row>
    <x:row r="254">
      <x:c r="A254" s="3" t="inlineStr">
        <x:is>
          <x:t xml:space="preserve">HR</x:t>
        </x:is>
      </x:c>
      <x:c r="B254" s="3" t="inlineStr">
        <x:is>
          <x:t xml:space="preserve">HR-D3-Q09</x:t>
        </x:is>
      </x:c>
      <x:c r="C254" s="3" t="inlineStr">
        <x:is>
          <x:t xml:space="preserve">HR-D3-Q09-A1</x:t>
        </x:is>
      </x:c>
      <x:c r="D254" s="3" t="n">
        <x:v>2</x:v>
      </x:c>
      <x:c r="E254" s="3" t="inlineStr">
        <x:is>
          <x:t xml:space="preserve">No: managers handle issues individually; escalation is rare or avoided.</x:t>
        </x:is>
      </x:c>
      <x:c r="F254" s="3" t="n">
        <x:v>0</x:v>
      </x:c>
      <x:c r="G254" s="3" t="inlineStr">
        <x:is>
          <x:t xml:space="preserve">culture_risk</x:t>
        </x:is>
      </x:c>
      <x:c r="H254" s="3" t="inlineStr">
        <x:is>
          <x:t xml:space="preserve">Culture Risk</x:t>
        </x:is>
      </x:c>
      <x:c r="I254" s="3" t="inlineStr">
        <x:is>
          <x:t xml:space="preserve">Design escalation pathways</x:t>
        </x:is>
      </x:c>
      <x:c r="J254" s="3" t="inlineStr">
        <x:is>
          <x:t xml:space="preserve">N</x:t>
        </x:is>
      </x:c>
      <x:c r="K254" s="3" t="inlineStr">
        <x:is>
          <x:t xml:space="preserve"/>
        </x:is>
      </x:c>
    </x:row>
    <x:row r="255">
      <x:c r="A255" s="3" t="inlineStr">
        <x:is>
          <x:t xml:space="preserve">HR</x:t>
        </x:is>
      </x:c>
      <x:c r="B255" s="3" t="inlineStr">
        <x:is>
          <x:t xml:space="preserve">HR-D3-Q09</x:t>
        </x:is>
      </x:c>
      <x:c r="C255" s="3" t="inlineStr">
        <x:is>
          <x:t xml:space="preserve">HR-D3-Q09-A2</x:t>
        </x:is>
      </x:c>
      <x:c r="D255" s="3" t="n">
        <x:v>3</x:v>
      </x:c>
      <x:c r="E255" s="3" t="inlineStr">
        <x:is>
          <x:t xml:space="preserve">Ad-hoc: some escalate, others don’t; no shared guidance.</x:t>
        </x:is>
      </x:c>
      <x:c r="F255" s="3" t="n">
        <x:v>1</x:v>
      </x:c>
      <x:c r="G255" s="3" t="inlineStr">
        <x:is>
          <x:t xml:space="preserve">key_person_dependency</x:t>
        </x:is>
      </x:c>
      <x:c r="H255" s="3" t="inlineStr">
        <x:is>
          <x:t xml:space="preserve">Operating Model Gap</x:t>
        </x:is>
      </x:c>
      <x:c r="I255" s="3" t="inlineStr">
        <x:is>
          <x:t xml:space="preserve">Standardize guidance</x:t>
        </x:is>
      </x:c>
      <x:c r="J255" s="3" t="inlineStr">
        <x:is>
          <x:t xml:space="preserve">N</x:t>
        </x:is>
      </x:c>
      <x:c r="K255" s="3" t="inlineStr">
        <x:is>
          <x:t xml:space="preserve"/>
        </x:is>
      </x:c>
    </x:row>
    <x:row r="256">
      <x:c r="A256" s="3" t="inlineStr">
        <x:is>
          <x:t xml:space="preserve">HR</x:t>
        </x:is>
      </x:c>
      <x:c r="B256" s="3" t="inlineStr">
        <x:is>
          <x:t xml:space="preserve">HR-D3-Q09</x:t>
        </x:is>
      </x:c>
      <x:c r="C256" s="3" t="inlineStr">
        <x:is>
          <x:t xml:space="preserve">HR-D3-Q09-A3</x:t>
        </x:is>
      </x:c>
      <x:c r="D256" s="3" t="n">
        <x:v>4</x:v>
      </x:c>
      <x:c r="E256" s="3" t="inlineStr">
        <x:is>
          <x:t xml:space="preserve">Defined: guidance exists but training is limited.</x:t>
        </x:is>
      </x:c>
      <x:c r="F256" s="3" t="n">
        <x:v>2</x:v>
      </x:c>
      <x:c r="G256" s="3" t="inlineStr">
        <x:is>
          <x:t xml:space="preserve">paper_dragon_signal</x:t>
        </x:is>
      </x:c>
      <x:c r="H256" s="3" t="inlineStr">
        <x:is>
          <x:t xml:space="preserve">Paper Dragon</x:t>
        </x:is>
      </x:c>
      <x:c r="I256" s="3" t="inlineStr">
        <x:is>
          <x:t xml:space="preserve">Expand training</x:t>
        </x:is>
      </x:c>
      <x:c r="J256" s="3" t="inlineStr">
        <x:is>
          <x:t xml:space="preserve">N</x:t>
        </x:is>
      </x:c>
      <x:c r="K256" s="3" t="inlineStr">
        <x:is>
          <x:t xml:space="preserve">Evidence: guidance doc.</x:t>
        </x:is>
      </x:c>
    </x:row>
    <x:row r="257">
      <x:c r="A257" s="3" t="inlineStr">
        <x:is>
          <x:t xml:space="preserve">HR</x:t>
        </x:is>
      </x:c>
      <x:c r="B257" s="3" t="inlineStr">
        <x:is>
          <x:t xml:space="preserve">HR-D3-Q09</x:t>
        </x:is>
      </x:c>
      <x:c r="C257" s="3" t="inlineStr">
        <x:is>
          <x:t xml:space="preserve">HR-D3-Q09-A4</x:t>
        </x:is>
      </x:c>
      <x:c r="D257" s="3" t="n">
        <x:v>5</x:v>
      </x:c>
      <x:c r="E257" s="3" t="inlineStr">
        <x:is>
          <x:t xml:space="preserve">Trained: managers receive training and use a clear escalation path.</x:t>
        </x:is>
      </x:c>
      <x:c r="F257" s="3" t="n">
        <x:v>3</x:v>
      </x:c>
      <x:c r="G257" s="3" t="inlineStr">
        <x:is>
          <x:t xml:space="preserve"/>
        </x:is>
      </x:c>
      <x:c r="H257" s="3" t="inlineStr">
        <x:is>
          <x:t xml:space="preserve">Culture Risk</x:t>
        </x:is>
      </x:c>
      <x:c r="I257" s="3" t="inlineStr">
        <x:is>
          <x:t xml:space="preserve">Maintain training cadence</x:t>
        </x:is>
      </x:c>
      <x:c r="J257" s="3" t="inlineStr">
        <x:is>
          <x:t xml:space="preserve">N</x:t>
        </x:is>
      </x:c>
      <x:c r="K257" s="3" t="inlineStr">
        <x:is>
          <x:t xml:space="preserve">Evidence: training completion.</x:t>
        </x:is>
      </x:c>
    </x:row>
    <x:row r="258">
      <x:c r="A258" s="3" t="inlineStr">
        <x:is>
          <x:t xml:space="preserve">HR</x:t>
        </x:is>
      </x:c>
      <x:c r="B258" s="3" t="inlineStr">
        <x:is>
          <x:t xml:space="preserve">HR-D3-Q09</x:t>
        </x:is>
      </x:c>
      <x:c r="C258" s="3" t="inlineStr">
        <x:is>
          <x:t xml:space="preserve">HR-D3-Q09-A5</x:t>
        </x:is>
      </x:c>
      <x:c r="D258" s="3" t="n">
        <x:v>6</x:v>
      </x:c>
      <x:c r="E258" s="3" t="inlineStr">
        <x:is>
          <x:t xml:space="preserve">Embedded: escalation expectations in manager KPIs; audited for consistency.</x:t>
        </x:is>
      </x:c>
      <x:c r="F258" s="3" t="n">
        <x:v>4</x:v>
      </x:c>
      <x:c r="G258" s="3" t="inlineStr">
        <x:is>
          <x:t xml:space="preserve"/>
        </x:is>
      </x:c>
      <x:c r="H258" s="3" t="inlineStr">
        <x:is>
          <x:t xml:space="preserve">Culture Risk</x:t>
        </x:is>
      </x:c>
      <x:c r="I258" s="3" t="inlineStr">
        <x:is>
          <x:t xml:space="preserve">Maintain assurance</x:t>
        </x:is>
      </x:c>
      <x:c r="J258" s="3" t="inlineStr">
        <x:is>
          <x:t xml:space="preserve">N</x:t>
        </x:is>
      </x:c>
      <x:c r="K258" s="3" t="inlineStr">
        <x:is>
          <x:t xml:space="preserve">Evidence: KPI or audit outputs.</x:t>
        </x:is>
      </x:c>
    </x:row>
    <x:row r="259">
      <x:c r="A259" s="3" t="inlineStr">
        <x:is>
          <x:t xml:space="preserve">HR</x:t>
        </x:is>
      </x:c>
      <x:c r="B259" s="3" t="inlineStr">
        <x:is>
          <x:t xml:space="preserve">HR-D3-Q10</x:t>
        </x:is>
      </x:c>
      <x:c r="C259" s="3" t="inlineStr">
        <x:is>
          <x:t xml:space="preserve">HR-D3-Q10-A1</x:t>
        </x:is>
      </x:c>
      <x:c r="D259" s="3" t="n">
        <x:v>1</x:v>
      </x:c>
      <x:c r="E259" s="3" t="inlineStr">
        <x:is>
          <x:t xml:space="preserve">No: escalation unclear; handled locally or ignored.</x:t>
        </x:is>
      </x:c>
      <x:c r="F259" s="3" t="n">
        <x:v>0</x:v>
      </x:c>
      <x:c r="G259" s="3" t="inlineStr">
        <x:is>
          <x:t xml:space="preserve">culture_risk</x:t>
        </x:is>
      </x:c>
      <x:c r="H259" s="3" t="inlineStr">
        <x:is>
          <x:t xml:space="preserve">Operating Model Gap</x:t>
        </x:is>
      </x:c>
      <x:c r="I259" s="3" t="inlineStr">
        <x:is>
          <x:t xml:space="preserve">Define escalation route</x:t>
        </x:is>
      </x:c>
      <x:c r="J259" s="3" t="inlineStr">
        <x:is>
          <x:t xml:space="preserve">N</x:t>
        </x:is>
      </x:c>
      <x:c r="K259" s="3" t="inlineStr">
        <x:is>
          <x:t xml:space="preserve"/>
        </x:is>
      </x:c>
    </x:row>
    <x:row r="260">
      <x:c r="A260" s="3" t="inlineStr">
        <x:is>
          <x:t xml:space="preserve">HR</x:t>
        </x:is>
      </x:c>
      <x:c r="B260" s="3" t="inlineStr">
        <x:is>
          <x:t xml:space="preserve">HR-D3-Q10</x:t>
        </x:is>
      </x:c>
      <x:c r="C260" s="3" t="inlineStr">
        <x:is>
          <x:t xml:space="preserve">HR-D3-Q10-A2</x:t>
        </x:is>
      </x:c>
      <x:c r="D260" s="3" t="n">
        <x:v>2</x:v>
      </x:c>
      <x:c r="E260" s="3" t="inlineStr">
        <x:is>
          <x:t xml:space="preserve">Sometimes: depends on networks; not documented.</x:t>
        </x:is>
      </x:c>
      <x:c r="F260" s="3" t="n">
        <x:v>1</x:v>
      </x:c>
      <x:c r="G260" s="3" t="inlineStr">
        <x:is>
          <x:t xml:space="preserve">key_person_dependency,shadow_mature_signal</x:t>
        </x:is>
      </x:c>
      <x:c r="H260" s="3" t="inlineStr">
        <x:is>
          <x:t xml:space="preserve">Operating Model Gap</x:t>
        </x:is>
      </x:c>
      <x:c r="I260" s="3" t="inlineStr">
        <x:is>
          <x:t xml:space="preserve">Document and socialize path</x:t>
        </x:is>
      </x:c>
      <x:c r="J260" s="3" t="inlineStr">
        <x:is>
          <x:t xml:space="preserve">N</x:t>
        </x:is>
      </x:c>
      <x:c r="K260" s="3" t="inlineStr">
        <x:is>
          <x:t xml:space="preserve"/>
        </x:is>
      </x:c>
    </x:row>
    <x:row r="261">
      <x:c r="A261" s="3" t="inlineStr">
        <x:is>
          <x:t xml:space="preserve">HR</x:t>
        </x:is>
      </x:c>
      <x:c r="B261" s="3" t="inlineStr">
        <x:is>
          <x:t xml:space="preserve">HR-D3-Q10</x:t>
        </x:is>
      </x:c>
      <x:c r="C261" s="3" t="inlineStr">
        <x:is>
          <x:t xml:space="preserve">HR-D3-Q10-A3</x:t>
        </x:is>
      </x:c>
      <x:c r="D261" s="3" t="n">
        <x:v>3</x:v>
      </x:c>
      <x:c r="E261" s="3" t="inlineStr">
        <x:is>
          <x:t xml:space="preserve">Yes, usually: managers know contacts and escalate within a reasonable time.</x:t>
        </x:is>
      </x:c>
      <x:c r="F261" s="3" t="n">
        <x:v>2</x:v>
      </x:c>
      <x:c r="G261" s="3" t="inlineStr">
        <x:is>
          <x:t xml:space="preserve">shadow_mature_signal</x:t>
        </x:is>
      </x:c>
      <x:c r="H261" s="3" t="inlineStr">
        <x:is>
          <x:t xml:space="preserve">Operating Model Gap</x:t>
        </x:is>
      </x:c>
      <x:c r="I261" s="3" t="inlineStr">
        <x:is>
          <x:t xml:space="preserve">Formalize and measure</x:t>
        </x:is>
      </x:c>
      <x:c r="J261" s="3" t="inlineStr">
        <x:is>
          <x:t xml:space="preserve">N</x:t>
        </x:is>
      </x:c>
      <x:c r="K261" s="3" t="inlineStr">
        <x:is>
          <x:t xml:space="preserve">Typical time to escalate.</x:t>
        </x:is>
      </x:c>
    </x:row>
    <x:row r="262">
      <x:c r="A262" s="3" t="inlineStr">
        <x:is>
          <x:t xml:space="preserve">HR</x:t>
        </x:is>
      </x:c>
      <x:c r="B262" s="3" t="inlineStr">
        <x:is>
          <x:t xml:space="preserve">HR-D3-Q10</x:t>
        </x:is>
      </x:c>
      <x:c r="C262" s="3" t="inlineStr">
        <x:is>
          <x:t xml:space="preserve">HR-D3-Q10-A4</x:t>
        </x:is>
      </x:c>
      <x:c r="D262" s="3" t="n">
        <x:v>4</x:v>
      </x:c>
      <x:c r="E262" s="3" t="inlineStr">
        <x:is>
          <x:t xml:space="preserve">Yes, consistently: escalation is used and tracked (without over-monitoring).</x:t>
        </x:is>
      </x:c>
      <x:c r="F262" s="3" t="n">
        <x:v>3</x:v>
      </x:c>
      <x:c r="G262" s="3" t="inlineStr">
        <x:is>
          <x:t xml:space="preserve"/>
        </x:is>
      </x:c>
      <x:c r="H262" s="3" t="inlineStr">
        <x:is>
          <x:t xml:space="preserve">Operating Model Gap</x:t>
        </x:is>
      </x:c>
      <x:c r="I262" s="3" t="inlineStr">
        <x:is>
          <x:t xml:space="preserve">Maintain tracking</x:t>
        </x:is>
      </x:c>
      <x:c r="J262" s="3" t="inlineStr">
        <x:is>
          <x:t xml:space="preserve">N</x:t>
        </x:is>
      </x:c>
      <x:c r="K262" s="3" t="inlineStr">
        <x:is>
          <x:t xml:space="preserve">Evidence: anonymized escalation metrics.</x:t>
        </x:is>
      </x:c>
    </x:row>
    <x:row r="263">
      <x:c r="A263" s="3" t="inlineStr">
        <x:is>
          <x:t xml:space="preserve">HR</x:t>
        </x:is>
      </x:c>
      <x:c r="B263" s="3" t="inlineStr">
        <x:is>
          <x:t xml:space="preserve">HR-D3-Q11</x:t>
        </x:is>
      </x:c>
      <x:c r="C263" s="3" t="inlineStr">
        <x:is>
          <x:t xml:space="preserve">HR-D3-Q11-A1</x:t>
        </x:is>
      </x:c>
      <x:c r="D263" s="3" t="n">
        <x:v>1</x:v>
      </x:c>
      <x:c r="E263" s="3" t="inlineStr">
        <x:is>
          <x:t xml:space="preserve">No measurement; leadership relies on anecdotes.</x:t>
        </x:is>
      </x:c>
      <x:c r="F263" s="3" t="n">
        <x:v>0</x:v>
      </x:c>
      <x:c r="G263" s="3" t="inlineStr">
        <x:is>
          <x:t xml:space="preserve">culture_risk</x:t>
        </x:is>
      </x:c>
      <x:c r="H263" s="3" t="inlineStr">
        <x:is>
          <x:t xml:space="preserve">Culture Risk</x:t>
        </x:is>
      </x:c>
      <x:c r="I263" s="3" t="inlineStr">
        <x:is>
          <x:t xml:space="preserve">Introduce measurement</x:t>
        </x:is>
      </x:c>
      <x:c r="J263" s="3" t="inlineStr">
        <x:is>
          <x:t xml:space="preserve">N</x:t>
        </x:is>
      </x:c>
      <x:c r="K263" s="3" t="inlineStr">
        <x:is>
          <x:t xml:space="preserve"/>
        </x:is>
      </x:c>
    </x:row>
    <x:row r="264">
      <x:c r="A264" s="3" t="inlineStr">
        <x:is>
          <x:t xml:space="preserve">HR</x:t>
        </x:is>
      </x:c>
      <x:c r="B264" s="3" t="inlineStr">
        <x:is>
          <x:t xml:space="preserve">HR-D3-Q11</x:t>
        </x:is>
      </x:c>
      <x:c r="C264" s="3" t="inlineStr">
        <x:is>
          <x:t xml:space="preserve">HR-D3-Q11-A2</x:t>
        </x:is>
      </x:c>
      <x:c r="D264" s="3" t="n">
        <x:v>2</x:v>
      </x:c>
      <x:c r="E264" s="3" t="inlineStr">
        <x:is>
          <x:t xml:space="preserve">Occasional survey; results not acted on.</x:t>
        </x:is>
      </x:c>
      <x:c r="F264" s="3" t="n">
        <x:v>1</x:v>
      </x:c>
      <x:c r="G264" s="3" t="inlineStr">
        <x:is>
          <x:t xml:space="preserve">paper_dragon_signal</x:t>
        </x:is>
      </x:c>
      <x:c r="H264" s="3" t="inlineStr">
        <x:is>
          <x:t xml:space="preserve">Paper Dragon</x:t>
        </x:is>
      </x:c>
      <x:c r="I264" s="3" t="inlineStr">
        <x:is>
          <x:t xml:space="preserve">Create action plan cycle</x:t>
        </x:is>
      </x:c>
      <x:c r="J264" s="3" t="inlineStr">
        <x:is>
          <x:t xml:space="preserve">N</x:t>
        </x:is>
      </x:c>
      <x:c r="K264" s="3" t="inlineStr">
        <x:is>
          <x:t xml:space="preserve">Evidence: last survey date.</x:t>
        </x:is>
      </x:c>
    </x:row>
    <x:row r="265">
      <x:c r="A265" s="3" t="inlineStr">
        <x:is>
          <x:t xml:space="preserve">HR</x:t>
        </x:is>
      </x:c>
      <x:c r="B265" s="3" t="inlineStr">
        <x:is>
          <x:t xml:space="preserve">HR-D3-Q11</x:t>
        </x:is>
      </x:c>
      <x:c r="C265" s="3" t="inlineStr">
        <x:is>
          <x:t xml:space="preserve">HR-D3-Q11-A3</x:t>
        </x:is>
      </x:c>
      <x:c r="D265" s="3" t="n">
        <x:v>3</x:v>
      </x:c>
      <x:c r="E265" s="3" t="inlineStr">
        <x:is>
          <x:t xml:space="preserve">Regular survey; some actions taken; follow-through varies.</x:t>
        </x:is>
      </x:c>
      <x:c r="F265" s="3" t="n">
        <x:v>2</x:v>
      </x:c>
      <x:c r="G265" s="3" t="inlineStr">
        <x:is>
          <x:t xml:space="preserve"/>
        </x:is>
      </x:c>
      <x:c r="H265" s="3" t="inlineStr">
        <x:is>
          <x:t xml:space="preserve">Culture Risk</x:t>
        </x:is>
      </x:c>
      <x:c r="I265" s="3" t="inlineStr">
        <x:is>
          <x:t xml:space="preserve">Strengthen action tracking</x:t>
        </x:is>
      </x:c>
      <x:c r="J265" s="3" t="inlineStr">
        <x:is>
          <x:t xml:space="preserve">N</x:t>
        </x:is>
      </x:c>
      <x:c r="K265" s="3" t="inlineStr">
        <x:is>
          <x:t xml:space="preserve">Evidence: action plan examples.</x:t>
        </x:is>
      </x:c>
    </x:row>
    <x:row r="266">
      <x:c r="A266" s="3" t="inlineStr">
        <x:is>
          <x:t xml:space="preserve">HR</x:t>
        </x:is>
      </x:c>
      <x:c r="B266" s="3" t="inlineStr">
        <x:is>
          <x:t xml:space="preserve">HR-D3-Q11</x:t>
        </x:is>
      </x:c>
      <x:c r="C266" s="3" t="inlineStr">
        <x:is>
          <x:t xml:space="preserve">HR-D3-Q11-A4</x:t>
        </x:is>
      </x:c>
      <x:c r="D266" s="3" t="n">
        <x:v>4</x:v>
      </x:c>
      <x:c r="E266" s="3" t="inlineStr">
        <x:is>
          <x:t xml:space="preserve">Measured + managed: results drive actions and progress is communicated.</x:t>
        </x:is>
      </x:c>
      <x:c r="F266" s="3" t="n">
        <x:v>3</x:v>
      </x:c>
      <x:c r="G266" s="3" t="inlineStr">
        <x:is>
          <x:t xml:space="preserve"/>
        </x:is>
      </x:c>
      <x:c r="H266" s="3" t="inlineStr">
        <x:is>
          <x:t xml:space="preserve">Culture Risk</x:t>
        </x:is>
      </x:c>
      <x:c r="I266" s="3" t="inlineStr">
        <x:is>
          <x:t xml:space="preserve">Maintain cadence</x:t>
        </x:is>
      </x:c>
      <x:c r="J266" s="3" t="inlineStr">
        <x:is>
          <x:t xml:space="preserve">N</x:t>
        </x:is>
      </x:c>
      <x:c r="K266" s="3" t="inlineStr">
        <x:is>
          <x:t xml:space="preserve">Evidence: action tracker.</x:t>
        </x:is>
      </x:c>
    </x:row>
    <x:row r="267">
      <x:c r="A267" s="3" t="inlineStr">
        <x:is>
          <x:t xml:space="preserve">HR</x:t>
        </x:is>
      </x:c>
      <x:c r="B267" s="3" t="inlineStr">
        <x:is>
          <x:t xml:space="preserve">HR-D3-Q11</x:t>
        </x:is>
      </x:c>
      <x:c r="C267" s="3" t="inlineStr">
        <x:is>
          <x:t xml:space="preserve">HR-D3-Q11-A5</x:t>
        </x:is>
      </x:c>
      <x:c r="D267" s="3" t="n">
        <x:v>5</x:v>
      </x:c>
      <x:c r="E267" s="3" t="inlineStr">
        <x:is>
          <x:t xml:space="preserve">Optimized: metrics tied to leadership objectives and continuous improvement.</x:t>
        </x:is>
      </x:c>
      <x:c r="F267" s="3" t="n">
        <x:v>4</x:v>
      </x:c>
      <x:c r="G267" s="3" t="inlineStr">
        <x:is>
          <x:t xml:space="preserve"/>
        </x:is>
      </x:c>
      <x:c r="H267" s="3" t="inlineStr">
        <x:is>
          <x:t xml:space="preserve">Culture Risk</x:t>
        </x:is>
      </x:c>
      <x:c r="I267" s="3" t="inlineStr">
        <x:is>
          <x:t xml:space="preserve">Maintain maturity</x:t>
        </x:is>
      </x:c>
      <x:c r="J267" s="3" t="inlineStr">
        <x:is>
          <x:t xml:space="preserve">N</x:t>
        </x:is>
      </x:c>
      <x:c r="K267" s="3" t="inlineStr">
        <x:is>
          <x:t xml:space="preserve">Evidence: KPI trends.</x:t>
        </x:is>
      </x:c>
    </x:row>
    <x:row r="268">
      <x:c r="A268" s="3" t="inlineStr">
        <x:is>
          <x:t xml:space="preserve">HR</x:t>
        </x:is>
      </x:c>
      <x:c r="B268" s="3" t="inlineStr">
        <x:is>
          <x:t xml:space="preserve">HR-D3-Q12</x:t>
        </x:is>
      </x:c>
      <x:c r="C268" s="3" t="inlineStr">
        <x:is>
          <x:t xml:space="preserve">HR-D3-Q12-A1</x:t>
        </x:is>
      </x:c>
      <x:c r="D268" s="3" t="n">
        <x:v>1</x:v>
      </x:c>
      <x:c r="E268" s="3" t="inlineStr">
        <x:is>
          <x:t xml:space="preserve">Punitive: only bad behavior highlighted; people avoid reporting.</x:t>
        </x:is>
      </x:c>
      <x:c r="F268" s="3" t="n">
        <x:v>0</x:v>
      </x:c>
      <x:c r="G268" s="3" t="inlineStr">
        <x:is>
          <x:t xml:space="preserve">toxic_enforcer_signal,culture_risk</x:t>
        </x:is>
      </x:c>
      <x:c r="H268" s="3" t="inlineStr">
        <x:is>
          <x:t xml:space="preserve">Culture Risk</x:t>
        </x:is>
      </x:c>
      <x:c r="I268" s="3" t="inlineStr">
        <x:is>
          <x:t xml:space="preserve">Shift to positive reinforcement</x:t>
        </x:is>
      </x:c>
      <x:c r="J268" s="3" t="inlineStr">
        <x:is>
          <x:t xml:space="preserve">N</x:t>
        </x:is>
      </x:c>
      <x:c r="K268" s="3" t="inlineStr">
        <x:is>
          <x:t xml:space="preserve"/>
        </x:is>
      </x:c>
    </x:row>
    <x:row r="269">
      <x:c r="A269" s="3" t="inlineStr">
        <x:is>
          <x:t xml:space="preserve">HR</x:t>
        </x:is>
      </x:c>
      <x:c r="B269" s="3" t="inlineStr">
        <x:is>
          <x:t xml:space="preserve">HR-D3-Q12</x:t>
        </x:is>
      </x:c>
      <x:c r="C269" s="3" t="inlineStr">
        <x:is>
          <x:t xml:space="preserve">HR-D3-Q12-A2</x:t>
        </x:is>
      </x:c>
      <x:c r="D269" s="3" t="n">
        <x:v>2</x:v>
      </x:c>
      <x:c r="E269" s="3" t="inlineStr">
        <x:is>
          <x:t xml:space="preserve">Informal thanks by managers; no consistent approach.</x:t>
        </x:is>
      </x:c>
      <x:c r="F269" s="3" t="n">
        <x:v>1</x:v>
      </x:c>
      <x:c r="G269" s="3" t="inlineStr">
        <x:is>
          <x:t xml:space="preserve">key_person_dependency</x:t>
        </x:is>
      </x:c>
      <x:c r="H269" s="3" t="inlineStr">
        <x:is>
          <x:t xml:space="preserve">Culture Risk</x:t>
        </x:is>
      </x:c>
      <x:c r="I269" s="3" t="inlineStr">
        <x:is>
          <x:t xml:space="preserve">Create lightweight recognition</x:t>
        </x:is>
      </x:c>
      <x:c r="J269" s="3" t="inlineStr">
        <x:is>
          <x:t xml:space="preserve">N</x:t>
        </x:is>
      </x:c>
      <x:c r="K269" s="3" t="inlineStr">
        <x:is>
          <x:t xml:space="preserve"/>
        </x:is>
      </x:c>
    </x:row>
    <x:row r="270">
      <x:c r="A270" s="3" t="inlineStr">
        <x:is>
          <x:t xml:space="preserve">HR</x:t>
        </x:is>
      </x:c>
      <x:c r="B270" s="3" t="inlineStr">
        <x:is>
          <x:t xml:space="preserve">HR-D3-Q12</x:t>
        </x:is>
      </x:c>
      <x:c r="C270" s="3" t="inlineStr">
        <x:is>
          <x:t xml:space="preserve">HR-D3-Q12-A3</x:t>
        </x:is>
      </x:c>
      <x:c r="D270" s="3" t="n">
        <x:v>3</x:v>
      </x:c>
      <x:c r="E270" s="3" t="inlineStr">
        <x:is>
          <x:t xml:space="preserve">Campaigns exist but limited ongoing reinforcement.</x:t>
        </x:is>
      </x:c>
      <x:c r="F270" s="3" t="n">
        <x:v>2</x:v>
      </x:c>
      <x:c r="G270" s="3" t="inlineStr">
        <x:is>
          <x:t xml:space="preserve">paper_dragon_signal</x:t>
        </x:is>
      </x:c>
      <x:c r="H270" s="3" t="inlineStr">
        <x:is>
          <x:t xml:space="preserve">Paper Dragon</x:t>
        </x:is>
      </x:c>
      <x:c r="I270" s="3" t="inlineStr">
        <x:is>
          <x:t xml:space="preserve">Build continuous reinforcement</x:t>
        </x:is>
      </x:c>
      <x:c r="J270" s="3" t="inlineStr">
        <x:is>
          <x:t xml:space="preserve">N</x:t>
        </x:is>
      </x:c>
      <x:c r="K270" s="3" t="inlineStr">
        <x:is>
          <x:t xml:space="preserve"/>
        </x:is>
      </x:c>
    </x:row>
    <x:row r="271">
      <x:c r="A271" s="3" t="inlineStr">
        <x:is>
          <x:t xml:space="preserve">HR</x:t>
        </x:is>
      </x:c>
      <x:c r="B271" s="3" t="inlineStr">
        <x:is>
          <x:t xml:space="preserve">HR-D3-Q12</x:t>
        </x:is>
      </x:c>
      <x:c r="C271" s="3" t="inlineStr">
        <x:is>
          <x:t xml:space="preserve">HR-D3-Q12-A4</x:t>
        </x:is>
      </x:c>
      <x:c r="D271" s="3" t="n">
        <x:v>4</x:v>
      </x:c>
      <x:c r="E271" s="3" t="inlineStr">
        <x:is>
          <x:t xml:space="preserve">Formal recognition for reporting concerns/near-misses; lessons shared.</x:t>
        </x:is>
      </x:c>
      <x:c r="F271" s="3" t="n">
        <x:v>3</x:v>
      </x:c>
      <x:c r="G271" s="3" t="inlineStr">
        <x:is>
          <x:t xml:space="preserve"/>
        </x:is>
      </x:c>
      <x:c r="H271" s="3" t="inlineStr">
        <x:is>
          <x:t xml:space="preserve">Culture Risk</x:t>
        </x:is>
      </x:c>
      <x:c r="I271" s="3" t="inlineStr">
        <x:is>
          <x:t xml:space="preserve">Maintain and measure</x:t>
        </x:is>
      </x:c>
      <x:c r="J271" s="3" t="inlineStr">
        <x:is>
          <x:t xml:space="preserve">N</x:t>
        </x:is>
      </x:c>
      <x:c r="K271" s="3" t="inlineStr">
        <x:is>
          <x:t xml:space="preserve">Evidence: comms examples.</x:t>
        </x:is>
      </x:c>
    </x:row>
    <x:row r="272">
      <x:c r="A272" s="3" t="inlineStr">
        <x:is>
          <x:t xml:space="preserve">HR</x:t>
        </x:is>
      </x:c>
      <x:c r="B272" s="3" t="inlineStr">
        <x:is>
          <x:t xml:space="preserve">HR-D3-Q12</x:t>
        </x:is>
      </x:c>
      <x:c r="C272" s="3" t="inlineStr">
        <x:is>
          <x:t xml:space="preserve">HR-D3-Q12-A5</x:t>
        </x:is>
      </x:c>
      <x:c r="D272" s="3" t="n">
        <x:v>5</x:v>
      </x:c>
      <x:c r="E272" s="3" t="inlineStr">
        <x:is>
          <x:t xml:space="preserve">Mutual accountability; reporting is normal and psychologically safe.</x:t>
        </x:is>
      </x:c>
      <x:c r="F272" s="3" t="n">
        <x:v>4</x:v>
      </x:c>
      <x:c r="G272" s="3" t="inlineStr">
        <x:is>
          <x:t xml:space="preserve"/>
        </x:is>
      </x:c>
      <x:c r="H272" s="3" t="inlineStr">
        <x:is>
          <x:t xml:space="preserve">Culture Risk</x:t>
        </x:is>
      </x:c>
      <x:c r="I272" s="3" t="inlineStr">
        <x:is>
          <x:t xml:space="preserve">Maintain maturity</x:t>
        </x:is>
      </x:c>
      <x:c r="J272" s="3" t="inlineStr">
        <x:is>
          <x:t xml:space="preserve">N</x:t>
        </x:is>
      </x:c>
      <x:c r="K272" s="3" t="inlineStr">
        <x:is>
          <x:t xml:space="preserve">Evidence: survey + reporting trends.</x:t>
        </x:is>
      </x:c>
    </x:row>
    <x:row r="273">
      <x:c r="A273" s="3" t="inlineStr">
        <x:is>
          <x:t xml:space="preserve">HR</x:t>
        </x:is>
      </x:c>
      <x:c r="B273" s="3" t="inlineStr">
        <x:is>
          <x:t xml:space="preserve">HR-D4-Q13</x:t>
        </x:is>
      </x:c>
      <x:c r="C273" s="3" t="inlineStr">
        <x:is>
          <x:t xml:space="preserve">HR-D4-Q13-A0</x:t>
        </x:is>
      </x:c>
      <x:c r="D273" s="3" t="n">
        <x:v>1</x:v>
      </x:c>
      <x:c r="E273" s="3" t="inlineStr">
        <x:is>
          <x:t xml:space="preserve">I don't know / Not sure.</x:t>
        </x:is>
      </x:c>
      <x:c r="F273" s="3" t="n">
        <x:v>0</x:v>
      </x:c>
      <x:c r="G273" s="3" t="inlineStr">
        <x:is>
          <x:t xml:space="preserve">low-confidence</x:t>
        </x:is>
      </x:c>
      <x:c r="H273" s="3" t="inlineStr">
        <x:is>
          <x:t xml:space="preserve">Operating Model Gap</x:t>
        </x:is>
      </x:c>
      <x:c r="I273" s="3" t="inlineStr">
        <x:is>
          <x:t xml:space="preserve">Clarify JML process</x:t>
        </x:is>
      </x:c>
      <x:c r="J273" s="3" t="inlineStr">
        <x:is>
          <x:t xml:space="preserve">N</x:t>
        </x:is>
      </x:c>
      <x:c r="K273" s="3" t="inlineStr">
        <x:is>
          <x:t xml:space="preserve"/>
        </x:is>
      </x:c>
    </x:row>
    <x:row r="274">
      <x:c r="A274" s="3" t="inlineStr">
        <x:is>
          <x:t xml:space="preserve">HR</x:t>
        </x:is>
      </x:c>
      <x:c r="B274" s="3" t="inlineStr">
        <x:is>
          <x:t xml:space="preserve">HR-D4-Q13</x:t>
        </x:is>
      </x:c>
      <x:c r="C274" s="3" t="inlineStr">
        <x:is>
          <x:t xml:space="preserve">HR-D4-Q13-A1</x:t>
        </x:is>
      </x:c>
      <x:c r="D274" s="3" t="n">
        <x:v>2</x:v>
      </x:c>
      <x:c r="E274" s="3" t="inlineStr">
        <x:is>
          <x:t xml:space="preserve">Unreliable: access often stays too long or changes are missed.</x:t>
        </x:is>
      </x:c>
      <x:c r="F274" s="3" t="n">
        <x:v>0</x:v>
      </x:c>
      <x:c r="G274" s="3" t="inlineStr">
        <x:is>
          <x:t xml:space="preserve">control_lag,bypass_pressure</x:t>
        </x:is>
      </x:c>
      <x:c r="H274" s="3" t="inlineStr">
        <x:is>
          <x:t xml:space="preserve">Control Lag</x:t>
        </x:is>
      </x:c>
      <x:c r="I274" s="3" t="inlineStr">
        <x:is>
          <x:t xml:space="preserve">Stabilize JML</x:t>
        </x:is>
      </x:c>
      <x:c r="J274" s="3" t="inlineStr">
        <x:is>
          <x:t xml:space="preserve">N</x:t>
        </x:is>
      </x:c>
      <x:c r="K274" s="3" t="inlineStr">
        <x:is>
          <x:t xml:space="preserve"/>
        </x:is>
      </x:c>
    </x:row>
    <x:row r="275">
      <x:c r="A275" s="3" t="inlineStr">
        <x:is>
          <x:t xml:space="preserve">HR</x:t>
        </x:is>
      </x:c>
      <x:c r="B275" s="3" t="inlineStr">
        <x:is>
          <x:t xml:space="preserve">HR-D4-Q13</x:t>
        </x:is>
      </x:c>
      <x:c r="C275" s="3" t="inlineStr">
        <x:is>
          <x:t xml:space="preserve">HR-D4-Q13-A2</x:t>
        </x:is>
      </x:c>
      <x:c r="D275" s="3" t="n">
        <x:v>3</x:v>
      </x:c>
      <x:c r="E275" s="3" t="inlineStr">
        <x:is>
          <x:t xml:space="preserve">Basic: HR notifies IT by email/spreadsheet; timeliness varies.</x:t>
        </x:is>
      </x:c>
      <x:c r="F275" s="3" t="n">
        <x:v>1</x:v>
      </x:c>
      <x:c r="G275" s="3" t="inlineStr">
        <x:is>
          <x:t xml:space="preserve">shadow_mature_signal</x:t>
        </x:is>
      </x:c>
      <x:c r="H275" s="3" t="inlineStr">
        <x:is>
          <x:t xml:space="preserve">Operating Model Gap</x:t>
        </x:is>
      </x:c>
      <x:c r="I275" s="3" t="inlineStr">
        <x:is>
          <x:t xml:space="preserve">Standardize and track</x:t>
        </x:is>
      </x:c>
      <x:c r="J275" s="3" t="inlineStr">
        <x:is>
          <x:t xml:space="preserve">N</x:t>
        </x:is>
      </x:c>
      <x:c r="K275" s="3" t="inlineStr">
        <x:is>
          <x:t xml:space="preserve"/>
        </x:is>
      </x:c>
    </x:row>
    <x:row r="276">
      <x:c r="A276" s="3" t="inlineStr">
        <x:is>
          <x:t xml:space="preserve">HR</x:t>
        </x:is>
      </x:c>
      <x:c r="B276" s="3" t="inlineStr">
        <x:is>
          <x:t xml:space="preserve">HR-D4-Q13</x:t>
        </x:is>
      </x:c>
      <x:c r="C276" s="3" t="inlineStr">
        <x:is>
          <x:t xml:space="preserve">HR-D4-Q13-A3</x:t>
        </x:is>
      </x:c>
      <x:c r="D276" s="3" t="n">
        <x:v>4</x:v>
      </x:c>
      <x:c r="E276" s="3" t="inlineStr">
        <x:is>
          <x:t xml:space="preserve">Defined: standard forms/HRIS triggers; most changes processed within days.</x:t>
        </x:is>
      </x:c>
      <x:c r="F276" s="3" t="n">
        <x:v>2</x:v>
      </x:c>
      <x:c r="G276" s="3" t="inlineStr">
        <x:is>
          <x:t xml:space="preserve"/>
        </x:is>
      </x:c>
      <x:c r="H276" s="3" t="inlineStr">
        <x:is>
          <x:t xml:space="preserve">Operating Model Gap</x:t>
        </x:is>
      </x:c>
      <x:c r="I276" s="3" t="inlineStr">
        <x:is>
          <x:t xml:space="preserve">Improve SLAs</x:t>
        </x:is>
      </x:c>
      <x:c r="J276" s="3" t="inlineStr">
        <x:is>
          <x:t xml:space="preserve">N</x:t>
        </x:is>
      </x:c>
      <x:c r="K276" s="3" t="inlineStr">
        <x:is>
          <x:t xml:space="preserve">Evidence: process or SLA.</x:t>
        </x:is>
      </x:c>
    </x:row>
    <x:row r="277">
      <x:c r="A277" s="3" t="inlineStr">
        <x:is>
          <x:t xml:space="preserve">HR</x:t>
        </x:is>
      </x:c>
      <x:c r="B277" s="3" t="inlineStr">
        <x:is>
          <x:t xml:space="preserve">HR-D4-Q13</x:t>
        </x:is>
      </x:c>
      <x:c r="C277" s="3" t="inlineStr">
        <x:is>
          <x:t xml:space="preserve">HR-D4-Q13-A4</x:t>
        </x:is>
      </x:c>
      <x:c r="D277" s="3" t="n">
        <x:v>5</x:v>
      </x:c>
      <x:c r="E277" s="3" t="inlineStr">
        <x:is>
          <x:t xml:space="preserve">Managed: SLAs monitored; leaver removal time-bound and audited.</x:t>
        </x:is>
      </x:c>
      <x:c r="F277" s="3" t="n">
        <x:v>3</x:v>
      </x:c>
      <x:c r="G277" s="3" t="inlineStr">
        <x:is>
          <x:t xml:space="preserve"/>
        </x:is>
      </x:c>
      <x:c r="H277" s="3" t="inlineStr">
        <x:is>
          <x:t xml:space="preserve">Operating Model Gap</x:t>
        </x:is>
      </x:c>
      <x:c r="I277" s="3" t="inlineStr">
        <x:is>
          <x:t xml:space="preserve">Maintain assurance</x:t>
        </x:is>
      </x:c>
      <x:c r="J277" s="3" t="inlineStr">
        <x:is>
          <x:t xml:space="preserve">N</x:t>
        </x:is>
      </x:c>
      <x:c r="K277" s="3" t="inlineStr">
        <x:is>
          <x:t xml:space="preserve">Evidence: audit sample.</x:t>
        </x:is>
      </x:c>
    </x:row>
    <x:row r="278">
      <x:c r="A278" s="3" t="inlineStr">
        <x:is>
          <x:t xml:space="preserve">HR</x:t>
        </x:is>
      </x:c>
      <x:c r="B278" s="3" t="inlineStr">
        <x:is>
          <x:t xml:space="preserve">HR-D4-Q13</x:t>
        </x:is>
      </x:c>
      <x:c r="C278" s="3" t="inlineStr">
        <x:is>
          <x:t xml:space="preserve">HR-D4-Q13-A5</x:t>
        </x:is>
      </x:c>
      <x:c r="D278" s="3" t="n">
        <x:v>6</x:v>
      </x:c>
      <x:c r="E278" s="3" t="inlineStr">
        <x:is>
          <x:t xml:space="preserve">Optimized: near-real-time updates for critical roles; exceptions controlled.</x:t>
        </x:is>
      </x:c>
      <x:c r="F278" s="3" t="n">
        <x:v>4</x:v>
      </x:c>
      <x:c r="G278" s="3" t="inlineStr">
        <x:is>
          <x:t xml:space="preserve"/>
        </x:is>
      </x:c>
      <x:c r="H278" s="3" t="inlineStr">
        <x:is>
          <x:t xml:space="preserve">Operating Model Gap</x:t>
        </x:is>
      </x:c>
      <x:c r="I278" s="3" t="inlineStr">
        <x:is>
          <x:t xml:space="preserve">Maintain maturity</x:t>
        </x:is>
      </x:c>
      <x:c r="J278" s="3" t="inlineStr">
        <x:is>
          <x:t xml:space="preserve">N</x:t>
        </x:is>
      </x:c>
      <x:c r="K278" s="3" t="inlineStr">
        <x:is>
          <x:t xml:space="preserve">Evidence: timeliness metrics.</x:t>
        </x:is>
      </x:c>
    </x:row>
    <x:row r="279">
      <x:c r="A279" s="3" t="inlineStr">
        <x:is>
          <x:t xml:space="preserve">HR</x:t>
        </x:is>
      </x:c>
      <x:c r="B279" s="3" t="inlineStr">
        <x:is>
          <x:t xml:space="preserve">HR-D4-Q14</x:t>
        </x:is>
      </x:c>
      <x:c r="C279" s="3" t="inlineStr">
        <x:is>
          <x:t xml:space="preserve">HR-D4-Q14-A1</x:t>
        </x:is>
      </x:c>
      <x:c r="D279" s="3" t="n">
        <x:v>1</x:v>
      </x:c>
      <x:c r="E279" s="3" t="inlineStr">
        <x:is>
          <x:t xml:space="preserve">Not reliable; depends on someone noticing.</x:t>
        </x:is>
      </x:c>
      <x:c r="F279" s="3" t="n">
        <x:v>0</x:v>
      </x:c>
      <x:c r="G279" s="3" t="inlineStr">
        <x:is>
          <x:t xml:space="preserve">control_lag</x:t>
        </x:is>
      </x:c>
      <x:c r="H279" s="3" t="inlineStr">
        <x:is>
          <x:t xml:space="preserve">Control Lag</x:t>
        </x:is>
      </x:c>
      <x:c r="I279" s="3" t="inlineStr">
        <x:is>
          <x:t xml:space="preserve">Implement leaver checklist</x:t>
        </x:is>
      </x:c>
      <x:c r="J279" s="3" t="inlineStr">
        <x:is>
          <x:t xml:space="preserve">N</x:t>
        </x:is>
      </x:c>
      <x:c r="K279" s="3" t="inlineStr">
        <x:is>
          <x:t xml:space="preserve"/>
        </x:is>
      </x:c>
    </x:row>
    <x:row r="280">
      <x:c r="A280" s="3" t="inlineStr">
        <x:is>
          <x:t xml:space="preserve">HR</x:t>
        </x:is>
      </x:c>
      <x:c r="B280" s="3" t="inlineStr">
        <x:is>
          <x:t xml:space="preserve">HR-D4-Q14</x:t>
        </x:is>
      </x:c>
      <x:c r="C280" s="3" t="inlineStr">
        <x:is>
          <x:t xml:space="preserve">HR-D4-Q14-A2</x:t>
        </x:is>
      </x:c>
      <x:c r="D280" s="3" t="n">
        <x:v>2</x:v>
      </x:c>
      <x:c r="E280" s="3" t="inlineStr">
        <x:is>
          <x:t xml:space="preserve">Managers/HR call IT when they remember; timing varies widely.</x:t>
        </x:is>
      </x:c>
      <x:c r="F280" s="3" t="n">
        <x:v>1</x:v>
      </x:c>
      <x:c r="G280" s="3" t="inlineStr">
        <x:is>
          <x:t xml:space="preserve">key_person_dependency,shadow_mature_signal</x:t>
        </x:is>
      </x:c>
      <x:c r="H280" s="3" t="inlineStr">
        <x:is>
          <x:t xml:space="preserve">Control Lag</x:t>
        </x:is>
      </x:c>
      <x:c r="I280" s="3" t="inlineStr">
        <x:is>
          <x:t xml:space="preserve">Create triggers and SLAs</x:t>
        </x:is>
      </x:c>
      <x:c r="J280" s="3" t="inlineStr">
        <x:is>
          <x:t xml:space="preserve">N</x:t>
        </x:is>
      </x:c>
      <x:c r="K280" s="3" t="inlineStr">
        <x:is>
          <x:t xml:space="preserve"/>
        </x:is>
      </x:c>
    </x:row>
    <x:row r="281">
      <x:c r="A281" s="3" t="inlineStr">
        <x:is>
          <x:t xml:space="preserve">HR</x:t>
        </x:is>
      </x:c>
      <x:c r="B281" s="3" t="inlineStr">
        <x:is>
          <x:t xml:space="preserve">HR-D4-Q14</x:t>
        </x:is>
      </x:c>
      <x:c r="C281" s="3" t="inlineStr">
        <x:is>
          <x:t xml:space="preserve">HR-D4-Q14-A3</x:t>
        </x:is>
      </x:c>
      <x:c r="D281" s="3" t="n">
        <x:v>3</x:v>
      </x:c>
      <x:c r="E281" s="3" t="inlineStr">
        <x:is>
          <x:t xml:space="preserve">HR sends a daily/weekly leaver list; not always complete.</x:t>
        </x:is>
      </x:c>
      <x:c r="F281" s="3" t="n">
        <x:v>2</x:v>
      </x:c>
      <x:c r="G281" s="3" t="inlineStr">
        <x:is>
          <x:t xml:space="preserve"/>
        </x:is>
      </x:c>
      <x:c r="H281" s="3" t="inlineStr">
        <x:is>
          <x:t xml:space="preserve">Operating Model Gap</x:t>
        </x:is>
      </x:c>
      <x:c r="I281" s="3" t="inlineStr">
        <x:is>
          <x:t xml:space="preserve">Improve completeness</x:t>
        </x:is>
      </x:c>
      <x:c r="J281" s="3" t="inlineStr">
        <x:is>
          <x:t xml:space="preserve">N</x:t>
        </x:is>
      </x:c>
      <x:c r="K281" s="3" t="inlineStr">
        <x:is>
          <x:t xml:space="preserve">Evidence: sample leaver list.</x:t>
        </x:is>
      </x:c>
    </x:row>
    <x:row r="282">
      <x:c r="A282" s="3" t="inlineStr">
        <x:is>
          <x:t xml:space="preserve">HR</x:t>
        </x:is>
      </x:c>
      <x:c r="B282" s="3" t="inlineStr">
        <x:is>
          <x:t xml:space="preserve">HR-D4-Q14</x:t>
        </x:is>
      </x:c>
      <x:c r="C282" s="3" t="inlineStr">
        <x:is>
          <x:t xml:space="preserve">HR-D4-Q14-A4</x:t>
        </x:is>
      </x:c>
      <x:c r="D282" s="3" t="n">
        <x:v>4</x:v>
      </x:c>
      <x:c r="E282" s="3" t="inlineStr">
        <x:is>
          <x:t xml:space="preserve">Consistent same-day/next-day removal for most cases.</x:t>
        </x:is>
      </x:c>
      <x:c r="F282" s="3" t="n">
        <x:v>3</x:v>
      </x:c>
      <x:c r="G282" s="3" t="inlineStr">
        <x:is>
          <x:t xml:space="preserve"/>
        </x:is>
      </x:c>
      <x:c r="H282" s="3" t="inlineStr">
        <x:is>
          <x:t xml:space="preserve">Operating Model Gap</x:t>
        </x:is>
      </x:c>
      <x:c r="I282" s="3" t="inlineStr">
        <x:is>
          <x:t xml:space="preserve">Formalize and audit</x:t>
        </x:is>
      </x:c>
      <x:c r="J282" s="3" t="inlineStr">
        <x:is>
          <x:t xml:space="preserve">N</x:t>
        </x:is>
      </x:c>
      <x:c r="K282" s="3" t="inlineStr">
        <x:is>
          <x:t xml:space="preserve">Evidence: ticket timestamps (redacted).</x:t>
        </x:is>
      </x:c>
    </x:row>
    <x:row r="283">
      <x:c r="A283" s="3" t="inlineStr">
        <x:is>
          <x:t xml:space="preserve">HR</x:t>
        </x:is>
      </x:c>
      <x:c r="B283" s="3" t="inlineStr">
        <x:is>
          <x:t xml:space="preserve">HR-D4-Q15</x:t>
        </x:is>
      </x:c>
      <x:c r="C283" s="3" t="inlineStr">
        <x:is>
          <x:t xml:space="preserve">HR-D4-Q15-A1</x:t>
        </x:is>
      </x:c>
      <x:c r="D283" s="3" t="n">
        <x:v>1</x:v>
      </x:c>
      <x:c r="E283" s="3" t="inlineStr">
        <x:is>
          <x:t xml:space="preserve">No: all departures treated the same.</x:t>
        </x:is>
      </x:c>
      <x:c r="F283" s="3" t="n">
        <x:v>0</x:v>
      </x:c>
      <x:c r="G283" s="3" t="inlineStr">
        <x:is>
          <x:t xml:space="preserve">control_lag</x:t>
        </x:is>
      </x:c>
      <x:c r="H283" s="3" t="inlineStr">
        <x:is>
          <x:t xml:space="preserve">Control Lag</x:t>
        </x:is>
      </x:c>
      <x:c r="I283" s="3" t="inlineStr">
        <x:is>
          <x:t xml:space="preserve">Define risk-based leaver process</x:t>
        </x:is>
      </x:c>
      <x:c r="J283" s="3" t="inlineStr">
        <x:is>
          <x:t xml:space="preserve">N</x:t>
        </x:is>
      </x:c>
      <x:c r="K283" s="3" t="inlineStr">
        <x:is>
          <x:t xml:space="preserve"/>
        </x:is>
      </x:c>
    </x:row>
    <x:row r="284">
      <x:c r="A284" s="3" t="inlineStr">
        <x:is>
          <x:t xml:space="preserve">HR</x:t>
        </x:is>
      </x:c>
      <x:c r="B284" s="3" t="inlineStr">
        <x:is>
          <x:t xml:space="preserve">HR-D4-Q15</x:t>
        </x:is>
      </x:c>
      <x:c r="C284" s="3" t="inlineStr">
        <x:is>
          <x:t xml:space="preserve">HR-D4-Q15-A2</x:t>
        </x:is>
      </x:c>
      <x:c r="D284" s="3" t="n">
        <x:v>2</x:v>
      </x:c>
      <x:c r="E284" s="3" t="inlineStr">
        <x:is>
          <x:t xml:space="preserve">Ad-hoc: extra checks sometimes happen; no criteria.</x:t>
        </x:is>
      </x:c>
      <x:c r="F284" s="3" t="n">
        <x:v>1</x:v>
      </x:c>
      <x:c r="G284" s="3" t="inlineStr">
        <x:is>
          <x:t xml:space="preserve">shadow_mature_signal</x:t>
        </x:is>
      </x:c>
      <x:c r="H284" s="3" t="inlineStr">
        <x:is>
          <x:t xml:space="preserve">Operating Model Gap</x:t>
        </x:is>
      </x:c>
      <x:c r="I284" s="3" t="inlineStr">
        <x:is>
          <x:t xml:space="preserve">Define criteria and approvals</x:t>
        </x:is>
      </x:c>
      <x:c r="J284" s="3" t="inlineStr">
        <x:is>
          <x:t xml:space="preserve">N</x:t>
        </x:is>
      </x:c>
      <x:c r="K284" s="3" t="inlineStr">
        <x:is>
          <x:t xml:space="preserve"/>
        </x:is>
      </x:c>
    </x:row>
    <x:row r="285">
      <x:c r="A285" s="3" t="inlineStr">
        <x:is>
          <x:t xml:space="preserve">HR</x:t>
        </x:is>
      </x:c>
      <x:c r="B285" s="3" t="inlineStr">
        <x:is>
          <x:t xml:space="preserve">HR-D4-Q15</x:t>
        </x:is>
      </x:c>
      <x:c r="C285" s="3" t="inlineStr">
        <x:is>
          <x:t xml:space="preserve">HR-D4-Q15-A3</x:t>
        </x:is>
      </x:c>
      <x:c r="D285" s="3" t="n">
        <x:v>3</x:v>
      </x:c>
      <x:c r="E285" s="3" t="inlineStr">
        <x:is>
          <x:t xml:space="preserve">Criteria exist but execution inconsistent.</x:t>
        </x:is>
      </x:c>
      <x:c r="F285" s="3" t="n">
        <x:v>2</x:v>
      </x:c>
      <x:c r="G285" s="3" t="inlineStr">
        <x:is>
          <x:t xml:space="preserve">paper_dragon_signal</x:t>
        </x:is>
      </x:c>
      <x:c r="H285" s="3" t="inlineStr">
        <x:is>
          <x:t xml:space="preserve">Paper Dragon</x:t>
        </x:is>
      </x:c>
      <x:c r="I285" s="3" t="inlineStr">
        <x:is>
          <x:t xml:space="preserve">Improve adherence</x:t>
        </x:is>
      </x:c>
      <x:c r="J285" s="3" t="inlineStr">
        <x:is>
          <x:t xml:space="preserve">N</x:t>
        </x:is>
      </x:c>
      <x:c r="K285" s="3" t="inlineStr">
        <x:is>
          <x:t xml:space="preserve">Evidence: criteria list.</x:t>
        </x:is>
      </x:c>
    </x:row>
    <x:row r="286">
      <x:c r="A286" s="3" t="inlineStr">
        <x:is>
          <x:t xml:space="preserve">HR</x:t>
        </x:is>
      </x:c>
      <x:c r="B286" s="3" t="inlineStr">
        <x:is>
          <x:t xml:space="preserve">HR-D4-Q15</x:t>
        </x:is>
      </x:c>
      <x:c r="C286" s="3" t="inlineStr">
        <x:is>
          <x:t xml:space="preserve">HR-D4-Q15-A4</x:t>
        </x:is>
      </x:c>
      <x:c r="D286" s="3" t="n">
        <x:v>4</x:v>
      </x:c>
      <x:c r="E286" s="3" t="inlineStr">
        <x:is>
          <x:t xml:space="preserve">Risk-based steps applied consistently and proportionately.</x:t>
        </x:is>
      </x:c>
      <x:c r="F286" s="3" t="n">
        <x:v>3</x:v>
      </x:c>
      <x:c r="G286" s="3" t="inlineStr">
        <x:is>
          <x:t xml:space="preserve"/>
        </x:is>
      </x:c>
      <x:c r="H286" s="3" t="inlineStr">
        <x:is>
          <x:t xml:space="preserve">Control Lag</x:t>
        </x:is>
      </x:c>
      <x:c r="I286" s="3" t="inlineStr">
        <x:is>
          <x:t xml:space="preserve">Maintain and audit</x:t>
        </x:is>
      </x:c>
      <x:c r="J286" s="3" t="inlineStr">
        <x:is>
          <x:t xml:space="preserve">N</x:t>
        </x:is>
      </x:c>
      <x:c r="K286" s="3" t="inlineStr">
        <x:is>
          <x:t xml:space="preserve">Evidence: checklist sample.</x:t>
        </x:is>
      </x:c>
    </x:row>
    <x:row r="287">
      <x:c r="A287" s="3" t="inlineStr">
        <x:is>
          <x:t xml:space="preserve">HR</x:t>
        </x:is>
      </x:c>
      <x:c r="B287" s="3" t="inlineStr">
        <x:is>
          <x:t xml:space="preserve">HR-D4-Q15</x:t>
        </x:is>
      </x:c>
      <x:c r="C287" s="3" t="inlineStr">
        <x:is>
          <x:t xml:space="preserve">HR-D4-Q15-A5</x:t>
        </x:is>
      </x:c>
      <x:c r="D287" s="3" t="n">
        <x:v>5</x:v>
      </x:c>
      <x:c r="E287" s="3" t="inlineStr">
        <x:is>
          <x:t xml:space="preserve">Optimized: rapid access changes + comms + legal/privacy review when needed.</x:t>
        </x:is>
      </x:c>
      <x:c r="F287" s="3" t="n">
        <x:v>4</x:v>
      </x:c>
      <x:c r="G287" s="3" t="inlineStr">
        <x:is>
          <x:t xml:space="preserve"/>
        </x:is>
      </x:c>
      <x:c r="H287" s="3" t="inlineStr">
        <x:is>
          <x:t xml:space="preserve">Legal Exposure</x:t>
        </x:is>
      </x:c>
      <x:c r="I287" s="3" t="inlineStr">
        <x:is>
          <x:t xml:space="preserve">Maintain maturity</x:t>
        </x:is>
      </x:c>
      <x:c r="J287" s="3" t="inlineStr">
        <x:is>
          <x:t xml:space="preserve">N</x:t>
        </x:is>
      </x:c>
      <x:c r="K287" s="3" t="inlineStr">
        <x:is>
          <x:t xml:space="preserve">Evidence: playbook.</x:t>
        </x:is>
      </x:c>
    </x:row>
    <x:row r="288">
      <x:c r="A288" s="3" t="inlineStr">
        <x:is>
          <x:t xml:space="preserve">HR</x:t>
        </x:is>
      </x:c>
      <x:c r="B288" s="3" t="inlineStr">
        <x:is>
          <x:t xml:space="preserve">HR-D4-Q16</x:t>
        </x:is>
      </x:c>
      <x:c r="C288" s="3" t="inlineStr">
        <x:is>
          <x:t xml:space="preserve">HR-D4-Q16-A1</x:t>
        </x:is>
      </x:c>
      <x:c r="D288" s="3" t="n">
        <x:v>1</x:v>
      </x:c>
      <x:c r="E288" s="3" t="inlineStr">
        <x:is>
          <x:t xml:space="preserve">We don't address this explicitly.</x:t>
        </x:is>
      </x:c>
      <x:c r="F288" s="3" t="n">
        <x:v>0</x:v>
      </x:c>
      <x:c r="G288" s="3" t="inlineStr">
        <x:is>
          <x:t xml:space="preserve">legal_exposure</x:t>
        </x:is>
      </x:c>
      <x:c r="H288" s="3" t="inlineStr">
        <x:is>
          <x:t xml:space="preserve">Legal Exposure</x:t>
        </x:is>
      </x:c>
      <x:c r="I288" s="3" t="inlineStr">
        <x:is>
          <x:t xml:space="preserve">Add plain-language offboarding comms</x:t>
        </x:is>
      </x:c>
      <x:c r="J288" s="3" t="inlineStr">
        <x:is>
          <x:t xml:space="preserve">N</x:t>
        </x:is>
      </x:c>
      <x:c r="K288" s="3" t="inlineStr">
        <x:is>
          <x:t xml:space="preserve"/>
        </x:is>
      </x:c>
    </x:row>
    <x:row r="289">
      <x:c r="A289" s="3" t="inlineStr">
        <x:is>
          <x:t xml:space="preserve">HR</x:t>
        </x:is>
      </x:c>
      <x:c r="B289" s="3" t="inlineStr">
        <x:is>
          <x:t xml:space="preserve">HR-D4-Q16</x:t>
        </x:is>
      </x:c>
      <x:c r="C289" s="3" t="inlineStr">
        <x:is>
          <x:t xml:space="preserve">HR-D4-Q16-A2</x:t>
        </x:is>
      </x:c>
      <x:c r="D289" s="3" t="n">
        <x:v>2</x:v>
      </x:c>
      <x:c r="E289" s="3" t="inlineStr">
        <x:is>
          <x:t xml:space="preserve">Buried in contracts/policies; no explicit conversation.</x:t>
        </x:is>
      </x:c>
      <x:c r="F289" s="3" t="n">
        <x:v>1</x:v>
      </x:c>
      <x:c r="G289" s="3" t="inlineStr">
        <x:is>
          <x:t xml:space="preserve">paper_dragon_signal</x:t>
        </x:is>
      </x:c>
      <x:c r="H289" s="3" t="inlineStr">
        <x:is>
          <x:t xml:space="preserve">Paper Dragon</x:t>
        </x:is>
      </x:c>
      <x:c r="I289" s="3" t="inlineStr">
        <x:is>
          <x:t xml:space="preserve">Improve clarity and acknowledgment</x:t>
        </x:is>
      </x:c>
      <x:c r="J289" s="3" t="inlineStr">
        <x:is>
          <x:t xml:space="preserve">N</x:t>
        </x:is>
      </x:c>
      <x:c r="K289" s="3" t="inlineStr">
        <x:is>
          <x:t xml:space="preserve">Evidence: clause reference.</x:t>
        </x:is>
      </x:c>
    </x:row>
    <x:row r="290">
      <x:c r="A290" s="3" t="inlineStr">
        <x:is>
          <x:t xml:space="preserve">HR</x:t>
        </x:is>
      </x:c>
      <x:c r="B290" s="3" t="inlineStr">
        <x:is>
          <x:t xml:space="preserve">HR-D4-Q16</x:t>
        </x:is>
      </x:c>
      <x:c r="C290" s="3" t="inlineStr">
        <x:is>
          <x:t xml:space="preserve">HR-D4-Q16-A3</x:t>
        </x:is>
      </x:c>
      <x:c r="D290" s="3" t="n">
        <x:v>3</x:v>
      </x:c>
      <x:c r="E290" s="3" t="inlineStr">
        <x:is>
          <x:t xml:space="preserve">Exit reminder exists but not consistently documented.</x:t>
        </x:is>
      </x:c>
      <x:c r="F290" s="3" t="n">
        <x:v>2</x:v>
      </x:c>
      <x:c r="G290" s="3" t="inlineStr">
        <x:is>
          <x:t xml:space="preserve"/>
        </x:is>
      </x:c>
      <x:c r="H290" s="3" t="inlineStr">
        <x:is>
          <x:t xml:space="preserve">Legal Exposure</x:t>
        </x:is>
      </x:c>
      <x:c r="I290" s="3" t="inlineStr">
        <x:is>
          <x:t xml:space="preserve">Standardize exit acknowledgment</x:t>
        </x:is>
      </x:c>
      <x:c r="J290" s="3" t="inlineStr">
        <x:is>
          <x:t xml:space="preserve">N</x:t>
        </x:is>
      </x:c>
      <x:c r="K290" s="3" t="inlineStr">
        <x:is>
          <x:t xml:space="preserve"/>
        </x:is>
      </x:c>
    </x:row>
    <x:row r="291">
      <x:c r="A291" s="3" t="inlineStr">
        <x:is>
          <x:t xml:space="preserve">HR</x:t>
        </x:is>
      </x:c>
      <x:c r="B291" s="3" t="inlineStr">
        <x:is>
          <x:t xml:space="preserve">HR-D4-Q16</x:t>
        </x:is>
      </x:c>
      <x:c r="C291" s="3" t="inlineStr">
        <x:is>
          <x:t xml:space="preserve">HR-D4-Q16-A4</x:t>
        </x:is>
      </x:c>
      <x:c r="D291" s="3" t="n">
        <x:v>4</x:v>
      </x:c>
      <x:c r="E291" s="3" t="inlineStr">
        <x:is>
          <x:t xml:space="preserve">Exit checklist with acknowledgement and asset/data return steps.</x:t>
        </x:is>
      </x:c>
      <x:c r="F291" s="3" t="n">
        <x:v>3</x:v>
      </x:c>
      <x:c r="G291" s="3" t="inlineStr">
        <x:is>
          <x:t xml:space="preserve"/>
        </x:is>
      </x:c>
      <x:c r="H291" s="3" t="inlineStr">
        <x:is>
          <x:t xml:space="preserve">Legal Exposure</x:t>
        </x:is>
      </x:c>
      <x:c r="I291" s="3" t="inlineStr">
        <x:is>
          <x:t xml:space="preserve">Maintain adherence</x:t>
        </x:is>
      </x:c>
      <x:c r="J291" s="3" t="inlineStr">
        <x:is>
          <x:t xml:space="preserve">N</x:t>
        </x:is>
      </x:c>
      <x:c r="K291" s="3" t="inlineStr">
        <x:is>
          <x:t xml:space="preserve">Evidence: checklist template.</x:t>
        </x:is>
      </x:c>
    </x:row>
    <x:row r="292">
      <x:c r="A292" s="3" t="inlineStr">
        <x:is>
          <x:t xml:space="preserve">HR</x:t>
        </x:is>
      </x:c>
      <x:c r="B292" s="3" t="inlineStr">
        <x:is>
          <x:t xml:space="preserve">HR-D4-Q16</x:t>
        </x:is>
      </x:c>
      <x:c r="C292" s="3" t="inlineStr">
        <x:is>
          <x:t xml:space="preserve">HR-D4-Q16-A5</x:t>
        </x:is>
      </x:c>
      <x:c r="D292" s="3" t="n">
        <x:v>5</x:v>
      </x:c>
      <x:c r="E292" s="3" t="inlineStr">
        <x:is>
          <x:t xml:space="preserve">Optimized: tailored reminders for high-risk roles + verified return/handover.</x:t>
        </x:is>
      </x:c>
      <x:c r="F292" s="3" t="n">
        <x:v>4</x:v>
      </x:c>
      <x:c r="G292" s="3" t="inlineStr">
        <x:is>
          <x:t xml:space="preserve"/>
        </x:is>
      </x:c>
      <x:c r="H292" s="3" t="inlineStr">
        <x:is>
          <x:t xml:space="preserve">Legal Exposure</x:t>
        </x:is>
      </x:c>
      <x:c r="I292" s="3" t="inlineStr">
        <x:is>
          <x:t xml:space="preserve">Maintain maturity</x:t>
        </x:is>
      </x:c>
      <x:c r="J292" s="3" t="inlineStr">
        <x:is>
          <x:t xml:space="preserve">N</x:t>
        </x:is>
      </x:c>
      <x:c r="K292" s="3" t="inlineStr">
        <x:is>
          <x:t xml:space="preserve">Evidence: role-based checklist.</x:t>
        </x:is>
      </x:c>
    </x:row>
    <x:row r="293">
      <x:c r="A293" s="3" t="inlineStr">
        <x:is>
          <x:t xml:space="preserve">HR</x:t>
        </x:is>
      </x:c>
      <x:c r="B293" s="3" t="inlineStr">
        <x:is>
          <x:t xml:space="preserve">HR-D5-Q17</x:t>
        </x:is>
      </x:c>
      <x:c r="C293" s="3" t="inlineStr">
        <x:is>
          <x:t xml:space="preserve">HR-D5-Q17-A0</x:t>
        </x:is>
      </x:c>
      <x:c r="D293" s="3" t="n">
        <x:v>1</x:v>
      </x:c>
      <x:c r="E293" s="3" t="inlineStr">
        <x:is>
          <x:t xml:space="preserve">I don't know / Not sure.</x:t>
        </x:is>
      </x:c>
      <x:c r="F293" s="3" t="n">
        <x:v>0</x:v>
      </x:c>
      <x:c r="G293" s="3" t="inlineStr">
        <x:is>
          <x:t xml:space="preserve">low-confidence</x:t>
        </x:is>
      </x:c>
      <x:c r="H293" s="3" t="inlineStr">
        <x:is>
          <x:t xml:space="preserve">Bypass Pressure</x:t>
        </x:is>
      </x:c>
      <x:c r="I293" s="3" t="inlineStr">
        <x:is>
          <x:t xml:space="preserve">Clarify bypass signals</x:t>
        </x:is>
      </x:c>
      <x:c r="J293" s="3" t="inlineStr">
        <x:is>
          <x:t xml:space="preserve">N</x:t>
        </x:is>
      </x:c>
      <x:c r="K293" s="3" t="inlineStr">
        <x:is>
          <x:t xml:space="preserve"/>
        </x:is>
      </x:c>
    </x:row>
    <x:row r="294">
      <x:c r="A294" s="3" t="inlineStr">
        <x:is>
          <x:t xml:space="preserve">HR</x:t>
        </x:is>
      </x:c>
      <x:c r="B294" s="3" t="inlineStr">
        <x:is>
          <x:t xml:space="preserve">HR-D5-Q17</x:t>
        </x:is>
      </x:c>
      <x:c r="C294" s="3" t="inlineStr">
        <x:is>
          <x:t xml:space="preserve">HR-D5-Q17-A1</x:t>
        </x:is>
      </x:c>
      <x:c r="D294" s="3" t="n">
        <x:v>2</x:v>
      </x:c>
      <x:c r="E294" s="3" t="inlineStr">
        <x:is>
          <x:t xml:space="preserve">No process: workarounds happen and are 'normal'.</x:t>
        </x:is>
      </x:c>
      <x:c r="F294" s="3" t="n">
        <x:v>0</x:v>
      </x:c>
      <x:c r="G294" s="3" t="inlineStr">
        <x:is>
          <x:t xml:space="preserve">bypass_pressure</x:t>
        </x:is>
      </x:c>
      <x:c r="H294" s="3" t="inlineStr">
        <x:is>
          <x:t xml:space="preserve">Bypass Pressure</x:t>
        </x:is>
      </x:c>
      <x:c r="I294" s="3" t="inlineStr">
        <x:is>
          <x:t xml:space="preserve">Implement friction intake</x:t>
        </x:is>
      </x:c>
      <x:c r="J294" s="3" t="inlineStr">
        <x:is>
          <x:t xml:space="preserve">N</x:t>
        </x:is>
      </x:c>
      <x:c r="K294" s="3" t="inlineStr">
        <x:is>
          <x:t xml:space="preserve"/>
        </x:is>
      </x:c>
    </x:row>
    <x:row r="295">
      <x:c r="A295" s="3" t="inlineStr">
        <x:is>
          <x:t xml:space="preserve">HR</x:t>
        </x:is>
      </x:c>
      <x:c r="B295" s="3" t="inlineStr">
        <x:is>
          <x:t xml:space="preserve">HR-D5-Q17</x:t>
        </x:is>
      </x:c>
      <x:c r="C295" s="3" t="inlineStr">
        <x:is>
          <x:t xml:space="preserve">HR-D5-Q17-A2</x:t>
        </x:is>
      </x:c>
      <x:c r="D295" s="3" t="n">
        <x:v>3</x:v>
      </x:c>
      <x:c r="E295" s="3" t="inlineStr">
        <x:is>
          <x:t xml:space="preserve">Ad-hoc: complaints handled case-by-case; root causes rarely fixed.</x:t>
        </x:is>
      </x:c>
      <x:c r="F295" s="3" t="n">
        <x:v>1</x:v>
      </x:c>
      <x:c r="G295" s="3" t="inlineStr">
        <x:is>
          <x:t xml:space="preserve">shadow_mature_signal</x:t>
        </x:is>
      </x:c>
      <x:c r="H295" s="3" t="inlineStr">
        <x:is>
          <x:t xml:space="preserve">Bypass Pressure</x:t>
        </x:is>
      </x:c>
      <x:c r="I295" s="3" t="inlineStr">
        <x:is>
          <x:t xml:space="preserve">Create backlog and owners</x:t>
        </x:is>
      </x:c>
      <x:c r="J295" s="3" t="inlineStr">
        <x:is>
          <x:t xml:space="preserve">N</x:t>
        </x:is>
      </x:c>
      <x:c r="K295" s="3" t="inlineStr">
        <x:is>
          <x:t xml:space="preserve"/>
        </x:is>
      </x:c>
    </x:row>
    <x:row r="296">
      <x:c r="A296" s="3" t="inlineStr">
        <x:is>
          <x:t xml:space="preserve">HR</x:t>
        </x:is>
      </x:c>
      <x:c r="B296" s="3" t="inlineStr">
        <x:is>
          <x:t xml:space="preserve">HR-D5-Q17</x:t>
        </x:is>
      </x:c>
      <x:c r="C296" s="3" t="inlineStr">
        <x:is>
          <x:t xml:space="preserve">HR-D5-Q17-A3</x:t>
        </x:is>
      </x:c>
      <x:c r="D296" s="3" t="n">
        <x:v>4</x:v>
      </x:c>
      <x:c r="E296" s="3" t="inlineStr">
        <x:is>
          <x:t xml:space="preserve">Defined: a channel exists; some fixes prioritised.</x:t>
        </x:is>
      </x:c>
      <x:c r="F296" s="3" t="n">
        <x:v>2</x:v>
      </x:c>
      <x:c r="G296" s="3" t="inlineStr">
        <x:is>
          <x:t xml:space="preserve"/>
        </x:is>
      </x:c>
      <x:c r="H296" s="3" t="inlineStr">
        <x:is>
          <x:t xml:space="preserve">Bypass Pressure</x:t>
        </x:is>
      </x:c>
      <x:c r="I296" s="3" t="inlineStr">
        <x:is>
          <x:t xml:space="preserve">Strengthen prioritisation</x:t>
        </x:is>
      </x:c>
      <x:c r="J296" s="3" t="inlineStr">
        <x:is>
          <x:t xml:space="preserve">N</x:t>
        </x:is>
      </x:c>
      <x:c r="K296" s="3" t="inlineStr">
        <x:is>
          <x:t xml:space="preserve">Evidence: tickets/backlog.</x:t>
        </x:is>
      </x:c>
    </x:row>
    <x:row r="297">
      <x:c r="A297" s="3" t="inlineStr">
        <x:is>
          <x:t xml:space="preserve">HR</x:t>
        </x:is>
      </x:c>
      <x:c r="B297" s="3" t="inlineStr">
        <x:is>
          <x:t xml:space="preserve">HR-D5-Q17</x:t>
        </x:is>
      </x:c>
      <x:c r="C297" s="3" t="inlineStr">
        <x:is>
          <x:t xml:space="preserve">HR-D5-Q17-A4</x:t>
        </x:is>
      </x:c>
      <x:c r="D297" s="3" t="n">
        <x:v>5</x:v>
      </x:c>
      <x:c r="E297" s="3" t="inlineStr">
        <x:is>
          <x:t xml:space="preserve">Managed: friction metrics tracked; fixes reduce repeated workarounds.</x:t>
        </x:is>
      </x:c>
      <x:c r="F297" s="3" t="n">
        <x:v>3</x:v>
      </x:c>
      <x:c r="G297" s="3" t="inlineStr">
        <x:is>
          <x:t xml:space="preserve"/>
        </x:is>
      </x:c>
      <x:c r="H297" s="3" t="inlineStr">
        <x:is>
          <x:t xml:space="preserve">Bypass Pressure</x:t>
        </x:is>
      </x:c>
      <x:c r="I297" s="3" t="inlineStr">
        <x:is>
          <x:t xml:space="preserve">Maintain metrics</x:t>
        </x:is>
      </x:c>
      <x:c r="J297" s="3" t="inlineStr">
        <x:is>
          <x:t xml:space="preserve">N</x:t>
        </x:is>
      </x:c>
      <x:c r="K297" s="3" t="inlineStr">
        <x:is>
          <x:t xml:space="preserve">Evidence: before/after examples.</x:t>
        </x:is>
      </x:c>
    </x:row>
    <x:row r="298">
      <x:c r="A298" s="3" t="inlineStr">
        <x:is>
          <x:t xml:space="preserve">HR</x:t>
        </x:is>
      </x:c>
      <x:c r="B298" s="3" t="inlineStr">
        <x:is>
          <x:t xml:space="preserve">HR-D5-Q17</x:t>
        </x:is>
      </x:c>
      <x:c r="C298" s="3" t="inlineStr">
        <x:is>
          <x:t xml:space="preserve">HR-D5-Q17-A5</x:t>
        </x:is>
      </x:c>
      <x:c r="D298" s="3" t="n">
        <x:v>6</x:v>
      </x:c>
      <x:c r="E298" s="3" t="inlineStr">
        <x:is>
          <x:t xml:space="preserve">Optimized: low bypass pressure; usability designed in; exceptions rare/time-bound.</x:t>
        </x:is>
      </x:c>
      <x:c r="F298" s="3" t="n">
        <x:v>4</x:v>
      </x:c>
      <x:c r="G298" s="3" t="inlineStr">
        <x:is>
          <x:t xml:space="preserve"/>
        </x:is>
      </x:c>
      <x:c r="H298" s="3" t="inlineStr">
        <x:is>
          <x:t xml:space="preserve">Bypass Pressure</x:t>
        </x:is>
      </x:c>
      <x:c r="I298" s="3" t="inlineStr">
        <x:is>
          <x:t xml:space="preserve">Maintain maturity</x:t>
        </x:is>
      </x:c>
      <x:c r="J298" s="3" t="inlineStr">
        <x:is>
          <x:t xml:space="preserve">N</x:t>
        </x:is>
      </x:c>
      <x:c r="K298" s="3" t="inlineStr">
        <x:is>
          <x:t xml:space="preserve">Evidence: exception rates.</x:t>
        </x:is>
      </x:c>
    </x:row>
    <x:row r="299">
      <x:c r="A299" s="3" t="inlineStr">
        <x:is>
          <x:t xml:space="preserve">HR</x:t>
        </x:is>
      </x:c>
      <x:c r="B299" s="3" t="inlineStr">
        <x:is>
          <x:t xml:space="preserve">HR-D5-Q18</x:t>
        </x:is>
      </x:c>
      <x:c r="C299" s="3" t="inlineStr">
        <x:is>
          <x:t xml:space="preserve">HR-D5-Q18-A1</x:t>
        </x:is>
      </x:c>
      <x:c r="D299" s="3" t="n">
        <x:v>1</x:v>
      </x:c>
      <x:c r="E299" s="3" t="inlineStr">
        <x:is>
          <x:t xml:space="preserve">No: bypass discovered only after incidents/audits.</x:t>
        </x:is>
      </x:c>
      <x:c r="F299" s="3" t="n">
        <x:v>0</x:v>
      </x:c>
      <x:c r="G299" s="3" t="inlineStr">
        <x:is>
          <x:t xml:space="preserve">bypass_pressure,paper_dragon_signal</x:t>
        </x:is>
      </x:c>
      <x:c r="H299" s="3" t="inlineStr">
        <x:is>
          <x:t xml:space="preserve">Bypass Pressure</x:t>
        </x:is>
      </x:c>
      <x:c r="I299" s="3" t="inlineStr">
        <x:is>
          <x:t xml:space="preserve">Create feedback loop</x:t>
        </x:is>
      </x:c>
      <x:c r="J299" s="3" t="inlineStr">
        <x:is>
          <x:t xml:space="preserve">N</x:t>
        </x:is>
      </x:c>
      <x:c r="K299" s="3" t="inlineStr">
        <x:is>
          <x:t xml:space="preserve"/>
        </x:is>
      </x:c>
    </x:row>
    <x:row r="300">
      <x:c r="A300" s="3" t="inlineStr">
        <x:is>
          <x:t xml:space="preserve">HR</x:t>
        </x:is>
      </x:c>
      <x:c r="B300" s="3" t="inlineStr">
        <x:is>
          <x:t xml:space="preserve">HR-D5-Q18</x:t>
        </x:is>
      </x:c>
      <x:c r="C300" s="3" t="inlineStr">
        <x:is>
          <x:t xml:space="preserve">HR-D5-Q18-A2</x:t>
        </x:is>
      </x:c>
      <x:c r="D300" s="3" t="n">
        <x:v>2</x:v>
      </x:c>
      <x:c r="E300" s="3" t="inlineStr">
        <x:is>
          <x:t xml:space="preserve">Sometimes: managers/HR hear about it; actions vary.</x:t>
        </x:is>
      </x:c>
      <x:c r="F300" s="3" t="n">
        <x:v>1</x:v>
      </x:c>
      <x:c r="G300" s="3" t="inlineStr">
        <x:is>
          <x:t xml:space="preserve">key_person_dependency</x:t>
        </x:is>
      </x:c>
      <x:c r="H300" s="3" t="inlineStr">
        <x:is>
          <x:t xml:space="preserve">Bypass Pressure</x:t>
        </x:is>
      </x:c>
      <x:c r="I300" s="3" t="inlineStr">
        <x:is>
          <x:t xml:space="preserve">Define triage and fixes</x:t>
        </x:is>
      </x:c>
      <x:c r="J300" s="3" t="inlineStr">
        <x:is>
          <x:t xml:space="preserve">N</x:t>
        </x:is>
      </x:c>
      <x:c r="K300" s="3" t="inlineStr">
        <x:is>
          <x:t xml:space="preserve"/>
        </x:is>
      </x:c>
    </x:row>
    <x:row r="301">
      <x:c r="A301" s="3" t="inlineStr">
        <x:is>
          <x:t xml:space="preserve">HR</x:t>
        </x:is>
      </x:c>
      <x:c r="B301" s="3" t="inlineStr">
        <x:is>
          <x:t xml:space="preserve">HR-D5-Q18</x:t>
        </x:is>
      </x:c>
      <x:c r="C301" s="3" t="inlineStr">
        <x:is>
          <x:t xml:space="preserve">HR-D5-Q18-A3</x:t>
        </x:is>
      </x:c>
      <x:c r="D301" s="3" t="n">
        <x:v>3</x:v>
      </x:c>
      <x:c r="E301" s="3" t="inlineStr">
        <x:is>
          <x:t xml:space="preserve">Usually: signals collected and discussed; some fixes implemented.</x:t>
        </x:is>
      </x:c>
      <x:c r="F301" s="3" t="n">
        <x:v>2</x:v>
      </x:c>
      <x:c r="G301" s="3" t="inlineStr">
        <x:is>
          <x:t xml:space="preserve"/>
        </x:is>
      </x:c>
      <x:c r="H301" s="3" t="inlineStr">
        <x:is>
          <x:t xml:space="preserve">Bypass Pressure</x:t>
        </x:is>
      </x:c>
      <x:c r="I301" s="3" t="inlineStr">
        <x:is>
          <x:t xml:space="preserve">Formalize backlog</x:t>
        </x:is>
      </x:c>
      <x:c r="J301" s="3" t="inlineStr">
        <x:is>
          <x:t xml:space="preserve">N</x:t>
        </x:is>
      </x:c>
      <x:c r="K301" s="3" t="inlineStr">
        <x:is>
          <x:t xml:space="preserve"/>
        </x:is>
      </x:c>
    </x:row>
    <x:row r="302">
      <x:c r="A302" s="3" t="inlineStr">
        <x:is>
          <x:t xml:space="preserve">HR</x:t>
        </x:is>
      </x:c>
      <x:c r="B302" s="3" t="inlineStr">
        <x:is>
          <x:t xml:space="preserve">HR-D5-Q18</x:t>
        </x:is>
      </x:c>
      <x:c r="C302" s="3" t="inlineStr">
        <x:is>
          <x:t xml:space="preserve">HR-D5-Q18-A4</x:t>
        </x:is>
      </x:c>
      <x:c r="D302" s="3" t="n">
        <x:v>4</x:v>
      </x:c>
      <x:c r="E302" s="3" t="inlineStr">
        <x:is>
          <x:t xml:space="preserve">Yes: consistent intake, root-cause analysis, and prioritised remediation.</x:t>
        </x:is>
      </x:c>
      <x:c r="F302" s="3" t="n">
        <x:v>3</x:v>
      </x:c>
      <x:c r="G302" s="3" t="inlineStr">
        <x:is>
          <x:t xml:space="preserve"/>
        </x:is>
      </x:c>
      <x:c r="H302" s="3" t="inlineStr">
        <x:is>
          <x:t xml:space="preserve">Bypass Pressure</x:t>
        </x:is>
      </x:c>
      <x:c r="I302" s="3" t="inlineStr">
        <x:is>
          <x:t xml:space="preserve">Maintain and measure</x:t>
        </x:is>
      </x:c>
      <x:c r="J302" s="3" t="inlineStr">
        <x:is>
          <x:t xml:space="preserve">N</x:t>
        </x:is>
      </x:c>
      <x:c r="K302" s="3" t="inlineStr">
        <x:is>
          <x:t xml:space="preserve">Evidence: RCA examples.</x:t>
        </x:is>
      </x:c>
    </x:row>
    <x:row r="303">
      <x:c r="A303" s="3" t="inlineStr">
        <x:is>
          <x:t xml:space="preserve">HR</x:t>
        </x:is>
      </x:c>
      <x:c r="B303" s="3" t="inlineStr">
        <x:is>
          <x:t xml:space="preserve">HR-D5-Q19</x:t>
        </x:is>
      </x:c>
      <x:c r="C303" s="3" t="inlineStr">
        <x:is>
          <x:t xml:space="preserve">HR-D5-Q19-A1</x:t>
        </x:is>
      </x:c>
      <x:c r="D303" s="3" t="n">
        <x:v>1</x:v>
      </x:c>
      <x:c r="E303" s="3" t="inlineStr">
        <x:is>
          <x:t xml:space="preserve">No: exceptions are informal and not tracked.</x:t>
        </x:is>
      </x:c>
      <x:c r="F303" s="3" t="n">
        <x:v>0</x:v>
      </x:c>
      <x:c r="G303" s="3" t="inlineStr">
        <x:is>
          <x:t xml:space="preserve">bypass_pressure</x:t>
        </x:is>
      </x:c>
      <x:c r="H303" s="3" t="inlineStr">
        <x:is>
          <x:t xml:space="preserve">Bypass Pressure</x:t>
        </x:is>
      </x:c>
      <x:c r="I303" s="3" t="inlineStr">
        <x:is>
          <x:t xml:space="preserve">Introduce exception register</x:t>
        </x:is>
      </x:c>
      <x:c r="J303" s="3" t="inlineStr">
        <x:is>
          <x:t xml:space="preserve">N</x:t>
        </x:is>
      </x:c>
      <x:c r="K303" s="3" t="inlineStr">
        <x:is>
          <x:t xml:space="preserve"/>
        </x:is>
      </x:c>
    </x:row>
    <x:row r="304">
      <x:c r="A304" s="3" t="inlineStr">
        <x:is>
          <x:t xml:space="preserve">HR</x:t>
        </x:is>
      </x:c>
      <x:c r="B304" s="3" t="inlineStr">
        <x:is>
          <x:t xml:space="preserve">HR-D5-Q19</x:t>
        </x:is>
      </x:c>
      <x:c r="C304" s="3" t="inlineStr">
        <x:is>
          <x:t xml:space="preserve">HR-D5-Q19-A2</x:t>
        </x:is>
      </x:c>
      <x:c r="D304" s="3" t="n">
        <x:v>2</x:v>
      </x:c>
      <x:c r="E304" s="3" t="inlineStr">
        <x:is>
          <x:t xml:space="preserve">Some tracking, but no expiry/review; exceptions accumulate.</x:t>
        </x:is>
      </x:c>
      <x:c r="F304" s="3" t="n">
        <x:v>1</x:v>
      </x:c>
      <x:c r="G304" s="3" t="inlineStr">
        <x:is>
          <x:t xml:space="preserve">paper_dragon_signal</x:t>
        </x:is>
      </x:c>
      <x:c r="H304" s="3" t="inlineStr">
        <x:is>
          <x:t xml:space="preserve">Paper Dragon</x:t>
        </x:is>
      </x:c>
      <x:c r="I304" s="3" t="inlineStr">
        <x:is>
          <x:t xml:space="preserve">Add expiry and review cadence</x:t>
        </x:is>
      </x:c>
      <x:c r="J304" s="3" t="inlineStr">
        <x:is>
          <x:t xml:space="preserve">N</x:t>
        </x:is>
      </x:c>
      <x:c r="K304" s="3" t="inlineStr">
        <x:is>
          <x:t xml:space="preserve"/>
        </x:is>
      </x:c>
    </x:row>
    <x:row r="305">
      <x:c r="A305" s="3" t="inlineStr">
        <x:is>
          <x:t xml:space="preserve">HR</x:t>
        </x:is>
      </x:c>
      <x:c r="B305" s="3" t="inlineStr">
        <x:is>
          <x:t xml:space="preserve">HR-D5-Q19</x:t>
        </x:is>
      </x:c>
      <x:c r="C305" s="3" t="inlineStr">
        <x:is>
          <x:t xml:space="preserve">HR-D5-Q19-A3</x:t>
        </x:is>
      </x:c>
      <x:c r="D305" s="3" t="n">
        <x:v>3</x:v>
      </x:c>
      <x:c r="E305" s="3" t="inlineStr">
        <x:is>
          <x:t xml:space="preserve">Register exists; most exceptions have owners/expiry, but reviews inconsistent.</x:t>
        </x:is>
      </x:c>
      <x:c r="F305" s="3" t="n">
        <x:v>2</x:v>
      </x:c>
      <x:c r="G305" s="3" t="inlineStr">
        <x:is>
          <x:t xml:space="preserve"/>
        </x:is>
      </x:c>
      <x:c r="H305" s="3" t="inlineStr">
        <x:is>
          <x:t xml:space="preserve">Bypass Pressure</x:t>
        </x:is>
      </x:c>
      <x:c r="I305" s="3" t="inlineStr">
        <x:is>
          <x:t xml:space="preserve">Improve governance cadence</x:t>
        </x:is>
      </x:c>
      <x:c r="J305" s="3" t="inlineStr">
        <x:is>
          <x:t xml:space="preserve">N</x:t>
        </x:is>
      </x:c>
      <x:c r="K305" s="3" t="inlineStr">
        <x:is>
          <x:t xml:space="preserve">Evidence: register sample.</x:t>
        </x:is>
      </x:c>
    </x:row>
    <x:row r="306">
      <x:c r="A306" s="3" t="inlineStr">
        <x:is>
          <x:t xml:space="preserve">HR</x:t>
        </x:is>
      </x:c>
      <x:c r="B306" s="3" t="inlineStr">
        <x:is>
          <x:t xml:space="preserve">HR-D5-Q19</x:t>
        </x:is>
      </x:c>
      <x:c r="C306" s="3" t="inlineStr">
        <x:is>
          <x:t xml:space="preserve">HR-D5-Q19-A4</x:t>
        </x:is>
      </x:c>
      <x:c r="D306" s="3" t="n">
        <x:v>4</x:v>
      </x:c>
      <x:c r="E306" s="3" t="inlineStr">
        <x:is>
          <x:t xml:space="preserve">Tracked + reviewed; exceptions reduced over time.</x:t>
        </x:is>
      </x:c>
      <x:c r="F306" s="3" t="n">
        <x:v>3</x:v>
      </x:c>
      <x:c r="G306" s="3" t="inlineStr">
        <x:is>
          <x:t xml:space="preserve"/>
        </x:is>
      </x:c>
      <x:c r="H306" s="3" t="inlineStr">
        <x:is>
          <x:t xml:space="preserve">Bypass Pressure</x:t>
        </x:is>
      </x:c>
      <x:c r="I306" s="3" t="inlineStr">
        <x:is>
          <x:t xml:space="preserve">Maintain governance</x:t>
        </x:is>
      </x:c>
      <x:c r="J306" s="3" t="inlineStr">
        <x:is>
          <x:t xml:space="preserve">N</x:t>
        </x:is>
      </x:c>
      <x:c r="K306" s="3" t="inlineStr">
        <x:is>
          <x:t xml:space="preserve">Evidence: trend metrics.</x:t>
        </x:is>
      </x:c>
    </x:row>
    <x:row r="307">
      <x:c r="A307" s="3" t="inlineStr">
        <x:is>
          <x:t xml:space="preserve">HR</x:t>
        </x:is>
      </x:c>
      <x:c r="B307" s="3" t="inlineStr">
        <x:is>
          <x:t xml:space="preserve">HR-D5-Q19</x:t>
        </x:is>
      </x:c>
      <x:c r="C307" s="3" t="inlineStr">
        <x:is>
          <x:t xml:space="preserve">HR-D5-Q19-A5</x:t>
        </x:is>
      </x:c>
      <x:c r="D307" s="3" t="n">
        <x:v>5</x:v>
      </x:c>
      <x:c r="E307" s="3" t="inlineStr">
        <x:is>
          <x:t xml:space="preserve">Optimized: exceptions rare; systemic fixes remove need for bypass.</x:t>
        </x:is>
      </x:c>
      <x:c r="F307" s="3" t="n">
        <x:v>4</x:v>
      </x:c>
      <x:c r="G307" s="3" t="inlineStr">
        <x:is>
          <x:t xml:space="preserve"/>
        </x:is>
      </x:c>
      <x:c r="H307" s="3" t="inlineStr">
        <x:is>
          <x:t xml:space="preserve">Bypass Pressure</x:t>
        </x:is>
      </x:c>
      <x:c r="I307" s="3" t="inlineStr">
        <x:is>
          <x:t xml:space="preserve">Maintain maturity</x:t>
        </x:is>
      </x:c>
      <x:c r="J307" s="3" t="inlineStr">
        <x:is>
          <x:t xml:space="preserve">N</x:t>
        </x:is>
      </x:c>
      <x:c r="K307" s="3" t="inlineStr">
        <x:is>
          <x:t xml:space="preserve">Evidence: low exception rate.</x:t>
        </x:is>
      </x:c>
    </x:row>
    <x:row r="308">
      <x:c r="A308" s="3" t="inlineStr">
        <x:is>
          <x:t xml:space="preserve">HR</x:t>
        </x:is>
      </x:c>
      <x:c r="B308" s="3" t="inlineStr">
        <x:is>
          <x:t xml:space="preserve">HR-D6-Q20</x:t>
        </x:is>
      </x:c>
      <x:c r="C308" s="3" t="inlineStr">
        <x:is>
          <x:t xml:space="preserve">HR-D6-Q20-A0</x:t>
        </x:is>
      </x:c>
      <x:c r="D308" s="3" t="n">
        <x:v>1</x:v>
      </x:c>
      <x:c r="E308" s="3" t="inlineStr">
        <x:is>
          <x:t xml:space="preserve">I don't know / Not sure.</x:t>
        </x:is>
      </x:c>
      <x:c r="F308" s="3" t="n">
        <x:v>0</x:v>
      </x:c>
      <x:c r="G308" s="3" t="inlineStr">
        <x:is>
          <x:t xml:space="preserve">low-confidence</x:t>
        </x:is>
      </x:c>
      <x:c r="H308" s="3" t="inlineStr">
        <x:is>
          <x:t xml:space="preserve">Control Lag</x:t>
        </x:is>
      </x:c>
      <x:c r="I308" s="3" t="inlineStr">
        <x:is>
          <x:t xml:space="preserve">Clarify change-event process</x:t>
        </x:is>
      </x:c>
      <x:c r="J308" s="3" t="inlineStr">
        <x:is>
          <x:t xml:space="preserve">N</x:t>
        </x:is>
      </x:c>
      <x:c r="K308" s="3" t="inlineStr">
        <x:is>
          <x:t xml:space="preserve"/>
        </x:is>
      </x:c>
    </x:row>
    <x:row r="309">
      <x:c r="A309" s="3" t="inlineStr">
        <x:is>
          <x:t xml:space="preserve">HR</x:t>
        </x:is>
      </x:c>
      <x:c r="B309" s="3" t="inlineStr">
        <x:is>
          <x:t xml:space="preserve">HR-D6-Q20</x:t>
        </x:is>
      </x:c>
      <x:c r="C309" s="3" t="inlineStr">
        <x:is>
          <x:t xml:space="preserve">HR-D6-Q20-A1</x:t>
        </x:is>
      </x:c>
      <x:c r="D309" s="3" t="n">
        <x:v>2</x:v>
      </x:c>
      <x:c r="E309" s="3" t="inlineStr">
        <x:is>
          <x:t xml:space="preserve">Static: controls rarely change; respond after issues appear.</x:t>
        </x:is>
      </x:c>
      <x:c r="F309" s="3" t="n">
        <x:v>0</x:v>
      </x:c>
      <x:c r="G309" s="3" t="inlineStr">
        <x:is>
          <x:t xml:space="preserve">control_lag</x:t>
        </x:is>
      </x:c>
      <x:c r="H309" s="3" t="inlineStr">
        <x:is>
          <x:t xml:space="preserve">Control Lag</x:t>
        </x:is>
      </x:c>
      <x:c r="I309" s="3" t="inlineStr">
        <x:is>
          <x:t xml:space="preserve">Introduce change-event checklist</x:t>
        </x:is>
      </x:c>
      <x:c r="J309" s="3" t="inlineStr">
        <x:is>
          <x:t xml:space="preserve">N</x:t>
        </x:is>
      </x:c>
      <x:c r="K309" s="3" t="inlineStr">
        <x:is>
          <x:t xml:space="preserve"/>
        </x:is>
      </x:c>
    </x:row>
    <x:row r="310">
      <x:c r="A310" s="3" t="inlineStr">
        <x:is>
          <x:t xml:space="preserve">HR</x:t>
        </x:is>
      </x:c>
      <x:c r="B310" s="3" t="inlineStr">
        <x:is>
          <x:t xml:space="preserve">HR-D6-Q20</x:t>
        </x:is>
      </x:c>
      <x:c r="C310" s="3" t="inlineStr">
        <x:is>
          <x:t xml:space="preserve">HR-D6-Q20-A2</x:t>
        </x:is>
      </x:c>
      <x:c r="D310" s="3" t="n">
        <x:v>3</x:v>
      </x:c>
      <x:c r="E310" s="3" t="inlineStr">
        <x:is>
          <x:t xml:space="preserve">Manual: HR informs others, but timing varies; no checklist.</x:t>
        </x:is>
      </x:c>
      <x:c r="F310" s="3" t="n">
        <x:v>1</x:v>
      </x:c>
      <x:c r="G310" s="3" t="inlineStr">
        <x:is>
          <x:t xml:space="preserve">shadow_mature_signal</x:t>
        </x:is>
      </x:c>
      <x:c r="H310" s="3" t="inlineStr">
        <x:is>
          <x:t xml:space="preserve">Control Lag</x:t>
        </x:is>
      </x:c>
      <x:c r="I310" s="3" t="inlineStr">
        <x:is>
          <x:t xml:space="preserve">Standardize and measure lag</x:t>
        </x:is>
      </x:c>
      <x:c r="J310" s="3" t="inlineStr">
        <x:is>
          <x:t xml:space="preserve">N</x:t>
        </x:is>
      </x:c>
      <x:c r="K310" s="3" t="inlineStr">
        <x:is>
          <x:t xml:space="preserve"/>
        </x:is>
      </x:c>
    </x:row>
    <x:row r="311">
      <x:c r="A311" s="3" t="inlineStr">
        <x:is>
          <x:t xml:space="preserve">HR</x:t>
        </x:is>
      </x:c>
      <x:c r="B311" s="3" t="inlineStr">
        <x:is>
          <x:t xml:space="preserve">HR-D6-Q20</x:t>
        </x:is>
      </x:c>
      <x:c r="C311" s="3" t="inlineStr">
        <x:is>
          <x:t xml:space="preserve">HR-D6-Q20-A3</x:t>
        </x:is>
      </x:c>
      <x:c r="D311" s="3" t="n">
        <x:v>4</x:v>
      </x:c>
      <x:c r="E311" s="3" t="inlineStr">
        <x:is>
          <x:t xml:space="preserve">Defined: process exists; critical updates happen within weeks.</x:t>
        </x:is>
      </x:c>
      <x:c r="F311" s="3" t="n">
        <x:v>2</x:v>
      </x:c>
      <x:c r="G311" s="3" t="inlineStr">
        <x:is>
          <x:t xml:space="preserve"/>
        </x:is>
      </x:c>
      <x:c r="H311" s="3" t="inlineStr">
        <x:is>
          <x:t xml:space="preserve">Control Lag</x:t>
        </x:is>
      </x:c>
      <x:c r="I311" s="3" t="inlineStr">
        <x:is>
          <x:t xml:space="preserve">Reduce lag for critical roles</x:t>
        </x:is>
      </x:c>
      <x:c r="J311" s="3" t="inlineStr">
        <x:is>
          <x:t xml:space="preserve">N</x:t>
        </x:is>
      </x:c>
      <x:c r="K311" s="3" t="inlineStr">
        <x:is>
          <x:t xml:space="preserve">Evidence: checklist/comms.</x:t>
        </x:is>
      </x:c>
    </x:row>
    <x:row r="312">
      <x:c r="A312" s="3" t="inlineStr">
        <x:is>
          <x:t xml:space="preserve">HR</x:t>
        </x:is>
      </x:c>
      <x:c r="B312" s="3" t="inlineStr">
        <x:is>
          <x:t xml:space="preserve">HR-D6-Q20</x:t>
        </x:is>
      </x:c>
      <x:c r="C312" s="3" t="inlineStr">
        <x:is>
          <x:t xml:space="preserve">HR-D6-Q20-A4</x:t>
        </x:is>
      </x:c>
      <x:c r="D312" s="3" t="n">
        <x:v>5</x:v>
      </x:c>
      <x:c r="E312" s="3" t="inlineStr">
        <x:is>
          <x:t xml:space="preserve">Managed: critical updates happen within days; responsibilities clear.</x:t>
        </x:is>
      </x:c>
      <x:c r="F312" s="3" t="n">
        <x:v>3</x:v>
      </x:c>
      <x:c r="G312" s="3" t="inlineStr">
        <x:is>
          <x:t xml:space="preserve"/>
        </x:is>
      </x:c>
      <x:c r="H312" s="3" t="inlineStr">
        <x:is>
          <x:t xml:space="preserve">Control Lag</x:t>
        </x:is>
      </x:c>
      <x:c r="I312" s="3" t="inlineStr">
        <x:is>
          <x:t xml:space="preserve">Maintain and test</x:t>
        </x:is>
      </x:c>
      <x:c r="J312" s="3" t="inlineStr">
        <x:is>
          <x:t xml:space="preserve">N</x:t>
        </x:is>
      </x:c>
      <x:c r="K312" s="3" t="inlineStr">
        <x:is>
          <x:t xml:space="preserve">Evidence: timelines from recent event.</x:t>
        </x:is>
      </x:c>
    </x:row>
    <x:row r="313">
      <x:c r="A313" s="3" t="inlineStr">
        <x:is>
          <x:t xml:space="preserve">HR</x:t>
        </x:is>
      </x:c>
      <x:c r="B313" s="3" t="inlineStr">
        <x:is>
          <x:t xml:space="preserve">HR-D6-Q20</x:t>
        </x:is>
      </x:c>
      <x:c r="C313" s="3" t="inlineStr">
        <x:is>
          <x:t xml:space="preserve">HR-D6-Q20-A5</x:t>
        </x:is>
      </x:c>
      <x:c r="D313" s="3" t="n">
        <x:v>6</x:v>
      </x:c>
      <x:c r="E313" s="3" t="inlineStr">
        <x:is>
          <x:t xml:space="preserve">Optimized: triggers and measurable lag; lessons learned applied each event.</x:t>
        </x:is>
      </x:c>
      <x:c r="F313" s="3" t="n">
        <x:v>4</x:v>
      </x:c>
      <x:c r="G313" s="3" t="inlineStr">
        <x:is>
          <x:t xml:space="preserve"/>
        </x:is>
      </x:c>
      <x:c r="H313" s="3" t="inlineStr">
        <x:is>
          <x:t xml:space="preserve">Control Lag</x:t>
        </x:is>
      </x:c>
      <x:c r="I313" s="3" t="inlineStr">
        <x:is>
          <x:t xml:space="preserve">Continuous improvement</x:t>
        </x:is>
      </x:c>
      <x:c r="J313" s="3" t="inlineStr">
        <x:is>
          <x:t xml:space="preserve">N</x:t>
        </x:is>
      </x:c>
      <x:c r="K313" s="3" t="inlineStr">
        <x:is>
          <x:t xml:space="preserve">Evidence: lag metrics.</x:t>
        </x:is>
      </x:c>
    </x:row>
    <x:row r="314">
      <x:c r="A314" s="3" t="inlineStr">
        <x:is>
          <x:t xml:space="preserve">HR</x:t>
        </x:is>
      </x:c>
      <x:c r="B314" s="3" t="inlineStr">
        <x:is>
          <x:t xml:space="preserve">HR-D6-Q21</x:t>
        </x:is>
      </x:c>
      <x:c r="C314" s="3" t="inlineStr">
        <x:is>
          <x:t xml:space="preserve">HR-D6-Q21-A1</x:t>
        </x:is>
      </x:c>
      <x:c r="D314" s="3" t="n">
        <x:v>1</x:v>
      </x:c>
      <x:c r="E314" s="3" t="inlineStr">
        <x:is>
          <x:t xml:space="preserve">Unreliable: updates are late or incomplete.</x:t>
        </x:is>
      </x:c>
      <x:c r="F314" s="3" t="n">
        <x:v>0</x:v>
      </x:c>
      <x:c r="G314" s="3" t="inlineStr">
        <x:is>
          <x:t xml:space="preserve">control_lag</x:t>
        </x:is>
      </x:c>
      <x:c r="H314" s="3" t="inlineStr">
        <x:is>
          <x:t xml:space="preserve">Control Lag</x:t>
        </x:is>
      </x:c>
      <x:c r="I314" s="3" t="inlineStr">
        <x:is>
          <x:t xml:space="preserve">Improve timeliness</x:t>
        </x:is>
      </x:c>
      <x:c r="J314" s="3" t="inlineStr">
        <x:is>
          <x:t xml:space="preserve">N</x:t>
        </x:is>
      </x:c>
      <x:c r="K314" s="3" t="inlineStr">
        <x:is>
          <x:t xml:space="preserve"/>
        </x:is>
      </x:c>
    </x:row>
    <x:row r="315">
      <x:c r="A315" s="3" t="inlineStr">
        <x:is>
          <x:t xml:space="preserve">HR</x:t>
        </x:is>
      </x:c>
      <x:c r="B315" s="3" t="inlineStr">
        <x:is>
          <x:t xml:space="preserve">HR-D6-Q21</x:t>
        </x:is>
      </x:c>
      <x:c r="C315" s="3" t="inlineStr">
        <x:is>
          <x:t xml:space="preserve">HR-D6-Q21-A2</x:t>
        </x:is>
      </x:c>
      <x:c r="D315" s="3" t="n">
        <x:v>2</x:v>
      </x:c>
      <x:c r="E315" s="3" t="inlineStr">
        <x:is>
          <x:t xml:space="preserve">Email/spreadsheets: provided but often delayed.</x:t>
        </x:is>
      </x:c>
      <x:c r="F315" s="3" t="n">
        <x:v>1</x:v>
      </x:c>
      <x:c r="G315" s="3" t="inlineStr">
        <x:is>
          <x:t xml:space="preserve">shadow_mature_signal</x:t>
        </x:is>
      </x:c>
      <x:c r="H315" s="3" t="inlineStr">
        <x:is>
          <x:t xml:space="preserve">Control Lag</x:t>
        </x:is>
      </x:c>
      <x:c r="I315" s="3" t="inlineStr">
        <x:is>
          <x:t xml:space="preserve">Create standard cadence</x:t>
        </x:is>
      </x:c>
      <x:c r="J315" s="3" t="inlineStr">
        <x:is>
          <x:t xml:space="preserve">N</x:t>
        </x:is>
      </x:c>
      <x:c r="K315" s="3" t="inlineStr">
        <x:is>
          <x:t xml:space="preserve"/>
        </x:is>
      </x:c>
    </x:row>
    <x:row r="316">
      <x:c r="A316" s="3" t="inlineStr">
        <x:is>
          <x:t xml:space="preserve">HR</x:t>
        </x:is>
      </x:c>
      <x:c r="B316" s="3" t="inlineStr">
        <x:is>
          <x:t xml:space="preserve">HR-D6-Q21</x:t>
        </x:is>
      </x:c>
      <x:c r="C316" s="3" t="inlineStr">
        <x:is>
          <x:t xml:space="preserve">HR-D6-Q21-A3</x:t>
        </x:is>
      </x:c>
      <x:c r="D316" s="3" t="n">
        <x:v>3</x:v>
      </x:c>
      <x:c r="E316" s="3" t="inlineStr">
        <x:is>
          <x:t xml:space="preserve">Regular cadence; still delays for urgent changes.</x:t>
        </x:is>
      </x:c>
      <x:c r="F316" s="3" t="n">
        <x:v>2</x:v>
      </x:c>
      <x:c r="G316" s="3" t="inlineStr">
        <x:is>
          <x:t xml:space="preserve"/>
        </x:is>
      </x:c>
      <x:c r="H316" s="3" t="inlineStr">
        <x:is>
          <x:t xml:space="preserve">Control Lag</x:t>
        </x:is>
      </x:c>
      <x:c r="I316" s="3" t="inlineStr">
        <x:is>
          <x:t xml:space="preserve">Add urgent escalation</x:t>
        </x:is>
      </x:c>
      <x:c r="J316" s="3" t="inlineStr">
        <x:is>
          <x:t xml:space="preserve">N</x:t>
        </x:is>
      </x:c>
      <x:c r="K316" s="3" t="inlineStr">
        <x:is>
          <x:t xml:space="preserve"/>
        </x:is>
      </x:c>
    </x:row>
    <x:row r="317">
      <x:c r="A317" s="3" t="inlineStr">
        <x:is>
          <x:t xml:space="preserve">HR</x:t>
        </x:is>
      </x:c>
      <x:c r="B317" s="3" t="inlineStr">
        <x:is>
          <x:t xml:space="preserve">HR-D6-Q21</x:t>
        </x:is>
      </x:c>
      <x:c r="C317" s="3" t="inlineStr">
        <x:is>
          <x:t xml:space="preserve">HR-D6-Q21-A4</x:t>
        </x:is>
      </x:c>
      <x:c r="D317" s="3" t="n">
        <x:v>4</x:v>
      </x:c>
      <x:c r="E317" s="3" t="inlineStr">
        <x:is>
          <x:t xml:space="preserve">Timely: critical updates within 24–48 hours with clear ownership.</x:t>
        </x:is>
      </x:c>
      <x:c r="F317" s="3" t="n">
        <x:v>3</x:v>
      </x:c>
      <x:c r="G317" s="3" t="inlineStr">
        <x:is>
          <x:t xml:space="preserve"/>
        </x:is>
      </x:c>
      <x:c r="H317" s="3" t="inlineStr">
        <x:is>
          <x:t xml:space="preserve">Control Lag</x:t>
        </x:is>
      </x:c>
      <x:c r="I317" s="3" t="inlineStr">
        <x:is>
          <x:t xml:space="preserve">Maintain</x:t>
        </x:is>
      </x:c>
      <x:c r="J317" s="3" t="inlineStr">
        <x:is>
          <x:t xml:space="preserve">N</x:t>
        </x:is>
      </x:c>
      <x:c r="K317" s="3" t="inlineStr">
        <x:is>
          <x:t xml:space="preserve">Evidence: sample comms.</x:t>
        </x:is>
      </x:c>
    </x:row>
    <x:row r="318">
      <x:c r="A318" s="3" t="inlineStr">
        <x:is>
          <x:t xml:space="preserve">HR</x:t>
        </x:is>
      </x:c>
      <x:c r="B318" s="3" t="inlineStr">
        <x:is>
          <x:t xml:space="preserve">HR-D6-Q22</x:t>
        </x:is>
      </x:c>
      <x:c r="C318" s="3" t="inlineStr">
        <x:is>
          <x:t xml:space="preserve">HR-D6-Q22-A1</x:t>
        </x:is>
      </x:c>
      <x:c r="D318" s="3" t="n">
        <x:v>1</x:v>
      </x:c>
      <x:c r="E318" s="3" t="inlineStr">
        <x:is>
          <x:t xml:space="preserve">No checklist; teams improvise each time.</x:t>
        </x:is>
      </x:c>
      <x:c r="F318" s="3" t="n">
        <x:v>0</x:v>
      </x:c>
      <x:c r="G318" s="3" t="inlineStr">
        <x:is>
          <x:t xml:space="preserve">control_lag</x:t>
        </x:is>
      </x:c>
      <x:c r="H318" s="3" t="inlineStr">
        <x:is>
          <x:t xml:space="preserve">Control Lag</x:t>
        </x:is>
      </x:c>
      <x:c r="I318" s="3" t="inlineStr">
        <x:is>
          <x:t xml:space="preserve">Create checklist</x:t>
        </x:is>
      </x:c>
      <x:c r="J318" s="3" t="inlineStr">
        <x:is>
          <x:t xml:space="preserve">N</x:t>
        </x:is>
      </x:c>
      <x:c r="K318" s="3" t="inlineStr">
        <x:is>
          <x:t xml:space="preserve"/>
        </x:is>
      </x:c>
    </x:row>
    <x:row r="319">
      <x:c r="A319" s="3" t="inlineStr">
        <x:is>
          <x:t xml:space="preserve">HR</x:t>
        </x:is>
      </x:c>
      <x:c r="B319" s="3" t="inlineStr">
        <x:is>
          <x:t xml:space="preserve">HR-D6-Q22</x:t>
        </x:is>
      </x:c>
      <x:c r="C319" s="3" t="inlineStr">
        <x:is>
          <x:t xml:space="preserve">HR-D6-Q22-A2</x:t>
        </x:is>
      </x:c>
      <x:c r="D319" s="3" t="n">
        <x:v>2</x:v>
      </x:c>
      <x:c r="E319" s="3" t="inlineStr">
        <x:is>
          <x:t xml:space="preserve">Checklist exists but not used consistently.</x:t>
        </x:is>
      </x:c>
      <x:c r="F319" s="3" t="n">
        <x:v>1</x:v>
      </x:c>
      <x:c r="G319" s="3" t="inlineStr">
        <x:is>
          <x:t xml:space="preserve">paper_dragon_signal</x:t>
        </x:is>
      </x:c>
      <x:c r="H319" s="3" t="inlineStr">
        <x:is>
          <x:t xml:space="preserve">Paper Dragon</x:t>
        </x:is>
      </x:c>
      <x:c r="I319" s="3" t="inlineStr">
        <x:is>
          <x:t xml:space="preserve">Embed into change management</x:t>
        </x:is>
      </x:c>
      <x:c r="J319" s="3" t="inlineStr">
        <x:is>
          <x:t xml:space="preserve">N</x:t>
        </x:is>
      </x:c>
      <x:c r="K319" s="3" t="inlineStr">
        <x:is>
          <x:t xml:space="preserve">Evidence: checklist doc.</x:t>
        </x:is>
      </x:c>
    </x:row>
    <x:row r="320">
      <x:c r="A320" s="3" t="inlineStr">
        <x:is>
          <x:t xml:space="preserve">HR</x:t>
        </x:is>
      </x:c>
      <x:c r="B320" s="3" t="inlineStr">
        <x:is>
          <x:t xml:space="preserve">HR-D6-Q22</x:t>
        </x:is>
      </x:c>
      <x:c r="C320" s="3" t="inlineStr">
        <x:is>
          <x:t xml:space="preserve">HR-D6-Q22-A3</x:t>
        </x:is>
      </x:c>
      <x:c r="D320" s="3" t="n">
        <x:v>3</x:v>
      </x:c>
      <x:c r="E320" s="3" t="inlineStr">
        <x:is>
          <x:t xml:space="preserve">Used for major events, not smaller re-orgs.</x:t>
        </x:is>
      </x:c>
      <x:c r="F320" s="3" t="n">
        <x:v>2</x:v>
      </x:c>
      <x:c r="G320" s="3" t="inlineStr">
        <x:is>
          <x:t xml:space="preserve"/>
        </x:is>
      </x:c>
      <x:c r="H320" s="3" t="inlineStr">
        <x:is>
          <x:t xml:space="preserve">Control Lag</x:t>
        </x:is>
      </x:c>
      <x:c r="I320" s="3" t="inlineStr">
        <x:is>
          <x:t xml:space="preserve">Expand scope and automate</x:t>
        </x:is>
      </x:c>
      <x:c r="J320" s="3" t="inlineStr">
        <x:is>
          <x:t xml:space="preserve">N</x:t>
        </x:is>
      </x:c>
      <x:c r="K320" s="3" t="inlineStr">
        <x:is>
          <x:t xml:space="preserve"/>
        </x:is>
      </x:c>
    </x:row>
    <x:row r="321">
      <x:c r="A321" s="3" t="inlineStr">
        <x:is>
          <x:t xml:space="preserve">HR</x:t>
        </x:is>
      </x:c>
      <x:c r="B321" s="3" t="inlineStr">
        <x:is>
          <x:t xml:space="preserve">HR-D6-Q22</x:t>
        </x:is>
      </x:c>
      <x:c r="C321" s="3" t="inlineStr">
        <x:is>
          <x:t xml:space="preserve">HR-D6-Q22-A4</x:t>
        </x:is>
      </x:c>
      <x:c r="D321" s="3" t="n">
        <x:v>4</x:v>
      </x:c>
      <x:c r="E321" s="3" t="inlineStr">
        <x:is>
          <x:t xml:space="preserve">Used consistently; ownership clear; post-event review occurs.</x:t>
        </x:is>
      </x:c>
      <x:c r="F321" s="3" t="n">
        <x:v>3</x:v>
      </x:c>
      <x:c r="G321" s="3" t="inlineStr">
        <x:is>
          <x:t xml:space="preserve"/>
        </x:is>
      </x:c>
      <x:c r="H321" s="3" t="inlineStr">
        <x:is>
          <x:t xml:space="preserve">Control Lag</x:t>
        </x:is>
      </x:c>
      <x:c r="I321" s="3" t="inlineStr">
        <x:is>
          <x:t xml:space="preserve">Maintain and improve</x:t>
        </x:is>
      </x:c>
      <x:c r="J321" s="3" t="inlineStr">
        <x:is>
          <x:t xml:space="preserve">N</x:t>
        </x:is>
      </x:c>
      <x:c r="K321" s="3" t="inlineStr">
        <x:is>
          <x:t xml:space="preserve">Evidence: post-event review notes.</x:t>
        </x:is>
      </x:c>
    </x:row>
    <x:row r="322">
      <x:c r="A322" s="3" t="inlineStr">
        <x:is>
          <x:t xml:space="preserve">HR</x:t>
        </x:is>
      </x:c>
      <x:c r="B322" s="3" t="inlineStr">
        <x:is>
          <x:t xml:space="preserve">HR-D6-Q22</x:t>
        </x:is>
      </x:c>
      <x:c r="C322" s="3" t="inlineStr">
        <x:is>
          <x:t xml:space="preserve">HR-D6-Q22-A5</x:t>
        </x:is>
      </x:c>
      <x:c r="D322" s="3" t="n">
        <x:v>5</x:v>
      </x:c>
      <x:c r="E322" s="3" t="inlineStr">
        <x:is>
          <x:t xml:space="preserve">Optimized: checklist integrated into workflows with measurable control-lag targets.</x:t>
        </x:is>
      </x:c>
      <x:c r="F322" s="3" t="n">
        <x:v>4</x:v>
      </x:c>
      <x:c r="G322" s="3" t="inlineStr">
        <x:is>
          <x:t xml:space="preserve"/>
        </x:is>
      </x:c>
      <x:c r="H322" s="3" t="inlineStr">
        <x:is>
          <x:t xml:space="preserve">Control Lag</x:t>
        </x:is>
      </x:c>
      <x:c r="I322" s="3" t="inlineStr">
        <x:is>
          <x:t xml:space="preserve">Maintain maturity</x:t>
        </x:is>
      </x:c>
      <x:c r="J322" s="3" t="inlineStr">
        <x:is>
          <x:t xml:space="preserve">N</x:t>
        </x:is>
      </x:c>
      <x:c r="K322" s="3" t="inlineStr">
        <x:is>
          <x:t xml:space="preserve">Evidence: lag KPI.</x:t>
        </x:is>
      </x:c>
    </x:row>
    <x:row r="323">
      <x:c r="A323" s="3" t="inlineStr">
        <x:is>
          <x:t xml:space="preserve">HR</x:t>
        </x:is>
      </x:c>
      <x:c r="B323" s="3" t="inlineStr">
        <x:is>
          <x:t xml:space="preserve">HR-D7-Q23</x:t>
        </x:is>
      </x:c>
      <x:c r="C323" s="3" t="inlineStr">
        <x:is>
          <x:t xml:space="preserve">HR-D7-Q23-A0</x:t>
        </x:is>
      </x:c>
      <x:c r="D323" s="3" t="n">
        <x:v>1</x:v>
      </x:c>
      <x:c r="E323" s="3" t="inlineStr">
        <x:is>
          <x:t xml:space="preserve">I don't know / Not sure.</x:t>
        </x:is>
      </x:c>
      <x:c r="F323" s="3" t="n">
        <x:v>0</x:v>
      </x:c>
      <x:c r="G323" s="3" t="inlineStr">
        <x:is>
          <x:t xml:space="preserve">low-confidence</x:t>
        </x:is>
      </x:c>
      <x:c r="H323" s="3" t="inlineStr">
        <x:is>
          <x:t xml:space="preserve">Legal Exposure</x:t>
        </x:is>
      </x:c>
      <x:c r="I323" s="3" t="inlineStr">
        <x:is>
          <x:t xml:space="preserve">Clarify process</x:t>
        </x:is>
      </x:c>
      <x:c r="J323" s="3" t="inlineStr">
        <x:is>
          <x:t xml:space="preserve">N</x:t>
        </x:is>
      </x:c>
      <x:c r="K323" s="3" t="inlineStr">
        <x:is>
          <x:t xml:space="preserve"/>
        </x:is>
      </x:c>
    </x:row>
    <x:row r="324">
      <x:c r="A324" s="3" t="inlineStr">
        <x:is>
          <x:t xml:space="preserve">HR</x:t>
        </x:is>
      </x:c>
      <x:c r="B324" s="3" t="inlineStr">
        <x:is>
          <x:t xml:space="preserve">HR-D7-Q23</x:t>
        </x:is>
      </x:c>
      <x:c r="C324" s="3" t="inlineStr">
        <x:is>
          <x:t xml:space="preserve">HR-D7-Q23-A1</x:t>
        </x:is>
      </x:c>
      <x:c r="D324" s="3" t="n">
        <x:v>2</x:v>
      </x:c>
      <x:c r="E324" s="3" t="inlineStr">
        <x:is>
          <x:t xml:space="preserve">No: handled ad-hoc; differs by team/manager.</x:t>
        </x:is>
      </x:c>
      <x:c r="F324" s="3" t="n">
        <x:v>0</x:v>
      </x:c>
      <x:c r="G324" s="3" t="inlineStr">
        <x:is>
          <x:t xml:space="preserve">legal_exposure</x:t>
        </x:is>
      </x:c>
      <x:c r="H324" s="3" t="inlineStr">
        <x:is>
          <x:t xml:space="preserve">Operating Model Gap</x:t>
        </x:is>
      </x:c>
      <x:c r="I324" s="3" t="inlineStr">
        <x:is>
          <x:t xml:space="preserve">Define investigation process</x:t>
        </x:is>
      </x:c>
      <x:c r="J324" s="3" t="inlineStr">
        <x:is>
          <x:t xml:space="preserve">N</x:t>
        </x:is>
      </x:c>
      <x:c r="K324" s="3" t="inlineStr">
        <x:is>
          <x:t xml:space="preserve"/>
        </x:is>
      </x:c>
    </x:row>
    <x:row r="325">
      <x:c r="A325" s="3" t="inlineStr">
        <x:is>
          <x:t xml:space="preserve">HR</x:t>
        </x:is>
      </x:c>
      <x:c r="B325" s="3" t="inlineStr">
        <x:is>
          <x:t xml:space="preserve">HR-D7-Q23</x:t>
        </x:is>
      </x:c>
      <x:c r="C325" s="3" t="inlineStr">
        <x:is>
          <x:t xml:space="preserve">HR-D7-Q23-A2</x:t>
        </x:is>
      </x:c>
      <x:c r="D325" s="3" t="n">
        <x:v>3</x:v>
      </x:c>
      <x:c r="E325" s="3" t="inlineStr">
        <x:is>
          <x:t xml:space="preserve">Partial: HR handles most; Security/Legal involved only sometimes.</x:t>
        </x:is>
      </x:c>
      <x:c r="F325" s="3" t="n">
        <x:v>1</x:v>
      </x:c>
      <x:c r="G325" s="3" t="inlineStr">
        <x:is>
          <x:t xml:space="preserve">shadow_mature_signal</x:t>
        </x:is>
      </x:c>
      <x:c r="H325" s="3" t="inlineStr">
        <x:is>
          <x:t xml:space="preserve">Operating Model Gap</x:t>
        </x:is>
      </x:c>
      <x:c r="I325" s="3" t="inlineStr">
        <x:is>
          <x:t xml:space="preserve">Define escalation and roles</x:t>
        </x:is>
      </x:c>
      <x:c r="J325" s="3" t="inlineStr">
        <x:is>
          <x:t xml:space="preserve">N</x:t>
        </x:is>
      </x:c>
      <x:c r="K325" s="3" t="inlineStr">
        <x:is>
          <x:t xml:space="preserve"/>
        </x:is>
      </x:c>
    </x:row>
    <x:row r="326">
      <x:c r="A326" s="3" t="inlineStr">
        <x:is>
          <x:t xml:space="preserve">HR</x:t>
        </x:is>
      </x:c>
      <x:c r="B326" s="3" t="inlineStr">
        <x:is>
          <x:t xml:space="preserve">HR-D7-Q23</x:t>
        </x:is>
      </x:c>
      <x:c r="C326" s="3" t="inlineStr">
        <x:is>
          <x:t xml:space="preserve">HR-D7-Q23-A3</x:t>
        </x:is>
      </x:c>
      <x:c r="D326" s="3" t="n">
        <x:v>4</x:v>
      </x:c>
      <x:c r="E326" s="3" t="inlineStr">
        <x:is>
          <x:t xml:space="preserve">Documented: process exists but adherence varies; outcomes inconsistently recorded.</x:t>
        </x:is>
      </x:c>
      <x:c r="F326" s="3" t="n">
        <x:v>2</x:v>
      </x:c>
      <x:c r="G326" s="3" t="inlineStr">
        <x:is>
          <x:t xml:space="preserve">paper_dragon_signal</x:t>
        </x:is>
      </x:c>
      <x:c r="H326" s="3" t="inlineStr">
        <x:is>
          <x:t xml:space="preserve">Paper Dragon</x:t>
        </x:is>
      </x:c>
      <x:c r="I326" s="3" t="inlineStr">
        <x:is>
          <x:t xml:space="preserve">Improve adherence and tracking</x:t>
        </x:is>
      </x:c>
      <x:c r="J326" s="3" t="inlineStr">
        <x:is>
          <x:t xml:space="preserve">N</x:t>
        </x:is>
      </x:c>
      <x:c r="K326" s="3" t="inlineStr">
        <x:is>
          <x:t xml:space="preserve">Evidence: process doc.</x:t>
        </x:is>
      </x:c>
    </x:row>
    <x:row r="327">
      <x:c r="A327" s="3" t="inlineStr">
        <x:is>
          <x:t xml:space="preserve">HR</x:t>
        </x:is>
      </x:c>
      <x:c r="B327" s="3" t="inlineStr">
        <x:is>
          <x:t xml:space="preserve">HR-D7-Q23</x:t>
        </x:is>
      </x:c>
      <x:c r="C327" s="3" t="inlineStr">
        <x:is>
          <x:t xml:space="preserve">HR-D7-Q23-A4</x:t>
        </x:is>
      </x:c>
      <x:c r="D327" s="3" t="n">
        <x:v>5</x:v>
      </x:c>
      <x:c r="E327" s="3" t="inlineStr">
        <x:is>
          <x:t xml:space="preserve">Managed: consistently followed with privacy/legal checkpoints.</x:t>
        </x:is>
      </x:c>
      <x:c r="F327" s="3" t="n">
        <x:v>3</x:v>
      </x:c>
      <x:c r="G327" s="3" t="inlineStr">
        <x:is>
          <x:t xml:space="preserve"/>
        </x:is>
      </x:c>
      <x:c r="H327" s="3" t="inlineStr">
        <x:is>
          <x:t xml:space="preserve">Legal Exposure</x:t>
        </x:is>
      </x:c>
      <x:c r="I327" s="3" t="inlineStr">
        <x:is>
          <x:t xml:space="preserve">Maintain and audit</x:t>
        </x:is>
      </x:c>
      <x:c r="J327" s="3" t="inlineStr">
        <x:is>
          <x:t xml:space="preserve">N</x:t>
        </x:is>
      </x:c>
      <x:c r="K327" s="3" t="inlineStr">
        <x:is>
          <x:t xml:space="preserve">Evidence: redacted checklist.</x:t>
        </x:is>
      </x:c>
    </x:row>
    <x:row r="328">
      <x:c r="A328" s="3" t="inlineStr">
        <x:is>
          <x:t xml:space="preserve">HR</x:t>
        </x:is>
      </x:c>
      <x:c r="B328" s="3" t="inlineStr">
        <x:is>
          <x:t xml:space="preserve">HR-D7-Q23</x:t>
        </x:is>
      </x:c>
      <x:c r="C328" s="3" t="inlineStr">
        <x:is>
          <x:t xml:space="preserve">HR-D7-Q23-A5</x:t>
        </x:is>
      </x:c>
      <x:c r="D328" s="3" t="n">
        <x:v>6</x:v>
      </x:c>
      <x:c r="E328" s="3" t="inlineStr">
        <x:is>
          <x:t xml:space="preserve">Optimized: audited; staff trained; lessons learned feed improvements.</x:t>
        </x:is>
      </x:c>
      <x:c r="F328" s="3" t="n">
        <x:v>4</x:v>
      </x:c>
      <x:c r="G328" s="3" t="inlineStr">
        <x:is>
          <x:t xml:space="preserve"/>
        </x:is>
      </x:c>
      <x:c r="H328" s="3" t="inlineStr">
        <x:is>
          <x:t xml:space="preserve">Legal Exposure</x:t>
        </x:is>
      </x:c>
      <x:c r="I328" s="3" t="inlineStr">
        <x:is>
          <x:t xml:space="preserve">Continuous improvement</x:t>
        </x:is>
      </x:c>
      <x:c r="J328" s="3" t="inlineStr">
        <x:is>
          <x:t xml:space="preserve">N</x:t>
        </x:is>
      </x:c>
      <x:c r="K328" s="3" t="inlineStr">
        <x:is>
          <x:t xml:space="preserve">Evidence: audit/exercise outputs.</x:t>
        </x:is>
      </x:c>
    </x:row>
    <x:row r="329">
      <x:c r="A329" s="3" t="inlineStr">
        <x:is>
          <x:t xml:space="preserve">HR</x:t>
        </x:is>
      </x:c>
      <x:c r="B329" s="3" t="inlineStr">
        <x:is>
          <x:t xml:space="preserve">HR-D7-Q24</x:t>
        </x:is>
      </x:c>
      <x:c r="C329" s="3" t="inlineStr">
        <x:is>
          <x:t xml:space="preserve">HR-D7-Q24-A1</x:t>
        </x:is>
      </x:c>
      <x:c r="D329" s="3" t="n">
        <x:v>1</x:v>
      </x:c>
      <x:c r="E329" s="3" t="inlineStr">
        <x:is>
          <x:t xml:space="preserve">Decisions informal; confidentiality not clearly managed.</x:t>
        </x:is>
      </x:c>
      <x:c r="F329" s="3" t="n">
        <x:v>0</x:v>
      </x:c>
      <x:c r="G329" s="3" t="inlineStr">
        <x:is>
          <x:t xml:space="preserve">legal_exposure</x:t>
        </x:is>
      </x:c>
      <x:c r="H329" s="3" t="inlineStr">
        <x:is>
          <x:t xml:space="preserve">Legal Exposure</x:t>
        </x:is>
      </x:c>
      <x:c r="I329" s="3" t="inlineStr">
        <x:is>
          <x:t xml:space="preserve">Introduce approvals and boundaries</x:t>
        </x:is>
      </x:c>
      <x:c r="J329" s="3" t="inlineStr">
        <x:is>
          <x:t xml:space="preserve">N</x:t>
        </x:is>
      </x:c>
      <x:c r="K329" s="3" t="inlineStr">
        <x:is>
          <x:t xml:space="preserve"/>
        </x:is>
      </x:c>
    </x:row>
    <x:row r="330">
      <x:c r="A330" s="3" t="inlineStr">
        <x:is>
          <x:t xml:space="preserve">HR</x:t>
        </x:is>
      </x:c>
      <x:c r="B330" s="3" t="inlineStr">
        <x:is>
          <x:t xml:space="preserve">HR-D7-Q24</x:t>
        </x:is>
      </x:c>
      <x:c r="C330" s="3" t="inlineStr">
        <x:is>
          <x:t xml:space="preserve">HR-D7-Q24-A2</x:t>
        </x:is>
      </x:c>
      <x:c r="D330" s="3" t="n">
        <x:v>2</x:v>
      </x:c>
      <x:c r="E330" s="3" t="inlineStr">
        <x:is>
          <x:t xml:space="preserve">HR decides; documentation limited.</x:t>
        </x:is>
      </x:c>
      <x:c r="F330" s="3" t="n">
        <x:v>1</x:v>
      </x:c>
      <x:c r="G330" s="3" t="inlineStr">
        <x:is>
          <x:t xml:space="preserve">paper_dragon_signal</x:t>
        </x:is>
      </x:c>
      <x:c r="H330" s="3" t="inlineStr">
        <x:is>
          <x:t xml:space="preserve">Paper Dragon</x:t>
        </x:is>
      </x:c>
      <x:c r="I330" s="3" t="inlineStr">
        <x:is>
          <x:t xml:space="preserve">Strengthen documentation</x:t>
        </x:is>
      </x:c>
      <x:c r="J330" s="3" t="inlineStr">
        <x:is>
          <x:t xml:space="preserve">N</x:t>
        </x:is>
      </x:c>
      <x:c r="K330" s="3" t="inlineStr">
        <x:is>
          <x:t xml:space="preserve"/>
        </x:is>
      </x:c>
    </x:row>
    <x:row r="331">
      <x:c r="A331" s="3" t="inlineStr">
        <x:is>
          <x:t xml:space="preserve">HR</x:t>
        </x:is>
      </x:c>
      <x:c r="B331" s="3" t="inlineStr">
        <x:is>
          <x:t xml:space="preserve">HR-D7-Q24</x:t>
        </x:is>
      </x:c>
      <x:c r="C331" s="3" t="inlineStr">
        <x:is>
          <x:t xml:space="preserve">HR-D7-Q24-A3</x:t>
        </x:is>
      </x:c>
      <x:c r="D331" s="3" t="n">
        <x:v>3</x:v>
      </x:c>
      <x:c r="E331" s="3" t="inlineStr">
        <x:is>
          <x:t xml:space="preserve">HR and Legal decide; Security inputs; decisions documented sometimes.</x:t>
        </x:is>
      </x:c>
      <x:c r="F331" s="3" t="n">
        <x:v>2</x:v>
      </x:c>
      <x:c r="G331" s="3" t="inlineStr">
        <x:is>
          <x:t xml:space="preserve"/>
        </x:is>
      </x:c>
      <x:c r="H331" s="3" t="inlineStr">
        <x:is>
          <x:t xml:space="preserve">Legal Exposure</x:t>
        </x:is>
      </x:c>
      <x:c r="I331" s="3" t="inlineStr">
        <x:is>
          <x:t xml:space="preserve">Standardize approvals</x:t>
        </x:is>
      </x:c>
      <x:c r="J331" s="3" t="inlineStr">
        <x:is>
          <x:t xml:space="preserve">N</x:t>
        </x:is>
      </x:c>
      <x:c r="K331" s="3" t="inlineStr">
        <x:is>
          <x:t xml:space="preserve"/>
        </x:is>
      </x:c>
    </x:row>
    <x:row r="332">
      <x:c r="A332" s="3" t="inlineStr">
        <x:is>
          <x:t xml:space="preserve">HR</x:t>
        </x:is>
      </x:c>
      <x:c r="B332" s="3" t="inlineStr">
        <x:is>
          <x:t xml:space="preserve">HR-D7-Q24</x:t>
        </x:is>
      </x:c>
      <x:c r="C332" s="3" t="inlineStr">
        <x:is>
          <x:t xml:space="preserve">HR-D7-Q24-A4</x:t>
        </x:is>
      </x:c>
      <x:c r="D332" s="3" t="n">
        <x:v>4</x:v>
      </x:c>
      <x:c r="E332" s="3" t="inlineStr">
        <x:is>
          <x:t xml:space="preserve">Clear approvals and confidentiality rules exist, even if workflow informal.</x:t>
        </x:is>
      </x:c>
      <x:c r="F332" s="3" t="n">
        <x:v>3</x:v>
      </x:c>
      <x:c r="G332" s="3" t="inlineStr">
        <x:is>
          <x:t xml:space="preserve">shadow_mature_signal</x:t>
        </x:is>
      </x:c>
      <x:c r="H332" s="3" t="inlineStr">
        <x:is>
          <x:t xml:space="preserve">Legal Exposure</x:t>
        </x:is>
      </x:c>
      <x:c r="I332" s="3" t="inlineStr">
        <x:is>
          <x:t xml:space="preserve">Formalize workflow</x:t>
        </x:is>
      </x:c>
      <x:c r="J332" s="3" t="inlineStr">
        <x:is>
          <x:t xml:space="preserve">N</x:t>
        </x:is>
      </x:c>
      <x:c r="K332" s="3" t="inlineStr">
        <x:is>
          <x:t xml:space="preserve">Evidence: approval checklist.</x:t>
        </x:is>
      </x:c>
    </x:row>
    <x:row r="333">
      <x:c r="A333" s="3" t="inlineStr">
        <x:is>
          <x:t xml:space="preserve">HR</x:t>
        </x:is>
      </x:c>
      <x:c r="B333" s="3" t="inlineStr">
        <x:is>
          <x:t xml:space="preserve">HR-D7-Q25</x:t>
        </x:is>
      </x:c>
      <x:c r="C333" s="3" t="inlineStr">
        <x:is>
          <x:t xml:space="preserve">HR-D7-Q25-A1</x:t>
        </x:is>
      </x:c>
      <x:c r="D333" s="3" t="n">
        <x:v>1</x:v>
      </x:c>
      <x:c r="E333" s="3" t="inlineStr">
        <x:is>
          <x:t xml:space="preserve">No recourse; decisions are final.</x:t>
        </x:is>
      </x:c>
      <x:c r="F333" s="3" t="n">
        <x:v>0</x:v>
      </x:c>
      <x:c r="G333" s="3" t="inlineStr">
        <x:is>
          <x:t xml:space="preserve">toxic_enforcer_signal</x:t>
        </x:is>
      </x:c>
      <x:c r="H333" s="3" t="inlineStr">
        <x:is>
          <x:t xml:space="preserve">Toxic Enforcer</x:t>
        </x:is>
      </x:c>
      <x:c r="I333" s="3" t="inlineStr">
        <x:is>
          <x:t xml:space="preserve">Implement appeal route</x:t>
        </x:is>
      </x:c>
      <x:c r="J333" s="3" t="inlineStr">
        <x:is>
          <x:t xml:space="preserve">N</x:t>
        </x:is>
      </x:c>
      <x:c r="K333" s="3" t="inlineStr">
        <x:is>
          <x:t xml:space="preserve"/>
        </x:is>
      </x:c>
    </x:row>
    <x:row r="334">
      <x:c r="A334" s="3" t="inlineStr">
        <x:is>
          <x:t xml:space="preserve">HR</x:t>
        </x:is>
      </x:c>
      <x:c r="B334" s="3" t="inlineStr">
        <x:is>
          <x:t xml:space="preserve">HR-D7-Q25</x:t>
        </x:is>
      </x:c>
      <x:c r="C334" s="3" t="inlineStr">
        <x:is>
          <x:t xml:space="preserve">HR-D7-Q25-A2</x:t>
        </x:is>
      </x:c>
      <x:c r="D334" s="3" t="n">
        <x:v>2</x:v>
      </x:c>
      <x:c r="E334" s="3" t="inlineStr">
        <x:is>
          <x:t xml:space="preserve">Informal: complain to a manager; outcomes vary.</x:t>
        </x:is>
      </x:c>
      <x:c r="F334" s="3" t="n">
        <x:v>1</x:v>
      </x:c>
      <x:c r="G334" s="3" t="inlineStr">
        <x:is>
          <x:t xml:space="preserve">culture_risk</x:t>
        </x:is>
      </x:c>
      <x:c r="H334" s="3" t="inlineStr">
        <x:is>
          <x:t xml:space="preserve">Culture Risk</x:t>
        </x:is>
      </x:c>
      <x:c r="I334" s="3" t="inlineStr">
        <x:is>
          <x:t xml:space="preserve">Create consistent review</x:t>
        </x:is>
      </x:c>
      <x:c r="J334" s="3" t="inlineStr">
        <x:is>
          <x:t xml:space="preserve">N</x:t>
        </x:is>
      </x:c>
      <x:c r="K334" s="3" t="inlineStr">
        <x:is>
          <x:t xml:space="preserve"/>
        </x:is>
      </x:c>
    </x:row>
    <x:row r="335">
      <x:c r="A335" s="3" t="inlineStr">
        <x:is>
          <x:t xml:space="preserve">HR</x:t>
        </x:is>
      </x:c>
      <x:c r="B335" s="3" t="inlineStr">
        <x:is>
          <x:t xml:space="preserve">HR-D7-Q25</x:t>
        </x:is>
      </x:c>
      <x:c r="C335" s="3" t="inlineStr">
        <x:is>
          <x:t xml:space="preserve">HR-D7-Q25-A3</x:t>
        </x:is>
      </x:c>
      <x:c r="D335" s="3" t="n">
        <x:v>3</x:v>
      </x:c>
      <x:c r="E335" s="3" t="inlineStr">
        <x:is>
          <x:t xml:space="preserve">General grievance process exists, but not tailored to monitoring/investigations.</x:t>
        </x:is>
      </x:c>
      <x:c r="F335" s="3" t="n">
        <x:v>2</x:v>
      </x:c>
      <x:c r="G335" s="3" t="inlineStr">
        <x:is>
          <x:t xml:space="preserve"/>
        </x:is>
      </x:c>
      <x:c r="H335" s="3" t="inlineStr">
        <x:is>
          <x:t xml:space="preserve">Culture Risk</x:t>
        </x:is>
      </x:c>
      <x:c r="I335" s="3" t="inlineStr">
        <x:is>
          <x:t xml:space="preserve">Define independent review</x:t>
        </x:is>
      </x:c>
      <x:c r="J335" s="3" t="inlineStr">
        <x:is>
          <x:t xml:space="preserve">N</x:t>
        </x:is>
      </x:c>
      <x:c r="K335" s="3" t="inlineStr">
        <x:is>
          <x:t xml:space="preserve">Evidence: grievance process.</x:t>
        </x:is>
      </x:c>
    </x:row>
    <x:row r="336">
      <x:c r="A336" s="3" t="inlineStr">
        <x:is>
          <x:t xml:space="preserve">HR</x:t>
        </x:is>
      </x:c>
      <x:c r="B336" s="3" t="inlineStr">
        <x:is>
          <x:t xml:space="preserve">HR-D7-Q25</x:t>
        </x:is>
      </x:c>
      <x:c r="C336" s="3" t="inlineStr">
        <x:is>
          <x:t xml:space="preserve">HR-D7-Q25-A4</x:t>
        </x:is>
      </x:c>
      <x:c r="D336" s="3" t="n">
        <x:v>4</x:v>
      </x:c>
      <x:c r="E336" s="3" t="inlineStr">
        <x:is>
          <x:t xml:space="preserve">Independent check exists (privacy/ombuds) for sensitive cases.</x:t>
        </x:is>
      </x:c>
      <x:c r="F336" s="3" t="n">
        <x:v>3</x:v>
      </x:c>
      <x:c r="G336" s="3" t="inlineStr">
        <x:is>
          <x:t xml:space="preserve"/>
        </x:is>
      </x:c>
      <x:c r="H336" s="3" t="inlineStr">
        <x:is>
          <x:t xml:space="preserve">Culture Risk</x:t>
        </x:is>
      </x:c>
      <x:c r="I336" s="3" t="inlineStr">
        <x:is>
          <x:t xml:space="preserve">Maintain oversight</x:t>
        </x:is>
      </x:c>
      <x:c r="J336" s="3" t="inlineStr">
        <x:is>
          <x:t xml:space="preserve">N</x:t>
        </x:is>
      </x:c>
      <x:c r="K336" s="3" t="inlineStr">
        <x:is>
          <x:t xml:space="preserve">Evidence: review workflow.</x:t>
        </x:is>
      </x:c>
    </x:row>
    <x:row r="337">
      <x:c r="A337" s="3" t="inlineStr">
        <x:is>
          <x:t xml:space="preserve">HR</x:t>
        </x:is>
      </x:c>
      <x:c r="B337" s="3" t="inlineStr">
        <x:is>
          <x:t xml:space="preserve">HR-D7-Q25</x:t>
        </x:is>
      </x:c>
      <x:c r="C337" s="3" t="inlineStr">
        <x:is>
          <x:t xml:space="preserve">HR-D7-Q25-A5</x:t>
        </x:is>
      </x:c>
      <x:c r="D337" s="3" t="n">
        <x:v>5</x:v>
      </x:c>
      <x:c r="E337" s="3" t="inlineStr">
        <x:is>
          <x:t xml:space="preserve">Transparent, multi-function review with audit trail and feedback loops.</x:t>
        </x:is>
      </x:c>
      <x:c r="F337" s="3" t="n">
        <x:v>4</x:v>
      </x:c>
      <x:c r="G337" s="3" t="inlineStr">
        <x:is>
          <x:t xml:space="preserve"/>
        </x:is>
      </x:c>
      <x:c r="H337" s="3" t="inlineStr">
        <x:is>
          <x:t xml:space="preserve">Culture Risk</x:t>
        </x:is>
      </x:c>
      <x:c r="I337" s="3" t="inlineStr">
        <x:is>
          <x:t xml:space="preserve">Maintain maturity</x:t>
        </x:is>
      </x:c>
      <x:c r="J337" s="3" t="inlineStr">
        <x:is>
          <x:t xml:space="preserve">N</x:t>
        </x:is>
      </x:c>
      <x:c r="K337" s="3" t="inlineStr">
        <x:is>
          <x:t xml:space="preserve">Evidence: audit trail sample.</x:t>
        </x:is>
      </x:c>
    </x:row>
    <x:row r="338">
      <x:c r="A338" s="3" t="inlineStr">
        <x:is>
          <x:t xml:space="preserve">HR</x:t>
        </x:is>
      </x:c>
      <x:c r="B338" s="3" t="inlineStr">
        <x:is>
          <x:t xml:space="preserve">HR-D7-Q26</x:t>
        </x:is>
      </x:c>
      <x:c r="C338" s="3" t="inlineStr">
        <x:is>
          <x:t xml:space="preserve">HR-D7-Q26-A1</x:t>
        </x:is>
      </x:c>
      <x:c r="D338" s="3" t="n">
        <x:v>1</x:v>
      </x:c>
      <x:c r="E338" s="3" t="inlineStr">
        <x:is>
          <x:t xml:space="preserve">No: cases close with no learning loop.</x:t>
        </x:is>
      </x:c>
      <x:c r="F338" s="3" t="n">
        <x:v>0</x:v>
      </x:c>
      <x:c r="G338" s="3" t="inlineStr">
        <x:is>
          <x:t xml:space="preserve">paper_dragon_signal</x:t>
        </x:is>
      </x:c>
      <x:c r="H338" s="3" t="inlineStr">
        <x:is>
          <x:t xml:space="preserve">Paper Dragon</x:t>
        </x:is>
      </x:c>
      <x:c r="I338" s="3" t="inlineStr">
        <x:is>
          <x:t xml:space="preserve">Create lessons-learned process</x:t>
        </x:is>
      </x:c>
      <x:c r="J338" s="3" t="inlineStr">
        <x:is>
          <x:t xml:space="preserve">N</x:t>
        </x:is>
      </x:c>
      <x:c r="K338" s="3" t="inlineStr">
        <x:is>
          <x:t xml:space="preserve"/>
        </x:is>
      </x:c>
    </x:row>
    <x:row r="339">
      <x:c r="A339" s="3" t="inlineStr">
        <x:is>
          <x:t xml:space="preserve">HR</x:t>
        </x:is>
      </x:c>
      <x:c r="B339" s="3" t="inlineStr">
        <x:is>
          <x:t xml:space="preserve">HR-D7-Q26</x:t>
        </x:is>
      </x:c>
      <x:c r="C339" s="3" t="inlineStr">
        <x:is>
          <x:t xml:space="preserve">HR-D7-Q26-A2</x:t>
        </x:is>
      </x:c>
      <x:c r="D339" s="3" t="n">
        <x:v>2</x:v>
      </x:c>
      <x:c r="E339" s="3" t="inlineStr">
        <x:is>
          <x:t xml:space="preserve">Sometimes: lessons discussed informally.</x:t>
        </x:is>
      </x:c>
      <x:c r="F339" s="3" t="n">
        <x:v>1</x:v>
      </x:c>
      <x:c r="G339" s="3" t="inlineStr">
        <x:is>
          <x:t xml:space="preserve">shadow_mature_signal</x:t>
        </x:is>
      </x:c>
      <x:c r="H339" s="3" t="inlineStr">
        <x:is>
          <x:t xml:space="preserve">Operating Model Gap</x:t>
        </x:is>
      </x:c>
      <x:c r="I339" s="3" t="inlineStr">
        <x:is>
          <x:t xml:space="preserve">Document and assign actions</x:t>
        </x:is>
      </x:c>
      <x:c r="J339" s="3" t="inlineStr">
        <x:is>
          <x:t xml:space="preserve">N</x:t>
        </x:is>
      </x:c>
      <x:c r="K339" s="3" t="inlineStr">
        <x:is>
          <x:t xml:space="preserve"/>
        </x:is>
      </x:c>
    </x:row>
    <x:row r="340">
      <x:c r="A340" s="3" t="inlineStr">
        <x:is>
          <x:t xml:space="preserve">HR</x:t>
        </x:is>
      </x:c>
      <x:c r="B340" s="3" t="inlineStr">
        <x:is>
          <x:t xml:space="preserve">HR-D7-Q26</x:t>
        </x:is>
      </x:c>
      <x:c r="C340" s="3" t="inlineStr">
        <x:is>
          <x:t xml:space="preserve">HR-D7-Q26-A3</x:t>
        </x:is>
      </x:c>
      <x:c r="D340" s="3" t="n">
        <x:v>3</x:v>
      </x:c>
      <x:c r="E340" s="3" t="inlineStr">
        <x:is>
          <x:t xml:space="preserve">Defined: post-case review exists but actions not tracked to completion.</x:t>
        </x:is>
      </x:c>
      <x:c r="F340" s="3" t="n">
        <x:v>2</x:v>
      </x:c>
      <x:c r="G340" s="3" t="inlineStr">
        <x:is>
          <x:t xml:space="preserve"/>
        </x:is>
      </x:c>
      <x:c r="H340" s="3" t="inlineStr">
        <x:is>
          <x:t xml:space="preserve">Operating Model Gap</x:t>
        </x:is>
      </x:c>
      <x:c r="I340" s="3" t="inlineStr">
        <x:is>
          <x:t xml:space="preserve">Track action completion</x:t>
        </x:is>
      </x:c>
      <x:c r="J340" s="3" t="inlineStr">
        <x:is>
          <x:t xml:space="preserve">N</x:t>
        </x:is>
      </x:c>
      <x:c r="K340" s="3" t="inlineStr">
        <x:is>
          <x:t xml:space="preserve">Evidence: action log.</x:t>
        </x:is>
      </x:c>
    </x:row>
    <x:row r="341">
      <x:c r="A341" s="3" t="inlineStr">
        <x:is>
          <x:t xml:space="preserve">HR</x:t>
        </x:is>
      </x:c>
      <x:c r="B341" s="3" t="inlineStr">
        <x:is>
          <x:t xml:space="preserve">HR-D7-Q26</x:t>
        </x:is>
      </x:c>
      <x:c r="C341" s="3" t="inlineStr">
        <x:is>
          <x:t xml:space="preserve">HR-D7-Q26-A4</x:t>
        </x:is>
      </x:c>
      <x:c r="D341" s="3" t="n">
        <x:v>4</x:v>
      </x:c>
      <x:c r="E341" s="3" t="inlineStr">
        <x:is>
          <x:t xml:space="preserve">Managed: improvements tracked and communicated; repeat issues reduce.</x:t>
        </x:is>
      </x:c>
      <x:c r="F341" s="3" t="n">
        <x:v>3</x:v>
      </x:c>
      <x:c r="G341" s="3" t="inlineStr">
        <x:is>
          <x:t xml:space="preserve"/>
        </x:is>
      </x:c>
      <x:c r="H341" s="3" t="inlineStr">
        <x:is>
          <x:t xml:space="preserve">Operating Model Gap</x:t>
        </x:is>
      </x:c>
      <x:c r="I341" s="3" t="inlineStr">
        <x:is>
          <x:t xml:space="preserve">Maintain metrics</x:t>
        </x:is>
      </x:c>
      <x:c r="J341" s="3" t="inlineStr">
        <x:is>
          <x:t xml:space="preserve">N</x:t>
        </x:is>
      </x:c>
      <x:c r="K341" s="3" t="inlineStr">
        <x:is>
          <x:t xml:space="preserve">Evidence: before/after examples.</x:t>
        </x:is>
      </x:c>
    </x:row>
    <x:row r="342">
      <x:c r="A342" s="3" t="inlineStr">
        <x:is>
          <x:t xml:space="preserve">HR</x:t>
        </x:is>
      </x:c>
      <x:c r="B342" s="3" t="inlineStr">
        <x:is>
          <x:t xml:space="preserve">HR-D7-Q26</x:t>
        </x:is>
      </x:c>
      <x:c r="C342" s="3" t="inlineStr">
        <x:is>
          <x:t xml:space="preserve">HR-D7-Q26-A5</x:t>
        </x:is>
      </x:c>
      <x:c r="D342" s="3" t="n">
        <x:v>5</x:v>
      </x:c>
      <x:c r="E342" s="3" t="inlineStr">
        <x:is>
          <x:t xml:space="preserve">Optimized: continuous improvement; trust and outcomes both measured.</x:t>
        </x:is>
      </x:c>
      <x:c r="F342" s="3" t="n">
        <x:v>4</x:v>
      </x:c>
      <x:c r="G342" s="3" t="inlineStr">
        <x:is>
          <x:t xml:space="preserve"/>
        </x:is>
      </x:c>
      <x:c r="H342" s="3" t="inlineStr">
        <x:is>
          <x:t xml:space="preserve">Culture Risk</x:t>
        </x:is>
      </x:c>
      <x:c r="I342" s="3" t="inlineStr">
        <x:is>
          <x:t xml:space="preserve">Maintain maturity</x:t>
        </x:is>
      </x:c>
      <x:c r="J342" s="3" t="inlineStr">
        <x:is>
          <x:t xml:space="preserve">N</x:t>
        </x:is>
      </x:c>
      <x:c r="K342" s="3" t="inlineStr">
        <x:is>
          <x:t xml:space="preserve">Evidence: KPIs + survey trends.</x:t>
        </x:is>
      </x:c>
    </x:row>
    <x:row r="343">
      <x:c r="A343" s="3" t="inlineStr">
        <x:is>
          <x:t xml:space="preserve">HR</x:t>
        </x:is>
      </x:c>
      <x:c r="B343" s="3" t="inlineStr">
        <x:is>
          <x:t xml:space="preserve">HR-D8-Q27</x:t>
        </x:is>
      </x:c>
      <x:c r="C343" s="3" t="inlineStr">
        <x:is>
          <x:t xml:space="preserve">HR-D8-Q27-A0</x:t>
        </x:is>
      </x:c>
      <x:c r="D343" s="3" t="n">
        <x:v>1</x:v>
      </x:c>
      <x:c r="E343" s="3" t="inlineStr">
        <x:is>
          <x:t xml:space="preserve">I don't know / Not sure.</x:t>
        </x:is>
      </x:c>
      <x:c r="F343" s="3" t="n">
        <x:v>0</x:v>
      </x:c>
      <x:c r="G343" s="3" t="inlineStr">
        <x:is>
          <x:t xml:space="preserve">low-confidence</x:t>
        </x:is>
      </x:c>
      <x:c r="H343" s="3" t="inlineStr">
        <x:is>
          <x:t xml:space="preserve">Operating Model Gap</x:t>
        </x:is>
      </x:c>
      <x:c r="I343" s="3" t="inlineStr">
        <x:is>
          <x:t xml:space="preserve">Clarify reporting</x:t>
        </x:is>
      </x:c>
      <x:c r="J343" s="3" t="inlineStr">
        <x:is>
          <x:t xml:space="preserve">N</x:t>
        </x:is>
      </x:c>
      <x:c r="K343" s="3" t="inlineStr">
        <x:is>
          <x:t xml:space="preserve"/>
        </x:is>
      </x:c>
    </x:row>
    <x:row r="344">
      <x:c r="A344" s="3" t="inlineStr">
        <x:is>
          <x:t xml:space="preserve">HR</x:t>
        </x:is>
      </x:c>
      <x:c r="B344" s="3" t="inlineStr">
        <x:is>
          <x:t xml:space="preserve">HR-D8-Q27</x:t>
        </x:is>
      </x:c>
      <x:c r="C344" s="3" t="inlineStr">
        <x:is>
          <x:t xml:space="preserve">HR-D8-Q27-A1</x:t>
        </x:is>
      </x:c>
      <x:c r="D344" s="3" t="n">
        <x:v>2</x:v>
      </x:c>
      <x:c r="E344" s="3" t="inlineStr">
        <x:is>
          <x:t xml:space="preserve">None: HR does not report on these topics.</x:t>
        </x:is>
      </x:c>
      <x:c r="F344" s="3" t="n">
        <x:v>0</x:v>
      </x:c>
      <x:c r="G344" s="3" t="inlineStr">
        <x:is>
          <x:t xml:space="preserve">paper_dragon_signal</x:t>
        </x:is>
      </x:c>
      <x:c r="H344" s="3" t="inlineStr">
        <x:is>
          <x:t xml:space="preserve">Paper Dragon</x:t>
        </x:is>
      </x:c>
      <x:c r="I344" s="3" t="inlineStr">
        <x:is>
          <x:t xml:space="preserve">Introduce leadership reporting</x:t>
        </x:is>
      </x:c>
      <x:c r="J344" s="3" t="inlineStr">
        <x:is>
          <x:t xml:space="preserve">N</x:t>
        </x:is>
      </x:c>
      <x:c r="K344" s="3" t="inlineStr">
        <x:is>
          <x:t xml:space="preserve"/>
        </x:is>
      </x:c>
    </x:row>
    <x:row r="345">
      <x:c r="A345" s="3" t="inlineStr">
        <x:is>
          <x:t xml:space="preserve">HR</x:t>
        </x:is>
      </x:c>
      <x:c r="B345" s="3" t="inlineStr">
        <x:is>
          <x:t xml:space="preserve">HR-D8-Q27</x:t>
        </x:is>
      </x:c>
      <x:c r="C345" s="3" t="inlineStr">
        <x:is>
          <x:t xml:space="preserve">HR-D8-Q27-A2</x:t>
        </x:is>
      </x:c>
      <x:c r="D345" s="3" t="n">
        <x:v>3</x:v>
      </x:c>
      <x:c r="E345" s="3" t="inlineStr">
        <x:is>
          <x:t xml:space="preserve">Ad-hoc: only after incidents or external pressure.</x:t>
        </x:is>
      </x:c>
      <x:c r="F345" s="3" t="n">
        <x:v>1</x:v>
      </x:c>
      <x:c r="G345" s="3" t="inlineStr">
        <x:is>
          <x:t xml:space="preserve">control_lag</x:t>
        </x:is>
      </x:c>
      <x:c r="H345" s="3" t="inlineStr">
        <x:is>
          <x:t xml:space="preserve">Control Lag</x:t>
        </x:is>
      </x:c>
      <x:c r="I345" s="3" t="inlineStr">
        <x:is>
          <x:t xml:space="preserve">Create regular cadence</x:t>
        </x:is>
      </x:c>
      <x:c r="J345" s="3" t="inlineStr">
        <x:is>
          <x:t xml:space="preserve">N</x:t>
        </x:is>
      </x:c>
      <x:c r="K345" s="3" t="inlineStr">
        <x:is>
          <x:t xml:space="preserve"/>
        </x:is>
      </x:c>
    </x:row>
    <x:row r="346">
      <x:c r="A346" s="3" t="inlineStr">
        <x:is>
          <x:t xml:space="preserve">HR</x:t>
        </x:is>
      </x:c>
      <x:c r="B346" s="3" t="inlineStr">
        <x:is>
          <x:t xml:space="preserve">HR-D8-Q27</x:t>
        </x:is>
      </x:c>
      <x:c r="C346" s="3" t="inlineStr">
        <x:is>
          <x:t xml:space="preserve">HR-D8-Q27-A3</x:t>
        </x:is>
      </x:c>
      <x:c r="D346" s="3" t="n">
        <x:v>4</x:v>
      </x:c>
      <x:c r="E346" s="3" t="inlineStr">
        <x:is>
          <x:t xml:space="preserve">Basic: occasional updates on policy/training; limited on culture/themes.</x:t>
        </x:is>
      </x:c>
      <x:c r="F346" s="3" t="n">
        <x:v>2</x:v>
      </x:c>
      <x:c r="G346" s="3" t="inlineStr">
        <x:is>
          <x:t xml:space="preserve"/>
        </x:is>
      </x:c>
      <x:c r="H346" s="3" t="inlineStr">
        <x:is>
          <x:t xml:space="preserve">Operating Model Gap</x:t>
        </x:is>
      </x:c>
      <x:c r="I346" s="3" t="inlineStr">
        <x:is>
          <x:t xml:space="preserve">Expand to themes + actions</x:t>
        </x:is>
      </x:c>
      <x:c r="J346" s="3" t="inlineStr">
        <x:is>
          <x:t xml:space="preserve">N</x:t>
        </x:is>
      </x:c>
      <x:c r="K346" s="3" t="inlineStr">
        <x:is>
          <x:t xml:space="preserve">Evidence: slide pack example.</x:t>
        </x:is>
      </x:c>
    </x:row>
    <x:row r="347">
      <x:c r="A347" s="3" t="inlineStr">
        <x:is>
          <x:t xml:space="preserve">HR</x:t>
        </x:is>
      </x:c>
      <x:c r="B347" s="3" t="inlineStr">
        <x:is>
          <x:t xml:space="preserve">HR-D8-Q27</x:t>
        </x:is>
      </x:c>
      <x:c r="C347" s="3" t="inlineStr">
        <x:is>
          <x:t xml:space="preserve">HR-D8-Q27-A4</x:t>
        </x:is>
      </x:c>
      <x:c r="D347" s="3" t="n">
        <x:v>5</x:v>
      </x:c>
      <x:c r="E347" s="3" t="inlineStr">
        <x:is>
          <x:t xml:space="preserve">Managed: quarterly dashboards covering culture, retaliation, and improvement actions.</x:t>
        </x:is>
      </x:c>
      <x:c r="F347" s="3" t="n">
        <x:v>3</x:v>
      </x:c>
      <x:c r="G347" s="3" t="inlineStr">
        <x:is>
          <x:t xml:space="preserve"/>
        </x:is>
      </x:c>
      <x:c r="H347" s="3" t="inlineStr">
        <x:is>
          <x:t xml:space="preserve">Operating Model Gap</x:t>
        </x:is>
      </x:c>
      <x:c r="I347" s="3" t="inlineStr">
        <x:is>
          <x:t xml:space="preserve">Maintain and improve</x:t>
        </x:is>
      </x:c>
      <x:c r="J347" s="3" t="inlineStr">
        <x:is>
          <x:t xml:space="preserve">N</x:t>
        </x:is>
      </x:c>
      <x:c r="K347" s="3" t="inlineStr">
        <x:is>
          <x:t xml:space="preserve">Evidence: KPI dashboard.</x:t>
        </x:is>
      </x:c>
    </x:row>
    <x:row r="348">
      <x:c r="A348" s="3" t="inlineStr">
        <x:is>
          <x:t xml:space="preserve">HR</x:t>
        </x:is>
      </x:c>
      <x:c r="B348" s="3" t="inlineStr">
        <x:is>
          <x:t xml:space="preserve">HR-D8-Q27</x:t>
        </x:is>
      </x:c>
      <x:c r="C348" s="3" t="inlineStr">
        <x:is>
          <x:t xml:space="preserve">HR-D8-Q27-A5</x:t>
        </x:is>
      </x:c>
      <x:c r="D348" s="3" t="n">
        <x:v>6</x:v>
      </x:c>
      <x:c r="E348" s="3" t="inlineStr">
        <x:is>
          <x:t xml:space="preserve">Optimized: trends + leading indicators tracked and linked to outcomes.</x:t>
        </x:is>
      </x:c>
      <x:c r="F348" s="3" t="n">
        <x:v>4</x:v>
      </x:c>
      <x:c r="G348" s="3" t="inlineStr">
        <x:is>
          <x:t xml:space="preserve"/>
        </x:is>
      </x:c>
      <x:c r="H348" s="3" t="inlineStr">
        <x:is>
          <x:t xml:space="preserve">Culture Risk</x:t>
        </x:is>
      </x:c>
      <x:c r="I348" s="3" t="inlineStr">
        <x:is>
          <x:t xml:space="preserve">Maintain maturity</x:t>
        </x:is>
      </x:c>
      <x:c r="J348" s="3" t="inlineStr">
        <x:is>
          <x:t xml:space="preserve">N</x:t>
        </x:is>
      </x:c>
      <x:c r="K348" s="3" t="inlineStr">
        <x:is>
          <x:t xml:space="preserve">Evidence: trend charts + outcomes.</x:t>
        </x:is>
      </x:c>
    </x:row>
    <x:row r="349">
      <x:c r="A349" s="3" t="inlineStr">
        <x:is>
          <x:t xml:space="preserve">HR</x:t>
        </x:is>
      </x:c>
      <x:c r="B349" s="3" t="inlineStr">
        <x:is>
          <x:t xml:space="preserve">HR-D8-Q28</x:t>
        </x:is>
      </x:c>
      <x:c r="C349" s="3" t="inlineStr">
        <x:is>
          <x:t xml:space="preserve">HR-D8-Q28-A1</x:t>
        </x:is>
      </x:c>
      <x:c r="D349" s="3" t="n">
        <x:v>1</x:v>
      </x:c>
      <x:c r="E349" s="3" t="inlineStr">
        <x:is>
          <x:t xml:space="preserve">No: only serious cases or formal complaints are tracked.</x:t>
        </x:is>
      </x:c>
      <x:c r="F349" s="3" t="n">
        <x:v>0</x:v>
      </x:c>
      <x:c r="G349" s="3" t="inlineStr">
        <x:is>
          <x:t xml:space="preserve">paper_dragon_signal</x:t>
        </x:is>
      </x:c>
      <x:c r="H349" s="3" t="inlineStr">
        <x:is>
          <x:t xml:space="preserve">Paper Dragon</x:t>
        </x:is>
      </x:c>
      <x:c r="I349" s="3" t="inlineStr">
        <x:is>
          <x:t xml:space="preserve">Add near-miss learning loop</x:t>
        </x:is>
      </x:c>
      <x:c r="J349" s="3" t="inlineStr">
        <x:is>
          <x:t xml:space="preserve">N</x:t>
        </x:is>
      </x:c>
      <x:c r="K349" s="3" t="inlineStr">
        <x:is>
          <x:t xml:space="preserve"/>
        </x:is>
      </x:c>
    </x:row>
    <x:row r="350">
      <x:c r="A350" s="3" t="inlineStr">
        <x:is>
          <x:t xml:space="preserve">HR</x:t>
        </x:is>
      </x:c>
      <x:c r="B350" s="3" t="inlineStr">
        <x:is>
          <x:t xml:space="preserve">HR-D8-Q28</x:t>
        </x:is>
      </x:c>
      <x:c r="C350" s="3" t="inlineStr">
        <x:is>
          <x:t xml:space="preserve">HR-D8-Q28-A2</x:t>
        </x:is>
      </x:c>
      <x:c r="D350" s="3" t="n">
        <x:v>2</x:v>
      </x:c>
      <x:c r="E350" s="3" t="inlineStr">
        <x:is>
          <x:t xml:space="preserve">Informal: talked about, but nothing tracked.</x:t>
        </x:is>
      </x:c>
      <x:c r="F350" s="3" t="n">
        <x:v>1</x:v>
      </x:c>
      <x:c r="G350" s="3" t="inlineStr">
        <x:is>
          <x:t xml:space="preserve">shadow_mature_signal</x:t>
        </x:is>
      </x:c>
      <x:c r="H350" s="3" t="inlineStr">
        <x:is>
          <x:t xml:space="preserve">Culture Risk</x:t>
        </x:is>
      </x:c>
      <x:c r="I350" s="3" t="inlineStr">
        <x:is>
          <x:t xml:space="preserve">Create privacy-safe tracking</x:t>
        </x:is>
      </x:c>
      <x:c r="J350" s="3" t="inlineStr">
        <x:is>
          <x:t xml:space="preserve">N</x:t>
        </x:is>
      </x:c>
      <x:c r="K350" s="3" t="inlineStr">
        <x:is>
          <x:t xml:space="preserve"/>
        </x:is>
      </x:c>
    </x:row>
    <x:row r="351">
      <x:c r="A351" s="3" t="inlineStr">
        <x:is>
          <x:t xml:space="preserve">HR</x:t>
        </x:is>
      </x:c>
      <x:c r="B351" s="3" t="inlineStr">
        <x:is>
          <x:t xml:space="preserve">HR-D8-Q28</x:t>
        </x:is>
      </x:c>
      <x:c r="C351" s="3" t="inlineStr">
        <x:is>
          <x:t xml:space="preserve">HR-D8-Q28-A3</x:t>
        </x:is>
      </x:c>
      <x:c r="D351" s="3" t="n">
        <x:v>3</x:v>
      </x:c>
      <x:c r="E351" s="3" t="inlineStr">
        <x:is>
          <x:t xml:space="preserve">Sometimes tracked in aggregate; used for learning/training.</x:t>
        </x:is>
      </x:c>
      <x:c r="F351" s="3" t="n">
        <x:v>2</x:v>
      </x:c>
      <x:c r="G351" s="3" t="inlineStr">
        <x:is>
          <x:t xml:space="preserve"/>
        </x:is>
      </x:c>
      <x:c r="H351" s="3" t="inlineStr">
        <x:is>
          <x:t xml:space="preserve">Culture Risk</x:t>
        </x:is>
      </x:c>
      <x:c r="I351" s="3" t="inlineStr">
        <x:is>
          <x:t xml:space="preserve">Improve consistency</x:t>
        </x:is>
      </x:c>
      <x:c r="J351" s="3" t="inlineStr">
        <x:is>
          <x:t xml:space="preserve">N</x:t>
        </x:is>
      </x:c>
      <x:c r="K351" s="3" t="inlineStr">
        <x:is>
          <x:t xml:space="preserve">Evidence: anonymized examples.</x:t>
        </x:is>
      </x:c>
    </x:row>
    <x:row r="352">
      <x:c r="A352" s="3" t="inlineStr">
        <x:is>
          <x:t xml:space="preserve">HR</x:t>
        </x:is>
      </x:c>
      <x:c r="B352" s="3" t="inlineStr">
        <x:is>
          <x:t xml:space="preserve">HR-D8-Q28</x:t>
        </x:is>
      </x:c>
      <x:c r="C352" s="3" t="inlineStr">
        <x:is>
          <x:t xml:space="preserve">HR-D8-Q28-A4</x:t>
        </x:is>
      </x:c>
      <x:c r="D352" s="3" t="n">
        <x:v>4</x:v>
      </x:c>
      <x:c r="E352" s="3" t="inlineStr">
        <x:is>
          <x:t xml:space="preserve">Tracked as leading indicators; reinforces positive culture and reduces repeats.</x:t>
        </x:is>
      </x:c>
      <x:c r="F352" s="3" t="n">
        <x:v>3</x:v>
      </x:c>
      <x:c r="G352" s="3" t="inlineStr">
        <x:is>
          <x:t xml:space="preserve"/>
        </x:is>
      </x:c>
      <x:c r="H352" s="3" t="inlineStr">
        <x:is>
          <x:t xml:space="preserve">Culture Risk</x:t>
        </x:is>
      </x:c>
      <x:c r="I352" s="3" t="inlineStr">
        <x:is>
          <x:t xml:space="preserve">Maintain</x:t>
        </x:is>
      </x:c>
      <x:c r="J352" s="3" t="inlineStr">
        <x:is>
          <x:t xml:space="preserve">N</x:t>
        </x:is>
      </x:c>
      <x:c r="K352" s="3" t="inlineStr">
        <x:is>
          <x:t xml:space="preserve">Evidence: dashboard indicator.</x:t>
        </x:is>
      </x:c>
    </x:row>
    <x:row r="353">
      <x:c r="A353" s="3" t="inlineStr">
        <x:is>
          <x:t xml:space="preserve">HR</x:t>
        </x:is>
      </x:c>
      <x:c r="B353" s="3" t="inlineStr">
        <x:is>
          <x:t xml:space="preserve">HR-D8-Q29</x:t>
        </x:is>
      </x:c>
      <x:c r="C353" s="3" t="inlineStr">
        <x:is>
          <x:t xml:space="preserve">HR-D8-Q29-A1</x:t>
        </x:is>
      </x:c>
      <x:c r="D353" s="3" t="n">
        <x:v>1</x:v>
      </x:c>
      <x:c r="E353" s="3" t="inlineStr">
        <x:is>
          <x:t xml:space="preserve">No metrics: we can't tell how fast or consistent we are.</x:t>
        </x:is>
      </x:c>
      <x:c r="F353" s="3" t="n">
        <x:v>0</x:v>
      </x:c>
      <x:c r="G353" s="3" t="inlineStr">
        <x:is>
          <x:t xml:space="preserve">operating_model_gap</x:t>
        </x:is>
      </x:c>
      <x:c r="H353" s="3" t="inlineStr">
        <x:is>
          <x:t xml:space="preserve">Operating Model Gap</x:t>
        </x:is>
      </x:c>
      <x:c r="I353" s="3" t="inlineStr">
        <x:is>
          <x:t xml:space="preserve">Introduce case metrics</x:t>
        </x:is>
      </x:c>
      <x:c r="J353" s="3" t="inlineStr">
        <x:is>
          <x:t xml:space="preserve">N</x:t>
        </x:is>
      </x:c>
      <x:c r="K353" s="3" t="inlineStr">
        <x:is>
          <x:t xml:space="preserve"/>
        </x:is>
      </x:c>
    </x:row>
    <x:row r="354">
      <x:c r="A354" s="3" t="inlineStr">
        <x:is>
          <x:t xml:space="preserve">HR</x:t>
        </x:is>
      </x:c>
      <x:c r="B354" s="3" t="inlineStr">
        <x:is>
          <x:t xml:space="preserve">HR-D8-Q29</x:t>
        </x:is>
      </x:c>
      <x:c r="C354" s="3" t="inlineStr">
        <x:is>
          <x:t xml:space="preserve">HR-D8-Q29-A2</x:t>
        </x:is>
      </x:c>
      <x:c r="D354" s="3" t="n">
        <x:v>2</x:v>
      </x:c>
      <x:c r="E354" s="3" t="inlineStr">
        <x:is>
          <x:t xml:space="preserve">Some metrics exist but not used for improvement.</x:t>
        </x:is>
      </x:c>
      <x:c r="F354" s="3" t="n">
        <x:v>1</x:v>
      </x:c>
      <x:c r="G354" s="3" t="inlineStr">
        <x:is>
          <x:t xml:space="preserve">paper_dragon_signal</x:t>
        </x:is>
      </x:c>
      <x:c r="H354" s="3" t="inlineStr">
        <x:is>
          <x:t xml:space="preserve">Paper Dragon</x:t>
        </x:is>
      </x:c>
      <x:c r="I354" s="3" t="inlineStr">
        <x:is>
          <x:t xml:space="preserve">Use metrics for improvement</x:t>
        </x:is>
      </x:c>
      <x:c r="J354" s="3" t="inlineStr">
        <x:is>
          <x:t xml:space="preserve">N</x:t>
        </x:is>
      </x:c>
      <x:c r="K354" s="3" t="inlineStr">
        <x:is>
          <x:t xml:space="preserve"/>
        </x:is>
      </x:c>
    </x:row>
    <x:row r="355">
      <x:c r="A355" s="3" t="inlineStr">
        <x:is>
          <x:t xml:space="preserve">HR</x:t>
        </x:is>
      </x:c>
      <x:c r="B355" s="3" t="inlineStr">
        <x:is>
          <x:t xml:space="preserve">HR-D8-Q29</x:t>
        </x:is>
      </x:c>
      <x:c r="C355" s="3" t="inlineStr">
        <x:is>
          <x:t xml:space="preserve">HR-D8-Q29-A3</x:t>
        </x:is>
      </x:c>
      <x:c r="D355" s="3" t="n">
        <x:v>3</x:v>
      </x:c>
      <x:c r="E355" s="3" t="inlineStr">
        <x:is>
          <x:t xml:space="preserve">Basic metrics tracked; improvement actions occasional.</x:t>
        </x:is>
      </x:c>
      <x:c r="F355" s="3" t="n">
        <x:v>2</x:v>
      </x:c>
      <x:c r="G355" s="3" t="inlineStr">
        <x:is>
          <x:t xml:space="preserve"/>
        </x:is>
      </x:c>
      <x:c r="H355" s="3" t="inlineStr">
        <x:is>
          <x:t xml:space="preserve">Operating Model Gap</x:t>
        </x:is>
      </x:c>
      <x:c r="I355" s="3" t="inlineStr">
        <x:is>
          <x:t xml:space="preserve">Set targets and review cadence</x:t>
        </x:is>
      </x:c>
      <x:c r="J355" s="3" t="inlineStr">
        <x:is>
          <x:t xml:space="preserve">N</x:t>
        </x:is>
      </x:c>
      <x:c r="K355" s="3" t="inlineStr">
        <x:is>
          <x:t xml:space="preserve">Evidence: KPI list.</x:t>
        </x:is>
      </x:c>
    </x:row>
    <x:row r="356">
      <x:c r="A356" s="3" t="inlineStr">
        <x:is>
          <x:t xml:space="preserve">HR</x:t>
        </x:is>
      </x:c>
      <x:c r="B356" s="3" t="inlineStr">
        <x:is>
          <x:t xml:space="preserve">HR-D8-Q29</x:t>
        </x:is>
      </x:c>
      <x:c r="C356" s="3" t="inlineStr">
        <x:is>
          <x:t xml:space="preserve">HR-D8-Q29-A4</x:t>
        </x:is>
      </x:c>
      <x:c r="D356" s="3" t="n">
        <x:v>4</x:v>
      </x:c>
      <x:c r="E356" s="3" t="inlineStr">
        <x:is>
          <x:t xml:space="preserve">Managed: targets set; metrics reviewed; backlog/quality addressed.</x:t>
        </x:is>
      </x:c>
      <x:c r="F356" s="3" t="n">
        <x:v>3</x:v>
      </x:c>
      <x:c r="G356" s="3" t="inlineStr">
        <x:is>
          <x:t xml:space="preserve"/>
        </x:is>
      </x:c>
      <x:c r="H356" s="3" t="inlineStr">
        <x:is>
          <x:t xml:space="preserve">Operating Model Gap</x:t>
        </x:is>
      </x:c>
      <x:c r="I356" s="3" t="inlineStr">
        <x:is>
          <x:t xml:space="preserve">Maintain and refine</x:t>
        </x:is>
      </x:c>
      <x:c r="J356" s="3" t="inlineStr">
        <x:is>
          <x:t xml:space="preserve">N</x:t>
        </x:is>
      </x:c>
      <x:c r="K356" s="3" t="inlineStr">
        <x:is>
          <x:t xml:space="preserve">Evidence: dashboard + meeting notes.</x:t>
        </x:is>
      </x:c>
    </x:row>
    <x:row r="357">
      <x:c r="A357" s="3" t="inlineStr">
        <x:is>
          <x:t xml:space="preserve">HR</x:t>
        </x:is>
      </x:c>
      <x:c r="B357" s="3" t="inlineStr">
        <x:is>
          <x:t xml:space="preserve">HR-D8-Q29</x:t>
        </x:is>
      </x:c>
      <x:c r="C357" s="3" t="inlineStr">
        <x:is>
          <x:t xml:space="preserve">HR-D8-Q29-A5</x:t>
        </x:is>
      </x:c>
      <x:c r="D357" s="3" t="n">
        <x:v>5</x:v>
      </x:c>
      <x:c r="E357" s="3" t="inlineStr">
        <x:is>
          <x:t xml:space="preserve">Optimized: metrics linked to trust outcomes and continuous improvement.</x:t>
        </x:is>
      </x:c>
      <x:c r="F357" s="3" t="n">
        <x:v>4</x:v>
      </x:c>
      <x:c r="G357" s="3" t="inlineStr">
        <x:is>
          <x:t xml:space="preserve"/>
        </x:is>
      </x:c>
      <x:c r="H357" s="3" t="inlineStr">
        <x:is>
          <x:t xml:space="preserve">Culture Risk</x:t>
        </x:is>
      </x:c>
      <x:c r="I357" s="3" t="inlineStr">
        <x:is>
          <x:t xml:space="preserve">Maintain maturity</x:t>
        </x:is>
      </x:c>
      <x:c r="J357" s="3" t="inlineStr">
        <x:is>
          <x:t xml:space="preserve">N</x:t>
        </x:is>
      </x:c>
      <x:c r="K357" s="3" t="inlineStr">
        <x:is>
          <x:t xml:space="preserve">Evidence: KPI trends + actions.</x:t>
        </x:is>
      </x:c>
    </x:row>
    <x:row r="358">
      <x:c r="A358" s="3" t="inlineStr">
        <x:is>
          <x:t xml:space="preserve">Security</x:t>
        </x:is>
      </x:c>
      <x:c r="B358" s="3" t="inlineStr">
        <x:is>
          <x:t xml:space="preserve">SEC-D1-Q01</x:t>
        </x:is>
      </x:c>
      <x:c r="C358" s="3" t="inlineStr">
        <x:is>
          <x:t xml:space="preserve">SEC-D1-Q01-A0</x:t>
        </x:is>
      </x:c>
      <x:c r="D358" s="3" t="n">
        <x:v>1</x:v>
      </x:c>
      <x:c r="E358" s="3" t="inlineStr">
        <x:is>
          <x:t xml:space="preserve">I don't know / not sure.</x:t>
        </x:is>
      </x:c>
      <x:c r="F358" s="3" t="n">
        <x:v>0</x:v>
      </x:c>
      <x:c r="G358" s="3" t="inlineStr">
        <x:is>
          <x:t xml:space="preserve">unknown</x:t>
        </x:is>
      </x:c>
      <x:c r="H358" s="3" t="inlineStr">
        <x:is>
          <x:t xml:space="preserve">Unknown</x:t>
        </x:is>
      </x:c>
      <x:c r="I358" s="3" t="inlineStr">
        <x:is>
          <x:t xml:space="preserve">Assess_Case_Model</x:t>
        </x:is>
      </x:c>
      <x:c r="J358" s="3" t="inlineStr">
        <x:is>
          <x:t xml:space="preserve">N</x:t>
        </x:is>
      </x:c>
      <x:c r="K358" s="3" t="inlineStr">
        <x:is>
          <x:t xml:space="preserve"/>
        </x:is>
      </x:c>
    </x:row>
    <x:row r="359">
      <x:c r="A359" s="3" t="inlineStr">
        <x:is>
          <x:t xml:space="preserve">Security</x:t>
        </x:is>
      </x:c>
      <x:c r="B359" s="3" t="inlineStr">
        <x:is>
          <x:t xml:space="preserve">SEC-D1-Q01</x:t>
        </x:is>
      </x:c>
      <x:c r="C359" s="3" t="inlineStr">
        <x:is>
          <x:t xml:space="preserve">SEC-D1-Q01-A1</x:t>
        </x:is>
      </x:c>
      <x:c r="D359" s="3" t="n">
        <x:v>2</x:v>
      </x:c>
      <x:c r="E359" s="3" t="inlineStr">
        <x:is>
          <x:t xml:space="preserve">No one monitors for internal misuse; we mainly react after incidents.</x:t>
        </x:is>
      </x:c>
      <x:c r="F359" s="3" t="n">
        <x:v>0</x:v>
      </x:c>
      <x:c r="G359" s="3" t="inlineStr">
        <x:is>
          <x:t xml:space="preserve">paper_dragon_signal</x:t>
        </x:is>
      </x:c>
      <x:c r="H359" s="3" t="inlineStr">
        <x:is>
          <x:t xml:space="preserve">Paper Dragon</x:t>
        </x:is>
      </x:c>
      <x:c r="I359" s="3" t="inlineStr">
        <x:is>
          <x:t xml:space="preserve">Build_Detection_Strategy</x:t>
        </x:is>
      </x:c>
      <x:c r="J359" s="3" t="inlineStr">
        <x:is>
          <x:t xml:space="preserve">N</x:t>
        </x:is>
      </x:c>
      <x:c r="K359" s="3" t="inlineStr">
        <x:is>
          <x:t xml:space="preserve"/>
        </x:is>
      </x:c>
    </x:row>
    <x:row r="360">
      <x:c r="A360" s="3" t="inlineStr">
        <x:is>
          <x:t xml:space="preserve">Security</x:t>
        </x:is>
      </x:c>
      <x:c r="B360" s="3" t="inlineStr">
        <x:is>
          <x:t xml:space="preserve">SEC-D1-Q01</x:t>
        </x:is>
      </x:c>
      <x:c r="C360" s="3" t="inlineStr">
        <x:is>
          <x:t xml:space="preserve">SEC-D1-Q01-A2</x:t>
        </x:is>
      </x:c>
      <x:c r="D360" s="3" t="n">
        <x:v>3</x:v>
      </x:c>
      <x:c r="E360" s="3" t="inlineStr">
        <x:is>
          <x:t xml:space="preserve">Ad‑hoc: an IT admin/manager checks logs only when something feels wrong.</x:t>
        </x:is>
      </x:c>
      <x:c r="F360" s="3" t="n">
        <x:v>1</x:v>
      </x:c>
      <x:c r="G360" s="3" t="inlineStr">
        <x:is>
          <x:t xml:space="preserve">shadow_mature_signal</x:t>
        </x:is>
      </x:c>
      <x:c r="H360" s="3" t="inlineStr">
        <x:is>
          <x:t xml:space="preserve">Shadow Mature</x:t>
        </x:is>
      </x:c>
      <x:c r="I360" s="3" t="inlineStr">
        <x:is>
          <x:t xml:space="preserve">Capture_Informal_Practices</x:t>
        </x:is>
      </x:c>
      <x:c r="J360" s="3" t="inlineStr">
        <x:is>
          <x:t xml:space="preserve">N</x:t>
        </x:is>
      </x:c>
      <x:c r="K360" s="3" t="inlineStr">
        <x:is>
          <x:t xml:space="preserve">Example of an ad‑hoc review or incident note.</x:t>
        </x:is>
      </x:c>
    </x:row>
    <x:row r="361">
      <x:c r="A361" s="3" t="inlineStr">
        <x:is>
          <x:t xml:space="preserve">Security</x:t>
        </x:is>
      </x:c>
      <x:c r="B361" s="3" t="inlineStr">
        <x:is>
          <x:t xml:space="preserve">SEC-D1-Q01</x:t>
        </x:is>
      </x:c>
      <x:c r="C361" s="3" t="inlineStr">
        <x:is>
          <x:t xml:space="preserve">SEC-D1-Q01-A3</x:t>
        </x:is>
      </x:c>
      <x:c r="D361" s="3" t="n">
        <x:v>4</x:v>
      </x:c>
      <x:c r="E361" s="3" t="inlineStr">
        <x:is>
          <x:t xml:space="preserve">Partial: SOC/IT reviews some alerts, but not consistently or not for key systems.</x:t>
        </x:is>
      </x:c>
      <x:c r="F361" s="3" t="n">
        <x:v>2</x:v>
      </x:c>
      <x:c r="G361" s="3" t="inlineStr">
        <x:is>
          <x:t xml:space="preserve"/>
        </x:is>
      </x:c>
      <x:c r="H361" s="3" t="inlineStr">
        <x:is>
          <x:t xml:space="preserve">Operating Model Gap</x:t>
        </x:is>
      </x:c>
      <x:c r="I361" s="3" t="inlineStr">
        <x:is>
          <x:t xml:space="preserve">Assess_Detection</x:t>
        </x:is>
      </x:c>
      <x:c r="J361" s="3" t="inlineStr">
        <x:is>
          <x:t xml:space="preserve">N</x:t>
        </x:is>
      </x:c>
      <x:c r="K361" s="3" t="inlineStr">
        <x:is>
          <x:t xml:space="preserve">List monitored systems and who reviews them.</x:t>
        </x:is>
      </x:c>
    </x:row>
    <x:row r="362">
      <x:c r="A362" s="3" t="inlineStr">
        <x:is>
          <x:t xml:space="preserve">Security</x:t>
        </x:is>
      </x:c>
      <x:c r="B362" s="3" t="inlineStr">
        <x:is>
          <x:t xml:space="preserve">SEC-D1-Q01</x:t>
        </x:is>
      </x:c>
      <x:c r="C362" s="3" t="inlineStr">
        <x:is>
          <x:t xml:space="preserve">SEC-D1-Q01-A4</x:t>
        </x:is>
      </x:c>
      <x:c r="D362" s="3" t="n">
        <x:v>5</x:v>
      </x:c>
      <x:c r="E362" s="3" t="inlineStr">
        <x:is>
          <x:t xml:space="preserve">Defined: named team monitors agreed key systems with a regular cadence and documented handoffs.</x:t>
        </x:is>
      </x:c>
      <x:c r="F362" s="3" t="n">
        <x:v>3</x:v>
      </x:c>
      <x:c r="G362" s="3" t="inlineStr">
        <x:is>
          <x:t xml:space="preserve"/>
        </x:is>
      </x:c>
      <x:c r="H362" s="3" t="inlineStr">
        <x:is>
          <x:t xml:space="preserve">Operating Model Gap</x:t>
        </x:is>
      </x:c>
      <x:c r="I362" s="3" t="inlineStr">
        <x:is>
          <x:t xml:space="preserve">Assess_Case_Model</x:t>
        </x:is>
      </x:c>
      <x:c r="J362" s="3" t="inlineStr">
        <x:is>
          <x:t xml:space="preserve">Y</x:t>
        </x:is>
      </x:c>
      <x:c r="K362" s="3" t="inlineStr">
        <x:is>
          <x:t xml:space="preserve">Runbook/SOP + sample ticket (redacted).</x:t>
        </x:is>
      </x:c>
    </x:row>
    <x:row r="363">
      <x:c r="A363" s="3" t="inlineStr">
        <x:is>
          <x:t xml:space="preserve">Security</x:t>
        </x:is>
      </x:c>
      <x:c r="B363" s="3" t="inlineStr">
        <x:is>
          <x:t xml:space="preserve">SEC-D1-Q01</x:t>
        </x:is>
      </x:c>
      <x:c r="C363" s="3" t="inlineStr">
        <x:is>
          <x:t xml:space="preserve">SEC-D1-Q01-A5</x:t>
        </x:is>
      </x:c>
      <x:c r="D363" s="3" t="n">
        <x:v>6</x:v>
      </x:c>
      <x:c r="E363" s="3" t="inlineStr">
        <x:is>
          <x:t xml:space="preserve">Optimized: monitoring is embedded in SOC/case management with SLAs and quality checks.</x:t>
        </x:is>
      </x:c>
      <x:c r="F363" s="3" t="n">
        <x:v>4</x:v>
      </x:c>
      <x:c r="G363" s="3" t="inlineStr">
        <x:is>
          <x:t xml:space="preserve"/>
        </x:is>
      </x:c>
      <x:c r="H363" s="3" t="inlineStr">
        <x:is>
          <x:t xml:space="preserve">Resilience Gap</x:t>
        </x:is>
      </x:c>
      <x:c r="I363" s="3" t="inlineStr">
        <x:is>
          <x:t xml:space="preserve">Improve_Metrics</x:t>
        </x:is>
      </x:c>
      <x:c r="J363" s="3" t="inlineStr">
        <x:is>
          <x:t xml:space="preserve">Y</x:t>
        </x:is>
      </x:c>
      <x:c r="K363" s="3" t="inlineStr">
        <x:is>
          <x:t xml:space="preserve">SLA + recent quality/accuracy report.</x:t>
        </x:is>
      </x:c>
    </x:row>
    <x:row r="364">
      <x:c r="A364" s="3" t="inlineStr">
        <x:is>
          <x:t xml:space="preserve">Security</x:t>
        </x:is>
      </x:c>
      <x:c r="B364" s="3" t="inlineStr">
        <x:is>
          <x:t xml:space="preserve">SEC-D1-Q02</x:t>
        </x:is>
      </x:c>
      <x:c r="C364" s="3" t="inlineStr">
        <x:is>
          <x:t xml:space="preserve">SEC-D1-Q02-A1</x:t>
        </x:is>
      </x:c>
      <x:c r="D364" s="3" t="n">
        <x:v>1</x:v>
      </x:c>
      <x:c r="E364" s="3" t="inlineStr">
        <x:is>
          <x:t xml:space="preserve">No — we focus on external threats; insiders are out of scope.</x:t>
        </x:is>
      </x:c>
      <x:c r="F364" s="3" t="n">
        <x:v>0</x:v>
      </x:c>
      <x:c r="G364" s="3" t="inlineStr">
        <x:is>
          <x:t xml:space="preserve">paper_dragon_signal</x:t>
        </x:is>
      </x:c>
      <x:c r="H364" s="3" t="inlineStr">
        <x:is>
          <x:t xml:space="preserve">Paper Dragon</x:t>
        </x:is>
      </x:c>
      <x:c r="I364" s="3" t="inlineStr">
        <x:is>
          <x:t xml:space="preserve">Build_Detection_Strategy</x:t>
        </x:is>
      </x:c>
      <x:c r="J364" s="3" t="inlineStr">
        <x:is>
          <x:t xml:space="preserve">N</x:t>
        </x:is>
      </x:c>
      <x:c r="K364" s="3" t="inlineStr">
        <x:is>
          <x:t xml:space="preserve"/>
        </x:is>
      </x:c>
    </x:row>
    <x:row r="365">
      <x:c r="A365" s="3" t="inlineStr">
        <x:is>
          <x:t xml:space="preserve">Security</x:t>
        </x:is>
      </x:c>
      <x:c r="B365" s="3" t="inlineStr">
        <x:is>
          <x:t xml:space="preserve">SEC-D1-Q02</x:t>
        </x:is>
      </x:c>
      <x:c r="C365" s="3" t="inlineStr">
        <x:is>
          <x:t xml:space="preserve">SEC-D1-Q02-A2</x:t>
        </x:is>
      </x:c>
      <x:c r="D365" s="3" t="n">
        <x:v>2</x:v>
      </x:c>
      <x:c r="E365" s="3" t="inlineStr">
        <x:is>
          <x:t xml:space="preserve">Sometimes — a few experienced admins notice issues, but it depends on individuals.</x:t>
        </x:is>
      </x:c>
      <x:c r="F365" s="3" t="n">
        <x:v>2</x:v>
      </x:c>
      <x:c r="G365" s="3" t="inlineStr">
        <x:is>
          <x:t xml:space="preserve">shadow_mature_signal</x:t>
        </x:is>
      </x:c>
      <x:c r="H365" s="3" t="inlineStr">
        <x:is>
          <x:t xml:space="preserve">Shadow Mature</x:t>
        </x:is>
      </x:c>
      <x:c r="I365" s="3" t="inlineStr">
        <x:is>
          <x:t xml:space="preserve">Capture_Informal_Practices</x:t>
        </x:is>
      </x:c>
      <x:c r="J365" s="3" t="inlineStr">
        <x:is>
          <x:t xml:space="preserve">N</x:t>
        </x:is>
      </x:c>
      <x:c r="K365" s="3" t="inlineStr">
        <x:is>
          <x:t xml:space="preserve">Name typical signals and frequency.</x:t>
        </x:is>
      </x:c>
    </x:row>
    <x:row r="366">
      <x:c r="A366" s="3" t="inlineStr">
        <x:is>
          <x:t xml:space="preserve">Security</x:t>
        </x:is>
      </x:c>
      <x:c r="B366" s="3" t="inlineStr">
        <x:is>
          <x:t xml:space="preserve">SEC-D1-Q02</x:t>
        </x:is>
      </x:c>
      <x:c r="C366" s="3" t="inlineStr">
        <x:is>
          <x:t xml:space="preserve">SEC-D1-Q02-A3</x:t>
        </x:is>
      </x:c>
      <x:c r="D366" s="3" t="n">
        <x:v>3</x:v>
      </x:c>
      <x:c r="E366" s="3" t="inlineStr">
        <x:is>
          <x:t xml:space="preserve">Yes — a repeatable routine exists (even if informal) for reviewing a short list of high‑risk signals.</x:t>
        </x:is>
      </x:c>
      <x:c r="F366" s="3" t="n">
        <x:v>3</x:v>
      </x:c>
      <x:c r="G366" s="3" t="inlineStr">
        <x:is>
          <x:t xml:space="preserve">shadow_mature_signal</x:t>
        </x:is>
      </x:c>
      <x:c r="H366" s="3" t="inlineStr">
        <x:is>
          <x:t xml:space="preserve">Shadow Mature</x:t>
        </x:is>
      </x:c>
      <x:c r="I366" s="3" t="inlineStr">
        <x:is>
          <x:t xml:space="preserve">Align_Policy_To_Reality</x:t>
        </x:is>
      </x:c>
      <x:c r="J366" s="3" t="inlineStr">
        <x:is>
          <x:t xml:space="preserve">Y</x:t>
        </x:is>
      </x:c>
      <x:c r="K366" s="3" t="inlineStr">
        <x:is>
          <x:t xml:space="preserve">Short list of signals + example review note.</x:t>
        </x:is>
      </x:c>
    </x:row>
    <x:row r="367">
      <x:c r="A367" s="3" t="inlineStr">
        <x:is>
          <x:t xml:space="preserve">Security</x:t>
        </x:is>
      </x:c>
      <x:c r="B367" s="3" t="inlineStr">
        <x:is>
          <x:t xml:space="preserve">SEC-D1-Q03</x:t>
        </x:is>
      </x:c>
      <x:c r="C367" s="3" t="inlineStr">
        <x:is>
          <x:t xml:space="preserve">SEC-D1-Q03-A1</x:t>
        </x:is>
      </x:c>
      <x:c r="D367" s="3" t="n">
        <x:v>1</x:v>
      </x:c>
      <x:c r="E367" s="3" t="inlineStr">
        <x:is>
          <x:t xml:space="preserve">No workflow; decisions are improvised each time.</x:t>
        </x:is>
      </x:c>
      <x:c r="F367" s="3" t="n">
        <x:v>0</x:v>
      </x:c>
      <x:c r="G367" s="3" t="inlineStr">
        <x:is>
          <x:t xml:space="preserve"/>
        </x:is>
      </x:c>
      <x:c r="H367" s="3" t="inlineStr">
        <x:is>
          <x:t xml:space="preserve">Operating Model Gap</x:t>
        </x:is>
      </x:c>
      <x:c r="I367" s="3" t="inlineStr">
        <x:is>
          <x:t xml:space="preserve">Assess_Case_Model</x:t>
        </x:is>
      </x:c>
      <x:c r="J367" s="3" t="inlineStr">
        <x:is>
          <x:t xml:space="preserve">N</x:t>
        </x:is>
      </x:c>
      <x:c r="K367" s="3" t="inlineStr">
        <x:is>
          <x:t xml:space="preserve"/>
        </x:is>
      </x:c>
    </x:row>
    <x:row r="368">
      <x:c r="A368" s="3" t="inlineStr">
        <x:is>
          <x:t xml:space="preserve">Security</x:t>
        </x:is>
      </x:c>
      <x:c r="B368" s="3" t="inlineStr">
        <x:is>
          <x:t xml:space="preserve">SEC-D1-Q03</x:t>
        </x:is>
      </x:c>
      <x:c r="C368" s="3" t="inlineStr">
        <x:is>
          <x:t xml:space="preserve">SEC-D1-Q03-A2</x:t>
        </x:is>
      </x:c>
      <x:c r="D368" s="3" t="n">
        <x:v>2</x:v>
      </x:c>
      <x:c r="E368" s="3" t="inlineStr">
        <x:is>
          <x:t xml:space="preserve">Some notes exist, but they are outdated or rarely followed.</x:t>
        </x:is>
      </x:c>
      <x:c r="F368" s="3" t="n">
        <x:v>1</x:v>
      </x:c>
      <x:c r="G368" s="3" t="inlineStr">
        <x:is>
          <x:t xml:space="preserve">paper_dragon_signal</x:t>
        </x:is>
      </x:c>
      <x:c r="H368" s="3" t="inlineStr">
        <x:is>
          <x:t xml:space="preserve">Paper Dragon</x:t>
        </x:is>
      </x:c>
      <x:c r="I368" s="3" t="inlineStr">
        <x:is>
          <x:t xml:space="preserve">Align_Policy_To_Reality</x:t>
        </x:is>
      </x:c>
      <x:c r="J368" s="3" t="inlineStr">
        <x:is>
          <x:t xml:space="preserve">N</x:t>
        </x:is>
      </x:c>
      <x:c r="K368" s="3" t="inlineStr">
        <x:is>
          <x:t xml:space="preserve"/>
        </x:is>
      </x:c>
    </x:row>
    <x:row r="369">
      <x:c r="A369" s="3" t="inlineStr">
        <x:is>
          <x:t xml:space="preserve">Security</x:t>
        </x:is>
      </x:c>
      <x:c r="B369" s="3" t="inlineStr">
        <x:is>
          <x:t xml:space="preserve">SEC-D1-Q03</x:t>
        </x:is>
      </x:c>
      <x:c r="C369" s="3" t="inlineStr">
        <x:is>
          <x:t xml:space="preserve">SEC-D1-Q03-A3</x:t>
        </x:is>
      </x:c>
      <x:c r="D369" s="3" t="n">
        <x:v>3</x:v>
      </x:c>
      <x:c r="E369" s="3" t="inlineStr">
        <x:is>
          <x:t xml:space="preserve">Workflow exists and is used for most cases, but cross‑functional steps are unclear.</x:t>
        </x:is>
      </x:c>
      <x:c r="F369" s="3" t="n">
        <x:v>2</x:v>
      </x:c>
      <x:c r="G369" s="3" t="inlineStr">
        <x:is>
          <x:t xml:space="preserve"/>
        </x:is>
      </x:c>
      <x:c r="H369" s="3" t="inlineStr">
        <x:is>
          <x:t xml:space="preserve">Operating Model Gap</x:t>
        </x:is>
      </x:c>
      <x:c r="I369" s="3" t="inlineStr">
        <x:is>
          <x:t xml:space="preserve">Assess_Case_Model</x:t>
        </x:is>
      </x:c>
      <x:c r="J369" s="3" t="inlineStr">
        <x:is>
          <x:t xml:space="preserve">Y</x:t>
        </x:is>
      </x:c>
      <x:c r="K369" s="3" t="inlineStr">
        <x:is>
          <x:t xml:space="preserve">Workflow + 1 recent example case (redacted).</x:t>
        </x:is>
      </x:c>
    </x:row>
    <x:row r="370">
      <x:c r="A370" s="3" t="inlineStr">
        <x:is>
          <x:t xml:space="preserve">Security</x:t>
        </x:is>
      </x:c>
      <x:c r="B370" s="3" t="inlineStr">
        <x:is>
          <x:t xml:space="preserve">SEC-D1-Q03</x:t>
        </x:is>
      </x:c>
      <x:c r="C370" s="3" t="inlineStr">
        <x:is>
          <x:t xml:space="preserve">SEC-D1-Q03-A4</x:t>
        </x:is>
      </x:c>
      <x:c r="D370" s="3" t="n">
        <x:v>4</x:v>
      </x:c>
      <x:c r="E370" s="3" t="inlineStr">
        <x:is>
          <x:t xml:space="preserve">Workflow is documented, trained, and includes clear HR/Legal touchpoints and time targets.</x:t>
        </x:is>
      </x:c>
      <x:c r="F370" s="3" t="n">
        <x:v>3</x:v>
      </x:c>
      <x:c r="G370" s="3" t="inlineStr">
        <x:is>
          <x:t xml:space="preserve"/>
        </x:is>
      </x:c>
      <x:c r="H370" s="3" t="inlineStr">
        <x:is>
          <x:t xml:space="preserve">Resilience Gap</x:t>
        </x:is>
      </x:c>
      <x:c r="I370" s="3" t="inlineStr">
        <x:is>
          <x:t xml:space="preserve">Insider_Playbooks</x:t>
        </x:is>
      </x:c>
      <x:c r="J370" s="3" t="inlineStr">
        <x:is>
          <x:t xml:space="preserve">Y</x:t>
        </x:is>
      </x:c>
      <x:c r="K370" s="3" t="inlineStr">
        <x:is>
          <x:t xml:space="preserve">Workflow + training record + sample case.</x:t>
        </x:is>
      </x:c>
    </x:row>
    <x:row r="371">
      <x:c r="A371" s="3" t="inlineStr">
        <x:is>
          <x:t xml:space="preserve">Security</x:t>
        </x:is>
      </x:c>
      <x:c r="B371" s="3" t="inlineStr">
        <x:is>
          <x:t xml:space="preserve">SEC-D1-Q03</x:t>
        </x:is>
      </x:c>
      <x:c r="C371" s="3" t="inlineStr">
        <x:is>
          <x:t xml:space="preserve">SEC-D1-Q03-A5</x:t>
        </x:is>
      </x:c>
      <x:c r="D371" s="3" t="n">
        <x:v>5</x:v>
      </x:c>
      <x:c r="E371" s="3" t="inlineStr">
        <x:is>
          <x:t xml:space="preserve">Workflow is integrated into case management with metrics and periodic quality reviews.</x:t>
        </x:is>
      </x:c>
      <x:c r="F371" s="3" t="n">
        <x:v>4</x:v>
      </x:c>
      <x:c r="G371" s="3" t="inlineStr">
        <x:is>
          <x:t xml:space="preserve"/>
        </x:is>
      </x:c>
      <x:c r="H371" s="3" t="inlineStr">
        <x:is>
          <x:t xml:space="preserve">Resilience Gap</x:t>
        </x:is>
      </x:c>
      <x:c r="I371" s="3" t="inlineStr">
        <x:is>
          <x:t xml:space="preserve">Improve_Metrics</x:t>
        </x:is>
      </x:c>
      <x:c r="J371" s="3" t="inlineStr">
        <x:is>
          <x:t xml:space="preserve">Y</x:t>
        </x:is>
      </x:c>
      <x:c r="K371" s="3" t="inlineStr">
        <x:is>
          <x:t xml:space="preserve">Dashboard screenshot (redacted).</x:t>
        </x:is>
      </x:c>
    </x:row>
    <x:row r="372">
      <x:c r="A372" s="3" t="inlineStr">
        <x:is>
          <x:t xml:space="preserve">Security</x:t>
        </x:is>
      </x:c>
      <x:c r="B372" s="3" t="inlineStr">
        <x:is>
          <x:t xml:space="preserve">SEC-D2-Q04</x:t>
        </x:is>
      </x:c>
      <x:c r="C372" s="3" t="inlineStr">
        <x:is>
          <x:t xml:space="preserve">SEC-D2-Q04-A0</x:t>
        </x:is>
      </x:c>
      <x:c r="D372" s="3" t="n">
        <x:v>1</x:v>
      </x:c>
      <x:c r="E372" s="3" t="inlineStr">
        <x:is>
          <x:t xml:space="preserve">I don't know / not sure.</x:t>
        </x:is>
      </x:c>
      <x:c r="F372" s="3" t="n">
        <x:v>0</x:v>
      </x:c>
      <x:c r="G372" s="3" t="inlineStr">
        <x:is>
          <x:t xml:space="preserve">unknown</x:t>
        </x:is>
      </x:c>
      <x:c r="H372" s="3" t="inlineStr">
        <x:is>
          <x:t xml:space="preserve">Unknown</x:t>
        </x:is>
      </x:c>
      <x:c r="I372" s="3" t="inlineStr">
        <x:is>
          <x:t xml:space="preserve">Improve_Visibility</x:t>
        </x:is>
      </x:c>
      <x:c r="J372" s="3" t="inlineStr">
        <x:is>
          <x:t xml:space="preserve">N</x:t>
        </x:is>
      </x:c>
      <x:c r="K372" s="3" t="inlineStr">
        <x:is>
          <x:t xml:space="preserve"/>
        </x:is>
      </x:c>
    </x:row>
    <x:row r="373">
      <x:c r="A373" s="3" t="inlineStr">
        <x:is>
          <x:t xml:space="preserve">Security</x:t>
        </x:is>
      </x:c>
      <x:c r="B373" s="3" t="inlineStr">
        <x:is>
          <x:t xml:space="preserve">SEC-D2-Q04</x:t>
        </x:is>
      </x:c>
      <x:c r="C373" s="3" t="inlineStr">
        <x:is>
          <x:t xml:space="preserve">SEC-D2-Q04-A1</x:t>
        </x:is>
      </x:c>
      <x:c r="D373" s="3" t="n">
        <x:v>2</x:v>
      </x:c>
      <x:c r="E373" s="3" t="inlineStr">
        <x:is>
          <x:t xml:space="preserve">No — we cannot reliably see access/sharing for key systems.</x:t>
        </x:is>
      </x:c>
      <x:c r="F373" s="3" t="n">
        <x:v>0</x:v>
      </x:c>
      <x:c r="G373" s="3" t="inlineStr">
        <x:is>
          <x:t xml:space="preserve">visibility_gap</x:t>
        </x:is>
      </x:c>
      <x:c r="H373" s="3" t="inlineStr">
        <x:is>
          <x:t xml:space="preserve">Visibility Gap</x:t>
        </x:is>
      </x:c>
      <x:c r="I373" s="3" t="inlineStr">
        <x:is>
          <x:t xml:space="preserve">Improve_Visibility</x:t>
        </x:is>
      </x:c>
      <x:c r="J373" s="3" t="inlineStr">
        <x:is>
          <x:t xml:space="preserve">N</x:t>
        </x:is>
      </x:c>
      <x:c r="K373" s="3" t="inlineStr">
        <x:is>
          <x:t xml:space="preserve"/>
        </x:is>
      </x:c>
    </x:row>
    <x:row r="374">
      <x:c r="A374" s="3" t="inlineStr">
        <x:is>
          <x:t xml:space="preserve">Security</x:t>
        </x:is>
      </x:c>
      <x:c r="B374" s="3" t="inlineStr">
        <x:is>
          <x:t xml:space="preserve">SEC-D2-Q04</x:t>
        </x:is>
      </x:c>
      <x:c r="C374" s="3" t="inlineStr">
        <x:is>
          <x:t xml:space="preserve">SEC-D2-Q04-A2</x:t>
        </x:is>
      </x:c>
      <x:c r="D374" s="3" t="n">
        <x:v>3</x:v>
      </x:c>
      <x:c r="E374" s="3" t="inlineStr">
        <x:is>
          <x:t xml:space="preserve">Partial — logs exist for some systems, but retention is short or inconsistent.</x:t>
        </x:is>
      </x:c>
      <x:c r="F374" s="3" t="n">
        <x:v>2</x:v>
      </x:c>
      <x:c r="G374" s="3" t="inlineStr">
        <x:is>
          <x:t xml:space="preserve"/>
        </x:is>
      </x:c>
      <x:c r="H374" s="3" t="inlineStr">
        <x:is>
          <x:t xml:space="preserve">Visibility Gap</x:t>
        </x:is>
      </x:c>
      <x:c r="I374" s="3" t="inlineStr">
        <x:is>
          <x:t xml:space="preserve">Assess_Detection</x:t>
        </x:is>
      </x:c>
      <x:c r="J374" s="3" t="inlineStr">
        <x:is>
          <x:t xml:space="preserve">N</x:t>
        </x:is>
      </x:c>
      <x:c r="K374" s="3" t="inlineStr">
        <x:is>
          <x:t xml:space="preserve">List covered systems + retention.</x:t>
        </x:is>
      </x:c>
    </x:row>
    <x:row r="375">
      <x:c r="A375" s="3" t="inlineStr">
        <x:is>
          <x:t xml:space="preserve">Security</x:t>
        </x:is>
      </x:c>
      <x:c r="B375" s="3" t="inlineStr">
        <x:is>
          <x:t xml:space="preserve">SEC-D2-Q04</x:t>
        </x:is>
      </x:c>
      <x:c r="C375" s="3" t="inlineStr">
        <x:is>
          <x:t xml:space="preserve">SEC-D2-Q04-A3</x:t>
        </x:is>
      </x:c>
      <x:c r="D375" s="3" t="n">
        <x:v>4</x:v>
      </x:c>
      <x:c r="E375" s="3" t="inlineStr">
        <x:is>
          <x:t xml:space="preserve">Yes — agreed critical systems are covered with defined retention and access controls.</x:t>
        </x:is>
      </x:c>
      <x:c r="F375" s="3" t="n">
        <x:v>3</x:v>
      </x:c>
      <x:c r="G375" s="3" t="inlineStr">
        <x:is>
          <x:t xml:space="preserve"/>
        </x:is>
      </x:c>
      <x:c r="H375" s="3" t="inlineStr">
        <x:is>
          <x:t xml:space="preserve">Visibility Gap</x:t>
        </x:is>
      </x:c>
      <x:c r="I375" s="3" t="inlineStr">
        <x:is>
          <x:t xml:space="preserve">Plan_Assurance</x:t>
        </x:is>
      </x:c>
      <x:c r="J375" s="3" t="inlineStr">
        <x:is>
          <x:t xml:space="preserve">Y</x:t>
        </x:is>
      </x:c>
      <x:c r="K375" s="3" t="inlineStr">
        <x:is>
          <x:t xml:space="preserve">Log source list + retention policy excerpt.</x:t>
        </x:is>
      </x:c>
    </x:row>
    <x:row r="376">
      <x:c r="A376" s="3" t="inlineStr">
        <x:is>
          <x:t xml:space="preserve">Security</x:t>
        </x:is>
      </x:c>
      <x:c r="B376" s="3" t="inlineStr">
        <x:is>
          <x:t xml:space="preserve">SEC-D2-Q04</x:t>
        </x:is>
      </x:c>
      <x:c r="C376" s="3" t="inlineStr">
        <x:is>
          <x:t xml:space="preserve">SEC-D2-Q04-A4</x:t>
        </x:is>
      </x:c>
      <x:c r="D376" s="3" t="n">
        <x:v>5</x:v>
      </x:c>
      <x:c r="E376" s="3" t="inlineStr">
        <x:is>
          <x:t xml:space="preserve">Optimized — coverage is monitored (health checks), identity is normalized, and gaps trigger remediation.</x:t>
        </x:is>
      </x:c>
      <x:c r="F376" s="3" t="n">
        <x:v>4</x:v>
      </x:c>
      <x:c r="G376" s="3" t="inlineStr">
        <x:is>
          <x:t xml:space="preserve"/>
        </x:is>
      </x:c>
      <x:c r="H376" s="3" t="inlineStr">
        <x:is>
          <x:t xml:space="preserve">Visibility Gap</x:t>
        </x:is>
      </x:c>
      <x:c r="I376" s="3" t="inlineStr">
        <x:is>
          <x:t xml:space="preserve">Plan_Assurance</x:t>
        </x:is>
      </x:c>
      <x:c r="J376" s="3" t="inlineStr">
        <x:is>
          <x:t xml:space="preserve">Y</x:t>
        </x:is>
      </x:c>
      <x:c r="K376" s="3" t="inlineStr">
        <x:is>
          <x:t xml:space="preserve">Logging health/coverage report.</x:t>
        </x:is>
      </x:c>
    </x:row>
    <x:row r="377">
      <x:c r="A377" s="3" t="inlineStr">
        <x:is>
          <x:t xml:space="preserve">Security</x:t>
        </x:is>
      </x:c>
      <x:c r="B377" s="3" t="inlineStr">
        <x:is>
          <x:t xml:space="preserve">SEC-D2-Q05</x:t>
        </x:is>
      </x:c>
      <x:c r="C377" s="3" t="inlineStr">
        <x:is>
          <x:t xml:space="preserve">SEC-D2-Q05-A1</x:t>
        </x:is>
      </x:c>
      <x:c r="D377" s="3" t="n">
        <x:v>1</x:v>
      </x:c>
      <x:c r="E377" s="3" t="inlineStr">
        <x:is>
          <x:t xml:space="preserve">No — we don’t have a clear view of where sensitive data lives.</x:t>
        </x:is>
      </x:c>
      <x:c r="F377" s="3" t="n">
        <x:v>0</x:v>
      </x:c>
      <x:c r="G377" s="3" t="inlineStr">
        <x:is>
          <x:t xml:space="preserve">visibility_gap</x:t>
        </x:is>
      </x:c>
      <x:c r="H377" s="3" t="inlineStr">
        <x:is>
          <x:t xml:space="preserve">Visibility Gap</x:t>
        </x:is>
      </x:c>
      <x:c r="I377" s="3" t="inlineStr">
        <x:is>
          <x:t xml:space="preserve">Improve_Visibility</x:t>
        </x:is>
      </x:c>
      <x:c r="J377" s="3" t="inlineStr">
        <x:is>
          <x:t xml:space="preserve">N</x:t>
        </x:is>
      </x:c>
      <x:c r="K377" s="3" t="inlineStr">
        <x:is>
          <x:t xml:space="preserve"/>
        </x:is>
      </x:c>
    </x:row>
    <x:row r="378">
      <x:c r="A378" s="3" t="inlineStr">
        <x:is>
          <x:t xml:space="preserve">Security</x:t>
        </x:is>
      </x:c>
      <x:c r="B378" s="3" t="inlineStr">
        <x:is>
          <x:t xml:space="preserve">SEC-D2-Q05</x:t>
        </x:is>
      </x:c>
      <x:c r="C378" s="3" t="inlineStr">
        <x:is>
          <x:t xml:space="preserve">SEC-D2-Q05-A2</x:t>
        </x:is>
      </x:c>
      <x:c r="D378" s="3" t="n">
        <x:v>2</x:v>
      </x:c>
      <x:c r="E378" s="3" t="inlineStr">
        <x:is>
          <x:t xml:space="preserve">Partially — we can list some areas, but it changes and is not tracked.</x:t>
        </x:is>
      </x:c>
      <x:c r="F378" s="3" t="n">
        <x:v>2</x:v>
      </x:c>
      <x:c r="G378" s="3" t="inlineStr">
        <x:is>
          <x:t xml:space="preserve">shadow_mature_signal</x:t>
        </x:is>
      </x:c>
      <x:c r="H378" s="3" t="inlineStr">
        <x:is>
          <x:t xml:space="preserve">Visibility Gap</x:t>
        </x:is>
      </x:c>
      <x:c r="I378" s="3" t="inlineStr">
        <x:is>
          <x:t xml:space="preserve">Align_On_Crown_Jewels</x:t>
        </x:is>
      </x:c>
      <x:c r="J378" s="3" t="inlineStr">
        <x:is>
          <x:t xml:space="preserve">N</x:t>
        </x:is>
      </x:c>
      <x:c r="K378" s="3" t="inlineStr">
        <x:is>
          <x:t xml:space="preserve">Provide the list and likely gaps.</x:t>
        </x:is>
      </x:c>
    </x:row>
    <x:row r="379">
      <x:c r="A379" s="3" t="inlineStr">
        <x:is>
          <x:t xml:space="preserve">Security</x:t>
        </x:is>
      </x:c>
      <x:c r="B379" s="3" t="inlineStr">
        <x:is>
          <x:t xml:space="preserve">SEC-D2-Q05</x:t>
        </x:is>
      </x:c>
      <x:c r="C379" s="3" t="inlineStr">
        <x:is>
          <x:t xml:space="preserve">SEC-D2-Q05-A3</x:t>
        </x:is>
      </x:c>
      <x:c r="D379" s="3" t="n">
        <x:v>3</x:v>
      </x:c>
      <x:c r="E379" s="3" t="inlineStr">
        <x:is>
          <x:t xml:space="preserve">Yes — we maintain at least a simple inventory that is updated.</x:t>
        </x:is>
      </x:c>
      <x:c r="F379" s="3" t="n">
        <x:v>3</x:v>
      </x:c>
      <x:c r="G379" s="3" t="inlineStr">
        <x:is>
          <x:t xml:space="preserve"/>
        </x:is>
      </x:c>
      <x:c r="H379" s="3" t="inlineStr">
        <x:is>
          <x:t xml:space="preserve">Visibility Gap</x:t>
        </x:is>
      </x:c>
      <x:c r="I379" s="3" t="inlineStr">
        <x:is>
          <x:t xml:space="preserve">Align_On_Crown_Jewels</x:t>
        </x:is>
      </x:c>
      <x:c r="J379" s="3" t="inlineStr">
        <x:is>
          <x:t xml:space="preserve">Y</x:t>
        </x:is>
      </x:c>
      <x:c r="K379" s="3" t="inlineStr">
        <x:is>
          <x:t xml:space="preserve">Provide the inventory (redacted).</x:t>
        </x:is>
      </x:c>
    </x:row>
    <x:row r="380">
      <x:c r="A380" s="3" t="inlineStr">
        <x:is>
          <x:t xml:space="preserve">Security</x:t>
        </x:is>
      </x:c>
      <x:c r="B380" s="3" t="inlineStr">
        <x:is>
          <x:t xml:space="preserve">SEC-D2-Q06</x:t>
        </x:is>
      </x:c>
      <x:c r="C380" s="3" t="inlineStr">
        <x:is>
          <x:t xml:space="preserve">SEC-D2-Q06-A1</x:t>
        </x:is>
      </x:c>
      <x:c r="D380" s="3" t="n">
        <x:v>1</x:v>
      </x:c>
      <x:c r="E380" s="3" t="inlineStr">
        <x:is>
          <x:t xml:space="preserve">No — investigations require manual log pulls from many systems.</x:t>
        </x:is>
      </x:c>
      <x:c r="F380" s="3" t="n">
        <x:v>0</x:v>
      </x:c>
      <x:c r="G380" s="3" t="inlineStr">
        <x:is>
          <x:t xml:space="preserve">bypass_pressure</x:t>
        </x:is>
      </x:c>
      <x:c r="H380" s="3" t="inlineStr">
        <x:is>
          <x:t xml:space="preserve">Operating Model Gap</x:t>
        </x:is>
      </x:c>
      <x:c r="I380" s="3" t="inlineStr">
        <x:is>
          <x:t xml:space="preserve">Assess_Case_Model</x:t>
        </x:is>
      </x:c>
      <x:c r="J380" s="3" t="inlineStr">
        <x:is>
          <x:t xml:space="preserve">N</x:t>
        </x:is>
      </x:c>
      <x:c r="K380" s="3" t="inlineStr">
        <x:is>
          <x:t xml:space="preserve"/>
        </x:is>
      </x:c>
    </x:row>
    <x:row r="381">
      <x:c r="A381" s="3" t="inlineStr">
        <x:is>
          <x:t xml:space="preserve">Security</x:t>
        </x:is>
      </x:c>
      <x:c r="B381" s="3" t="inlineStr">
        <x:is>
          <x:t xml:space="preserve">SEC-D2-Q06</x:t>
        </x:is>
      </x:c>
      <x:c r="C381" s="3" t="inlineStr">
        <x:is>
          <x:t xml:space="preserve">SEC-D2-Q06-A2</x:t>
        </x:is>
      </x:c>
      <x:c r="D381" s="3" t="n">
        <x:v>2</x:v>
      </x:c>
      <x:c r="E381" s="3" t="inlineStr">
        <x:is>
          <x:t xml:space="preserve">Some — a few sources are centralized, but many are still manual.</x:t>
        </x:is>
      </x:c>
      <x:c r="F381" s="3" t="n">
        <x:v>2</x:v>
      </x:c>
      <x:c r="G381" s="3" t="inlineStr">
        <x:is>
          <x:t xml:space="preserve"/>
        </x:is>
      </x:c>
      <x:c r="H381" s="3" t="inlineStr">
        <x:is>
          <x:t xml:space="preserve">Operating Model Gap</x:t>
        </x:is>
      </x:c>
      <x:c r="I381" s="3" t="inlineStr">
        <x:is>
          <x:t xml:space="preserve">Assess_Detection</x:t>
        </x:is>
      </x:c>
      <x:c r="J381" s="3" t="inlineStr">
        <x:is>
          <x:t xml:space="preserve">N</x:t>
        </x:is>
      </x:c>
      <x:c r="K381" s="3" t="inlineStr">
        <x:is>
          <x:t xml:space="preserve">List centralized vs manual sources.</x:t>
        </x:is>
      </x:c>
    </x:row>
    <x:row r="382">
      <x:c r="A382" s="3" t="inlineStr">
        <x:is>
          <x:t xml:space="preserve">Security</x:t>
        </x:is>
      </x:c>
      <x:c r="B382" s="3" t="inlineStr">
        <x:is>
          <x:t xml:space="preserve">SEC-D2-Q06</x:t>
        </x:is>
      </x:c>
      <x:c r="C382" s="3" t="inlineStr">
        <x:is>
          <x:t xml:space="preserve">SEC-D2-Q06-A3</x:t>
        </x:is>
      </x:c>
      <x:c r="D382" s="3" t="n">
        <x:v>3</x:v>
      </x:c>
      <x:c r="E382" s="3" t="inlineStr">
        <x:is>
          <x:t xml:space="preserve">Yes — most critical sources are centralized with consistent identity mapping.</x:t>
        </x:is>
      </x:c>
      <x:c r="F382" s="3" t="n">
        <x:v>3</x:v>
      </x:c>
      <x:c r="G382" s="3" t="inlineStr">
        <x:is>
          <x:t xml:space="preserve"/>
        </x:is>
      </x:c>
      <x:c r="H382" s="3" t="inlineStr">
        <x:is>
          <x:t xml:space="preserve">Operating Model Gap</x:t>
        </x:is>
      </x:c>
      <x:c r="I382" s="3" t="inlineStr">
        <x:is>
          <x:t xml:space="preserve">Assess_Detection</x:t>
        </x:is>
      </x:c>
      <x:c r="J382" s="3" t="inlineStr">
        <x:is>
          <x:t xml:space="preserve">Y</x:t>
        </x:is>
      </x:c>
      <x:c r="K382" s="3" t="inlineStr">
        <x:is>
          <x:t xml:space="preserve">SIEM source list + identity mapping approach.</x:t>
        </x:is>
      </x:c>
    </x:row>
    <x:row r="383">
      <x:c r="A383" s="3" t="inlineStr">
        <x:is>
          <x:t xml:space="preserve">Security</x:t>
        </x:is>
      </x:c>
      <x:c r="B383" s="3" t="inlineStr">
        <x:is>
          <x:t xml:space="preserve">SEC-D2-Q06</x:t>
        </x:is>
      </x:c>
      <x:c r="C383" s="3" t="inlineStr">
        <x:is>
          <x:t xml:space="preserve">SEC-D2-Q06-A4</x:t>
        </x:is>
      </x:c>
      <x:c r="D383" s="3" t="n">
        <x:v>4</x:v>
      </x:c>
      <x:c r="E383" s="3" t="inlineStr">
        <x:is>
          <x:t xml:space="preserve">Optimized — centralized with enrichment (role/privilege) and automated correlation.</x:t>
        </x:is>
      </x:c>
      <x:c r="F383" s="3" t="n">
        <x:v>4</x:v>
      </x:c>
      <x:c r="G383" s="3" t="inlineStr">
        <x:is>
          <x:t xml:space="preserve"/>
        </x:is>
      </x:c>
      <x:c r="H383" s="3" t="inlineStr">
        <x:is>
          <x:t xml:space="preserve">Resilience Gap</x:t>
        </x:is>
      </x:c>
      <x:c r="I383" s="3" t="inlineStr">
        <x:is>
          <x:t xml:space="preserve">Build_Detection_Strategy</x:t>
        </x:is>
      </x:c>
      <x:c r="J383" s="3" t="inlineStr">
        <x:is>
          <x:t xml:space="preserve">Y</x:t>
        </x:is>
      </x:c>
      <x:c r="K383" s="3" t="inlineStr">
        <x:is>
          <x:t xml:space="preserve">Correlation/enrichment examples (redacted).</x:t>
        </x:is>
      </x:c>
    </x:row>
    <x:row r="384">
      <x:c r="A384" s="3" t="inlineStr">
        <x:is>
          <x:t xml:space="preserve">Security</x:t>
        </x:is>
      </x:c>
      <x:c r="B384" s="3" t="inlineStr">
        <x:is>
          <x:t xml:space="preserve">SEC-D3-Q07</x:t>
        </x:is>
      </x:c>
      <x:c r="C384" s="3" t="inlineStr">
        <x:is>
          <x:t xml:space="preserve">SEC-D3-Q07-A1</x:t>
        </x:is>
      </x:c>
      <x:c r="D384" s="3" t="n">
        <x:v>1</x:v>
      </x:c>
      <x:c r="E384" s="3" t="inlineStr">
        <x:is>
          <x:t xml:space="preserve">No — we rely on generic alerts not tailored to internal misuse.</x:t>
        </x:is>
      </x:c>
      <x:c r="F384" s="3" t="n">
        <x:v>0</x:v>
      </x:c>
      <x:c r="G384" s="3" t="inlineStr">
        <x:is>
          <x:t xml:space="preserve">paper_dragon_signal</x:t>
        </x:is>
      </x:c>
      <x:c r="H384" s="3" t="inlineStr">
        <x:is>
          <x:t xml:space="preserve">Paper Dragon</x:t>
        </x:is>
      </x:c>
      <x:c r="I384" s="3" t="inlineStr">
        <x:is>
          <x:t xml:space="preserve">Build_Detection_Strategy</x:t>
        </x:is>
      </x:c>
      <x:c r="J384" s="3" t="inlineStr">
        <x:is>
          <x:t xml:space="preserve">N</x:t>
        </x:is>
      </x:c>
      <x:c r="K384" s="3" t="inlineStr">
        <x:is>
          <x:t xml:space="preserve"/>
        </x:is>
      </x:c>
    </x:row>
    <x:row r="385">
      <x:c r="A385" s="3" t="inlineStr">
        <x:is>
          <x:t xml:space="preserve">Security</x:t>
        </x:is>
      </x:c>
      <x:c r="B385" s="3" t="inlineStr">
        <x:is>
          <x:t xml:space="preserve">SEC-D3-Q07</x:t>
        </x:is>
      </x:c>
      <x:c r="C385" s="3" t="inlineStr">
        <x:is>
          <x:t xml:space="preserve">SEC-D3-Q07-A2</x:t>
        </x:is>
      </x:c>
      <x:c r="D385" s="3" t="n">
        <x:v>2</x:v>
      </x:c>
      <x:c r="E385" s="3" t="inlineStr">
        <x:is>
          <x:t xml:space="preserve">A few rules exist, but no one owns tuning and alerts are often ignored.</x:t>
        </x:is>
      </x:c>
      <x:c r="F385" s="3" t="n">
        <x:v>1</x:v>
      </x:c>
      <x:c r="G385" s="3" t="inlineStr">
        <x:is>
          <x:t xml:space="preserve">paper_dragon_signal</x:t>
        </x:is>
      </x:c>
      <x:c r="H385" s="3" t="inlineStr">
        <x:is>
          <x:t xml:space="preserve">Paper Dragon</x:t>
        </x:is>
      </x:c>
      <x:c r="I385" s="3" t="inlineStr">
        <x:is>
          <x:t xml:space="preserve">Assess_Detection</x:t>
        </x:is>
      </x:c>
      <x:c r="J385" s="3" t="inlineStr">
        <x:is>
          <x:t xml:space="preserve">N</x:t>
        </x:is>
      </x:c>
      <x:c r="K385" s="3" t="inlineStr">
        <x:is>
          <x:t xml:space="preserve"/>
        </x:is>
      </x:c>
    </x:row>
    <x:row r="386">
      <x:c r="A386" s="3" t="inlineStr">
        <x:is>
          <x:t xml:space="preserve">Security</x:t>
        </x:is>
      </x:c>
      <x:c r="B386" s="3" t="inlineStr">
        <x:is>
          <x:t xml:space="preserve">SEC-D3-Q07</x:t>
        </x:is>
      </x:c>
      <x:c r="C386" s="3" t="inlineStr">
        <x:is>
          <x:t xml:space="preserve">SEC-D3-Q07-A3</x:t>
        </x:is>
      </x:c>
      <x:c r="D386" s="3" t="n">
        <x:v>3</x:v>
      </x:c>
      <x:c r="E386" s="3" t="inlineStr">
        <x:is>
          <x:t xml:space="preserve">Yes — we monitor a short list, but it’s not tied to the most sensitive assets/roles.</x:t>
        </x:is>
      </x:c>
      <x:c r="F386" s="3" t="n">
        <x:v>2</x:v>
      </x:c>
      <x:c r="G386" s="3" t="inlineStr">
        <x:is>
          <x:t xml:space="preserve"/>
        </x:is>
      </x:c>
      <x:c r="H386" s="3" t="inlineStr">
        <x:is>
          <x:t xml:space="preserve">Visibility Gap</x:t>
        </x:is>
      </x:c>
      <x:c r="I386" s="3" t="inlineStr">
        <x:is>
          <x:t xml:space="preserve">Align_On_Scenarios</x:t>
        </x:is>
      </x:c>
      <x:c r="J386" s="3" t="inlineStr">
        <x:is>
          <x:t xml:space="preserve">N</x:t>
        </x:is>
      </x:c>
      <x:c r="K386" s="3" t="inlineStr">
        <x:is>
          <x:t xml:space="preserve">List of detections and coverage notes.</x:t>
        </x:is>
      </x:c>
    </x:row>
    <x:row r="387">
      <x:c r="A387" s="3" t="inlineStr">
        <x:is>
          <x:t xml:space="preserve">Security</x:t>
        </x:is>
      </x:c>
      <x:c r="B387" s="3" t="inlineStr">
        <x:is>
          <x:t xml:space="preserve">SEC-D3-Q07</x:t>
        </x:is>
      </x:c>
      <x:c r="C387" s="3" t="inlineStr">
        <x:is>
          <x:t xml:space="preserve">SEC-D3-Q07-A4</x:t>
        </x:is>
      </x:c>
      <x:c r="D387" s="3" t="n">
        <x:v>4</x:v>
      </x:c>
      <x:c r="E387" s="3" t="inlineStr">
        <x:is>
          <x:t xml:space="preserve">Yes — detections are mapped to sensitive assets/roles and reviewed on a schedule.</x:t>
        </x:is>
      </x:c>
      <x:c r="F387" s="3" t="n">
        <x:v>3</x:v>
      </x:c>
      <x:c r="G387" s="3" t="inlineStr">
        <x:is>
          <x:t xml:space="preserve"/>
        </x:is>
      </x:c>
      <x:c r="H387" s="3" t="inlineStr">
        <x:is>
          <x:t xml:space="preserve">Resilience Gap</x:t>
        </x:is>
      </x:c>
      <x:c r="I387" s="3" t="inlineStr">
        <x:is>
          <x:t xml:space="preserve">Assess_Detection</x:t>
        </x:is>
      </x:c>
      <x:c r="J387" s="3" t="inlineStr">
        <x:is>
          <x:t xml:space="preserve">Y</x:t>
        </x:is>
      </x:c>
      <x:c r="K387" s="3" t="inlineStr">
        <x:is>
          <x:t xml:space="preserve">Mapping + review cadence evidence.</x:t>
        </x:is>
      </x:c>
    </x:row>
    <x:row r="388">
      <x:c r="A388" s="3" t="inlineStr">
        <x:is>
          <x:t xml:space="preserve">Security</x:t>
        </x:is>
      </x:c>
      <x:c r="B388" s="3" t="inlineStr">
        <x:is>
          <x:t xml:space="preserve">SEC-D3-Q07</x:t>
        </x:is>
      </x:c>
      <x:c r="C388" s="3" t="inlineStr">
        <x:is>
          <x:t xml:space="preserve">SEC-D3-Q07-A5</x:t>
        </x:is>
      </x:c>
      <x:c r="D388" s="3" t="n">
        <x:v>5</x:v>
      </x:c>
      <x:c r="E388" s="3" t="inlineStr">
        <x:is>
          <x:t xml:space="preserve">Optimized — detections are scenario-driven, quality-measured, and continuously improved.</x:t>
        </x:is>
      </x:c>
      <x:c r="F388" s="3" t="n">
        <x:v>4</x:v>
      </x:c>
      <x:c r="G388" s="3" t="inlineStr">
        <x:is>
          <x:t xml:space="preserve"/>
        </x:is>
      </x:c>
      <x:c r="H388" s="3" t="inlineStr">
        <x:is>
          <x:t xml:space="preserve">Resilience Gap</x:t>
        </x:is>
      </x:c>
      <x:c r="I388" s="3" t="inlineStr">
        <x:is>
          <x:t xml:space="preserve">Improve_Metrics</x:t>
        </x:is>
      </x:c>
      <x:c r="J388" s="3" t="inlineStr">
        <x:is>
          <x:t xml:space="preserve">Y</x:t>
        </x:is>
      </x:c>
      <x:c r="K388" s="3" t="inlineStr">
        <x:is>
          <x:t xml:space="preserve">Detection quality metrics (FP rate/precision).</x:t>
        </x:is>
      </x:c>
    </x:row>
    <x:row r="389">
      <x:c r="A389" s="3" t="inlineStr">
        <x:is>
          <x:t xml:space="preserve">Security</x:t>
        </x:is>
      </x:c>
      <x:c r="B389" s="3" t="inlineStr">
        <x:is>
          <x:t xml:space="preserve">SEC-D3-Q08</x:t>
        </x:is>
      </x:c>
      <x:c r="C389" s="3" t="inlineStr">
        <x:is>
          <x:t xml:space="preserve">SEC-D3-Q08-A1</x:t>
        </x:is>
      </x:c>
      <x:c r="D389" s="3" t="n">
        <x:v>1</x:v>
      </x:c>
      <x:c r="E389" s="3" t="inlineStr">
        <x:is>
          <x:t xml:space="preserve">Alerts mostly pile up; we focus on outages and external threats.</x:t>
        </x:is>
      </x:c>
      <x:c r="F389" s="3" t="n">
        <x:v>0</x:v>
      </x:c>
      <x:c r="G389" s="3" t="inlineStr">
        <x:is>
          <x:t xml:space="preserve">paper_dragon_signal</x:t>
        </x:is>
      </x:c>
      <x:c r="H389" s="3" t="inlineStr">
        <x:is>
          <x:t xml:space="preserve">Paper Dragon</x:t>
        </x:is>
      </x:c>
      <x:c r="I389" s="3" t="inlineStr">
        <x:is>
          <x:t xml:space="preserve">Assess_Detection</x:t>
        </x:is>
      </x:c>
      <x:c r="J389" s="3" t="inlineStr">
        <x:is>
          <x:t xml:space="preserve">N</x:t>
        </x:is>
      </x:c>
      <x:c r="K389" s="3" t="inlineStr">
        <x:is>
          <x:t xml:space="preserve"/>
        </x:is>
      </x:c>
    </x:row>
    <x:row r="390">
      <x:c r="A390" s="3" t="inlineStr">
        <x:is>
          <x:t xml:space="preserve">Security</x:t>
        </x:is>
      </x:c>
      <x:c r="B390" s="3" t="inlineStr">
        <x:is>
          <x:t xml:space="preserve">SEC-D3-Q08</x:t>
        </x:is>
      </x:c>
      <x:c r="C390" s="3" t="inlineStr">
        <x:is>
          <x:t xml:space="preserve">SEC-D3-Q08-A2</x:t>
        </x:is>
      </x:c>
      <x:c r="D390" s="3" t="n">
        <x:v>2</x:v>
      </x:c>
      <x:c r="E390" s="3" t="inlineStr">
        <x:is>
          <x:t xml:space="preserve">Some alerts are investigated; many are closed quickly due to lack of context.</x:t>
        </x:is>
      </x:c>
      <x:c r="F390" s="3" t="n">
        <x:v>2</x:v>
      </x:c>
      <x:c r="G390" s="3" t="inlineStr">
        <x:is>
          <x:t xml:space="preserve"/>
        </x:is>
      </x:c>
      <x:c r="H390" s="3" t="inlineStr">
        <x:is>
          <x:t xml:space="preserve">Operating Model Gap</x:t>
        </x:is>
      </x:c>
      <x:c r="I390" s="3" t="inlineStr">
        <x:is>
          <x:t xml:space="preserve">Assess_Case_Model</x:t>
        </x:is>
      </x:c>
      <x:c r="J390" s="3" t="inlineStr">
        <x:is>
          <x:t xml:space="preserve">N</x:t>
        </x:is>
      </x:c>
      <x:c r="K390" s="3" t="inlineStr">
        <x:is>
          <x:t xml:space="preserve"/>
        </x:is>
      </x:c>
    </x:row>
    <x:row r="391">
      <x:c r="A391" s="3" t="inlineStr">
        <x:is>
          <x:t xml:space="preserve">Security</x:t>
        </x:is>
      </x:c>
      <x:c r="B391" s="3" t="inlineStr">
        <x:is>
          <x:t xml:space="preserve">SEC-D3-Q08</x:t>
        </x:is>
      </x:c>
      <x:c r="C391" s="3" t="inlineStr">
        <x:is>
          <x:t xml:space="preserve">SEC-D3-Q08-A3</x:t>
        </x:is>
      </x:c>
      <x:c r="D391" s="3" t="n">
        <x:v>3</x:v>
      </x:c>
      <x:c r="E391" s="3" t="inlineStr">
        <x:is>
          <x:t xml:space="preserve">Alerts are generally triaged with time-boxing and escalation paths for high risk.</x:t>
        </x:is>
      </x:c>
      <x:c r="F391" s="3" t="n">
        <x:v>3</x:v>
      </x:c>
      <x:c r="G391" s="3" t="inlineStr">
        <x:is>
          <x:t xml:space="preserve"/>
        </x:is>
      </x:c>
      <x:c r="H391" s="3" t="inlineStr">
        <x:is>
          <x:t xml:space="preserve">Resilience Gap</x:t>
        </x:is>
      </x:c>
      <x:c r="I391" s="3" t="inlineStr">
        <x:is>
          <x:t xml:space="preserve">Assess_Case_Model</x:t>
        </x:is>
      </x:c>
      <x:c r="J391" s="3" t="inlineStr">
        <x:is>
          <x:t xml:space="preserve">Y</x:t>
        </x:is>
      </x:c>
      <x:c r="K391" s="3" t="inlineStr">
        <x:is>
          <x:t xml:space="preserve">Backlog/MTTT snapshot (redacted).</x:t>
        </x:is>
      </x:c>
    </x:row>
    <x:row r="392">
      <x:c r="A392" s="3" t="inlineStr">
        <x:is>
          <x:t xml:space="preserve">Security</x:t>
        </x:is>
      </x:c>
      <x:c r="B392" s="3" t="inlineStr">
        <x:is>
          <x:t xml:space="preserve">SEC-D3-Q09</x:t>
        </x:is>
      </x:c>
      <x:c r="C392" s="3" t="inlineStr">
        <x:is>
          <x:t xml:space="preserve">SEC-D3-Q09-A1</x:t>
        </x:is>
      </x:c>
      <x:c r="D392" s="3" t="n">
        <x:v>1</x:v>
      </x:c>
      <x:c r="E392" s="3" t="inlineStr">
        <x:is>
          <x:t xml:space="preserve">We don’t measure it; users complain and find workarounds.</x:t>
        </x:is>
      </x:c>
      <x:c r="F392" s="3" t="n">
        <x:v>0</x:v>
      </x:c>
      <x:c r="G392" s="3" t="inlineStr">
        <x:is>
          <x:t xml:space="preserve">bypass_pressure</x:t>
        </x:is>
      </x:c>
      <x:c r="H392" s="3" t="inlineStr">
        <x:is>
          <x:t xml:space="preserve">Bypass Pressure</x:t>
        </x:is>
      </x:c>
      <x:c r="I392" s="3" t="inlineStr">
        <x:is>
          <x:t xml:space="preserve">Assess_Friction</x:t>
        </x:is>
      </x:c>
      <x:c r="J392" s="3" t="inlineStr">
        <x:is>
          <x:t xml:space="preserve">N</x:t>
        </x:is>
      </x:c>
      <x:c r="K392" s="3" t="inlineStr">
        <x:is>
          <x:t xml:space="preserve"/>
        </x:is>
      </x:c>
    </x:row>
    <x:row r="393">
      <x:c r="A393" s="3" t="inlineStr">
        <x:is>
          <x:t xml:space="preserve">Security</x:t>
        </x:is>
      </x:c>
      <x:c r="B393" s="3" t="inlineStr">
        <x:is>
          <x:t xml:space="preserve">SEC-D3-Q09</x:t>
        </x:is>
      </x:c>
      <x:c r="C393" s="3" t="inlineStr">
        <x:is>
          <x:t xml:space="preserve">SEC-D3-Q09-A2</x:t>
        </x:is>
      </x:c>
      <x:c r="D393" s="3" t="n">
        <x:v>2</x:v>
      </x:c>
      <x:c r="E393" s="3" t="inlineStr">
        <x:is>
          <x:t xml:space="preserve">We tune occasionally after major complaints or incidents.</x:t>
        </x:is>
      </x:c>
      <x:c r="F393" s="3" t="n">
        <x:v>1</x:v>
      </x:c>
      <x:c r="G393" s="3" t="inlineStr">
        <x:is>
          <x:t xml:space="preserve">bypass_pressure</x:t>
        </x:is>
      </x:c>
      <x:c r="H393" s="3" t="inlineStr">
        <x:is>
          <x:t xml:space="preserve">Bypass Pressure</x:t>
        </x:is>
      </x:c>
      <x:c r="I393" s="3" t="inlineStr">
        <x:is>
          <x:t xml:space="preserve">Measure_Friction</x:t>
        </x:is>
      </x:c>
      <x:c r="J393" s="3" t="inlineStr">
        <x:is>
          <x:t xml:space="preserve">N</x:t>
        </x:is>
      </x:c>
      <x:c r="K393" s="3" t="inlineStr">
        <x:is>
          <x:t xml:space="preserve"/>
        </x:is>
      </x:c>
    </x:row>
    <x:row r="394">
      <x:c r="A394" s="3" t="inlineStr">
        <x:is>
          <x:t xml:space="preserve">Security</x:t>
        </x:is>
      </x:c>
      <x:c r="B394" s="3" t="inlineStr">
        <x:is>
          <x:t xml:space="preserve">SEC-D3-Q09</x:t>
        </x:is>
      </x:c>
      <x:c r="C394" s="3" t="inlineStr">
        <x:is>
          <x:t xml:space="preserve">SEC-D3-Q09-A3</x:t>
        </x:is>
      </x:c>
      <x:c r="D394" s="3" t="n">
        <x:v>3</x:v>
      </x:c>
      <x:c r="E394" s="3" t="inlineStr">
        <x:is>
          <x:t xml:space="preserve">We track exceptions/false positives and tune on a schedule.</x:t>
        </x:is>
      </x:c>
      <x:c r="F394" s="3" t="n">
        <x:v>3</x:v>
      </x:c>
      <x:c r="G394" s="3" t="inlineStr">
        <x:is>
          <x:t xml:space="preserve"/>
        </x:is>
      </x:c>
      <x:c r="H394" s="3" t="inlineStr">
        <x:is>
          <x:t xml:space="preserve">Bypass Pressure</x:t>
        </x:is>
      </x:c>
      <x:c r="I394" s="3" t="inlineStr">
        <x:is>
          <x:t xml:space="preserve">Measure_Friction</x:t>
        </x:is>
      </x:c>
      <x:c r="J394" s="3" t="inlineStr">
        <x:is>
          <x:t xml:space="preserve">Y</x:t>
        </x:is>
      </x:c>
      <x:c r="K394" s="3" t="inlineStr">
        <x:is>
          <x:t xml:space="preserve">Exception log or tuning backlog.</x:t>
        </x:is>
      </x:c>
    </x:row>
    <x:row r="395">
      <x:c r="A395" s="3" t="inlineStr">
        <x:is>
          <x:t xml:space="preserve">Security</x:t>
        </x:is>
      </x:c>
      <x:c r="B395" s="3" t="inlineStr">
        <x:is>
          <x:t xml:space="preserve">SEC-D3-Q09</x:t>
        </x:is>
      </x:c>
      <x:c r="C395" s="3" t="inlineStr">
        <x:is>
          <x:t xml:space="preserve">SEC-D3-Q09-A4</x:t>
        </x:is>
      </x:c>
      <x:c r="D395" s="3" t="n">
        <x:v>4</x:v>
      </x:c>
      <x:c r="E395" s="3" t="inlineStr">
        <x:is>
          <x:t xml:space="preserve">Optimized: we measure disruption, reduce bypass drivers, and have fast exception paths with oversight.</x:t>
        </x:is>
      </x:c>
      <x:c r="F395" s="3" t="n">
        <x:v>4</x:v>
      </x:c>
      <x:c r="G395" s="3" t="inlineStr">
        <x:is>
          <x:t xml:space="preserve"/>
        </x:is>
      </x:c>
      <x:c r="H395" s="3" t="inlineStr">
        <x:is>
          <x:t xml:space="preserve">Bypass Pressure</x:t>
        </x:is>
      </x:c>
      <x:c r="I395" s="3" t="inlineStr">
        <x:is>
          <x:t xml:space="preserve">Measure_Friction</x:t>
        </x:is>
      </x:c>
      <x:c r="J395" s="3" t="inlineStr">
        <x:is>
          <x:t xml:space="preserve">Y</x:t>
        </x:is>
      </x:c>
      <x:c r="K395" s="3" t="inlineStr">
        <x:is>
          <x:t xml:space="preserve">Metrics + exception governance.</x:t>
        </x:is>
      </x:c>
    </x:row>
    <x:row r="396">
      <x:c r="A396" s="3" t="inlineStr">
        <x:is>
          <x:t xml:space="preserve">Security</x:t>
        </x:is>
      </x:c>
      <x:c r="B396" s="3" t="inlineStr">
        <x:is>
          <x:t xml:space="preserve">SEC-D4-Q10</x:t>
        </x:is>
      </x:c>
      <x:c r="C396" s="3" t="inlineStr">
        <x:is>
          <x:t xml:space="preserve">SEC-D4-Q10-A1</x:t>
        </x:is>
      </x:c>
      <x:c r="D396" s="3" t="n">
        <x:v>1</x:v>
      </x:c>
      <x:c r="E396" s="3" t="inlineStr">
        <x:is>
          <x:t xml:space="preserve">No — high‑risk roles are not mapped; all users are treated the same.</x:t>
        </x:is>
      </x:c>
      <x:c r="F396" s="3" t="n">
        <x:v>0</x:v>
      </x:c>
      <x:c r="G396" s="3" t="inlineStr">
        <x:is>
          <x:t xml:space="preserve">visibility_gap</x:t>
        </x:is>
      </x:c>
      <x:c r="H396" s="3" t="inlineStr">
        <x:is>
          <x:t xml:space="preserve">Visibility Gap</x:t>
        </x:is>
      </x:c>
      <x:c r="I396" s="3" t="inlineStr">
        <x:is>
          <x:t xml:space="preserve">Improve_Visibility</x:t>
        </x:is>
      </x:c>
      <x:c r="J396" s="3" t="inlineStr">
        <x:is>
          <x:t xml:space="preserve">N</x:t>
        </x:is>
      </x:c>
      <x:c r="K396" s="3" t="inlineStr">
        <x:is>
          <x:t xml:space="preserve"/>
        </x:is>
      </x:c>
    </x:row>
    <x:row r="397">
      <x:c r="A397" s="3" t="inlineStr">
        <x:is>
          <x:t xml:space="preserve">Security</x:t>
        </x:is>
      </x:c>
      <x:c r="B397" s="3" t="inlineStr">
        <x:is>
          <x:t xml:space="preserve">SEC-D4-Q10</x:t>
        </x:is>
      </x:c>
      <x:c r="C397" s="3" t="inlineStr">
        <x:is>
          <x:t xml:space="preserve">SEC-D4-Q10-A2</x:t>
        </x:is>
      </x:c>
      <x:c r="D397" s="3" t="n">
        <x:v>2</x:v>
      </x:c>
      <x:c r="E397" s="3" t="inlineStr">
        <x:is>
          <x:t xml:space="preserve">Partially — IT admins are known, but high‑risk business roles are not mapped.</x:t>
        </x:is>
      </x:c>
      <x:c r="F397" s="3" t="n">
        <x:v>2</x:v>
      </x:c>
      <x:c r="G397" s="3" t="inlineStr">
        <x:is>
          <x:t xml:space="preserve"/>
        </x:is>
      </x:c>
      <x:c r="H397" s="3" t="inlineStr">
        <x:is>
          <x:t xml:space="preserve">Visibility Gap</x:t>
        </x:is>
      </x:c>
      <x:c r="I397" s="3" t="inlineStr">
        <x:is>
          <x:t xml:space="preserve">Improve_Visibility</x:t>
        </x:is>
      </x:c>
      <x:c r="J397" s="3" t="inlineStr">
        <x:is>
          <x:t xml:space="preserve">N</x:t>
        </x:is>
      </x:c>
      <x:c r="K397" s="3" t="inlineStr">
        <x:is>
          <x:t xml:space="preserve"/>
        </x:is>
      </x:c>
    </x:row>
    <x:row r="398">
      <x:c r="A398" s="3" t="inlineStr">
        <x:is>
          <x:t xml:space="preserve">Security</x:t>
        </x:is>
      </x:c>
      <x:c r="B398" s="3" t="inlineStr">
        <x:is>
          <x:t xml:space="preserve">SEC-D4-Q10</x:t>
        </x:is>
      </x:c>
      <x:c r="C398" s="3" t="inlineStr">
        <x:is>
          <x:t xml:space="preserve">SEC-D4-Q10-A3</x:t>
        </x:is>
      </x:c>
      <x:c r="D398" s="3" t="n">
        <x:v>3</x:v>
      </x:c>
      <x:c r="E398" s="3" t="inlineStr">
        <x:is>
          <x:t xml:space="preserve">Yes — a list exists and extra monitoring/review is applied.</x:t>
        </x:is>
      </x:c>
      <x:c r="F398" s="3" t="n">
        <x:v>3</x:v>
      </x:c>
      <x:c r="G398" s="3" t="inlineStr">
        <x:is>
          <x:t xml:space="preserve"/>
        </x:is>
      </x:c>
      <x:c r="H398" s="3" t="inlineStr">
        <x:is>
          <x:t xml:space="preserve">Visibility Gap</x:t>
        </x:is>
      </x:c>
      <x:c r="I398" s="3" t="inlineStr">
        <x:is>
          <x:t xml:space="preserve">Assess_Detection</x:t>
        </x:is>
      </x:c>
      <x:c r="J398" s="3" t="inlineStr">
        <x:is>
          <x:t xml:space="preserve">Y</x:t>
        </x:is>
      </x:c>
      <x:c r="K398" s="3" t="inlineStr">
        <x:is>
          <x:t xml:space="preserve">Role list (redacted) + monitoring approach.</x:t>
        </x:is>
      </x:c>
    </x:row>
    <x:row r="399">
      <x:c r="A399" s="3" t="inlineStr">
        <x:is>
          <x:t xml:space="preserve">Security</x:t>
        </x:is>
      </x:c>
      <x:c r="B399" s="3" t="inlineStr">
        <x:is>
          <x:t xml:space="preserve">SEC-D4-Q10</x:t>
        </x:is>
      </x:c>
      <x:c r="C399" s="3" t="inlineStr">
        <x:is>
          <x:t xml:space="preserve">SEC-D4-Q10-A4</x:t>
        </x:is>
      </x:c>
      <x:c r="D399" s="3" t="n">
        <x:v>4</x:v>
      </x:c>
      <x:c r="E399" s="3" t="inlineStr">
        <x:is>
          <x:t xml:space="preserve">Optimized — risk-tiered role model linked to access reviews and detections.</x:t>
        </x:is>
      </x:c>
      <x:c r="F399" s="3" t="n">
        <x:v>4</x:v>
      </x:c>
      <x:c r="G399" s="3" t="inlineStr">
        <x:is>
          <x:t xml:space="preserve"/>
        </x:is>
      </x:c>
      <x:c r="H399" s="3" t="inlineStr">
        <x:is>
          <x:t xml:space="preserve">Visibility Gap</x:t>
        </x:is>
      </x:c>
      <x:c r="I399" s="3" t="inlineStr">
        <x:is>
          <x:t xml:space="preserve">Plan_Assurance</x:t>
        </x:is>
      </x:c>
      <x:c r="J399" s="3" t="inlineStr">
        <x:is>
          <x:t xml:space="preserve">Y</x:t>
        </x:is>
      </x:c>
      <x:c r="K399" s="3" t="inlineStr">
        <x:is>
          <x:t xml:space="preserve">Latest access review output (redacted).</x:t>
        </x:is>
      </x:c>
    </x:row>
    <x:row r="400">
      <x:c r="A400" s="3" t="inlineStr">
        <x:is>
          <x:t xml:space="preserve">Security</x:t>
        </x:is>
      </x:c>
      <x:c r="B400" s="3" t="inlineStr">
        <x:is>
          <x:t xml:space="preserve">SEC-D4-Q11</x:t>
        </x:is>
      </x:c>
      <x:c r="C400" s="3" t="inlineStr">
        <x:is>
          <x:t xml:space="preserve">SEC-D4-Q11-A1</x:t>
        </x:is>
      </x:c>
      <x:c r="D400" s="3" t="n">
        <x:v>1</x:v>
      </x:c>
      <x:c r="E400" s="3" t="inlineStr">
        <x:is>
          <x:t xml:space="preserve">No — it would take weeks or would be guesswork.</x:t>
        </x:is>
      </x:c>
      <x:c r="F400" s="3" t="n">
        <x:v>0</x:v>
      </x:c>
      <x:c r="G400" s="3" t="inlineStr">
        <x:is>
          <x:t xml:space="preserve">visibility_gap</x:t>
        </x:is>
      </x:c>
      <x:c r="H400" s="3" t="inlineStr">
        <x:is>
          <x:t xml:space="preserve">Visibility Gap</x:t>
        </x:is>
      </x:c>
      <x:c r="I400" s="3" t="inlineStr">
        <x:is>
          <x:t xml:space="preserve">Improve_Visibility</x:t>
        </x:is>
      </x:c>
      <x:c r="J400" s="3" t="inlineStr">
        <x:is>
          <x:t xml:space="preserve">N</x:t>
        </x:is>
      </x:c>
      <x:c r="K400" s="3" t="inlineStr">
        <x:is>
          <x:t xml:space="preserve"/>
        </x:is>
      </x:c>
    </x:row>
    <x:row r="401">
      <x:c r="A401" s="3" t="inlineStr">
        <x:is>
          <x:t xml:space="preserve">Security</x:t>
        </x:is>
      </x:c>
      <x:c r="B401" s="3" t="inlineStr">
        <x:is>
          <x:t xml:space="preserve">SEC-D4-Q11</x:t>
        </x:is>
      </x:c>
      <x:c r="C401" s="3" t="inlineStr">
        <x:is>
          <x:t xml:space="preserve">SEC-D4-Q11-A2</x:t>
        </x:is>
      </x:c>
      <x:c r="D401" s="3" t="n">
        <x:v>2</x:v>
      </x:c>
      <x:c r="E401" s="3" t="inlineStr">
        <x:is>
          <x:t xml:space="preserve">Some managers know informally, but there is no reliable list.</x:t>
        </x:is>
      </x:c>
      <x:c r="F401" s="3" t="n">
        <x:v>2</x:v>
      </x:c>
      <x:c r="G401" s="3" t="inlineStr">
        <x:is>
          <x:t xml:space="preserve">shadow_mature_signal</x:t>
        </x:is>
      </x:c>
      <x:c r="H401" s="3" t="inlineStr">
        <x:is>
          <x:t xml:space="preserve">Visibility Gap</x:t>
        </x:is>
      </x:c>
      <x:c r="I401" s="3" t="inlineStr">
        <x:is>
          <x:t xml:space="preserve">Align_On_Crown_Jewels</x:t>
        </x:is>
      </x:c>
      <x:c r="J401" s="3" t="inlineStr">
        <x:is>
          <x:t xml:space="preserve">N</x:t>
        </x:is>
      </x:c>
      <x:c r="K401" s="3" t="inlineStr">
        <x:is>
          <x:t xml:space="preserve"/>
        </x:is>
      </x:c>
    </x:row>
    <x:row r="402">
      <x:c r="A402" s="3" t="inlineStr">
        <x:is>
          <x:t xml:space="preserve">Security</x:t>
        </x:is>
      </x:c>
      <x:c r="B402" s="3" t="inlineStr">
        <x:is>
          <x:t xml:space="preserve">SEC-D4-Q11</x:t>
        </x:is>
      </x:c>
      <x:c r="C402" s="3" t="inlineStr">
        <x:is>
          <x:t xml:space="preserve">SEC-D4-Q11-A3</x:t>
        </x:is>
      </x:c>
      <x:c r="D402" s="3" t="n">
        <x:v>3</x:v>
      </x:c>
      <x:c r="E402" s="3" t="inlineStr">
        <x:is>
          <x:t xml:space="preserve">Yes — we can produce a list quickly from IAM/audit data.</x:t>
        </x:is>
      </x:c>
      <x:c r="F402" s="3" t="n">
        <x:v>3</x:v>
      </x:c>
      <x:c r="G402" s="3" t="inlineStr">
        <x:is>
          <x:t xml:space="preserve"/>
        </x:is>
      </x:c>
      <x:c r="H402" s="3" t="inlineStr">
        <x:is>
          <x:t xml:space="preserve">Visibility Gap</x:t>
        </x:is>
      </x:c>
      <x:c r="I402" s="3" t="inlineStr">
        <x:is>
          <x:t xml:space="preserve">Improve_Visibility</x:t>
        </x:is>
      </x:c>
      <x:c r="J402" s="3" t="inlineStr">
        <x:is>
          <x:t xml:space="preserve">Y</x:t>
        </x:is>
      </x:c>
      <x:c r="K402" s="3" t="inlineStr">
        <x:is>
          <x:t xml:space="preserve">Sample access export (redacted).</x:t>
        </x:is>
      </x:c>
    </x:row>
    <x:row r="403">
      <x:c r="A403" s="3" t="inlineStr">
        <x:is>
          <x:t xml:space="preserve">Security</x:t>
        </x:is>
      </x:c>
      <x:c r="B403" s="3" t="inlineStr">
        <x:is>
          <x:t xml:space="preserve">SEC-D4-Q12</x:t>
        </x:is>
      </x:c>
      <x:c r="C403" s="3" t="inlineStr">
        <x:is>
          <x:t xml:space="preserve">SEC-D4-Q12-A1</x:t>
        </x:is>
      </x:c>
      <x:c r="D403" s="3" t="n">
        <x:v>1</x:v>
      </x:c>
      <x:c r="E403" s="3" t="inlineStr">
        <x:is>
          <x:t xml:space="preserve">Privileged logs are not reviewed; admins are effectively exempt.</x:t>
        </x:is>
      </x:c>
      <x:c r="F403" s="3" t="n">
        <x:v>0</x:v>
      </x:c>
      <x:c r="G403" s="3" t="inlineStr">
        <x:is>
          <x:t xml:space="preserve">paper_dragon_signal</x:t>
        </x:is>
      </x:c>
      <x:c r="H403" s="3" t="inlineStr">
        <x:is>
          <x:t xml:space="preserve">Paper Dragon</x:t>
        </x:is>
      </x:c>
      <x:c r="I403" s="3" t="inlineStr">
        <x:is>
          <x:t xml:space="preserve">Assess_Detection</x:t>
        </x:is>
      </x:c>
      <x:c r="J403" s="3" t="inlineStr">
        <x:is>
          <x:t xml:space="preserve">N</x:t>
        </x:is>
      </x:c>
      <x:c r="K403" s="3" t="inlineStr">
        <x:is>
          <x:t xml:space="preserve"/>
        </x:is>
      </x:c>
    </x:row>
    <x:row r="404">
      <x:c r="A404" s="3" t="inlineStr">
        <x:is>
          <x:t xml:space="preserve">Security</x:t>
        </x:is>
      </x:c>
      <x:c r="B404" s="3" t="inlineStr">
        <x:is>
          <x:t xml:space="preserve">SEC-D4-Q12</x:t>
        </x:is>
      </x:c>
      <x:c r="C404" s="3" t="inlineStr">
        <x:is>
          <x:t xml:space="preserve">SEC-D4-Q12-A2</x:t>
        </x:is>
      </x:c>
      <x:c r="D404" s="3" t="n">
        <x:v>2</x:v>
      </x:c>
      <x:c r="E404" s="3" t="inlineStr">
        <x:is>
          <x:t xml:space="preserve">Logs exist but are reviewed only after incidents.</x:t>
        </x:is>
      </x:c>
      <x:c r="F404" s="3" t="n">
        <x:v>1</x:v>
      </x:c>
      <x:c r="G404" s="3" t="inlineStr">
        <x:is>
          <x:t xml:space="preserve">paper_dragon_signal</x:t>
        </x:is>
      </x:c>
      <x:c r="H404" s="3" t="inlineStr">
        <x:is>
          <x:t xml:space="preserve">Paper Dragon</x:t>
        </x:is>
      </x:c>
      <x:c r="I404" s="3" t="inlineStr">
        <x:is>
          <x:t xml:space="preserve">Assess_Detection</x:t>
        </x:is>
      </x:c>
      <x:c r="J404" s="3" t="inlineStr">
        <x:is>
          <x:t xml:space="preserve">N</x:t>
        </x:is>
      </x:c>
      <x:c r="K404" s="3" t="inlineStr">
        <x:is>
          <x:t xml:space="preserve"/>
        </x:is>
      </x:c>
    </x:row>
    <x:row r="405">
      <x:c r="A405" s="3" t="inlineStr">
        <x:is>
          <x:t xml:space="preserve">Security</x:t>
        </x:is>
      </x:c>
      <x:c r="B405" s="3" t="inlineStr">
        <x:is>
          <x:t xml:space="preserve">SEC-D4-Q12</x:t>
        </x:is>
      </x:c>
      <x:c r="C405" s="3" t="inlineStr">
        <x:is>
          <x:t xml:space="preserve">SEC-D4-Q12-A3</x:t>
        </x:is>
      </x:c>
      <x:c r="D405" s="3" t="n">
        <x:v>3</x:v>
      </x:c>
      <x:c r="E405" s="3" t="inlineStr">
        <x:is>
          <x:t xml:space="preserve">Regular review exists, but it depends on the same admins who have the access.</x:t>
        </x:is>
      </x:c>
      <x:c r="F405" s="3" t="n">
        <x:v>2</x:v>
      </x:c>
      <x:c r="G405" s="3" t="inlineStr">
        <x:is>
          <x:t xml:space="preserve"/>
        </x:is>
      </x:c>
      <x:c r="H405" s="3" t="inlineStr">
        <x:is>
          <x:t xml:space="preserve">Operating Model Gap</x:t>
        </x:is>
      </x:c>
      <x:c r="I405" s="3" t="inlineStr">
        <x:is>
          <x:t xml:space="preserve">Align_Policy_To_Reality</x:t>
        </x:is>
      </x:c>
      <x:c r="J405" s="3" t="inlineStr">
        <x:is>
          <x:t xml:space="preserve">N</x:t>
        </x:is>
      </x:c>
      <x:c r="K405" s="3" t="inlineStr">
        <x:is>
          <x:t xml:space="preserve"/>
        </x:is>
      </x:c>
    </x:row>
    <x:row r="406">
      <x:c r="A406" s="3" t="inlineStr">
        <x:is>
          <x:t xml:space="preserve">Security</x:t>
        </x:is>
      </x:c>
      <x:c r="B406" s="3" t="inlineStr">
        <x:is>
          <x:t xml:space="preserve">SEC-D4-Q12</x:t>
        </x:is>
      </x:c>
      <x:c r="C406" s="3" t="inlineStr">
        <x:is>
          <x:t xml:space="preserve">SEC-D4-Q12-A4</x:t>
        </x:is>
      </x:c>
      <x:c r="D406" s="3" t="n">
        <x:v>4</x:v>
      </x:c>
      <x:c r="E406" s="3" t="inlineStr">
        <x:is>
          <x:t xml:space="preserve">Independent review by Security (or separate team) for high‑risk privileged actions.</x:t>
        </x:is>
      </x:c>
      <x:c r="F406" s="3" t="n">
        <x:v>3</x:v>
      </x:c>
      <x:c r="G406" s="3" t="inlineStr">
        <x:is>
          <x:t xml:space="preserve"/>
        </x:is>
      </x:c>
      <x:c r="H406" s="3" t="inlineStr">
        <x:is>
          <x:t xml:space="preserve">Resilience Gap</x:t>
        </x:is>
      </x:c>
      <x:c r="I406" s="3" t="inlineStr">
        <x:is>
          <x:t xml:space="preserve">Plan_Assurance</x:t>
        </x:is>
      </x:c>
      <x:c r="J406" s="3" t="inlineStr">
        <x:is>
          <x:t xml:space="preserve">Y</x:t>
        </x:is>
      </x:c>
      <x:c r="K406" s="3" t="inlineStr">
        <x:is>
          <x:t xml:space="preserve">Review evidence (redacted).</x:t>
        </x:is>
      </x:c>
    </x:row>
    <x:row r="407">
      <x:c r="A407" s="3" t="inlineStr">
        <x:is>
          <x:t xml:space="preserve">Security</x:t>
        </x:is>
      </x:c>
      <x:c r="B407" s="3" t="inlineStr">
        <x:is>
          <x:t xml:space="preserve">SEC-D4-Q12</x:t>
        </x:is>
      </x:c>
      <x:c r="C407" s="3" t="inlineStr">
        <x:is>
          <x:t xml:space="preserve">SEC-D4-Q12-A5</x:t>
        </x:is>
      </x:c>
      <x:c r="D407" s="3" t="n">
        <x:v>5</x:v>
      </x:c>
      <x:c r="E407" s="3" t="inlineStr">
        <x:is>
          <x:t xml:space="preserve">Optimized: tiered privileged monitoring + 'four‑eyes' for critical actions + anomaly alerting.</x:t>
        </x:is>
      </x:c>
      <x:c r="F407" s="3" t="n">
        <x:v>4</x:v>
      </x:c>
      <x:c r="G407" s="3" t="inlineStr">
        <x:is>
          <x:t xml:space="preserve"/>
        </x:is>
      </x:c>
      <x:c r="H407" s="3" t="inlineStr">
        <x:is>
          <x:t xml:space="preserve">Resilience Gap</x:t>
        </x:is>
      </x:c>
      <x:c r="I407" s="3" t="inlineStr">
        <x:is>
          <x:t xml:space="preserve">Plan_Assurance</x:t>
        </x:is>
      </x:c>
      <x:c r="J407" s="3" t="inlineStr">
        <x:is>
          <x:t xml:space="preserve">Y</x:t>
        </x:is>
      </x:c>
      <x:c r="K407" s="3" t="inlineStr">
        <x:is>
          <x:t xml:space="preserve">Covered actions list + sample alert.</x:t>
        </x:is>
      </x:c>
    </x:row>
    <x:row r="408">
      <x:c r="A408" s="3" t="inlineStr">
        <x:is>
          <x:t xml:space="preserve">Security</x:t>
        </x:is>
      </x:c>
      <x:c r="B408" s="3" t="inlineStr">
        <x:is>
          <x:t xml:space="preserve">SEC-D5-Q13</x:t>
        </x:is>
      </x:c>
      <x:c r="C408" s="3" t="inlineStr">
        <x:is>
          <x:t xml:space="preserve">SEC-D5-Q13-A1</x:t>
        </x:is>
      </x:c>
      <x:c r="D408" s="3" t="n">
        <x:v>1</x:v>
      </x:c>
      <x:c r="E408" s="3" t="inlineStr">
        <x:is>
          <x:t xml:space="preserve">No — each case is handled differently and coordination is ad‑hoc.</x:t>
        </x:is>
      </x:c>
      <x:c r="F408" s="3" t="n">
        <x:v>0</x:v>
      </x:c>
      <x:c r="G408" s="3" t="inlineStr">
        <x:is>
          <x:t xml:space="preserve"/>
        </x:is>
      </x:c>
      <x:c r="H408" s="3" t="inlineStr">
        <x:is>
          <x:t xml:space="preserve">Operating Model Gap</x:t>
        </x:is>
      </x:c>
      <x:c r="I408" s="3" t="inlineStr">
        <x:is>
          <x:t xml:space="preserve">Assess_Case_Model</x:t>
        </x:is>
      </x:c>
      <x:c r="J408" s="3" t="inlineStr">
        <x:is>
          <x:t xml:space="preserve">N</x:t>
        </x:is>
      </x:c>
      <x:c r="K408" s="3" t="inlineStr">
        <x:is>
          <x:t xml:space="preserve"/>
        </x:is>
      </x:c>
    </x:row>
    <x:row r="409">
      <x:c r="A409" s="3" t="inlineStr">
        <x:is>
          <x:t xml:space="preserve">Security</x:t>
        </x:is>
      </x:c>
      <x:c r="B409" s="3" t="inlineStr">
        <x:is>
          <x:t xml:space="preserve">SEC-D5-Q13</x:t>
        </x:is>
      </x:c>
      <x:c r="C409" s="3" t="inlineStr">
        <x:is>
          <x:t xml:space="preserve">SEC-D5-Q13-A2</x:t>
        </x:is>
      </x:c>
      <x:c r="D409" s="3" t="n">
        <x:v>2</x:v>
      </x:c>
      <x:c r="E409" s="3" t="inlineStr">
        <x:is>
          <x:t xml:space="preserve">Some coordination happens, but roles/timelines are unclear and decisions stall.</x:t>
        </x:is>
      </x:c>
      <x:c r="F409" s="3" t="n">
        <x:v>2</x:v>
      </x:c>
      <x:c r="G409" s="3" t="inlineStr">
        <x:is>
          <x:t xml:space="preserve"/>
        </x:is>
      </x:c>
      <x:c r="H409" s="3" t="inlineStr">
        <x:is>
          <x:t xml:space="preserve">Operating Model Gap</x:t>
        </x:is>
      </x:c>
      <x:c r="I409" s="3" t="inlineStr">
        <x:is>
          <x:t xml:space="preserve">Assess_Case_Model</x:t>
        </x:is>
      </x:c>
      <x:c r="J409" s="3" t="inlineStr">
        <x:is>
          <x:t xml:space="preserve">N</x:t>
        </x:is>
      </x:c>
      <x:c r="K409" s="3" t="inlineStr">
        <x:is>
          <x:t xml:space="preserve"/>
        </x:is>
      </x:c>
    </x:row>
    <x:row r="410">
      <x:c r="A410" s="3" t="inlineStr">
        <x:is>
          <x:t xml:space="preserve">Security</x:t>
        </x:is>
      </x:c>
      <x:c r="B410" s="3" t="inlineStr">
        <x:is>
          <x:t xml:space="preserve">SEC-D5-Q13</x:t>
        </x:is>
      </x:c>
      <x:c r="C410" s="3" t="inlineStr">
        <x:is>
          <x:t xml:space="preserve">SEC-D5-Q13-A3</x:t>
        </x:is>
      </x:c>
      <x:c r="D410" s="3" t="n">
        <x:v>3</x:v>
      </x:c>
      <x:c r="E410" s="3" t="inlineStr">
        <x:is>
          <x:t xml:space="preserve">Yes — defined process and named contacts exist and are used for most cases.</x:t>
        </x:is>
      </x:c>
      <x:c r="F410" s="3" t="n">
        <x:v>3</x:v>
      </x:c>
      <x:c r="G410" s="3" t="inlineStr">
        <x:is>
          <x:t xml:space="preserve"/>
        </x:is>
      </x:c>
      <x:c r="H410" s="3" t="inlineStr">
        <x:is>
          <x:t xml:space="preserve">Resilience Gap</x:t>
        </x:is>
      </x:c>
      <x:c r="I410" s="3" t="inlineStr">
        <x:is>
          <x:t xml:space="preserve">Insider_Playbooks</x:t>
        </x:is>
      </x:c>
      <x:c r="J410" s="3" t="inlineStr">
        <x:is>
          <x:t xml:space="preserve">Y</x:t>
        </x:is>
      </x:c>
      <x:c r="K410" s="3" t="inlineStr">
        <x:is>
          <x:t xml:space="preserve">Process doc + recent case timeline (redacted).</x:t>
        </x:is>
      </x:c>
    </x:row>
    <x:row r="411">
      <x:c r="A411" s="3" t="inlineStr">
        <x:is>
          <x:t xml:space="preserve">Security</x:t>
        </x:is>
      </x:c>
      <x:c r="B411" s="3" t="inlineStr">
        <x:is>
          <x:t xml:space="preserve">SEC-D5-Q13</x:t>
        </x:is>
      </x:c>
      <x:c r="C411" s="3" t="inlineStr">
        <x:is>
          <x:t xml:space="preserve">SEC-D5-Q13-A4</x:t>
        </x:is>
      </x:c>
      <x:c r="D411" s="3" t="n">
        <x:v>4</x:v>
      </x:c>
      <x:c r="E411" s="3" t="inlineStr">
        <x:is>
          <x:t xml:space="preserve">Optimized: unified case management with auditable decisions and periodic reviews.</x:t>
        </x:is>
      </x:c>
      <x:c r="F411" s="3" t="n">
        <x:v>4</x:v>
      </x:c>
      <x:c r="G411" s="3" t="inlineStr">
        <x:is>
          <x:t xml:space="preserve"/>
        </x:is>
      </x:c>
      <x:c r="H411" s="3" t="inlineStr">
        <x:is>
          <x:t xml:space="preserve">Resilience Gap</x:t>
        </x:is>
      </x:c>
      <x:c r="I411" s="3" t="inlineStr">
        <x:is>
          <x:t xml:space="preserve">Improve_Metrics</x:t>
        </x:is>
      </x:c>
      <x:c r="J411" s="3" t="inlineStr">
        <x:is>
          <x:t xml:space="preserve">Y</x:t>
        </x:is>
      </x:c>
      <x:c r="K411" s="3" t="inlineStr">
        <x:is>
          <x:t xml:space="preserve">Case system screenshot (redacted).</x:t>
        </x:is>
      </x:c>
    </x:row>
    <x:row r="412">
      <x:c r="A412" s="3" t="inlineStr">
        <x:is>
          <x:t xml:space="preserve">Security</x:t>
        </x:is>
      </x:c>
      <x:c r="B412" s="3" t="inlineStr">
        <x:is>
          <x:t xml:space="preserve">SEC-D5-Q14</x:t>
        </x:is>
      </x:c>
      <x:c r="C412" s="3" t="inlineStr">
        <x:is>
          <x:t xml:space="preserve">SEC-D5-Q14-A1</x:t>
        </x:is>
      </x:c>
      <x:c r="D412" s="3" t="n">
        <x:v>1</x:v>
      </x:c>
      <x:c r="E412" s="3" t="inlineStr">
        <x:is>
          <x:t xml:space="preserve">No — it depends on personal networks and availability.</x:t>
        </x:is>
      </x:c>
      <x:c r="F412" s="3" t="n">
        <x:v>0</x:v>
      </x:c>
      <x:c r="G412" s="3" t="inlineStr">
        <x:is>
          <x:t xml:space="preserve">shadow_mature_signal</x:t>
        </x:is>
      </x:c>
      <x:c r="H412" s="3" t="inlineStr">
        <x:is>
          <x:t xml:space="preserve">Shadow Mature</x:t>
        </x:is>
      </x:c>
      <x:c r="I412" s="3" t="inlineStr">
        <x:is>
          <x:t xml:space="preserve">Capture_Informal_Practices</x:t>
        </x:is>
      </x:c>
      <x:c r="J412" s="3" t="inlineStr">
        <x:is>
          <x:t xml:space="preserve">N</x:t>
        </x:is>
      </x:c>
      <x:c r="K412" s="3" t="inlineStr">
        <x:is>
          <x:t xml:space="preserve"/>
        </x:is>
      </x:c>
    </x:row>
    <x:row r="413">
      <x:c r="A413" s="3" t="inlineStr">
        <x:is>
          <x:t xml:space="preserve">Security</x:t>
        </x:is>
      </x:c>
      <x:c r="B413" s="3" t="inlineStr">
        <x:is>
          <x:t xml:space="preserve">SEC-D5-Q14</x:t>
        </x:is>
      </x:c>
      <x:c r="C413" s="3" t="inlineStr">
        <x:is>
          <x:t xml:space="preserve">SEC-D5-Q14-A2</x:t>
        </x:is>
      </x:c>
      <x:c r="D413" s="3" t="n">
        <x:v>2</x:v>
      </x:c>
      <x:c r="E413" s="3" t="inlineStr">
        <x:is>
          <x:t xml:space="preserve">Sometimes — key people exist, but coverage is inconsistent.</x:t>
        </x:is>
      </x:c>
      <x:c r="F413" s="3" t="n">
        <x:v>2</x:v>
      </x:c>
      <x:c r="G413" s="3" t="inlineStr">
        <x:is>
          <x:t xml:space="preserve">shadow_mature_signal</x:t>
        </x:is>
      </x:c>
      <x:c r="H413" s="3" t="inlineStr">
        <x:is>
          <x:t xml:space="preserve">Shadow Mature</x:t>
        </x:is>
      </x:c>
      <x:c r="I413" s="3" t="inlineStr">
        <x:is>
          <x:t xml:space="preserve">Align_Policy_To_Reality</x:t>
        </x:is>
      </x:c>
      <x:c r="J413" s="3" t="inlineStr">
        <x:is>
          <x:t xml:space="preserve">N</x:t>
        </x:is>
      </x:c>
      <x:c r="K413" s="3" t="inlineStr">
        <x:is>
          <x:t xml:space="preserve"/>
        </x:is>
      </x:c>
    </x:row>
    <x:row r="414">
      <x:c r="A414" s="3" t="inlineStr">
        <x:is>
          <x:t xml:space="preserve">Security</x:t>
        </x:is>
      </x:c>
      <x:c r="B414" s="3" t="inlineStr">
        <x:is>
          <x:t xml:space="preserve">SEC-D5-Q14</x:t>
        </x:is>
      </x:c>
      <x:c r="C414" s="3" t="inlineStr">
        <x:is>
          <x:t xml:space="preserve">SEC-D5-Q14-A3</x:t>
        </x:is>
      </x:c>
      <x:c r="D414" s="3" t="n">
        <x:v>3</x:v>
      </x:c>
      <x:c r="E414" s="3" t="inlineStr">
        <x:is>
          <x:t xml:space="preserve">Yes — an informal but reliable contact pattern exists (e.g., on‑call list).</x:t>
        </x:is>
      </x:c>
      <x:c r="F414" s="3" t="n">
        <x:v>3</x:v>
      </x:c>
      <x:c r="G414" s="3" t="inlineStr">
        <x:is>
          <x:t xml:space="preserve">shadow_mature_signal</x:t>
        </x:is>
      </x:c>
      <x:c r="H414" s="3" t="inlineStr">
        <x:is>
          <x:t xml:space="preserve">Shadow Mature</x:t>
        </x:is>
      </x:c>
      <x:c r="I414" s="3" t="inlineStr">
        <x:is>
          <x:t xml:space="preserve">Capture_Informal_Practices</x:t>
        </x:is>
      </x:c>
      <x:c r="J414" s="3" t="inlineStr">
        <x:is>
          <x:t xml:space="preserve">Y</x:t>
        </x:is>
      </x:c>
      <x:c r="K414" s="3" t="inlineStr">
        <x:is>
          <x:t xml:space="preserve">Contact list/on‑call rota (redacted).</x:t>
        </x:is>
      </x:c>
    </x:row>
    <x:row r="415">
      <x:c r="A415" s="3" t="inlineStr">
        <x:is>
          <x:t xml:space="preserve">Security</x:t>
        </x:is>
      </x:c>
      <x:c r="B415" s="3" t="inlineStr">
        <x:is>
          <x:t xml:space="preserve">SEC-D5-Q15</x:t>
        </x:is>
      </x:c>
      <x:c r="C415" s="3" t="inlineStr">
        <x:is>
          <x:t xml:space="preserve">SEC-D5-Q15-A1</x:t>
        </x:is>
      </x:c>
      <x:c r="D415" s="3" t="n">
        <x:v>1</x:v>
      </x:c>
      <x:c r="E415" s="3" t="inlineStr">
        <x:is>
          <x:t xml:space="preserve">We don’t have safeguards; decisions are made by whoever raises the concern.</x:t>
        </x:is>
      </x:c>
      <x:c r="F415" s="3" t="n">
        <x:v>0</x:v>
      </x:c>
      <x:c r="G415" s="3" t="inlineStr">
        <x:is>
          <x:t xml:space="preserve">toxic_enforcer_signal</x:t>
        </x:is>
      </x:c>
      <x:c r="H415" s="3" t="inlineStr">
        <x:is>
          <x:t xml:space="preserve">Toxic Enforcer</x:t>
        </x:is>
      </x:c>
      <x:c r="I415" s="3" t="inlineStr">
        <x:is>
          <x:t xml:space="preserve">Add_Appeals_Process</x:t>
        </x:is>
      </x:c>
      <x:c r="J415" s="3" t="inlineStr">
        <x:is>
          <x:t xml:space="preserve">N</x:t>
        </x:is>
      </x:c>
      <x:c r="K415" s="3" t="inlineStr">
        <x:is>
          <x:t xml:space="preserve"/>
        </x:is>
      </x:c>
    </x:row>
    <x:row r="416">
      <x:c r="A416" s="3" t="inlineStr">
        <x:is>
          <x:t xml:space="preserve">Security</x:t>
        </x:is>
      </x:c>
      <x:c r="B416" s="3" t="inlineStr">
        <x:is>
          <x:t xml:space="preserve">SEC-D5-Q15</x:t>
        </x:is>
      </x:c>
      <x:c r="C416" s="3" t="inlineStr">
        <x:is>
          <x:t xml:space="preserve">SEC-D5-Q15-A2</x:t>
        </x:is>
      </x:c>
      <x:c r="D416" s="3" t="n">
        <x:v>2</x:v>
      </x:c>
      <x:c r="E416" s="3" t="inlineStr">
        <x:is>
          <x:t xml:space="preserve">Some safeguards exist, but they are informal and not documented.</x:t>
        </x:is>
      </x:c>
      <x:c r="F416" s="3" t="n">
        <x:v>1</x:v>
      </x:c>
      <x:c r="G416" s="3" t="inlineStr">
        <x:is>
          <x:t xml:space="preserve"/>
        </x:is>
      </x:c>
      <x:c r="H416" s="3" t="inlineStr">
        <x:is>
          <x:t xml:space="preserve">Operating Model Gap</x:t>
        </x:is>
      </x:c>
      <x:c r="I416" s="3" t="inlineStr">
        <x:is>
          <x:t xml:space="preserve">Add_Appeals_Process</x:t>
        </x:is>
      </x:c>
      <x:c r="J416" s="3" t="inlineStr">
        <x:is>
          <x:t xml:space="preserve">N</x:t>
        </x:is>
      </x:c>
      <x:c r="K416" s="3" t="inlineStr">
        <x:is>
          <x:t xml:space="preserve"/>
        </x:is>
      </x:c>
    </x:row>
    <x:row r="417">
      <x:c r="A417" s="3" t="inlineStr">
        <x:is>
          <x:t xml:space="preserve">Security</x:t>
        </x:is>
      </x:c>
      <x:c r="B417" s="3" t="inlineStr">
        <x:is>
          <x:t xml:space="preserve">SEC-D5-Q15</x:t>
        </x:is>
      </x:c>
      <x:c r="C417" s="3" t="inlineStr">
        <x:is>
          <x:t xml:space="preserve">SEC-D5-Q15-A3</x:t>
        </x:is>
      </x:c>
      <x:c r="D417" s="3" t="n">
        <x:v>3</x:v>
      </x:c>
      <x:c r="E417" s="3" t="inlineStr">
        <x:is>
          <x:t xml:space="preserve">Decisions and evidence are documented; HR/Legal review is common for serious cases.</x:t>
        </x:is>
      </x:c>
      <x:c r="F417" s="3" t="n">
        <x:v>3</x:v>
      </x:c>
      <x:c r="G417" s="3" t="inlineStr">
        <x:is>
          <x:t xml:space="preserve"/>
        </x:is>
      </x:c>
      <x:c r="H417" s="3" t="inlineStr">
        <x:is>
          <x:t xml:space="preserve">Legal Exposure</x:t>
        </x:is>
      </x:c>
      <x:c r="I417" s="3" t="inlineStr">
        <x:is>
          <x:t xml:space="preserve">Assess_Evidence_Handling</x:t>
        </x:is>
      </x:c>
      <x:c r="J417" s="3" t="inlineStr">
        <x:is>
          <x:t xml:space="preserve">Y</x:t>
        </x:is>
      </x:c>
      <x:c r="K417" s="3" t="inlineStr">
        <x:is>
          <x:t xml:space="preserve">Sample redacted decision memo.</x:t>
        </x:is>
      </x:c>
    </x:row>
    <x:row r="418">
      <x:c r="A418" s="3" t="inlineStr">
        <x:is>
          <x:t xml:space="preserve">Security</x:t>
        </x:is>
      </x:c>
      <x:c r="B418" s="3" t="inlineStr">
        <x:is>
          <x:t xml:space="preserve">SEC-D5-Q15</x:t>
        </x:is>
      </x:c>
      <x:c r="C418" s="3" t="inlineStr">
        <x:is>
          <x:t xml:space="preserve">SEC-D5-Q15-A4</x:t>
        </x:is>
      </x:c>
      <x:c r="D418" s="3" t="n">
        <x:v>4</x:v>
      </x:c>
      <x:c r="E418" s="3" t="inlineStr">
        <x:is>
          <x:t xml:space="preserve">Optimized: standardized criteria, auditable approvals, and independent review for higher‑impact actions.</x:t>
        </x:is>
      </x:c>
      <x:c r="F418" s="3" t="n">
        <x:v>4</x:v>
      </x:c>
      <x:c r="G418" s="3" t="inlineStr">
        <x:is>
          <x:t xml:space="preserve"/>
        </x:is>
      </x:c>
      <x:c r="H418" s="3" t="inlineStr">
        <x:is>
          <x:t xml:space="preserve">Legal Exposure</x:t>
        </x:is>
      </x:c>
      <x:c r="I418" s="3" t="inlineStr">
        <x:is>
          <x:t xml:space="preserve">Legal_Defensibility_Audit</x:t>
        </x:is>
      </x:c>
      <x:c r="J418" s="3" t="inlineStr">
        <x:is>
          <x:t xml:space="preserve">Y</x:t>
        </x:is>
      </x:c>
      <x:c r="K418" s="3" t="inlineStr">
        <x:is>
          <x:t xml:space="preserve">Criteria + audit evidence.</x:t>
        </x:is>
      </x:c>
    </x:row>
    <x:row r="419">
      <x:c r="A419" s="3" t="inlineStr">
        <x:is>
          <x:t xml:space="preserve">Security</x:t>
        </x:is>
      </x:c>
      <x:c r="B419" s="3" t="inlineStr">
        <x:is>
          <x:t xml:space="preserve">SEC-D6-Q16</x:t>
        </x:is>
      </x:c>
      <x:c r="C419" s="3" t="inlineStr">
        <x:is>
          <x:t xml:space="preserve">SEC-D6-Q16-A1</x:t>
        </x:is>
      </x:c>
      <x:c r="D419" s="3" t="n">
        <x:v>1</x:v>
      </x:c>
      <x:c r="E419" s="3" t="inlineStr">
        <x:is>
          <x:t xml:space="preserve">No — steps are manual and slow; approvals are unclear.</x:t>
        </x:is>
      </x:c>
      <x:c r="F419" s="3" t="n">
        <x:v>0</x:v>
      </x:c>
      <x:c r="G419" s="3" t="inlineStr">
        <x:is>
          <x:t xml:space="preserve"/>
        </x:is>
      </x:c>
      <x:c r="H419" s="3" t="inlineStr">
        <x:is>
          <x:t xml:space="preserve">Resilience Gap</x:t>
        </x:is>
      </x:c>
      <x:c r="I419" s="3" t="inlineStr">
        <x:is>
          <x:t xml:space="preserve">Insider_Playbooks</x:t>
        </x:is>
      </x:c>
      <x:c r="J419" s="3" t="inlineStr">
        <x:is>
          <x:t xml:space="preserve">N</x:t>
        </x:is>
      </x:c>
      <x:c r="K419" s="3" t="inlineStr">
        <x:is>
          <x:t xml:space="preserve"/>
        </x:is>
      </x:c>
    </x:row>
    <x:row r="420">
      <x:c r="A420" s="3" t="inlineStr">
        <x:is>
          <x:t xml:space="preserve">Security</x:t>
        </x:is>
      </x:c>
      <x:c r="B420" s="3" t="inlineStr">
        <x:is>
          <x:t xml:space="preserve">SEC-D6-Q16</x:t>
        </x:is>
      </x:c>
      <x:c r="C420" s="3" t="inlineStr">
        <x:is>
          <x:t xml:space="preserve">SEC-D6-Q16-A2</x:t>
        </x:is>
      </x:c>
      <x:c r="D420" s="3" t="n">
        <x:v>2</x:v>
      </x:c>
      <x:c r="E420" s="3" t="inlineStr">
        <x:is>
          <x:t xml:space="preserve">Partially — we can disable accounts, but it is risky and may disrupt operations.</x:t>
        </x:is>
      </x:c>
      <x:c r="F420" s="3" t="n">
        <x:v>2</x:v>
      </x:c>
      <x:c r="G420" s="3" t="inlineStr">
        <x:is>
          <x:t xml:space="preserve"/>
        </x:is>
      </x:c>
      <x:c r="H420" s="3" t="inlineStr">
        <x:is>
          <x:t xml:space="preserve">Resilience Gap</x:t>
        </x:is>
      </x:c>
      <x:c r="I420" s="3" t="inlineStr">
        <x:is>
          <x:t xml:space="preserve">Insider_Playbooks</x:t>
        </x:is>
      </x:c>
      <x:c r="J420" s="3" t="inlineStr">
        <x:is>
          <x:t xml:space="preserve">N</x:t>
        </x:is>
      </x:c>
      <x:c r="K420" s="3" t="inlineStr">
        <x:is>
          <x:t xml:space="preserve"/>
        </x:is>
      </x:c>
    </x:row>
    <x:row r="421">
      <x:c r="A421" s="3" t="inlineStr">
        <x:is>
          <x:t xml:space="preserve">Security</x:t>
        </x:is>
      </x:c>
      <x:c r="B421" s="3" t="inlineStr">
        <x:is>
          <x:t xml:space="preserve">SEC-D6-Q16</x:t>
        </x:is>
      </x:c>
      <x:c r="C421" s="3" t="inlineStr">
        <x:is>
          <x:t xml:space="preserve">SEC-D6-Q16-A3</x:t>
        </x:is>
      </x:c>
      <x:c r="D421" s="3" t="n">
        <x:v>3</x:v>
      </x:c>
      <x:c r="E421" s="3" t="inlineStr">
        <x:is>
          <x:t xml:space="preserve">Yes — a documented rapid response path exists with audit logs and defined approvals.</x:t>
        </x:is>
      </x:c>
      <x:c r="F421" s="3" t="n">
        <x:v>3</x:v>
      </x:c>
      <x:c r="G421" s="3" t="inlineStr">
        <x:is>
          <x:t xml:space="preserve"/>
        </x:is>
      </x:c>
      <x:c r="H421" s="3" t="inlineStr">
        <x:is>
          <x:t xml:space="preserve">Resilience Gap</x:t>
        </x:is>
      </x:c>
      <x:c r="I421" s="3" t="inlineStr">
        <x:is>
          <x:t xml:space="preserve">Insider_Playbooks</x:t>
        </x:is>
      </x:c>
      <x:c r="J421" s="3" t="inlineStr">
        <x:is>
          <x:t xml:space="preserve">Y</x:t>
        </x:is>
      </x:c>
      <x:c r="K421" s="3" t="inlineStr">
        <x:is>
          <x:t xml:space="preserve">Playbook excerpt + recent use (redacted).</x:t>
        </x:is>
      </x:c>
    </x:row>
    <x:row r="422">
      <x:c r="A422" s="3" t="inlineStr">
        <x:is>
          <x:t xml:space="preserve">Security</x:t>
        </x:is>
      </x:c>
      <x:c r="B422" s="3" t="inlineStr">
        <x:is>
          <x:t xml:space="preserve">SEC-D6-Q16</x:t>
        </x:is>
      </x:c>
      <x:c r="C422" s="3" t="inlineStr">
        <x:is>
          <x:t xml:space="preserve">SEC-D6-Q16-A4</x:t>
        </x:is>
      </x:c>
      <x:c r="D422" s="3" t="n">
        <x:v>4</x:v>
      </x:c>
      <x:c r="E422" s="3" t="inlineStr">
        <x:is>
          <x:t xml:space="preserve">Optimized — automated containment exists for defined scenarios with human oversight.</x:t>
        </x:is>
      </x:c>
      <x:c r="F422" s="3" t="n">
        <x:v>4</x:v>
      </x:c>
      <x:c r="G422" s="3" t="inlineStr">
        <x:is>
          <x:t xml:space="preserve"/>
        </x:is>
      </x:c>
      <x:c r="H422" s="3" t="inlineStr">
        <x:is>
          <x:t xml:space="preserve">Resilience Gap</x:t>
        </x:is>
      </x:c>
      <x:c r="I422" s="3" t="inlineStr">
        <x:is>
          <x:t xml:space="preserve">Build_Detection_Strategy</x:t>
        </x:is>
      </x:c>
      <x:c r="J422" s="3" t="inlineStr">
        <x:is>
          <x:t xml:space="preserve">Y</x:t>
        </x:is>
      </x:c>
      <x:c r="K422" s="3" t="inlineStr">
        <x:is>
          <x:t xml:space="preserve">SOAR/playbook list.</x:t>
        </x:is>
      </x:c>
    </x:row>
    <x:row r="423">
      <x:c r="A423" s="3" t="inlineStr">
        <x:is>
          <x:t xml:space="preserve">Security</x:t>
        </x:is>
      </x:c>
      <x:c r="B423" s="3" t="inlineStr">
        <x:is>
          <x:t xml:space="preserve">SEC-D6-Q17</x:t>
        </x:is>
      </x:c>
      <x:c r="C423" s="3" t="inlineStr">
        <x:is>
          <x:t xml:space="preserve">SEC-D6-Q17-A1</x:t>
        </x:is>
      </x:c>
      <x:c r="D423" s="3" t="n">
        <x:v>1</x:v>
      </x:c>
      <x:c r="E423" s="3" t="inlineStr">
        <x:is>
          <x:t xml:space="preserve">No — approvals are unclear; teams hesitate to act.</x:t>
        </x:is>
      </x:c>
      <x:c r="F423" s="3" t="n">
        <x:v>0</x:v>
      </x:c>
      <x:c r="G423" s="3" t="inlineStr">
        <x:is>
          <x:t xml:space="preserve">control_lag_high</x:t>
        </x:is>
      </x:c>
      <x:c r="H423" s="3" t="inlineStr">
        <x:is>
          <x:t xml:space="preserve">Control Lag</x:t>
        </x:is>
      </x:c>
      <x:c r="I423" s="3" t="inlineStr">
        <x:is>
          <x:t xml:space="preserve">Measure_Control_Lag</x:t>
        </x:is>
      </x:c>
      <x:c r="J423" s="3" t="inlineStr">
        <x:is>
          <x:t xml:space="preserve">N</x:t>
        </x:is>
      </x:c>
      <x:c r="K423" s="3" t="inlineStr">
        <x:is>
          <x:t xml:space="preserve"/>
        </x:is>
      </x:c>
    </x:row>
    <x:row r="424">
      <x:c r="A424" s="3" t="inlineStr">
        <x:is>
          <x:t xml:space="preserve">Security</x:t>
        </x:is>
      </x:c>
      <x:c r="B424" s="3" t="inlineStr">
        <x:is>
          <x:t xml:space="preserve">SEC-D6-Q17</x:t>
        </x:is>
      </x:c>
      <x:c r="C424" s="3" t="inlineStr">
        <x:is>
          <x:t xml:space="preserve">SEC-D6-Q17-A2</x:t>
        </x:is>
      </x:c>
      <x:c r="D424" s="3" t="n">
        <x:v>2</x:v>
      </x:c>
      <x:c r="E424" s="3" t="inlineStr">
        <x:is>
          <x:t xml:space="preserve">Sometimes — approval depends on who is available.</x:t>
        </x:is>
      </x:c>
      <x:c r="F424" s="3" t="n">
        <x:v>2</x:v>
      </x:c>
      <x:c r="G424" s="3" t="inlineStr">
        <x:is>
          <x:t xml:space="preserve">shadow_mature_signal</x:t>
        </x:is>
      </x:c>
      <x:c r="H424" s="3" t="inlineStr">
        <x:is>
          <x:t xml:space="preserve">Control Lag</x:t>
        </x:is>
      </x:c>
      <x:c r="I424" s="3" t="inlineStr">
        <x:is>
          <x:t xml:space="preserve">Capture_Informal_Practices</x:t>
        </x:is>
      </x:c>
      <x:c r="J424" s="3" t="inlineStr">
        <x:is>
          <x:t xml:space="preserve">N</x:t>
        </x:is>
      </x:c>
      <x:c r="K424" s="3" t="inlineStr">
        <x:is>
          <x:t xml:space="preserve"/>
        </x:is>
      </x:c>
    </x:row>
    <x:row r="425">
      <x:c r="A425" s="3" t="inlineStr">
        <x:is>
          <x:t xml:space="preserve">Security</x:t>
        </x:is>
      </x:c>
      <x:c r="B425" s="3" t="inlineStr">
        <x:is>
          <x:t xml:space="preserve">SEC-D6-Q17</x:t>
        </x:is>
      </x:c>
      <x:c r="C425" s="3" t="inlineStr">
        <x:is>
          <x:t xml:space="preserve">SEC-D6-Q17-A3</x:t>
        </x:is>
      </x:c>
      <x:c r="D425" s="3" t="n">
        <x:v>3</x:v>
      </x:c>
      <x:c r="E425" s="3" t="inlineStr">
        <x:is>
          <x:t xml:space="preserve">Yes — a clear fast approval route exists for high‑risk actions.</x:t>
        </x:is>
      </x:c>
      <x:c r="F425" s="3" t="n">
        <x:v>3</x:v>
      </x:c>
      <x:c r="G425" s="3" t="inlineStr">
        <x:is>
          <x:t xml:space="preserve"/>
        </x:is>
      </x:c>
      <x:c r="H425" s="3" t="inlineStr">
        <x:is>
          <x:t xml:space="preserve">Control Lag</x:t>
        </x:is>
      </x:c>
      <x:c r="I425" s="3" t="inlineStr">
        <x:is>
          <x:t xml:space="preserve">Measure_Control_Lag</x:t>
        </x:is>
      </x:c>
      <x:c r="J425" s="3" t="inlineStr">
        <x:is>
          <x:t xml:space="preserve">Y</x:t>
        </x:is>
      </x:c>
      <x:c r="K425" s="3" t="inlineStr">
        <x:is>
          <x:t xml:space="preserve">On‑call approval chain (redacted).</x:t>
        </x:is>
      </x:c>
    </x:row>
    <x:row r="426">
      <x:c r="A426" s="3" t="inlineStr">
        <x:is>
          <x:t xml:space="preserve">Security</x:t>
        </x:is>
      </x:c>
      <x:c r="B426" s="3" t="inlineStr">
        <x:is>
          <x:t xml:space="preserve">SEC-D6-Q18</x:t>
        </x:is>
      </x:c>
      <x:c r="C426" s="3" t="inlineStr">
        <x:is>
          <x:t xml:space="preserve">SEC-D6-Q18-A1</x:t>
        </x:is>
      </x:c>
      <x:c r="D426" s="3" t="n">
        <x:v>1</x:v>
      </x:c>
      <x:c r="E426" s="3" t="inlineStr">
        <x:is>
          <x:t xml:space="preserve">Containment is heavy-handed and often disrupts normal work.</x:t>
        </x:is>
      </x:c>
      <x:c r="F426" s="3" t="n">
        <x:v>0</x:v>
      </x:c>
      <x:c r="G426" s="3" t="inlineStr">
        <x:is>
          <x:t xml:space="preserve">bypass_pressure,toxic_enforcer_signal</x:t>
        </x:is>
      </x:c>
      <x:c r="H426" s="3" t="inlineStr">
        <x:is>
          <x:t xml:space="preserve">Bypass Pressure</x:t>
        </x:is>
      </x:c>
      <x:c r="I426" s="3" t="inlineStr">
        <x:is>
          <x:t xml:space="preserve">Assess_Friction</x:t>
        </x:is>
      </x:c>
      <x:c r="J426" s="3" t="inlineStr">
        <x:is>
          <x:t xml:space="preserve">N</x:t>
        </x:is>
      </x:c>
      <x:c r="K426" s="3" t="inlineStr">
        <x:is>
          <x:t xml:space="preserve"/>
        </x:is>
      </x:c>
    </x:row>
    <x:row r="427">
      <x:c r="A427" s="3" t="inlineStr">
        <x:is>
          <x:t xml:space="preserve">Security</x:t>
        </x:is>
      </x:c>
      <x:c r="B427" s="3" t="inlineStr">
        <x:is>
          <x:t xml:space="preserve">SEC-D6-Q18</x:t>
        </x:is>
      </x:c>
      <x:c r="C427" s="3" t="inlineStr">
        <x:is>
          <x:t xml:space="preserve">SEC-D6-Q18-A2</x:t>
        </x:is>
      </x:c>
      <x:c r="D427" s="3" t="n">
        <x:v>2</x:v>
      </x:c>
      <x:c r="E427" s="3" t="inlineStr">
        <x:is>
          <x:t xml:space="preserve">We avoid acting because disruption risk is high.</x:t>
        </x:is>
      </x:c>
      <x:c r="F427" s="3" t="n">
        <x:v>1</x:v>
      </x:c>
      <x:c r="G427" s="3" t="inlineStr">
        <x:is>
          <x:t xml:space="preserve">paper_dragon_signal</x:t>
        </x:is>
      </x:c>
      <x:c r="H427" s="3" t="inlineStr">
        <x:is>
          <x:t xml:space="preserve">Paper Dragon</x:t>
        </x:is>
      </x:c>
      <x:c r="I427" s="3" t="inlineStr">
        <x:is>
          <x:t xml:space="preserve">Assess_Friction</x:t>
        </x:is>
      </x:c>
      <x:c r="J427" s="3" t="inlineStr">
        <x:is>
          <x:t xml:space="preserve">N</x:t>
        </x:is>
      </x:c>
      <x:c r="K427" s="3" t="inlineStr">
        <x:is>
          <x:t xml:space="preserve"/>
        </x:is>
      </x:c>
    </x:row>
    <x:row r="428">
      <x:c r="A428" s="3" t="inlineStr">
        <x:is>
          <x:t xml:space="preserve">Security</x:t>
        </x:is>
      </x:c>
      <x:c r="B428" s="3" t="inlineStr">
        <x:is>
          <x:t xml:space="preserve">SEC-D6-Q18</x:t>
        </x:is>
      </x:c>
      <x:c r="C428" s="3" t="inlineStr">
        <x:is>
          <x:t xml:space="preserve">SEC-D6-Q18-A3</x:t>
        </x:is>
      </x:c>
      <x:c r="D428" s="3" t="n">
        <x:v>3</x:v>
      </x:c>
      <x:c r="E428" s="3" t="inlineStr">
        <x:is>
          <x:t xml:space="preserve">We can act with minimal disruption for most scenarios due to tuning and clear comms.</x:t>
        </x:is>
      </x:c>
      <x:c r="F428" s="3" t="n">
        <x:v>3</x:v>
      </x:c>
      <x:c r="G428" s="3" t="inlineStr">
        <x:is>
          <x:t xml:space="preserve"/>
        </x:is>
      </x:c>
      <x:c r="H428" s="3" t="inlineStr">
        <x:is>
          <x:t xml:space="preserve">Bypass Pressure</x:t>
        </x:is>
      </x:c>
      <x:c r="I428" s="3" t="inlineStr">
        <x:is>
          <x:t xml:space="preserve">Measure_Friction</x:t>
        </x:is>
      </x:c>
      <x:c r="J428" s="3" t="inlineStr">
        <x:is>
          <x:t xml:space="preserve">N</x:t>
        </x:is>
      </x:c>
      <x:c r="K428" s="3" t="inlineStr">
        <x:is>
          <x:t xml:space="preserve"/>
        </x:is>
      </x:c>
    </x:row>
    <x:row r="429">
      <x:c r="A429" s="3" t="inlineStr">
        <x:is>
          <x:t xml:space="preserve">Security</x:t>
        </x:is>
      </x:c>
      <x:c r="B429" s="3" t="inlineStr">
        <x:is>
          <x:t xml:space="preserve">SEC-D6-Q18</x:t>
        </x:is>
      </x:c>
      <x:c r="C429" s="3" t="inlineStr">
        <x:is>
          <x:t xml:space="preserve">SEC-D6-Q18-A4</x:t>
        </x:is>
      </x:c>
      <x:c r="D429" s="3" t="n">
        <x:v>4</x:v>
      </x:c>
      <x:c r="E429" s="3" t="inlineStr">
        <x:is>
          <x:t xml:space="preserve">Optimized: tiered containment with measured business impact and continuous improvement.</x:t>
        </x:is>
      </x:c>
      <x:c r="F429" s="3" t="n">
        <x:v>4</x:v>
      </x:c>
      <x:c r="G429" s="3" t="inlineStr">
        <x:is>
          <x:t xml:space="preserve"/>
        </x:is>
      </x:c>
      <x:c r="H429" s="3" t="inlineStr">
        <x:is>
          <x:t xml:space="preserve">Bypass Pressure</x:t>
        </x:is>
      </x:c>
      <x:c r="I429" s="3" t="inlineStr">
        <x:is>
          <x:t xml:space="preserve">Measure_Friction</x:t>
        </x:is>
      </x:c>
      <x:c r="J429" s="3" t="inlineStr">
        <x:is>
          <x:t xml:space="preserve">Y</x:t>
        </x:is>
      </x:c>
      <x:c r="K429" s="3" t="inlineStr">
        <x:is>
          <x:t xml:space="preserve">Examples of tiered actions.</x:t>
        </x:is>
      </x:c>
    </x:row>
    <x:row r="430">
      <x:c r="A430" s="3" t="inlineStr">
        <x:is>
          <x:t xml:space="preserve">Security</x:t>
        </x:is>
      </x:c>
      <x:c r="B430" s="3" t="inlineStr">
        <x:is>
          <x:t xml:space="preserve">SEC-D7-Q19</x:t>
        </x:is>
      </x:c>
      <x:c r="C430" s="3" t="inlineStr">
        <x:is>
          <x:t xml:space="preserve">SEC-D7-Q19-A1</x:t>
        </x:is>
      </x:c>
      <x:c r="D430" s="3" t="n">
        <x:v>1</x:v>
      </x:c>
      <x:c r="E430" s="3" t="inlineStr">
        <x:is>
          <x:t xml:space="preserve">No — evidence is collected informally (screenshots/copies) with limited traceability.</x:t>
        </x:is>
      </x:c>
      <x:c r="F430" s="3" t="n">
        <x:v>0</x:v>
      </x:c>
      <x:c r="G430" s="3" t="inlineStr">
        <x:is>
          <x:t xml:space="preserve">legal_exposure</x:t>
        </x:is>
      </x:c>
      <x:c r="H430" s="3" t="inlineStr">
        <x:is>
          <x:t xml:space="preserve">Legal Exposure</x:t>
        </x:is>
      </x:c>
      <x:c r="I430" s="3" t="inlineStr">
        <x:is>
          <x:t xml:space="preserve">Assess_Evidence_Handling</x:t>
        </x:is>
      </x:c>
      <x:c r="J430" s="3" t="inlineStr">
        <x:is>
          <x:t xml:space="preserve">N</x:t>
        </x:is>
      </x:c>
      <x:c r="K430" s="3" t="inlineStr">
        <x:is>
          <x:t xml:space="preserve"/>
        </x:is>
      </x:c>
    </x:row>
    <x:row r="431">
      <x:c r="A431" s="3" t="inlineStr">
        <x:is>
          <x:t xml:space="preserve">Security</x:t>
        </x:is>
      </x:c>
      <x:c r="B431" s="3" t="inlineStr">
        <x:is>
          <x:t xml:space="preserve">SEC-D7-Q19</x:t>
        </x:is>
      </x:c>
      <x:c r="C431" s="3" t="inlineStr">
        <x:is>
          <x:t xml:space="preserve">SEC-D7-Q19-A2</x:t>
        </x:is>
      </x:c>
      <x:c r="D431" s="3" t="n">
        <x:v>2</x:v>
      </x:c>
      <x:c r="E431" s="3" t="inlineStr">
        <x:is>
          <x:t xml:space="preserve">Partially — steps exist but are not consistent or not for all systems.</x:t>
        </x:is>
      </x:c>
      <x:c r="F431" s="3" t="n">
        <x:v>2</x:v>
      </x:c>
      <x:c r="G431" s="3" t="inlineStr">
        <x:is>
          <x:t xml:space="preserve"/>
        </x:is>
      </x:c>
      <x:c r="H431" s="3" t="inlineStr">
        <x:is>
          <x:t xml:space="preserve">Legal Exposure</x:t>
        </x:is>
      </x:c>
      <x:c r="I431" s="3" t="inlineStr">
        <x:is>
          <x:t xml:space="preserve">Assess_Evidence_Handling</x:t>
        </x:is>
      </x:c>
      <x:c r="J431" s="3" t="inlineStr">
        <x:is>
          <x:t xml:space="preserve">N</x:t>
        </x:is>
      </x:c>
      <x:c r="K431" s="3" t="inlineStr">
        <x:is>
          <x:t xml:space="preserve"/>
        </x:is>
      </x:c>
    </x:row>
    <x:row r="432">
      <x:c r="A432" s="3" t="inlineStr">
        <x:is>
          <x:t xml:space="preserve">Security</x:t>
        </x:is>
      </x:c>
      <x:c r="B432" s="3" t="inlineStr">
        <x:is>
          <x:t xml:space="preserve">SEC-D7-Q19</x:t>
        </x:is>
      </x:c>
      <x:c r="C432" s="3" t="inlineStr">
        <x:is>
          <x:t xml:space="preserve">SEC-D7-Q19-A3</x:t>
        </x:is>
      </x:c>
      <x:c r="D432" s="3" t="n">
        <x:v>3</x:v>
      </x:c>
      <x:c r="E432" s="3" t="inlineStr">
        <x:is>
          <x:t xml:space="preserve">Yes — chain of custody is documented and used for serious cases.</x:t>
        </x:is>
      </x:c>
      <x:c r="F432" s="3" t="n">
        <x:v>3</x:v>
      </x:c>
      <x:c r="G432" s="3" t="inlineStr">
        <x:is>
          <x:t xml:space="preserve"/>
        </x:is>
      </x:c>
      <x:c r="H432" s="3" t="inlineStr">
        <x:is>
          <x:t xml:space="preserve">Legal Exposure</x:t>
        </x:is>
      </x:c>
      <x:c r="I432" s="3" t="inlineStr">
        <x:is>
          <x:t xml:space="preserve">Legal_Defensibility_Audit</x:t>
        </x:is>
      </x:c>
      <x:c r="J432" s="3" t="inlineStr">
        <x:is>
          <x:t xml:space="preserve">Y</x:t>
        </x:is>
      </x:c>
      <x:c r="K432" s="3" t="inlineStr">
        <x:is>
          <x:t xml:space="preserve">Template + sample (redacted).</x:t>
        </x:is>
      </x:c>
    </x:row>
    <x:row r="433">
      <x:c r="A433" s="3" t="inlineStr">
        <x:is>
          <x:t xml:space="preserve">Security</x:t>
        </x:is>
      </x:c>
      <x:c r="B433" s="3" t="inlineStr">
        <x:is>
          <x:t xml:space="preserve">SEC-D7-Q19</x:t>
        </x:is>
      </x:c>
      <x:c r="C433" s="3" t="inlineStr">
        <x:is>
          <x:t xml:space="preserve">SEC-D7-Q19-A4</x:t>
        </x:is>
      </x:c>
      <x:c r="D433" s="3" t="n">
        <x:v>4</x:v>
      </x:c>
      <x:c r="E433" s="3" t="inlineStr">
        <x:is>
          <x:t xml:space="preserve">Optimized — tamper‑resistant logs, controlled access, and periodic audits.</x:t>
        </x:is>
      </x:c>
      <x:c r="F433" s="3" t="n">
        <x:v>4</x:v>
      </x:c>
      <x:c r="G433" s="3" t="inlineStr">
        <x:is>
          <x:t xml:space="preserve"/>
        </x:is>
      </x:c>
      <x:c r="H433" s="3" t="inlineStr">
        <x:is>
          <x:t xml:space="preserve">Legal Exposure</x:t>
        </x:is>
      </x:c>
      <x:c r="I433" s="3" t="inlineStr">
        <x:is>
          <x:t xml:space="preserve">Legal_Defensibility_Audit</x:t>
        </x:is>
      </x:c>
      <x:c r="J433" s="3" t="inlineStr">
        <x:is>
          <x:t xml:space="preserve">Y</x:t>
        </x:is>
      </x:c>
      <x:c r="K433" s="3" t="inlineStr">
        <x:is>
          <x:t xml:space="preserve">Audit evidence or control logs.</x:t>
        </x:is>
      </x:c>
    </x:row>
    <x:row r="434">
      <x:c r="A434" s="3" t="inlineStr">
        <x:is>
          <x:t xml:space="preserve">Security</x:t>
        </x:is>
      </x:c>
      <x:c r="B434" s="3" t="inlineStr">
        <x:is>
          <x:t xml:space="preserve">SEC-D7-Q20</x:t>
        </x:is>
      </x:c>
      <x:c r="C434" s="3" t="inlineStr">
        <x:is>
          <x:t xml:space="preserve">SEC-D7-Q20-A1</x:t>
        </x:is>
      </x:c>
      <x:c r="D434" s="3" t="n">
        <x:v>1</x:v>
      </x:c>
      <x:c r="E434" s="3" t="inlineStr">
        <x:is>
          <x:t xml:space="preserve">No — evidence gathering is slow and depends on who knows the systems.</x:t>
        </x:is>
      </x:c>
      <x:c r="F434" s="3" t="n">
        <x:v>0</x:v>
      </x:c>
      <x:c r="G434" s="3" t="inlineStr">
        <x:is>
          <x:t xml:space="preserve">shadow_mature_signal</x:t>
        </x:is>
      </x:c>
      <x:c r="H434" s="3" t="inlineStr">
        <x:is>
          <x:t xml:space="preserve">Shadow Mature</x:t>
        </x:is>
      </x:c>
      <x:c r="I434" s="3" t="inlineStr">
        <x:is>
          <x:t xml:space="preserve">Assess_Evidence_Handling</x:t>
        </x:is>
      </x:c>
      <x:c r="J434" s="3" t="inlineStr">
        <x:is>
          <x:t xml:space="preserve">N</x:t>
        </x:is>
      </x:c>
      <x:c r="K434" s="3" t="inlineStr">
        <x:is>
          <x:t xml:space="preserve"/>
        </x:is>
      </x:c>
    </x:row>
    <x:row r="435">
      <x:c r="A435" s="3" t="inlineStr">
        <x:is>
          <x:t xml:space="preserve">Security</x:t>
        </x:is>
      </x:c>
      <x:c r="B435" s="3" t="inlineStr">
        <x:is>
          <x:t xml:space="preserve">SEC-D7-Q20</x:t>
        </x:is>
      </x:c>
      <x:c r="C435" s="3" t="inlineStr">
        <x:is>
          <x:t xml:space="preserve">SEC-D7-Q20-A2</x:t>
        </x:is>
      </x:c>
      <x:c r="D435" s="3" t="n">
        <x:v>2</x:v>
      </x:c>
      <x:c r="E435" s="3" t="inlineStr">
        <x:is>
          <x:t xml:space="preserve">Sometimes — we can retrieve evidence quickly for a few systems only.</x:t>
        </x:is>
      </x:c>
      <x:c r="F435" s="3" t="n">
        <x:v>2</x:v>
      </x:c>
      <x:c r="G435" s="3" t="inlineStr">
        <x:is>
          <x:t xml:space="preserve"/>
        </x:is>
      </x:c>
      <x:c r="H435" s="3" t="inlineStr">
        <x:is>
          <x:t xml:space="preserve">Operating Model Gap</x:t>
        </x:is>
      </x:c>
      <x:c r="I435" s="3" t="inlineStr">
        <x:is>
          <x:t xml:space="preserve">Assess_Evidence_Handling</x:t>
        </x:is>
      </x:c>
      <x:c r="J435" s="3" t="inlineStr">
        <x:is>
          <x:t xml:space="preserve">N</x:t>
        </x:is>
      </x:c>
      <x:c r="K435" s="3" t="inlineStr">
        <x:is>
          <x:t xml:space="preserve"/>
        </x:is>
      </x:c>
    </x:row>
    <x:row r="436">
      <x:c r="A436" s="3" t="inlineStr">
        <x:is>
          <x:t xml:space="preserve">Security</x:t>
        </x:is>
      </x:c>
      <x:c r="B436" s="3" t="inlineStr">
        <x:is>
          <x:t xml:space="preserve">SEC-D7-Q20</x:t>
        </x:is>
      </x:c>
      <x:c r="C436" s="3" t="inlineStr">
        <x:is>
          <x:t xml:space="preserve">SEC-D7-Q20-A3</x:t>
        </x:is>
      </x:c>
      <x:c r="D436" s="3" t="n">
        <x:v>3</x:v>
      </x:c>
      <x:c r="E436" s="3" t="inlineStr">
        <x:is>
          <x:t xml:space="preserve">Yes — repeatable retrieval steps exist for key systems and typical case types.</x:t>
        </x:is>
      </x:c>
      <x:c r="F436" s="3" t="n">
        <x:v>3</x:v>
      </x:c>
      <x:c r="G436" s="3" t="inlineStr">
        <x:is>
          <x:t xml:space="preserve"/>
        </x:is>
      </x:c>
      <x:c r="H436" s="3" t="inlineStr">
        <x:is>
          <x:t xml:space="preserve">Resilience Gap</x:t>
        </x:is>
      </x:c>
      <x:c r="I436" s="3" t="inlineStr">
        <x:is>
          <x:t xml:space="preserve">Assess_Evidence_Handling</x:t>
        </x:is>
      </x:c>
      <x:c r="J436" s="3" t="inlineStr">
        <x:is>
          <x:t xml:space="preserve">Y</x:t>
        </x:is>
      </x:c>
      <x:c r="K436" s="3" t="inlineStr">
        <x:is>
          <x:t xml:space="preserve">Retrieval SOP for 1 system.</x:t>
        </x:is>
      </x:c>
    </x:row>
    <x:row r="437">
      <x:c r="A437" s="3" t="inlineStr">
        <x:is>
          <x:t xml:space="preserve">Security</x:t>
        </x:is>
      </x:c>
      <x:c r="B437" s="3" t="inlineStr">
        <x:is>
          <x:t xml:space="preserve">SEC-D7-Q21</x:t>
        </x:is>
      </x:c>
      <x:c r="C437" s="3" t="inlineStr">
        <x:is>
          <x:t xml:space="preserve">SEC-D7-Q21-A1</x:t>
        </x:is>
      </x:c>
      <x:c r="D437" s="3" t="n">
        <x:v>1</x:v>
      </x:c>
      <x:c r="E437" s="3" t="inlineStr">
        <x:is>
          <x:t xml:space="preserve">Logs are broadly accessible or retention is unpredictable.</x:t>
        </x:is>
      </x:c>
      <x:c r="F437" s="3" t="n">
        <x:v>0</x:v>
      </x:c>
      <x:c r="G437" s="3" t="inlineStr">
        <x:is>
          <x:t xml:space="preserve">legal_exposure</x:t>
        </x:is>
      </x:c>
      <x:c r="H437" s="3" t="inlineStr">
        <x:is>
          <x:t xml:space="preserve">Legal Exposure</x:t>
        </x:is>
      </x:c>
      <x:c r="I437" s="3" t="inlineStr">
        <x:is>
          <x:t xml:space="preserve">Assess_Evidence_Handling</x:t>
        </x:is>
      </x:c>
      <x:c r="J437" s="3" t="inlineStr">
        <x:is>
          <x:t xml:space="preserve">N</x:t>
        </x:is>
      </x:c>
      <x:c r="K437" s="3" t="inlineStr">
        <x:is>
          <x:t xml:space="preserve"/>
        </x:is>
      </x:c>
    </x:row>
    <x:row r="438">
      <x:c r="A438" s="3" t="inlineStr">
        <x:is>
          <x:t xml:space="preserve">Security</x:t>
        </x:is>
      </x:c>
      <x:c r="B438" s="3" t="inlineStr">
        <x:is>
          <x:t xml:space="preserve">SEC-D7-Q21</x:t>
        </x:is>
      </x:c>
      <x:c r="C438" s="3" t="inlineStr">
        <x:is>
          <x:t xml:space="preserve">SEC-D7-Q21-A2</x:t>
        </x:is>
      </x:c>
      <x:c r="D438" s="3" t="n">
        <x:v>2</x:v>
      </x:c>
      <x:c r="E438" s="3" t="inlineStr">
        <x:is>
          <x:t xml:space="preserve">Retention/access controls exist, but audits are rare and some sources are excluded.</x:t>
        </x:is>
      </x:c>
      <x:c r="F438" s="3" t="n">
        <x:v>2</x:v>
      </x:c>
      <x:c r="G438" s="3" t="inlineStr">
        <x:is>
          <x:t xml:space="preserve"/>
        </x:is>
      </x:c>
      <x:c r="H438" s="3" t="inlineStr">
        <x:is>
          <x:t xml:space="preserve">Legal Exposure</x:t>
        </x:is>
      </x:c>
      <x:c r="I438" s="3" t="inlineStr">
        <x:is>
          <x:t xml:space="preserve">Assess_Data_Residency</x:t>
        </x:is>
      </x:c>
      <x:c r="J438" s="3" t="inlineStr">
        <x:is>
          <x:t xml:space="preserve">N</x:t>
        </x:is>
      </x:c>
      <x:c r="K438" s="3" t="inlineStr">
        <x:is>
          <x:t xml:space="preserve"/>
        </x:is>
      </x:c>
    </x:row>
    <x:row r="439">
      <x:c r="A439" s="3" t="inlineStr">
        <x:is>
          <x:t xml:space="preserve">Security</x:t>
        </x:is>
      </x:c>
      <x:c r="B439" s="3" t="inlineStr">
        <x:is>
          <x:t xml:space="preserve">SEC-D7-Q21</x:t>
        </x:is>
      </x:c>
      <x:c r="C439" s="3" t="inlineStr">
        <x:is>
          <x:t xml:space="preserve">SEC-D7-Q21-A3</x:t>
        </x:is>
      </x:c>
      <x:c r="D439" s="3" t="n">
        <x:v>3</x:v>
      </x:c>
      <x:c r="E439" s="3" t="inlineStr">
        <x:is>
          <x:t xml:space="preserve">Access is restricted and audited for most sources; retention meets defined requirements.</x:t>
        </x:is>
      </x:c>
      <x:c r="F439" s="3" t="n">
        <x:v>3</x:v>
      </x:c>
      <x:c r="G439" s="3" t="inlineStr">
        <x:is>
          <x:t xml:space="preserve"/>
        </x:is>
      </x:c>
      <x:c r="H439" s="3" t="inlineStr">
        <x:is>
          <x:t xml:space="preserve">Legal Exposure</x:t>
        </x:is>
      </x:c>
      <x:c r="I439" s="3" t="inlineStr">
        <x:is>
          <x:t xml:space="preserve">Legal_Defensibility_Audit</x:t>
        </x:is>
      </x:c>
      <x:c r="J439" s="3" t="inlineStr">
        <x:is>
          <x:t xml:space="preserve">Y</x:t>
        </x:is>
      </x:c>
      <x:c r="K439" s="3" t="inlineStr">
        <x:is>
          <x:t xml:space="preserve">Access groups + retention settings summary.</x:t>
        </x:is>
      </x:c>
    </x:row>
    <x:row r="440">
      <x:c r="A440" s="3" t="inlineStr">
        <x:is>
          <x:t xml:space="preserve">Security</x:t>
        </x:is>
      </x:c>
      <x:c r="B440" s="3" t="inlineStr">
        <x:is>
          <x:t xml:space="preserve">SEC-D7-Q21</x:t>
        </x:is>
      </x:c>
      <x:c r="C440" s="3" t="inlineStr">
        <x:is>
          <x:t xml:space="preserve">SEC-D7-Q21-A4</x:t>
        </x:is>
      </x:c>
      <x:c r="D440" s="3" t="n">
        <x:v>4</x:v>
      </x:c>
      <x:c r="E440" s="3" t="inlineStr">
        <x:is>
          <x:t xml:space="preserve">Optimized: centralized governance of retention, geo/scope controls where needed, and periodic reviews.</x:t>
        </x:is>
      </x:c>
      <x:c r="F440" s="3" t="n">
        <x:v>4</x:v>
      </x:c>
      <x:c r="G440" s="3" t="inlineStr">
        <x:is>
          <x:t xml:space="preserve"/>
        </x:is>
      </x:c>
      <x:c r="H440" s="3" t="inlineStr">
        <x:is>
          <x:t xml:space="preserve">Legal Exposure</x:t>
        </x:is>
      </x:c>
      <x:c r="I440" s="3" t="inlineStr">
        <x:is>
          <x:t xml:space="preserve">Legal_Defensibility_Audit</x:t>
        </x:is>
      </x:c>
      <x:c r="J440" s="3" t="inlineStr">
        <x:is>
          <x:t xml:space="preserve">Y</x:t>
        </x:is>
      </x:c>
      <x:c r="K440" s="3" t="inlineStr">
        <x:is>
          <x:t xml:space="preserve">Review record.</x:t>
        </x:is>
      </x:c>
    </x:row>
    <x:row r="441">
      <x:c r="A441" s="3" t="inlineStr">
        <x:is>
          <x:t xml:space="preserve">Security</x:t>
        </x:is>
      </x:c>
      <x:c r="B441" s="3" t="inlineStr">
        <x:is>
          <x:t xml:space="preserve">SEC-D8-Q22</x:t>
        </x:is>
      </x:c>
      <x:c r="C441" s="3" t="inlineStr">
        <x:is>
          <x:t xml:space="preserve">SEC-D8-Q22-A1</x:t>
        </x:is>
      </x:c>
      <x:c r="D441" s="3" t="n">
        <x:v>1</x:v>
      </x:c>
      <x:c r="E441" s="3" t="inlineStr">
        <x:is>
          <x:t xml:space="preserve">No — contractors are largely out of scope once they have access.</x:t>
        </x:is>
      </x:c>
      <x:c r="F441" s="3" t="n">
        <x:v>0</x:v>
      </x:c>
      <x:c r="G441" s="3" t="inlineStr">
        <x:is>
          <x:t xml:space="preserve">visibility_gap</x:t>
        </x:is>
      </x:c>
      <x:c r="H441" s="3" t="inlineStr">
        <x:is>
          <x:t xml:space="preserve">Visibility Gap</x:t>
        </x:is>
      </x:c>
      <x:c r="I441" s="3" t="inlineStr">
        <x:is>
          <x:t xml:space="preserve">Assess_ThirdParty</x:t>
        </x:is>
      </x:c>
      <x:c r="J441" s="3" t="inlineStr">
        <x:is>
          <x:t xml:space="preserve">N</x:t>
        </x:is>
      </x:c>
      <x:c r="K441" s="3" t="inlineStr">
        <x:is>
          <x:t xml:space="preserve"/>
        </x:is>
      </x:c>
    </x:row>
    <x:row r="442">
      <x:c r="A442" s="3" t="inlineStr">
        <x:is>
          <x:t xml:space="preserve">Security</x:t>
        </x:is>
      </x:c>
      <x:c r="B442" s="3" t="inlineStr">
        <x:is>
          <x:t xml:space="preserve">SEC-D8-Q22</x:t>
        </x:is>
      </x:c>
      <x:c r="C442" s="3" t="inlineStr">
        <x:is>
          <x:t xml:space="preserve">SEC-D8-Q22-A2</x:t>
        </x:is>
      </x:c>
      <x:c r="D442" s="3" t="n">
        <x:v>2</x:v>
      </x:c>
      <x:c r="E442" s="3" t="inlineStr">
        <x:is>
          <x:t xml:space="preserve">Partial — some monitoring exists, but identity/tooling is inconsistent.</x:t>
        </x:is>
      </x:c>
      <x:c r="F442" s="3" t="n">
        <x:v>2</x:v>
      </x:c>
      <x:c r="G442" s="3" t="inlineStr">
        <x:is>
          <x:t xml:space="preserve"/>
        </x:is>
      </x:c>
      <x:c r="H442" s="3" t="inlineStr">
        <x:is>
          <x:t xml:space="preserve">Visibility Gap</x:t>
        </x:is>
      </x:c>
      <x:c r="I442" s="3" t="inlineStr">
        <x:is>
          <x:t xml:space="preserve">Assess_ThirdParty</x:t>
        </x:is>
      </x:c>
      <x:c r="J442" s="3" t="inlineStr">
        <x:is>
          <x:t xml:space="preserve">N</x:t>
        </x:is>
      </x:c>
      <x:c r="K442" s="3" t="inlineStr">
        <x:is>
          <x:t xml:space="preserve"/>
        </x:is>
      </x:c>
    </x:row>
    <x:row r="443">
      <x:c r="A443" s="3" t="inlineStr">
        <x:is>
          <x:t xml:space="preserve">Security</x:t>
        </x:is>
      </x:c>
      <x:c r="B443" s="3" t="inlineStr">
        <x:is>
          <x:t xml:space="preserve">SEC-D8-Q22</x:t>
        </x:is>
      </x:c>
      <x:c r="C443" s="3" t="inlineStr">
        <x:is>
          <x:t xml:space="preserve">SEC-D8-Q22-A3</x:t>
        </x:is>
      </x:c>
      <x:c r="D443" s="3" t="n">
        <x:v>3</x:v>
      </x:c>
      <x:c r="E443" s="3" t="inlineStr">
        <x:is>
          <x:t xml:space="preserve">Yes — contractors are included in monitoring for key systems and investigated similarly.</x:t>
        </x:is>
      </x:c>
      <x:c r="F443" s="3" t="n">
        <x:v>3</x:v>
      </x:c>
      <x:c r="G443" s="3" t="inlineStr">
        <x:is>
          <x:t xml:space="preserve"/>
        </x:is>
      </x:c>
      <x:c r="H443" s="3" t="inlineStr">
        <x:is>
          <x:t xml:space="preserve">Visibility Gap</x:t>
        </x:is>
      </x:c>
      <x:c r="I443" s="3" t="inlineStr">
        <x:is>
          <x:t xml:space="preserve">Assess_ThirdParty</x:t>
        </x:is>
      </x:c>
      <x:c r="J443" s="3" t="inlineStr">
        <x:is>
          <x:t xml:space="preserve">Y</x:t>
        </x:is>
      </x:c>
      <x:c r="K443" s="3" t="inlineStr">
        <x:is>
          <x:t xml:space="preserve">Contractor access list + monitoring approach.</x:t>
        </x:is>
      </x:c>
    </x:row>
    <x:row r="444">
      <x:c r="A444" s="3" t="inlineStr">
        <x:is>
          <x:t xml:space="preserve">Security</x:t>
        </x:is>
      </x:c>
      <x:c r="B444" s="3" t="inlineStr">
        <x:is>
          <x:t xml:space="preserve">SEC-D8-Q22</x:t>
        </x:is>
      </x:c>
      <x:c r="C444" s="3" t="inlineStr">
        <x:is>
          <x:t xml:space="preserve">SEC-D8-Q22-A4</x:t>
        </x:is>
      </x:c>
      <x:c r="D444" s="3" t="n">
        <x:v>4</x:v>
      </x:c>
      <x:c r="E444" s="3" t="inlineStr">
        <x:is>
          <x:t xml:space="preserve">Optimized — third‑party risk tiers, scoped access, monitoring, and periodic reviews.</x:t>
        </x:is>
      </x:c>
      <x:c r="F444" s="3" t="n">
        <x:v>4</x:v>
      </x:c>
      <x:c r="G444" s="3" t="inlineStr">
        <x:is>
          <x:t xml:space="preserve"/>
        </x:is>
      </x:c>
      <x:c r="H444" s="3" t="inlineStr">
        <x:is>
          <x:t xml:space="preserve">Visibility Gap</x:t>
        </x:is>
      </x:c>
      <x:c r="I444" s="3" t="inlineStr">
        <x:is>
          <x:t xml:space="preserve">Assess_ThirdParty</x:t>
        </x:is>
      </x:c>
      <x:c r="J444" s="3" t="inlineStr">
        <x:is>
          <x:t xml:space="preserve">Y</x:t>
        </x:is>
      </x:c>
      <x:c r="K444" s="3" t="inlineStr">
        <x:is>
          <x:t xml:space="preserve">Third‑party tiering approach.</x:t>
        </x:is>
      </x:c>
    </x:row>
    <x:row r="445">
      <x:c r="A445" s="3" t="inlineStr">
        <x:is>
          <x:t xml:space="preserve">Security</x:t>
        </x:is>
      </x:c>
      <x:c r="B445" s="3" t="inlineStr">
        <x:is>
          <x:t xml:space="preserve">SEC-D8-Q23</x:t>
        </x:is>
      </x:c>
      <x:c r="C445" s="3" t="inlineStr">
        <x:is>
          <x:t xml:space="preserve">SEC-D8-Q23-A1</x:t>
        </x:is>
      </x:c>
      <x:c r="D445" s="3" t="n">
        <x:v>1</x:v>
      </x:c>
      <x:c r="E445" s="3" t="inlineStr">
        <x:is>
          <x:t xml:space="preserve">No — access removal is manual and often late.</x:t>
        </x:is>
      </x:c>
      <x:c r="F445" s="3" t="n">
        <x:v>0</x:v>
      </x:c>
      <x:c r="G445" s="3" t="inlineStr">
        <x:is>
          <x:t xml:space="preserve">control_lag_high</x:t>
        </x:is>
      </x:c>
      <x:c r="H445" s="3" t="inlineStr">
        <x:is>
          <x:t xml:space="preserve">Control Lag</x:t>
        </x:is>
      </x:c>
      <x:c r="I445" s="3" t="inlineStr">
        <x:is>
          <x:t xml:space="preserve">Assess_Control_Lag</x:t>
        </x:is>
      </x:c>
      <x:c r="J445" s="3" t="inlineStr">
        <x:is>
          <x:t xml:space="preserve">N</x:t>
        </x:is>
      </x:c>
      <x:c r="K445" s="3" t="inlineStr">
        <x:is>
          <x:t xml:space="preserve"/>
        </x:is>
      </x:c>
    </x:row>
    <x:row r="446">
      <x:c r="A446" s="3" t="inlineStr">
        <x:is>
          <x:t xml:space="preserve">Security</x:t>
        </x:is>
      </x:c>
      <x:c r="B446" s="3" t="inlineStr">
        <x:is>
          <x:t xml:space="preserve">SEC-D8-Q23</x:t>
        </x:is>
      </x:c>
      <x:c r="C446" s="3" t="inlineStr">
        <x:is>
          <x:t xml:space="preserve">SEC-D8-Q23-A2</x:t>
        </x:is>
      </x:c>
      <x:c r="D446" s="3" t="n">
        <x:v>2</x:v>
      </x:c>
      <x:c r="E446" s="3" t="inlineStr">
        <x:is>
          <x:t xml:space="preserve">Sometimes — critical systems are handled, but gaps happen.</x:t>
        </x:is>
      </x:c>
      <x:c r="F446" s="3" t="n">
        <x:v>2</x:v>
      </x:c>
      <x:c r="G446" s="3" t="inlineStr">
        <x:is>
          <x:t xml:space="preserve"/>
        </x:is>
      </x:c>
      <x:c r="H446" s="3" t="inlineStr">
        <x:is>
          <x:t xml:space="preserve">Control Lag</x:t>
        </x:is>
      </x:c>
      <x:c r="I446" s="3" t="inlineStr">
        <x:is>
          <x:t xml:space="preserve">Assess_Control_Lag</x:t>
        </x:is>
      </x:c>
      <x:c r="J446" s="3" t="inlineStr">
        <x:is>
          <x:t xml:space="preserve">N</x:t>
        </x:is>
      </x:c>
      <x:c r="K446" s="3" t="inlineStr">
        <x:is>
          <x:t xml:space="preserve"/>
        </x:is>
      </x:c>
    </x:row>
    <x:row r="447">
      <x:c r="A447" s="3" t="inlineStr">
        <x:is>
          <x:t xml:space="preserve">Security</x:t>
        </x:is>
      </x:c>
      <x:c r="B447" s="3" t="inlineStr">
        <x:is>
          <x:t xml:space="preserve">SEC-D8-Q23</x:t>
        </x:is>
      </x:c>
      <x:c r="C447" s="3" t="inlineStr">
        <x:is>
          <x:t xml:space="preserve">SEC-D8-Q23-A3</x:t>
        </x:is>
      </x:c>
      <x:c r="D447" s="3" t="n">
        <x:v>3</x:v>
      </x:c>
      <x:c r="E447" s="3" t="inlineStr">
        <x:is>
          <x:t xml:space="preserve">Yes — reliable process exists and is regularly audited for timeliness.</x:t>
        </x:is>
      </x:c>
      <x:c r="F447" s="3" t="n">
        <x:v>3</x:v>
      </x:c>
      <x:c r="G447" s="3" t="inlineStr">
        <x:is>
          <x:t xml:space="preserve"/>
        </x:is>
      </x:c>
      <x:c r="H447" s="3" t="inlineStr">
        <x:is>
          <x:t xml:space="preserve">Resilience Gap</x:t>
        </x:is>
      </x:c>
      <x:c r="I447" s="3" t="inlineStr">
        <x:is>
          <x:t xml:space="preserve">Plan_Assurance</x:t>
        </x:is>
      </x:c>
      <x:c r="J447" s="3" t="inlineStr">
        <x:is>
          <x:t xml:space="preserve">Y</x:t>
        </x:is>
      </x:c>
      <x:c r="K447" s="3" t="inlineStr">
        <x:is>
          <x:t xml:space="preserve">Last access removal audit result.</x:t>
        </x:is>
      </x:c>
    </x:row>
    <x:row r="448">
      <x:c r="A448" s="3" t="inlineStr">
        <x:is>
          <x:t xml:space="preserve">Security</x:t>
        </x:is>
      </x:c>
      <x:c r="B448" s="3" t="inlineStr">
        <x:is>
          <x:t xml:space="preserve">SEC-D8-Q24</x:t>
        </x:is>
      </x:c>
      <x:c r="C448" s="3" t="inlineStr">
        <x:is>
          <x:t xml:space="preserve">SEC-D8-Q24-A1</x:t>
        </x:is>
      </x:c>
      <x:c r="D448" s="3" t="n">
        <x:v>1</x:v>
      </x:c>
      <x:c r="E448" s="3" t="inlineStr">
        <x:is>
          <x:t xml:space="preserve">No — we would improvise during a crisis.</x:t>
        </x:is>
      </x:c>
      <x:c r="F448" s="3" t="n">
        <x:v>0</x:v>
      </x:c>
      <x:c r="G448" s="3" t="inlineStr">
        <x:is>
          <x:t xml:space="preserve"/>
        </x:is>
      </x:c>
      <x:c r="H448" s="3" t="inlineStr">
        <x:is>
          <x:t xml:space="preserve">Resilience Gap</x:t>
        </x:is>
      </x:c>
      <x:c r="I448" s="3" t="inlineStr">
        <x:is>
          <x:t xml:space="preserve">Assess_ThirdParty</x:t>
        </x:is>
      </x:c>
      <x:c r="J448" s="3" t="inlineStr">
        <x:is>
          <x:t xml:space="preserve">N</x:t>
        </x:is>
      </x:c>
      <x:c r="K448" s="3" t="inlineStr">
        <x:is>
          <x:t xml:space="preserve"/>
        </x:is>
      </x:c>
    </x:row>
    <x:row r="449">
      <x:c r="A449" s="3" t="inlineStr">
        <x:is>
          <x:t xml:space="preserve">Security</x:t>
        </x:is>
      </x:c>
      <x:c r="B449" s="3" t="inlineStr">
        <x:is>
          <x:t xml:space="preserve">SEC-D8-Q24</x:t>
        </x:is>
      </x:c>
      <x:c r="C449" s="3" t="inlineStr">
        <x:is>
          <x:t xml:space="preserve">SEC-D8-Q24-A2</x:t>
        </x:is>
      </x:c>
      <x:c r="D449" s="3" t="n">
        <x:v>2</x:v>
      </x:c>
      <x:c r="E449" s="3" t="inlineStr">
        <x:is>
          <x:t xml:space="preserve">Some clauses exist, but steps and owners are unclear.</x:t>
        </x:is>
      </x:c>
      <x:c r="F449" s="3" t="n">
        <x:v>1</x:v>
      </x:c>
      <x:c r="G449" s="3" t="inlineStr">
        <x:is>
          <x:t xml:space="preserve">paper_dragon_signal</x:t>
        </x:is>
      </x:c>
      <x:c r="H449" s="3" t="inlineStr">
        <x:is>
          <x:t xml:space="preserve">Paper Dragon</x:t>
        </x:is>
      </x:c>
      <x:c r="I449" s="3" t="inlineStr">
        <x:is>
          <x:t xml:space="preserve">Assess_ThirdParty</x:t>
        </x:is>
      </x:c>
      <x:c r="J449" s="3" t="inlineStr">
        <x:is>
          <x:t xml:space="preserve">N</x:t>
        </x:is>
      </x:c>
      <x:c r="K449" s="3" t="inlineStr">
        <x:is>
          <x:t xml:space="preserve"/>
        </x:is>
      </x:c>
    </x:row>
    <x:row r="450">
      <x:c r="A450" s="3" t="inlineStr">
        <x:is>
          <x:t xml:space="preserve">Security</x:t>
        </x:is>
      </x:c>
      <x:c r="B450" s="3" t="inlineStr">
        <x:is>
          <x:t xml:space="preserve">SEC-D8-Q24</x:t>
        </x:is>
      </x:c>
      <x:c r="C450" s="3" t="inlineStr">
        <x:is>
          <x:t xml:space="preserve">SEC-D8-Q24-A3</x:t>
        </x:is>
      </x:c>
      <x:c r="D450" s="3" t="n">
        <x:v>3</x:v>
      </x:c>
      <x:c r="E450" s="3" t="inlineStr">
        <x:is>
          <x:t xml:space="preserve">Defined steps exist and have been exercised at least once.</x:t>
        </x:is>
      </x:c>
      <x:c r="F450" s="3" t="n">
        <x:v>3</x:v>
      </x:c>
      <x:c r="G450" s="3" t="inlineStr">
        <x:is>
          <x:t xml:space="preserve"/>
        </x:is>
      </x:c>
      <x:c r="H450" s="3" t="inlineStr">
        <x:is>
          <x:t xml:space="preserve">Resilience Gap</x:t>
        </x:is>
      </x:c>
      <x:c r="I450" s="3" t="inlineStr">
        <x:is>
          <x:t xml:space="preserve">Insider_Playbooks</x:t>
        </x:is>
      </x:c>
      <x:c r="J450" s="3" t="inlineStr">
        <x:is>
          <x:t xml:space="preserve">Y</x:t>
        </x:is>
      </x:c>
      <x:c r="K450" s="3" t="inlineStr">
        <x:is>
          <x:t xml:space="preserve">Vendor escalation procedure.</x:t>
        </x:is>
      </x:c>
    </x:row>
    <x:row r="451">
      <x:c r="A451" s="3" t="inlineStr">
        <x:is>
          <x:t xml:space="preserve">Security</x:t>
        </x:is>
      </x:c>
      <x:c r="B451" s="3" t="inlineStr">
        <x:is>
          <x:t xml:space="preserve">SEC-D8-Q24</x:t>
        </x:is>
      </x:c>
      <x:c r="C451" s="3" t="inlineStr">
        <x:is>
          <x:t xml:space="preserve">SEC-D8-Q24-A4</x:t>
        </x:is>
      </x:c>
      <x:c r="D451" s="3" t="n">
        <x:v>4</x:v>
      </x:c>
      <x:c r="E451" s="3" t="inlineStr">
        <x:is>
          <x:t xml:space="preserve">Optimized: pre‑arranged contacts, evidence workflow, and tabletop exercises include third parties.</x:t>
        </x:is>
      </x:c>
      <x:c r="F451" s="3" t="n">
        <x:v>4</x:v>
      </x:c>
      <x:c r="G451" s="3" t="inlineStr">
        <x:is>
          <x:t xml:space="preserve"/>
        </x:is>
      </x:c>
      <x:c r="H451" s="3" t="inlineStr">
        <x:is>
          <x:t xml:space="preserve">Resilience Gap</x:t>
        </x:is>
      </x:c>
      <x:c r="I451" s="3" t="inlineStr">
        <x:is>
          <x:t xml:space="preserve">Insider_Playbooks</x:t>
        </x:is>
      </x:c>
      <x:c r="J451" s="3" t="inlineStr">
        <x:is>
          <x:t xml:space="preserve">Y</x:t>
        </x:is>
      </x:c>
      <x:c r="K451" s="3" t="inlineStr">
        <x:is>
          <x:t xml:space="preserve">Tabletop record (redacted).</x:t>
        </x:is>
      </x:c>
    </x:row>
    <x:row r="452">
      <x:c r="A452" s="3" t="inlineStr">
        <x:is>
          <x:t xml:space="preserve">Security</x:t>
        </x:is>
      </x:c>
      <x:c r="B452" s="3" t="inlineStr">
        <x:is>
          <x:t xml:space="preserve">SEC-D9-Q25</x:t>
        </x:is>
      </x:c>
      <x:c r="C452" s="3" t="inlineStr">
        <x:is>
          <x:t xml:space="preserve">SEC-D9-Q25-A1</x:t>
        </x:is>
      </x:c>
      <x:c r="D452" s="3" t="n">
        <x:v>1</x:v>
      </x:c>
      <x:c r="E452" s="3" t="inlineStr">
        <x:is>
          <x:t xml:space="preserve">No — success is described qualitatively or by alert counts.</x:t>
        </x:is>
      </x:c>
      <x:c r="F452" s="3" t="n">
        <x:v>0</x:v>
      </x:c>
      <x:c r="G452" s="3" t="inlineStr">
        <x:is>
          <x:t xml:space="preserve">paper_dragon_signal</x:t>
        </x:is>
      </x:c>
      <x:c r="H452" s="3" t="inlineStr">
        <x:is>
          <x:t xml:space="preserve">Paper Dragon</x:t>
        </x:is>
      </x:c>
      <x:c r="I452" s="3" t="inlineStr">
        <x:is>
          <x:t xml:space="preserve">Improve_Metrics</x:t>
        </x:is>
      </x:c>
      <x:c r="J452" s="3" t="inlineStr">
        <x:is>
          <x:t xml:space="preserve">N</x:t>
        </x:is>
      </x:c>
      <x:c r="K452" s="3" t="inlineStr">
        <x:is>
          <x:t xml:space="preserve"/>
        </x:is>
      </x:c>
    </x:row>
    <x:row r="453">
      <x:c r="A453" s="3" t="inlineStr">
        <x:is>
          <x:t xml:space="preserve">Security</x:t>
        </x:is>
      </x:c>
      <x:c r="B453" s="3" t="inlineStr">
        <x:is>
          <x:t xml:space="preserve">SEC-D9-Q25</x:t>
        </x:is>
      </x:c>
      <x:c r="C453" s="3" t="inlineStr">
        <x:is>
          <x:t xml:space="preserve">SEC-D9-Q25-A2</x:t>
        </x:is>
      </x:c>
      <x:c r="D453" s="3" t="n">
        <x:v>2</x:v>
      </x:c>
      <x:c r="E453" s="3" t="inlineStr">
        <x:is>
          <x:t xml:space="preserve">Some metrics exist, but they don’t drive improvements.</x:t>
        </x:is>
      </x:c>
      <x:c r="F453" s="3" t="n">
        <x:v>2</x:v>
      </x:c>
      <x:c r="G453" s="3" t="inlineStr">
        <x:is>
          <x:t xml:space="preserve"/>
        </x:is>
      </x:c>
      <x:c r="H453" s="3" t="inlineStr">
        <x:is>
          <x:t xml:space="preserve">Operating Model Gap</x:t>
        </x:is>
      </x:c>
      <x:c r="I453" s="3" t="inlineStr">
        <x:is>
          <x:t xml:space="preserve">Improve_Metrics</x:t>
        </x:is>
      </x:c>
      <x:c r="J453" s="3" t="inlineStr">
        <x:is>
          <x:t xml:space="preserve">N</x:t>
        </x:is>
      </x:c>
      <x:c r="K453" s="3" t="inlineStr">
        <x:is>
          <x:t xml:space="preserve"/>
        </x:is>
      </x:c>
    </x:row>
    <x:row r="454">
      <x:c r="A454" s="3" t="inlineStr">
        <x:is>
          <x:t xml:space="preserve">Security</x:t>
        </x:is>
      </x:c>
      <x:c r="B454" s="3" t="inlineStr">
        <x:is>
          <x:t xml:space="preserve">SEC-D9-Q25</x:t>
        </x:is>
      </x:c>
      <x:c r="C454" s="3" t="inlineStr">
        <x:is>
          <x:t xml:space="preserve">SEC-D9-Q25-A3</x:t>
        </x:is>
      </x:c>
      <x:c r="D454" s="3" t="n">
        <x:v>3</x:v>
      </x:c>
      <x:c r="E454" s="3" t="inlineStr">
        <x:is>
          <x:t xml:space="preserve">Yes — we track a small set of KPIs/KRIs and review them regularly.</x:t>
        </x:is>
      </x:c>
      <x:c r="F454" s="3" t="n">
        <x:v>3</x:v>
      </x:c>
      <x:c r="G454" s="3" t="inlineStr">
        <x:is>
          <x:t xml:space="preserve"/>
        </x:is>
      </x:c>
      <x:c r="H454" s="3" t="inlineStr">
        <x:is>
          <x:t xml:space="preserve">Resilience Gap</x:t>
        </x:is>
      </x:c>
      <x:c r="I454" s="3" t="inlineStr">
        <x:is>
          <x:t xml:space="preserve">Improve_Metrics</x:t>
        </x:is>
      </x:c>
      <x:c r="J454" s="3" t="inlineStr">
        <x:is>
          <x:t xml:space="preserve">Y</x:t>
        </x:is>
      </x:c>
      <x:c r="K454" s="3" t="inlineStr">
        <x:is>
          <x:t xml:space="preserve">Dashboard (redacted).</x:t>
        </x:is>
      </x:c>
    </x:row>
    <x:row r="455">
      <x:c r="A455" s="3" t="inlineStr">
        <x:is>
          <x:t xml:space="preserve">Security</x:t>
        </x:is>
      </x:c>
      <x:c r="B455" s="3" t="inlineStr">
        <x:is>
          <x:t xml:space="preserve">SEC-D9-Q25</x:t>
        </x:is>
      </x:c>
      <x:c r="C455" s="3" t="inlineStr">
        <x:is>
          <x:t xml:space="preserve">SEC-D9-Q25-A4</x:t>
        </x:is>
      </x:c>
      <x:c r="D455" s="3" t="n">
        <x:v>4</x:v>
      </x:c>
      <x:c r="E455" s="3" t="inlineStr">
        <x:is>
          <x:t xml:space="preserve">Optimized: metrics drive prioritized improvements, with periodic independent reviews.</x:t>
        </x:is>
      </x:c>
      <x:c r="F455" s="3" t="n">
        <x:v>4</x:v>
      </x:c>
      <x:c r="G455" s="3" t="inlineStr">
        <x:is>
          <x:t xml:space="preserve"/>
        </x:is>
      </x:c>
      <x:c r="H455" s="3" t="inlineStr">
        <x:is>
          <x:t xml:space="preserve">Resilience Gap</x:t>
        </x:is>
      </x:c>
      <x:c r="I455" s="3" t="inlineStr">
        <x:is>
          <x:t xml:space="preserve">Plan_Assurance</x:t>
        </x:is>
      </x:c>
      <x:c r="J455" s="3" t="inlineStr">
        <x:is>
          <x:t xml:space="preserve">Y</x:t>
        </x:is>
      </x:c>
      <x:c r="K455" s="3" t="inlineStr">
        <x:is>
          <x:t xml:space="preserve">Review minutes/audit excerpt.</x:t>
        </x:is>
      </x:c>
    </x:row>
    <x:row r="456">
      <x:c r="A456" s="3" t="inlineStr">
        <x:is>
          <x:t xml:space="preserve">Security</x:t>
        </x:is>
      </x:c>
      <x:c r="B456" s="3" t="inlineStr">
        <x:is>
          <x:t xml:space="preserve">SEC-D9-Q26</x:t>
        </x:is>
      </x:c>
      <x:c r="C456" s="3" t="inlineStr">
        <x:is>
          <x:t xml:space="preserve">SEC-D9-Q26-A1</x:t>
        </x:is>
      </x:c>
      <x:c r="D456" s="3" t="n">
        <x:v>1</x:v>
      </x:c>
      <x:c r="E456" s="3" t="inlineStr">
        <x:is>
          <x:t xml:space="preserve">No — we only review after major incidents.</x:t>
        </x:is>
      </x:c>
      <x:c r="F456" s="3" t="n">
        <x:v>0</x:v>
      </x:c>
      <x:c r="G456" s="3" t="inlineStr">
        <x:is>
          <x:t xml:space="preserve"/>
        </x:is>
      </x:c>
      <x:c r="H456" s="3" t="inlineStr">
        <x:is>
          <x:t xml:space="preserve">Resilience Gap</x:t>
        </x:is>
      </x:c>
      <x:c r="I456" s="3" t="inlineStr">
        <x:is>
          <x:t xml:space="preserve">Improve_Metrics</x:t>
        </x:is>
      </x:c>
      <x:c r="J456" s="3" t="inlineStr">
        <x:is>
          <x:t xml:space="preserve">N</x:t>
        </x:is>
      </x:c>
      <x:c r="K456" s="3" t="inlineStr">
        <x:is>
          <x:t xml:space="preserve"/>
        </x:is>
      </x:c>
    </x:row>
    <x:row r="457">
      <x:c r="A457" s="3" t="inlineStr">
        <x:is>
          <x:t xml:space="preserve">Security</x:t>
        </x:is>
      </x:c>
      <x:c r="B457" s="3" t="inlineStr">
        <x:is>
          <x:t xml:space="preserve">SEC-D9-Q26</x:t>
        </x:is>
      </x:c>
      <x:c r="C457" s="3" t="inlineStr">
        <x:is>
          <x:t xml:space="preserve">SEC-D9-Q26-A2</x:t>
        </x:is>
      </x:c>
      <x:c r="D457" s="3" t="n">
        <x:v>2</x:v>
      </x:c>
      <x:c r="E457" s="3" t="inlineStr">
        <x:is>
          <x:t xml:space="preserve">Sometimes — informal reviews happen if someone remembers.</x:t>
        </x:is>
      </x:c>
      <x:c r="F457" s="3" t="n">
        <x:v>2</x:v>
      </x:c>
      <x:c r="G457" s="3" t="inlineStr">
        <x:is>
          <x:t xml:space="preserve">shadow_mature_signal</x:t>
        </x:is>
      </x:c>
      <x:c r="H457" s="3" t="inlineStr">
        <x:is>
          <x:t xml:space="preserve">Shadow Mature</x:t>
        </x:is>
      </x:c>
      <x:c r="I457" s="3" t="inlineStr">
        <x:is>
          <x:t xml:space="preserve">Capture_Informal_Practices</x:t>
        </x:is>
      </x:c>
      <x:c r="J457" s="3" t="inlineStr">
        <x:is>
          <x:t xml:space="preserve">N</x:t>
        </x:is>
      </x:c>
      <x:c r="K457" s="3" t="inlineStr">
        <x:is>
          <x:t xml:space="preserve"/>
        </x:is>
      </x:c>
    </x:row>
    <x:row r="458">
      <x:c r="A458" s="3" t="inlineStr">
        <x:is>
          <x:t xml:space="preserve">Security</x:t>
        </x:is>
      </x:c>
      <x:c r="B458" s="3" t="inlineStr">
        <x:is>
          <x:t xml:space="preserve">SEC-D9-Q26</x:t>
        </x:is>
      </x:c>
      <x:c r="C458" s="3" t="inlineStr">
        <x:is>
          <x:t xml:space="preserve">SEC-D9-Q26-A3</x:t>
        </x:is>
      </x:c>
      <x:c r="D458" s="3" t="n">
        <x:v>3</x:v>
      </x:c>
      <x:c r="E458" s="3" t="inlineStr">
        <x:is>
          <x:t xml:space="preserve">Yes — near misses are logged and reviewed to drive tuning and training.</x:t>
        </x:is>
      </x:c>
      <x:c r="F458" s="3" t="n">
        <x:v>3</x:v>
      </x:c>
      <x:c r="G458" s="3" t="inlineStr">
        <x:is>
          <x:t xml:space="preserve"/>
        </x:is>
      </x:c>
      <x:c r="H458" s="3" t="inlineStr">
        <x:is>
          <x:t xml:space="preserve">Resilience Gap</x:t>
        </x:is>
      </x:c>
      <x:c r="I458" s="3" t="inlineStr">
        <x:is>
          <x:t xml:space="preserve">Improve_Metrics</x:t>
        </x:is>
      </x:c>
      <x:c r="J458" s="3" t="inlineStr">
        <x:is>
          <x:t xml:space="preserve">Y</x:t>
        </x:is>
      </x:c>
      <x:c r="K458" s="3" t="inlineStr">
        <x:is>
          <x:t xml:space="preserve">Example near-miss record (redacted).</x:t>
        </x:is>
      </x:c>
    </x:row>
    <x:row r="459">
      <x:c r="A459" s="3" t="inlineStr">
        <x:is>
          <x:t xml:space="preserve">Security</x:t>
        </x:is>
      </x:c>
      <x:c r="B459" s="3" t="inlineStr">
        <x:is>
          <x:t xml:space="preserve">SEC-D9-Q27</x:t>
        </x:is>
      </x:c>
      <x:c r="C459" s="3" t="inlineStr">
        <x:is>
          <x:t xml:space="preserve">SEC-D9-Q27-A1</x:t>
        </x:is>
      </x:c>
      <x:c r="D459" s="3" t="n">
        <x:v>1</x:v>
      </x:c>
      <x:c r="E459" s="3" t="inlineStr">
        <x:is>
          <x:t xml:space="preserve">No — we assume detections work once enabled.</x:t>
        </x:is>
      </x:c>
      <x:c r="F459" s="3" t="n">
        <x:v>0</x:v>
      </x:c>
      <x:c r="G459" s="3" t="inlineStr">
        <x:is>
          <x:t xml:space="preserve">paper_dragon_signal</x:t>
        </x:is>
      </x:c>
      <x:c r="H459" s="3" t="inlineStr">
        <x:is>
          <x:t xml:space="preserve">Paper Dragon</x:t>
        </x:is>
      </x:c>
      <x:c r="I459" s="3" t="inlineStr">
        <x:is>
          <x:t xml:space="preserve">Plan_Assurance</x:t>
        </x:is>
      </x:c>
      <x:c r="J459" s="3" t="inlineStr">
        <x:is>
          <x:t xml:space="preserve">N</x:t>
        </x:is>
      </x:c>
      <x:c r="K459" s="3" t="inlineStr">
        <x:is>
          <x:t xml:space="preserve"/>
        </x:is>
      </x:c>
    </x:row>
    <x:row r="460">
      <x:c r="A460" s="3" t="inlineStr">
        <x:is>
          <x:t xml:space="preserve">Security</x:t>
        </x:is>
      </x:c>
      <x:c r="B460" s="3" t="inlineStr">
        <x:is>
          <x:t xml:space="preserve">SEC-D9-Q27</x:t>
        </x:is>
      </x:c>
      <x:c r="C460" s="3" t="inlineStr">
        <x:is>
          <x:t xml:space="preserve">SEC-D9-Q27-A2</x:t>
        </x:is>
      </x:c>
      <x:c r="D460" s="3" t="n">
        <x:v>2</x:v>
      </x:c>
      <x:c r="E460" s="3" t="inlineStr">
        <x:is>
          <x:t xml:space="preserve">Occasionally — tests happen after incidents or audits.</x:t>
        </x:is>
      </x:c>
      <x:c r="F460" s="3" t="n">
        <x:v>2</x:v>
      </x:c>
      <x:c r="G460" s="3" t="inlineStr">
        <x:is>
          <x:t xml:space="preserve"/>
        </x:is>
      </x:c>
      <x:c r="H460" s="3" t="inlineStr">
        <x:is>
          <x:t xml:space="preserve">Operating Model Gap</x:t>
        </x:is>
      </x:c>
      <x:c r="I460" s="3" t="inlineStr">
        <x:is>
          <x:t xml:space="preserve">Plan_Assurance</x:t>
        </x:is>
      </x:c>
      <x:c r="J460" s="3" t="inlineStr">
        <x:is>
          <x:t xml:space="preserve">N</x:t>
        </x:is>
      </x:c>
      <x:c r="K460" s="3" t="inlineStr">
        <x:is>
          <x:t xml:space="preserve"/>
        </x:is>
      </x:c>
    </x:row>
    <x:row r="461">
      <x:c r="A461" s="3" t="inlineStr">
        <x:is>
          <x:t xml:space="preserve">Security</x:t>
        </x:is>
      </x:c>
      <x:c r="B461" s="3" t="inlineStr">
        <x:is>
          <x:t xml:space="preserve">SEC-D9-Q27</x:t>
        </x:is>
      </x:c>
      <x:c r="C461" s="3" t="inlineStr">
        <x:is>
          <x:t xml:space="preserve">SEC-D9-Q27-A3</x:t>
        </x:is>
      </x:c>
      <x:c r="D461" s="3" t="n">
        <x:v>3</x:v>
      </x:c>
      <x:c r="E461" s="3" t="inlineStr">
        <x:is>
          <x:t xml:space="preserve">Yes — scheduled tests exist and results feed improvements.</x:t>
        </x:is>
      </x:c>
      <x:c r="F461" s="3" t="n">
        <x:v>3</x:v>
      </x:c>
      <x:c r="G461" s="3" t="inlineStr">
        <x:is>
          <x:t xml:space="preserve"/>
        </x:is>
      </x:c>
      <x:c r="H461" s="3" t="inlineStr">
        <x:is>
          <x:t xml:space="preserve">Resilience Gap</x:t>
        </x:is>
      </x:c>
      <x:c r="I461" s="3" t="inlineStr">
        <x:is>
          <x:t xml:space="preserve">Plan_Assurance</x:t>
        </x:is>
      </x:c>
      <x:c r="J461" s="3" t="inlineStr">
        <x:is>
          <x:t xml:space="preserve">Y</x:t>
        </x:is>
      </x:c>
      <x:c r="K461" s="3" t="inlineStr">
        <x:is>
          <x:t xml:space="preserve">Last test summary (redacted).</x:t>
        </x:is>
      </x:c>
    </x:row>
    <x:row r="462">
      <x:c r="A462" s="3" t="inlineStr">
        <x:is>
          <x:t xml:space="preserve">Security</x:t>
        </x:is>
      </x:c>
      <x:c r="B462" s="3" t="inlineStr">
        <x:is>
          <x:t xml:space="preserve">SEC-D9-Q27</x:t>
        </x:is>
      </x:c>
      <x:c r="C462" s="3" t="inlineStr">
        <x:is>
          <x:t xml:space="preserve">SEC-D9-Q27-A4</x:t>
        </x:is>
      </x:c>
      <x:c r="D462" s="3" t="n">
        <x:v>4</x:v>
      </x:c>
      <x:c r="E462" s="3" t="inlineStr">
        <x:is>
          <x:t xml:space="preserve">Optimized: independent/bias‑reduced testing and continuous validation of high‑risk detections.</x:t>
        </x:is>
      </x:c>
      <x:c r="F462" s="3" t="n">
        <x:v>4</x:v>
      </x:c>
      <x:c r="G462" s="3" t="inlineStr">
        <x:is>
          <x:t xml:space="preserve"/>
        </x:is>
      </x:c>
      <x:c r="H462" s="3" t="inlineStr">
        <x:is>
          <x:t xml:space="preserve">Resilience Gap</x:t>
        </x:is>
      </x:c>
      <x:c r="I462" s="3" t="inlineStr">
        <x:is>
          <x:t xml:space="preserve">Plan_Assurance</x:t>
        </x:is>
      </x:c>
      <x:c r="J462" s="3" t="inlineStr">
        <x:is>
          <x:t xml:space="preserve">Y</x:t>
        </x:is>
      </x:c>
      <x:c r="K462" s="3" t="inlineStr">
        <x:is>
          <x:t xml:space="preserve">Test program overview.</x:t>
        </x:is>
      </x:c>
    </x:row>
    <x:row r="463">
      <x:c r="A463" s="3" t="inlineStr">
        <x:is>
          <x:t xml:space="preserve">Security</x:t>
        </x:is>
      </x:c>
      <x:c r="B463" s="3" t="inlineStr">
        <x:is>
          <x:t xml:space="preserve">SEC-D10-Q28</x:t>
        </x:is>
      </x:c>
      <x:c r="C463" s="3" t="inlineStr">
        <x:is>
          <x:t xml:space="preserve">SEC-D10-Q28-A0</x:t>
        </x:is>
      </x:c>
      <x:c r="D463" s="3" t="n">
        <x:v>1</x:v>
      </x:c>
      <x:c r="E463" s="3" t="inlineStr">
        <x:is>
          <x:t xml:space="preserve">I don’t know / not sure.</x:t>
        </x:is>
      </x:c>
      <x:c r="F463" s="3" t="n">
        <x:v>0</x:v>
      </x:c>
      <x:c r="G463" s="3" t="inlineStr">
        <x:is>
          <x:t xml:space="preserve">unknown</x:t>
        </x:is>
      </x:c>
      <x:c r="H463" s="3" t="inlineStr">
        <x:is>
          <x:t xml:space="preserve">Unknown</x:t>
        </x:is>
      </x:c>
      <x:c r="I463" s="3" t="inlineStr">
        <x:is>
          <x:t xml:space="preserve">Clarify_Stakeholders</x:t>
        </x:is>
      </x:c>
      <x:c r="J463" s="3" t="inlineStr">
        <x:is>
          <x:t xml:space="preserve">N</x:t>
        </x:is>
      </x:c>
      <x:c r="K463" s="3" t="inlineStr">
        <x:is>
          <x:t xml:space="preserve">None</x:t>
        </x:is>
      </x:c>
    </x:row>
    <x:row r="464">
      <x:c r="A464" s="3" t="inlineStr">
        <x:is>
          <x:t xml:space="preserve">Security</x:t>
        </x:is>
      </x:c>
      <x:c r="B464" s="3" t="inlineStr">
        <x:is>
          <x:t xml:space="preserve">SEC-D10-Q28</x:t>
        </x:is>
      </x:c>
      <x:c r="C464" s="3" t="inlineStr">
        <x:is>
          <x:t xml:space="preserve">SEC-D10-Q28-A1</x:t>
        </x:is>
      </x:c>
      <x:c r="D464" s="3" t="n">
        <x:v>2</x:v>
      </x:c>
      <x:c r="E464" s="3" t="inlineStr">
        <x:is>
          <x:t xml:space="preserve">We don’t have a clear list of which logs exist; coverage is patchy and mostly limited to a few systems.</x:t>
        </x:is>
      </x:c>
      <x:c r="F464" s="3" t="n">
        <x:v>0</x:v>
      </x:c>
      <x:c r="G464" s="3" t="inlineStr">
        <x:is>
          <x:t xml:space="preserve">foundational_gap,visibility_gap</x:t>
        </x:is>
      </x:c>
      <x:c r="H464" s="3" t="inlineStr">
        <x:is>
          <x:t xml:space="preserve">Visibility Gap</x:t>
        </x:is>
      </x:c>
      <x:c r="I464" s="3" t="inlineStr">
        <x:is>
          <x:t xml:space="preserve">Assess_Detection</x:t>
        </x:is>
      </x:c>
      <x:c r="J464" s="3" t="inlineStr">
        <x:is>
          <x:t xml:space="preserve">N</x:t>
        </x:is>
      </x:c>
      <x:c r="K464" s="3" t="inlineStr">
        <x:is>
          <x:t xml:space="preserve">Log source inventory (if any)</x:t>
        </x:is>
      </x:c>
    </x:row>
    <x:row r="465">
      <x:c r="A465" s="3" t="inlineStr">
        <x:is>
          <x:t xml:space="preserve">Security</x:t>
        </x:is>
      </x:c>
      <x:c r="B465" s="3" t="inlineStr">
        <x:is>
          <x:t xml:space="preserve">SEC-D10-Q28</x:t>
        </x:is>
      </x:c>
      <x:c r="C465" s="3" t="inlineStr">
        <x:is>
          <x:t xml:space="preserve">SEC-D10-Q28-A2</x:t>
        </x:is>
      </x:c>
      <x:c r="D465" s="3" t="n">
        <x:v>3</x:v>
      </x:c>
      <x:c r="E465" s="3" t="inlineStr">
        <x:is>
          <x:t xml:space="preserve">Logs exist for some systems, but key gaps remain (e.g., laptops/endpoints, cloud services, or SaaS).</x:t>
        </x:is>
      </x:c>
      <x:c r="F465" s="3" t="n">
        <x:v>1</x:v>
      </x:c>
      <x:c r="G465" s="3" t="inlineStr">
        <x:is>
          <x:t xml:space="preserve">partial_visibility,log_gap</x:t>
        </x:is>
      </x:c>
      <x:c r="H465" s="3" t="inlineStr">
        <x:is>
          <x:t xml:space="preserve">Visibility Gap</x:t>
        </x:is>
      </x:c>
      <x:c r="I465" s="3" t="inlineStr">
        <x:is>
          <x:t xml:space="preserve">Assess_Detection</x:t>
        </x:is>
      </x:c>
      <x:c r="J465" s="3" t="inlineStr">
        <x:is>
          <x:t xml:space="preserve">N</x:t>
        </x:is>
      </x:c>
      <x:c r="K465" s="3" t="inlineStr">
        <x:is>
          <x:t xml:space="preserve">List missing sources; retention settings</x:t>
        </x:is>
      </x:c>
    </x:row>
    <x:row r="466">
      <x:c r="A466" s="3" t="inlineStr">
        <x:is>
          <x:t xml:space="preserve">Security</x:t>
        </x:is>
      </x:c>
      <x:c r="B466" s="3" t="inlineStr">
        <x:is>
          <x:t xml:space="preserve">SEC-D10-Q28</x:t>
        </x:is>
      </x:c>
      <x:c r="C466" s="3" t="inlineStr">
        <x:is>
          <x:t xml:space="preserve">SEC-D10-Q28-A3</x:t>
        </x:is>
      </x:c>
      <x:c r="D466" s="3" t="n">
        <x:v>4</x:v>
      </x:c>
      <x:c r="E466" s="3" t="inlineStr">
        <x:is>
          <x:t xml:space="preserve">Most key systems send logs somewhere central, but coverage is not regularly checked and gaps can go unnoticed.</x:t>
        </x:is>
      </x:c>
      <x:c r="F466" s="3" t="n">
        <x:v>2</x:v>
      </x:c>
      <x:c r="G466" s="3" t="inlineStr">
        <x:is>
          <x:t xml:space="preserve">partial_maturity,inconsistent_execution</x:t>
        </x:is>
      </x:c>
      <x:c r="H466" s="3" t="inlineStr">
        <x:is>
          <x:t xml:space="preserve">Paper Dragon</x:t>
        </x:is>
      </x:c>
      <x:c r="I466" s="3" t="inlineStr">
        <x:is>
          <x:t xml:space="preserve">Assurance_On_Reality</x:t>
        </x:is>
      </x:c>
      <x:c r="J466" s="3" t="inlineStr">
        <x:is>
          <x:t xml:space="preserve">N</x:t>
        </x:is>
      </x:c>
      <x:c r="K466" s="3" t="inlineStr">
        <x:is>
          <x:t xml:space="preserve">Example central log sources; last 30d retention evidence</x:t>
        </x:is>
      </x:c>
    </x:row>
    <x:row r="467">
      <x:c r="A467" s="3" t="inlineStr">
        <x:is>
          <x:t xml:space="preserve">Security</x:t>
        </x:is>
      </x:c>
      <x:c r="B467" s="3" t="inlineStr">
        <x:is>
          <x:t xml:space="preserve">SEC-D10-Q28</x:t>
        </x:is>
      </x:c>
      <x:c r="C467" s="3" t="inlineStr">
        <x:is>
          <x:t xml:space="preserve">SEC-D10-Q28-A4</x:t>
        </x:is>
      </x:c>
      <x:c r="D467" s="3" t="n">
        <x:v>5</x:v>
      </x:c>
      <x:c r="E467" s="3" t="inlineStr">
        <x:is>
          <x:t xml:space="preserve">Key systems (including cloud/SaaS) feed centralized logs; coverage is reviewed periodically and gaps are tracked to closure.</x:t>
        </x:is>
      </x:c>
      <x:c r="F467" s="3" t="n">
        <x:v>3</x:v>
      </x:c>
      <x:c r="G467" s="3" t="inlineStr">
        <x:is>
          <x:t xml:space="preserve">good_practice,execution_strength</x:t>
        </x:is>
      </x:c>
      <x:c r="H467" s="3" t="n"/>
      <x:c r="I467" s="3" t="inlineStr">
        <x:is>
          <x:t xml:space="preserve">Request_Evidence</x:t>
        </x:is>
      </x:c>
      <x:c r="J467" s="3" t="inlineStr">
        <x:is>
          <x:t xml:space="preserve">N</x:t>
        </x:is>
      </x:c>
      <x:c r="K467" s="3" t="inlineStr">
        <x:is>
          <x:t xml:space="preserve">Coverage report / dashboard; retention policy</x:t>
        </x:is>
      </x:c>
    </x:row>
    <x:row r="468">
      <x:c r="A468" s="3" t="inlineStr">
        <x:is>
          <x:t xml:space="preserve">Security</x:t>
        </x:is>
      </x:c>
      <x:c r="B468" s="3" t="inlineStr">
        <x:is>
          <x:t xml:space="preserve">SEC-D10-Q28</x:t>
        </x:is>
      </x:c>
      <x:c r="C468" s="3" t="inlineStr">
        <x:is>
          <x:t xml:space="preserve">SEC-D10-Q28-A5</x:t>
        </x:is>
      </x:c>
      <x:c r="D468" s="3" t="n">
        <x:v>6</x:v>
      </x:c>
      <x:c r="E468" s="3" t="inlineStr">
        <x:is>
          <x:t xml:space="preserve">Comprehensive coverage is validated (endpoints, cloud control plane, SaaS, privileged actions); alerts exist for missing telemetry.</x:t>
        </x:is>
      </x:c>
      <x:c r="F468" s="3" t="n">
        <x:v>4</x:v>
      </x:c>
      <x:c r="G468" s="3" t="inlineStr">
        <x:is>
          <x:t xml:space="preserve">optimized,execution_strength</x:t>
        </x:is>
      </x:c>
      <x:c r="H468" s="3" t="n"/>
      <x:c r="I468" s="3" t="inlineStr">
        <x:is>
          <x:t xml:space="preserve">Request_Evidence</x:t>
        </x:is>
      </x:c>
      <x:c r="J468" s="3" t="inlineStr">
        <x:is>
          <x:t xml:space="preserve">N</x:t>
        </x:is>
      </x:c>
      <x:c r="K468" s="3" t="inlineStr">
        <x:is>
          <x:t xml:space="preserve">Telemetry coverage KPIs; alerting proof</x:t>
        </x:is>
      </x:c>
    </x:row>
    <x:row r="469">
      <x:c r="A469" s="3" t="inlineStr">
        <x:is>
          <x:t xml:space="preserve">Security</x:t>
        </x:is>
      </x:c>
      <x:c r="B469" s="3" t="inlineStr">
        <x:is>
          <x:t xml:space="preserve">SEC-D10-Q29</x:t>
        </x:is>
      </x:c>
      <x:c r="C469" s="3" t="inlineStr">
        <x:is>
          <x:t xml:space="preserve">SEC-D10-Q29-A0</x:t>
        </x:is>
      </x:c>
      <x:c r="D469" s="3" t="n">
        <x:v>1</x:v>
      </x:c>
      <x:c r="E469" s="3" t="inlineStr">
        <x:is>
          <x:t xml:space="preserve">I don’t know / not sure.</x:t>
        </x:is>
      </x:c>
      <x:c r="F469" s="3" t="n">
        <x:v>0</x:v>
      </x:c>
      <x:c r="G469" s="3" t="inlineStr">
        <x:is>
          <x:t xml:space="preserve">unknown</x:t>
        </x:is>
      </x:c>
      <x:c r="H469" s="3" t="inlineStr">
        <x:is>
          <x:t xml:space="preserve">Unknown</x:t>
        </x:is>
      </x:c>
      <x:c r="I469" s="3" t="inlineStr">
        <x:is>
          <x:t xml:space="preserve">Clarify_Stakeholders</x:t>
        </x:is>
      </x:c>
      <x:c r="J469" s="3" t="inlineStr">
        <x:is>
          <x:t xml:space="preserve">N</x:t>
        </x:is>
      </x:c>
      <x:c r="K469" s="3" t="inlineStr">
        <x:is>
          <x:t xml:space="preserve">None</x:t>
        </x:is>
      </x:c>
    </x:row>
    <x:row r="470">
      <x:c r="A470" s="3" t="inlineStr">
        <x:is>
          <x:t xml:space="preserve">Security</x:t>
        </x:is>
      </x:c>
      <x:c r="B470" s="3" t="inlineStr">
        <x:is>
          <x:t xml:space="preserve">SEC-D10-Q29</x:t>
        </x:is>
      </x:c>
      <x:c r="C470" s="3" t="inlineStr">
        <x:is>
          <x:t xml:space="preserve">SEC-D10-Q29-A1</x:t>
        </x:is>
      </x:c>
      <x:c r="D470" s="3" t="n">
        <x:v>2</x:v>
      </x:c>
      <x:c r="E470" s="3" t="inlineStr">
        <x:is>
          <x:t xml:space="preserve">Logs are mainly stored locally or in places admins can edit; we don’t track access to logs.</x:t>
        </x:is>
      </x:c>
      <x:c r="F470" s="3" t="n">
        <x:v>0</x:v>
      </x:c>
      <x:c r="G470" s="3" t="inlineStr">
        <x:is>
          <x:t xml:space="preserve">forensic_gap,tamper_risk</x:t>
        </x:is>
      </x:c>
      <x:c r="H470" s="3" t="inlineStr">
        <x:is>
          <x:t xml:space="preserve">Legal Exposure</x:t>
        </x:is>
      </x:c>
      <x:c r="I470" s="3" t="inlineStr">
        <x:is>
          <x:t xml:space="preserve">Assess_Evidence_Handling</x:t>
        </x:is>
      </x:c>
      <x:c r="J470" s="3" t="inlineStr">
        <x:is>
          <x:t xml:space="preserve">N</x:t>
        </x:is>
      </x:c>
      <x:c r="K470" s="3" t="inlineStr">
        <x:is>
          <x:t xml:space="preserve">Example of current storage/access model</x:t>
        </x:is>
      </x:c>
    </x:row>
    <x:row r="471">
      <x:c r="A471" s="3" t="inlineStr">
        <x:is>
          <x:t xml:space="preserve">Security</x:t>
        </x:is>
      </x:c>
      <x:c r="B471" s="3" t="inlineStr">
        <x:is>
          <x:t xml:space="preserve">SEC-D10-Q29</x:t>
        </x:is>
      </x:c>
      <x:c r="C471" s="3" t="inlineStr">
        <x:is>
          <x:t xml:space="preserve">SEC-D10-Q29-A2</x:t>
        </x:is>
      </x:c>
      <x:c r="D471" s="3" t="n">
        <x:v>3</x:v>
      </x:c>
      <x:c r="E471" s="3" t="inlineStr">
        <x:is>
          <x:t xml:space="preserve">Logs are centralized, but privileged admins could still alter/delete them and time sync is inconsistent.</x:t>
        </x:is>
      </x:c>
      <x:c r="F471" s="3" t="n">
        <x:v>1</x:v>
      </x:c>
      <x:c r="G471" s="3" t="inlineStr">
        <x:is>
          <x:t xml:space="preserve">forensic_gap,partial_maturity</x:t>
        </x:is>
      </x:c>
      <x:c r="H471" s="3" t="inlineStr">
        <x:is>
          <x:t xml:space="preserve">Legal Exposure</x:t>
        </x:is>
      </x:c>
      <x:c r="I471" s="3" t="inlineStr">
        <x:is>
          <x:t xml:space="preserve">Assess_Evidence_Handling</x:t>
        </x:is>
      </x:c>
      <x:c r="J471" s="3" t="inlineStr">
        <x:is>
          <x:t xml:space="preserve">N</x:t>
        </x:is>
      </x:c>
      <x:c r="K471" s="3" t="inlineStr">
        <x:is>
          <x:t xml:space="preserve">Time sync status; admin access list</x:t>
        </x:is>
      </x:c>
    </x:row>
    <x:row r="472">
      <x:c r="A472" s="3" t="inlineStr">
        <x:is>
          <x:t xml:space="preserve">Security</x:t>
        </x:is>
      </x:c>
      <x:c r="B472" s="3" t="inlineStr">
        <x:is>
          <x:t xml:space="preserve">SEC-D10-Q29</x:t>
        </x:is>
      </x:c>
      <x:c r="C472" s="3" t="inlineStr">
        <x:is>
          <x:t xml:space="preserve">SEC-D10-Q29-A3</x:t>
        </x:is>
      </x:c>
      <x:c r="D472" s="3" t="n">
        <x:v>4</x:v>
      </x:c>
      <x:c r="E472" s="3" t="inlineStr">
        <x:is>
          <x:t xml:space="preserve">Access is restricted and logged; time sync is managed; but we don’t have immutability/WORM or integrity checks for critical logs.</x:t>
        </x:is>
      </x:c>
      <x:c r="F472" s="3" t="n">
        <x:v>2</x:v>
      </x:c>
      <x:c r="G472" s="3" t="inlineStr">
        <x:is>
          <x:t xml:space="preserve">partial_maturity,legal_exposure</x:t>
        </x:is>
      </x:c>
      <x:c r="H472" s="3" t="inlineStr">
        <x:is>
          <x:t xml:space="preserve">Legal Exposure</x:t>
        </x:is>
      </x:c>
      <x:c r="I472" s="3" t="inlineStr">
        <x:is>
          <x:t xml:space="preserve">Assess_Evidence_Handling</x:t>
        </x:is>
      </x:c>
      <x:c r="J472" s="3" t="inlineStr">
        <x:is>
          <x:t xml:space="preserve">N</x:t>
        </x:is>
      </x:c>
      <x:c r="K472" s="3" t="inlineStr">
        <x:is>
          <x:t xml:space="preserve">Retention and access audit samples</x:t>
        </x:is>
      </x:c>
    </x:row>
    <x:row r="473">
      <x:c r="A473" s="3" t="inlineStr">
        <x:is>
          <x:t xml:space="preserve">Security</x:t>
        </x:is>
      </x:c>
      <x:c r="B473" s="3" t="inlineStr">
        <x:is>
          <x:t xml:space="preserve">SEC-D10-Q29</x:t>
        </x:is>
      </x:c>
      <x:c r="C473" s="3" t="inlineStr">
        <x:is>
          <x:t xml:space="preserve">SEC-D10-Q29-A4</x:t>
        </x:is>
      </x:c>
      <x:c r="D473" s="3" t="n">
        <x:v>5</x:v>
      </x:c>
      <x:c r="E473" s="3" t="inlineStr">
        <x:is>
          <x:t xml:space="preserve">Critical logs are integrity-protected (restricted access, audited, consistent time); we can demonstrate chain of custody when needed.</x:t>
        </x:is>
      </x:c>
      <x:c r="F473" s="3" t="n">
        <x:v>3</x:v>
      </x:c>
      <x:c r="G473" s="3" t="inlineStr">
        <x:is>
          <x:t xml:space="preserve">good_practice,forensic_ready</x:t>
        </x:is>
      </x:c>
      <x:c r="H473" s="3" t="n"/>
      <x:c r="I473" s="3" t="inlineStr">
        <x:is>
          <x:t xml:space="preserve">Request_Evidence</x:t>
        </x:is>
      </x:c>
      <x:c r="J473" s="3" t="inlineStr">
        <x:is>
          <x:t xml:space="preserve">N</x:t>
        </x:is>
      </x:c>
      <x:c r="K473" s="3" t="inlineStr">
        <x:is>
          <x:t xml:space="preserve">Audit trail of access; chain-of-custody procedure</x:t>
        </x:is>
      </x:c>
    </x:row>
    <x:row r="474">
      <x:c r="A474" s="3" t="inlineStr">
        <x:is>
          <x:t xml:space="preserve">Security</x:t>
        </x:is>
      </x:c>
      <x:c r="B474" s="3" t="inlineStr">
        <x:is>
          <x:t xml:space="preserve">SEC-D10-Q29</x:t>
        </x:is>
      </x:c>
      <x:c r="C474" s="3" t="inlineStr">
        <x:is>
          <x:t xml:space="preserve">SEC-D10-Q29-A5</x:t>
        </x:is>
      </x:c>
      <x:c r="D474" s="3" t="n">
        <x:v>6</x:v>
      </x:c>
      <x:c r="E474" s="3" t="inlineStr">
        <x:is>
          <x:t xml:space="preserve">Critical logs are tamper-resistant/immutable (WORM/cryptographic), independently auditable, and regularly tested for evidentiary use.</x:t>
        </x:is>
      </x:c>
      <x:c r="F474" s="3" t="n">
        <x:v>4</x:v>
      </x:c>
      <x:c r="G474" s="3" t="inlineStr">
        <x:is>
          <x:t xml:space="preserve">optimized,forensic_ready</x:t>
        </x:is>
      </x:c>
      <x:c r="H474" s="3" t="n"/>
      <x:c r="I474" s="3" t="inlineStr">
        <x:is>
          <x:t xml:space="preserve">Request_Evidence</x:t>
        </x:is>
      </x:c>
      <x:c r="J474" s="3" t="inlineStr">
        <x:is>
          <x:t xml:space="preserve">N</x:t>
        </x:is>
      </x:c>
      <x:c r="K474" s="3" t="inlineStr">
        <x:is>
          <x:t xml:space="preserve">WORM/immutability proof; audit report</x:t>
        </x:is>
      </x:c>
    </x:row>
    <x:row r="475">
      <x:c r="A475" s="3" t="inlineStr">
        <x:is>
          <x:t xml:space="preserve">Security</x:t>
        </x:is>
      </x:c>
      <x:c r="B475" s="3" t="inlineStr">
        <x:is>
          <x:t xml:space="preserve">SEC-D10-Q30</x:t>
        </x:is>
      </x:c>
      <x:c r="C475" s="3" t="inlineStr">
        <x:is>
          <x:t xml:space="preserve">SEC-D10-Q30-A0</x:t>
        </x:is>
      </x:c>
      <x:c r="D475" s="3" t="n">
        <x:v>1</x:v>
      </x:c>
      <x:c r="E475" s="3" t="inlineStr">
        <x:is>
          <x:t xml:space="preserve">I don’t know / not sure.</x:t>
        </x:is>
      </x:c>
      <x:c r="F475" s="3" t="n">
        <x:v>0</x:v>
      </x:c>
      <x:c r="G475" s="3" t="inlineStr">
        <x:is>
          <x:t xml:space="preserve">unknown</x:t>
        </x:is>
      </x:c>
      <x:c r="H475" s="3" t="inlineStr">
        <x:is>
          <x:t xml:space="preserve">Unknown</x:t>
        </x:is>
      </x:c>
      <x:c r="I475" s="3" t="inlineStr">
        <x:is>
          <x:t xml:space="preserve">Clarify_Stakeholders</x:t>
        </x:is>
      </x:c>
      <x:c r="J475" s="3" t="inlineStr">
        <x:is>
          <x:t xml:space="preserve">N</x:t>
        </x:is>
      </x:c>
      <x:c r="K475" s="3" t="inlineStr">
        <x:is>
          <x:t xml:space="preserve">None</x:t>
        </x:is>
      </x:c>
    </x:row>
    <x:row r="476">
      <x:c r="A476" s="3" t="inlineStr">
        <x:is>
          <x:t xml:space="preserve">Security</x:t>
        </x:is>
      </x:c>
      <x:c r="B476" s="3" t="inlineStr">
        <x:is>
          <x:t xml:space="preserve">SEC-D10-Q30</x:t>
        </x:is>
      </x:c>
      <x:c r="C476" s="3" t="inlineStr">
        <x:is>
          <x:t xml:space="preserve">SEC-D10-Q30-A1</x:t>
        </x:is>
      </x:c>
      <x:c r="D476" s="3" t="n">
        <x:v>2</x:v>
      </x:c>
      <x:c r="E476" s="3" t="inlineStr">
        <x:is>
          <x:t xml:space="preserve">It usually takes days/weeks because data is spread across teams/tools and access must be requested case-by-case.</x:t>
        </x:is>
      </x:c>
      <x:c r="F476" s="3" t="n">
        <x:v>0</x:v>
      </x:c>
      <x:c r="G476" s="3" t="inlineStr">
        <x:is>
          <x:t xml:space="preserve">siloed,operating_model_gap</x:t>
        </x:is>
      </x:c>
      <x:c r="H476" s="3" t="inlineStr">
        <x:is>
          <x:t xml:space="preserve">Operating Model Gap</x:t>
        </x:is>
      </x:c>
      <x:c r="I476" s="3" t="inlineStr">
        <x:is>
          <x:t xml:space="preserve">Design_Case_Model</x:t>
        </x:is>
      </x:c>
      <x:c r="J476" s="3" t="inlineStr">
        <x:is>
          <x:t xml:space="preserve">N</x:t>
        </x:is>
      </x:c>
      <x:c r="K476" s="3" t="inlineStr">
        <x:is>
          <x:t xml:space="preserve">Example timeline of last case</x:t>
        </x:is>
      </x:c>
    </x:row>
    <x:row r="477">
      <x:c r="A477" s="3" t="inlineStr">
        <x:is>
          <x:t xml:space="preserve">Security</x:t>
        </x:is>
      </x:c>
      <x:c r="B477" s="3" t="inlineStr">
        <x:is>
          <x:t xml:space="preserve">SEC-D10-Q30</x:t>
        </x:is>
      </x:c>
      <x:c r="C477" s="3" t="inlineStr">
        <x:is>
          <x:t xml:space="preserve">SEC-D10-Q30-A2</x:t>
        </x:is>
      </x:c>
      <x:c r="D477" s="3" t="n">
        <x:v>3</x:v>
      </x:c>
      <x:c r="E477" s="3" t="inlineStr">
        <x:is>
          <x:t xml:space="preserve">It takes a few days; we can do it, but it’s manual and depends on specific people.</x:t>
        </x:is>
      </x:c>
      <x:c r="F477" s="3" t="n">
        <x:v>1</x:v>
      </x:c>
      <x:c r="G477" s="3" t="inlineStr">
        <x:is>
          <x:t xml:space="preserve">key_person_dependency,ad_hoc</x:t>
        </x:is>
      </x:c>
      <x:c r="H477" s="3" t="inlineStr">
        <x:is>
          <x:t xml:space="preserve">Shadow Mature</x:t>
        </x:is>
      </x:c>
      <x:c r="I477" s="3" t="inlineStr">
        <x:is>
          <x:t xml:space="preserve">Capture_Playbook</x:t>
        </x:is>
      </x:c>
      <x:c r="J477" s="3" t="inlineStr">
        <x:is>
          <x:t xml:space="preserve">N</x:t>
        </x:is>
      </x:c>
      <x:c r="K477" s="3" t="inlineStr">
        <x:is>
          <x:t xml:space="preserve">Example export steps</x:t>
        </x:is>
      </x:c>
    </x:row>
    <x:row r="478">
      <x:c r="A478" s="3" t="inlineStr">
        <x:is>
          <x:t xml:space="preserve">Security</x:t>
        </x:is>
      </x:c>
      <x:c r="B478" s="3" t="inlineStr">
        <x:is>
          <x:t xml:space="preserve">SEC-D10-Q30</x:t>
        </x:is>
      </x:c>
      <x:c r="C478" s="3" t="inlineStr">
        <x:is>
          <x:t xml:space="preserve">SEC-D10-Q30-A3</x:t>
        </x:is>
      </x:c>
      <x:c r="D478" s="3" t="n">
        <x:v>4</x:v>
      </x:c>
      <x:c r="E478" s="3" t="inlineStr">
        <x:is>
          <x:t xml:space="preserve">We can usually retrieve within 24–48 hours for key systems, but not consistently across all sources.</x:t>
        </x:is>
      </x:c>
      <x:c r="F478" s="3" t="n">
        <x:v>2</x:v>
      </x:c>
      <x:c r="G478" s="3" t="inlineStr">
        <x:is>
          <x:t xml:space="preserve">partial_maturity,inconsistent_execution</x:t>
        </x:is>
      </x:c>
      <x:c r="H478" s="3" t="inlineStr">
        <x:is>
          <x:t xml:space="preserve">Resilience Gap</x:t>
        </x:is>
      </x:c>
      <x:c r="I478" s="3" t="inlineStr">
        <x:is>
          <x:t xml:space="preserve">Assess_Case_Model</x:t>
        </x:is>
      </x:c>
      <x:c r="J478" s="3" t="inlineStr">
        <x:is>
          <x:t xml:space="preserve">N</x:t>
        </x:is>
      </x:c>
      <x:c r="K478" s="3" t="inlineStr">
        <x:is>
          <x:t xml:space="preserve">Last case retrieval evidence</x:t>
        </x:is>
      </x:c>
    </x:row>
    <x:row r="479">
      <x:c r="A479" s="3" t="inlineStr">
        <x:is>
          <x:t xml:space="preserve">Security</x:t>
        </x:is>
      </x:c>
      <x:c r="B479" s="3" t="inlineStr">
        <x:is>
          <x:t xml:space="preserve">SEC-D10-Q30</x:t>
        </x:is>
      </x:c>
      <x:c r="C479" s="3" t="inlineStr">
        <x:is>
          <x:t xml:space="preserve">SEC-D10-Q30-A4</x:t>
        </x:is>
      </x:c>
      <x:c r="D479" s="3" t="n">
        <x:v>5</x:v>
      </x:c>
      <x:c r="E479" s="3" t="inlineStr">
        <x:is>
          <x:t xml:space="preserve">We can retrieve within hours using a documented process and standardized exports for investigations.</x:t>
        </x:is>
      </x:c>
      <x:c r="F479" s="3" t="n">
        <x:v>3</x:v>
      </x:c>
      <x:c r="G479" s="3" t="inlineStr">
        <x:is>
          <x:t xml:space="preserve">good_practice,execution_strength</x:t>
        </x:is>
      </x:c>
      <x:c r="H479" s="3" t="n"/>
      <x:c r="I479" s="3" t="inlineStr">
        <x:is>
          <x:t xml:space="preserve">Request_Evidence</x:t>
        </x:is>
      </x:c>
      <x:c r="J479" s="3" t="inlineStr">
        <x:is>
          <x:t xml:space="preserve">N</x:t>
        </x:is>
      </x:c>
      <x:c r="K479" s="3" t="inlineStr">
        <x:is>
          <x:t xml:space="preserve">SOP + sample export</x:t>
        </x:is>
      </x:c>
    </x:row>
    <x:row r="480">
      <x:c r="A480" s="3" t="inlineStr">
        <x:is>
          <x:t xml:space="preserve">Security</x:t>
        </x:is>
      </x:c>
      <x:c r="B480" s="3" t="inlineStr">
        <x:is>
          <x:t xml:space="preserve">SEC-D10-Q30</x:t>
        </x:is>
      </x:c>
      <x:c r="C480" s="3" t="inlineStr">
        <x:is>
          <x:t xml:space="preserve">SEC-D10-Q30-A5</x:t>
        </x:is>
      </x:c>
      <x:c r="D480" s="3" t="n">
        <x:v>6</x:v>
      </x:c>
      <x:c r="E480" s="3" t="inlineStr">
        <x:is>
          <x:t xml:space="preserve">We can retrieve within ~1 hour via case tooling/self-service workflows; completeness and timing are measured.</x:t>
        </x:is>
      </x:c>
      <x:c r="F480" s="3" t="n">
        <x:v>4</x:v>
      </x:c>
      <x:c r="G480" s="3" t="inlineStr">
        <x:is>
          <x:t xml:space="preserve">optimized,execution_strength</x:t>
        </x:is>
      </x:c>
      <x:c r="H480" s="3" t="n"/>
      <x:c r="I480" s="3" t="inlineStr">
        <x:is>
          <x:t xml:space="preserve">Request_Evidence</x:t>
        </x:is>
      </x:c>
      <x:c r="J480" s="3" t="inlineStr">
        <x:is>
          <x:t xml:space="preserve">N</x:t>
        </x:is>
      </x:c>
      <x:c r="K480" s="3" t="inlineStr">
        <x:is>
          <x:t xml:space="preserve">Metrics (time-to-retrieve) + proof</x:t>
        </x:is>
      </x:c>
    </x:row>
    <x:row r="481">
      <x:c r="A481" s="3" t="inlineStr">
        <x:is>
          <x:t xml:space="preserve">Security</x:t>
        </x:is>
      </x:c>
      <x:c r="B481" s="3" t="inlineStr">
        <x:is>
          <x:t xml:space="preserve">SEC-D11-Q31</x:t>
        </x:is>
      </x:c>
      <x:c r="C481" s="3" t="inlineStr">
        <x:is>
          <x:t xml:space="preserve">SEC-D11-Q31-A0</x:t>
        </x:is>
      </x:c>
      <x:c r="D481" s="3" t="n">
        <x:v>1</x:v>
      </x:c>
      <x:c r="E481" s="3" t="inlineStr">
        <x:is>
          <x:t xml:space="preserve">I don’t know / not sure.</x:t>
        </x:is>
      </x:c>
      <x:c r="F481" s="3" t="n">
        <x:v>0</x:v>
      </x:c>
      <x:c r="G481" s="3" t="inlineStr">
        <x:is>
          <x:t xml:space="preserve">unknown</x:t>
        </x:is>
      </x:c>
      <x:c r="H481" s="3" t="inlineStr">
        <x:is>
          <x:t xml:space="preserve">Unknown</x:t>
        </x:is>
      </x:c>
      <x:c r="I481" s="3" t="inlineStr">
        <x:is>
          <x:t xml:space="preserve">Clarify_Stakeholders</x:t>
        </x:is>
      </x:c>
      <x:c r="J481" s="3" t="inlineStr">
        <x:is>
          <x:t xml:space="preserve">N</x:t>
        </x:is>
      </x:c>
      <x:c r="K481" s="3" t="inlineStr">
        <x:is>
          <x:t xml:space="preserve">None</x:t>
        </x:is>
      </x:c>
    </x:row>
    <x:row r="482">
      <x:c r="A482" s="3" t="inlineStr">
        <x:is>
          <x:t xml:space="preserve">Security</x:t>
        </x:is>
      </x:c>
      <x:c r="B482" s="3" t="inlineStr">
        <x:is>
          <x:t xml:space="preserve">SEC-D11-Q31</x:t>
        </x:is>
      </x:c>
      <x:c r="C482" s="3" t="inlineStr">
        <x:is>
          <x:t xml:space="preserve">SEC-D11-Q31-A1</x:t>
        </x:is>
      </x:c>
      <x:c r="D482" s="3" t="n">
        <x:v>2</x:v>
      </x:c>
      <x:c r="E482" s="3" t="inlineStr">
        <x:is>
          <x:t xml:space="preserve">We often cannot attribute actions to a specific person (shared accounts, generic admin IDs, or missing identity in logs).</x:t>
        </x:is>
      </x:c>
      <x:c r="F482" s="3" t="n">
        <x:v>0</x:v>
      </x:c>
      <x:c r="G482" s="3" t="inlineStr">
        <x:is>
          <x:t xml:space="preserve">identity_gap,visibility_gap</x:t>
        </x:is>
      </x:c>
      <x:c r="H482" s="3" t="inlineStr">
        <x:is>
          <x:t xml:space="preserve">Visibility Gap</x:t>
        </x:is>
      </x:c>
      <x:c r="I482" s="3" t="inlineStr">
        <x:is>
          <x:t xml:space="preserve">Assess_Detection</x:t>
        </x:is>
      </x:c>
      <x:c r="J482" s="3" t="inlineStr">
        <x:is>
          <x:t xml:space="preserve">N</x:t>
        </x:is>
      </x:c>
      <x:c r="K482" s="3" t="inlineStr">
        <x:is>
          <x:t xml:space="preserve">Examples of shared accounts</x:t>
        </x:is>
      </x:c>
    </x:row>
    <x:row r="483">
      <x:c r="A483" s="3" t="inlineStr">
        <x:is>
          <x:t xml:space="preserve">Security</x:t>
        </x:is>
      </x:c>
      <x:c r="B483" s="3" t="inlineStr">
        <x:is>
          <x:t xml:space="preserve">SEC-D11-Q31</x:t>
        </x:is>
      </x:c>
      <x:c r="C483" s="3" t="inlineStr">
        <x:is>
          <x:t xml:space="preserve">SEC-D11-Q31-A2</x:t>
        </x:is>
      </x:c>
      <x:c r="D483" s="3" t="n">
        <x:v>3</x:v>
      </x:c>
      <x:c r="E483" s="3" t="inlineStr">
        <x:is>
          <x:t xml:space="preserve">We can attribute some actions, but many critical systems still have shared/unclear identity.</x:t>
        </x:is>
      </x:c>
      <x:c r="F483" s="3" t="n">
        <x:v>1</x:v>
      </x:c>
      <x:c r="G483" s="3" t="inlineStr">
        <x:is>
          <x:t xml:space="preserve">partial_visibility,identity_gap</x:t>
        </x:is>
      </x:c>
      <x:c r="H483" s="3" t="inlineStr">
        <x:is>
          <x:t xml:space="preserve">Visibility Gap</x:t>
        </x:is>
      </x:c>
      <x:c r="I483" s="3" t="inlineStr">
        <x:is>
          <x:t xml:space="preserve">Improve_Identity_Correlation</x:t>
        </x:is>
      </x:c>
      <x:c r="J483" s="3" t="inlineStr">
        <x:is>
          <x:t xml:space="preserve">N</x:t>
        </x:is>
      </x:c>
      <x:c r="K483" s="3" t="inlineStr">
        <x:is>
          <x:t xml:space="preserve">List systems without unique IDs</x:t>
        </x:is>
      </x:c>
    </x:row>
    <x:row r="484">
      <x:c r="A484" s="3" t="inlineStr">
        <x:is>
          <x:t xml:space="preserve">Security</x:t>
        </x:is>
      </x:c>
      <x:c r="B484" s="3" t="inlineStr">
        <x:is>
          <x:t xml:space="preserve">SEC-D11-Q31</x:t>
        </x:is>
      </x:c>
      <x:c r="C484" s="3" t="inlineStr">
        <x:is>
          <x:t xml:space="preserve">SEC-D11-Q31-A3</x:t>
        </x:is>
      </x:c>
      <x:c r="D484" s="3" t="n">
        <x:v>4</x:v>
      </x:c>
      <x:c r="E484" s="3" t="inlineStr">
        <x:is>
          <x:t xml:space="preserve">Most systems use unique identities; attribution is possible but correlation across systems is still manual.</x:t>
        </x:is>
      </x:c>
      <x:c r="F484" s="3" t="n">
        <x:v>2</x:v>
      </x:c>
      <x:c r="G484" s="3" t="inlineStr">
        <x:is>
          <x:t xml:space="preserve">partial_maturity,ad_hoc</x:t>
        </x:is>
      </x:c>
      <x:c r="H484" s="3" t="inlineStr">
        <x:is>
          <x:t xml:space="preserve">Resilience Gap</x:t>
        </x:is>
      </x:c>
      <x:c r="I484" s="3" t="inlineStr">
        <x:is>
          <x:t xml:space="preserve">Improve_Identity_Correlation</x:t>
        </x:is>
      </x:c>
      <x:c r="J484" s="3" t="inlineStr">
        <x:is>
          <x:t xml:space="preserve">N</x:t>
        </x:is>
      </x:c>
      <x:c r="K484" s="3" t="inlineStr">
        <x:is>
          <x:t xml:space="preserve">SSO coverage list; correlation method</x:t>
        </x:is>
      </x:c>
    </x:row>
    <x:row r="485">
      <x:c r="A485" s="3" t="inlineStr">
        <x:is>
          <x:t xml:space="preserve">Security</x:t>
        </x:is>
      </x:c>
      <x:c r="B485" s="3" t="inlineStr">
        <x:is>
          <x:t xml:space="preserve">SEC-D11-Q31</x:t>
        </x:is>
      </x:c>
      <x:c r="C485" s="3" t="inlineStr">
        <x:is>
          <x:t xml:space="preserve">SEC-D11-Q31-A4</x:t>
        </x:is>
      </x:c>
      <x:c r="D485" s="3" t="n">
        <x:v>5</x:v>
      </x:c>
      <x:c r="E485" s="3" t="inlineStr">
        <x:is>
          <x:t xml:space="preserve">Attribution is reliable across key systems using SSO/MFA; shared accounts are controlled and reviewed.</x:t>
        </x:is>
      </x:c>
      <x:c r="F485" s="3" t="n">
        <x:v>3</x:v>
      </x:c>
      <x:c r="G485" s="3" t="inlineStr">
        <x:is>
          <x:t xml:space="preserve">good_practice,execution_strength</x:t>
        </x:is>
      </x:c>
      <x:c r="H485" s="3" t="n"/>
      <x:c r="I485" s="3" t="inlineStr">
        <x:is>
          <x:t xml:space="preserve">Request_Evidence</x:t>
        </x:is>
      </x:c>
      <x:c r="J485" s="3" t="inlineStr">
        <x:is>
          <x:t xml:space="preserve">N</x:t>
        </x:is>
      </x:c>
      <x:c r="K485" s="3" t="inlineStr">
        <x:is>
          <x:t xml:space="preserve">SSO coverage; access review proof</x:t>
        </x:is>
      </x:c>
    </x:row>
    <x:row r="486">
      <x:c r="A486" s="3" t="inlineStr">
        <x:is>
          <x:t xml:space="preserve">Security</x:t>
        </x:is>
      </x:c>
      <x:c r="B486" s="3" t="inlineStr">
        <x:is>
          <x:t xml:space="preserve">SEC-D11-Q31</x:t>
        </x:is>
      </x:c>
      <x:c r="C486" s="3" t="inlineStr">
        <x:is>
          <x:t xml:space="preserve">SEC-D11-Q31-A5</x:t>
        </x:is>
      </x:c>
      <x:c r="D486" s="3" t="n">
        <x:v>6</x:v>
      </x:c>
      <x:c r="E486" s="3" t="inlineStr">
        <x:is>
          <x:t xml:space="preserve">We maintain an identity correlation layer (identity graph); privileged sessions are attributable and recorded; shared accounts are eliminated.</x:t>
        </x:is>
      </x:c>
      <x:c r="F486" s="3" t="n">
        <x:v>4</x:v>
      </x:c>
      <x:c r="G486" s="3" t="inlineStr">
        <x:is>
          <x:t xml:space="preserve">optimized,forensic_ready</x:t>
        </x:is>
      </x:c>
      <x:c r="H486" s="3" t="n"/>
      <x:c r="I486" s="3" t="inlineStr">
        <x:is>
          <x:t xml:space="preserve">Request_Evidence</x:t>
        </x:is>
      </x:c>
      <x:c r="J486" s="3" t="inlineStr">
        <x:is>
          <x:t xml:space="preserve">N</x:t>
        </x:is>
      </x:c>
      <x:c r="K486" s="3" t="inlineStr">
        <x:is>
          <x:t xml:space="preserve">Identity graph evidence / PAM reports</x:t>
        </x:is>
      </x:c>
    </x:row>
    <x:row r="487">
      <x:c r="A487" s="3" t="inlineStr">
        <x:is>
          <x:t xml:space="preserve">Security</x:t>
        </x:is>
      </x:c>
      <x:c r="B487" s="3" t="inlineStr">
        <x:is>
          <x:t xml:space="preserve">SEC-D11-Q32</x:t>
        </x:is>
      </x:c>
      <x:c r="C487" s="3" t="inlineStr">
        <x:is>
          <x:t xml:space="preserve">SEC-D11-Q32-A0</x:t>
        </x:is>
      </x:c>
      <x:c r="D487" s="3" t="n">
        <x:v>1</x:v>
      </x:c>
      <x:c r="E487" s="3" t="inlineStr">
        <x:is>
          <x:t xml:space="preserve">I don’t know / not sure.</x:t>
        </x:is>
      </x:c>
      <x:c r="F487" s="3" t="n">
        <x:v>0</x:v>
      </x:c>
      <x:c r="G487" s="3" t="inlineStr">
        <x:is>
          <x:t xml:space="preserve">unknown</x:t>
        </x:is>
      </x:c>
      <x:c r="H487" s="3" t="inlineStr">
        <x:is>
          <x:t xml:space="preserve">Unknown</x:t>
        </x:is>
      </x:c>
      <x:c r="I487" s="3" t="inlineStr">
        <x:is>
          <x:t xml:space="preserve">Clarify_Stakeholders</x:t>
        </x:is>
      </x:c>
      <x:c r="J487" s="3" t="inlineStr">
        <x:is>
          <x:t xml:space="preserve">N</x:t>
        </x:is>
      </x:c>
      <x:c r="K487" s="3" t="inlineStr">
        <x:is>
          <x:t xml:space="preserve">None</x:t>
        </x:is>
      </x:c>
    </x:row>
    <x:row r="488">
      <x:c r="A488" s="3" t="inlineStr">
        <x:is>
          <x:t xml:space="preserve">Security</x:t>
        </x:is>
      </x:c>
      <x:c r="B488" s="3" t="inlineStr">
        <x:is>
          <x:t xml:space="preserve">SEC-D11-Q32</x:t>
        </x:is>
      </x:c>
      <x:c r="C488" s="3" t="inlineStr">
        <x:is>
          <x:t xml:space="preserve">SEC-D11-Q32-A1</x:t>
        </x:is>
      </x:c>
      <x:c r="D488" s="3" t="n">
        <x:v>2</x:v>
      </x:c>
      <x:c r="E488" s="3" t="inlineStr">
        <x:is>
          <x:t xml:space="preserve">Admins have permanent privileged access; actions are not consistently recorded or reviewed.</x:t>
        </x:is>
      </x:c>
      <x:c r="F488" s="3" t="n">
        <x:v>0</x:v>
      </x:c>
      <x:c r="G488" s="3" t="inlineStr">
        <x:is>
          <x:t xml:space="preserve">pam_gap,privileged_gap</x:t>
        </x:is>
      </x:c>
      <x:c r="H488" s="3" t="inlineStr">
        <x:is>
          <x:t xml:space="preserve">Paper Dragon</x:t>
        </x:is>
      </x:c>
      <x:c r="I488" s="3" t="inlineStr">
        <x:is>
          <x:t xml:space="preserve">Implement_PAM_JIT</x:t>
        </x:is>
      </x:c>
      <x:c r="J488" s="3" t="inlineStr">
        <x:is>
          <x:t xml:space="preserve">N</x:t>
        </x:is>
      </x:c>
      <x:c r="K488" s="3" t="inlineStr">
        <x:is>
          <x:t xml:space="preserve">Privileged account list</x:t>
        </x:is>
      </x:c>
    </x:row>
    <x:row r="489">
      <x:c r="A489" s="3" t="inlineStr">
        <x:is>
          <x:t xml:space="preserve">Security</x:t>
        </x:is>
      </x:c>
      <x:c r="B489" s="3" t="inlineStr">
        <x:is>
          <x:t xml:space="preserve">SEC-D11-Q32</x:t>
        </x:is>
      </x:c>
      <x:c r="C489" s="3" t="inlineStr">
        <x:is>
          <x:t xml:space="preserve">SEC-D11-Q32-A2</x:t>
        </x:is>
      </x:c>
      <x:c r="D489" s="3" t="n">
        <x:v>3</x:v>
      </x:c>
      <x:c r="E489" s="3" t="inlineStr">
        <x:is>
          <x:t xml:space="preserve">Approvals exist on paper, but enforcement is weak and session recording is uncommon.</x:t>
        </x:is>
      </x:c>
      <x:c r="F489" s="3" t="n">
        <x:v>1</x:v>
      </x:c>
      <x:c r="G489" s="3" t="inlineStr">
        <x:is>
          <x:t xml:space="preserve">paper_process,pam_gap</x:t>
        </x:is>
      </x:c>
      <x:c r="H489" s="3" t="inlineStr">
        <x:is>
          <x:t xml:space="preserve">Paper Dragon</x:t>
        </x:is>
      </x:c>
      <x:c r="I489" s="3" t="inlineStr">
        <x:is>
          <x:t xml:space="preserve">Implement_PAM_JIT</x:t>
        </x:is>
      </x:c>
      <x:c r="J489" s="3" t="inlineStr">
        <x:is>
          <x:t xml:space="preserve">N</x:t>
        </x:is>
      </x:c>
      <x:c r="K489" s="3" t="inlineStr">
        <x:is>
          <x:t xml:space="preserve">Approval procedure evidence</x:t>
        </x:is>
      </x:c>
    </x:row>
    <x:row r="490">
      <x:c r="A490" s="3" t="inlineStr">
        <x:is>
          <x:t xml:space="preserve">Security</x:t>
        </x:is>
      </x:c>
      <x:c r="B490" s="3" t="inlineStr">
        <x:is>
          <x:t xml:space="preserve">SEC-D11-Q32</x:t>
        </x:is>
      </x:c>
      <x:c r="C490" s="3" t="inlineStr">
        <x:is>
          <x:t xml:space="preserve">SEC-D11-Q32-A3</x:t>
        </x:is>
      </x:c>
      <x:c r="D490" s="3" t="n">
        <x:v>4</x:v>
      </x:c>
      <x:c r="E490" s="3" t="inlineStr">
        <x:is>
          <x:t xml:space="preserve">We have PAM/JIT for some high-risk systems; privileged sessions or commands are logged for those systems.</x:t>
        </x:is>
      </x:c>
      <x:c r="F490" s="3" t="n">
        <x:v>2</x:v>
      </x:c>
      <x:c r="G490" s="3" t="inlineStr">
        <x:is>
          <x:t xml:space="preserve">partial_maturity,execution_strength</x:t>
        </x:is>
      </x:c>
      <x:c r="H490" s="3" t="inlineStr">
        <x:is>
          <x:t xml:space="preserve">Resilience Gap</x:t>
        </x:is>
      </x:c>
      <x:c r="I490" s="3" t="inlineStr">
        <x:is>
          <x:t xml:space="preserve">Implement_PAM_JIT</x:t>
        </x:is>
      </x:c>
      <x:c r="J490" s="3" t="inlineStr">
        <x:is>
          <x:t xml:space="preserve">N</x:t>
        </x:is>
      </x:c>
      <x:c r="K490" s="3" t="inlineStr">
        <x:is>
          <x:t xml:space="preserve">PAM scope + sample logs</x:t>
        </x:is>
      </x:c>
    </x:row>
    <x:row r="491">
      <x:c r="A491" s="3" t="inlineStr">
        <x:is>
          <x:t xml:space="preserve">Security</x:t>
        </x:is>
      </x:c>
      <x:c r="B491" s="3" t="inlineStr">
        <x:is>
          <x:t xml:space="preserve">SEC-D11-Q32</x:t>
        </x:is>
      </x:c>
      <x:c r="C491" s="3" t="inlineStr">
        <x:is>
          <x:t xml:space="preserve">SEC-D11-Q32-A4</x:t>
        </x:is>
      </x:c>
      <x:c r="D491" s="3" t="n">
        <x:v>5</x:v>
      </x:c>
      <x:c r="E491" s="3" t="inlineStr">
        <x:is>
          <x:t xml:space="preserve">Privileged access is mostly JIT/approved; sessions are recorded or commands captured; periodic reviews happen.</x:t>
        </x:is>
      </x:c>
      <x:c r="F491" s="3" t="n">
        <x:v>3</x:v>
      </x:c>
      <x:c r="G491" s="3" t="inlineStr">
        <x:is>
          <x:t xml:space="preserve">good_practice,forensic_ready</x:t>
        </x:is>
      </x:c>
      <x:c r="H491" s="3" t="n"/>
      <x:c r="I491" s="3" t="inlineStr">
        <x:is>
          <x:t xml:space="preserve">Request_Evidence</x:t>
        </x:is>
      </x:c>
      <x:c r="J491" s="3" t="inlineStr">
        <x:is>
          <x:t xml:space="preserve">N</x:t>
        </x:is>
      </x:c>
      <x:c r="K491" s="3" t="inlineStr">
        <x:is>
          <x:t xml:space="preserve">Access review proof; session capture sample</x:t>
        </x:is>
      </x:c>
    </x:row>
    <x:row r="492">
      <x:c r="A492" s="3" t="inlineStr">
        <x:is>
          <x:t xml:space="preserve">Security</x:t>
        </x:is>
      </x:c>
      <x:c r="B492" s="3" t="inlineStr">
        <x:is>
          <x:t xml:space="preserve">SEC-D11-Q32</x:t>
        </x:is>
      </x:c>
      <x:c r="C492" s="3" t="inlineStr">
        <x:is>
          <x:t xml:space="preserve">SEC-D11-Q32-A5</x:t>
        </x:is>
      </x:c>
      <x:c r="D492" s="3" t="n">
        <x:v>6</x:v>
      </x:c>
      <x:c r="E492" s="3" t="inlineStr">
        <x:is>
          <x:t xml:space="preserve">Privileged access is enforced JIT for HVAs; four-eyes applies for sensitive actions; monitoring + reviews are measured and audited.</x:t>
        </x:is>
      </x:c>
      <x:c r="F492" s="3" t="n">
        <x:v>4</x:v>
      </x:c>
      <x:c r="G492" s="3" t="inlineStr">
        <x:is>
          <x:t xml:space="preserve">optimized,forensic_ready</x:t>
        </x:is>
      </x:c>
      <x:c r="H492" s="3" t="n"/>
      <x:c r="I492" s="3" t="inlineStr">
        <x:is>
          <x:t xml:space="preserve">Request_Evidence</x:t>
        </x:is>
      </x:c>
      <x:c r="J492" s="3" t="inlineStr">
        <x:is>
          <x:t xml:space="preserve">N</x:t>
        </x:is>
      </x:c>
      <x:c r="K492" s="3" t="inlineStr">
        <x:is>
          <x:t xml:space="preserve">PAM audit report / KPIs</x:t>
        </x:is>
      </x:c>
    </x:row>
    <x:row r="493">
      <x:c r="A493" s="3" t="inlineStr">
        <x:is>
          <x:t xml:space="preserve">Security</x:t>
        </x:is>
      </x:c>
      <x:c r="B493" s="3" t="inlineStr">
        <x:is>
          <x:t xml:space="preserve">SEC-D11-Q33</x:t>
        </x:is>
      </x:c>
      <x:c r="C493" s="3" t="inlineStr">
        <x:is>
          <x:t xml:space="preserve">SEC-D11-Q33-A0</x:t>
        </x:is>
      </x:c>
      <x:c r="D493" s="3" t="n">
        <x:v>1</x:v>
      </x:c>
      <x:c r="E493" s="3" t="inlineStr">
        <x:is>
          <x:t xml:space="preserve">I don’t know / not sure.</x:t>
        </x:is>
      </x:c>
      <x:c r="F493" s="3" t="n">
        <x:v>0</x:v>
      </x:c>
      <x:c r="G493" s="3" t="inlineStr">
        <x:is>
          <x:t xml:space="preserve">unknown</x:t>
        </x:is>
      </x:c>
      <x:c r="H493" s="3" t="inlineStr">
        <x:is>
          <x:t xml:space="preserve">Unknown</x:t>
        </x:is>
      </x:c>
      <x:c r="I493" s="3" t="inlineStr">
        <x:is>
          <x:t xml:space="preserve">Clarify_Stakeholders</x:t>
        </x:is>
      </x:c>
      <x:c r="J493" s="3" t="inlineStr">
        <x:is>
          <x:t xml:space="preserve">N</x:t>
        </x:is>
      </x:c>
      <x:c r="K493" s="3" t="inlineStr">
        <x:is>
          <x:t xml:space="preserve">None</x:t>
        </x:is>
      </x:c>
    </x:row>
    <x:row r="494">
      <x:c r="A494" s="3" t="inlineStr">
        <x:is>
          <x:t xml:space="preserve">Security</x:t>
        </x:is>
      </x:c>
      <x:c r="B494" s="3" t="inlineStr">
        <x:is>
          <x:t xml:space="preserve">SEC-D11-Q33</x:t>
        </x:is>
      </x:c>
      <x:c r="C494" s="3" t="inlineStr">
        <x:is>
          <x:t xml:space="preserve">SEC-D11-Q33-A1</x:t>
        </x:is>
      </x:c>
      <x:c r="D494" s="3" t="n">
        <x:v>2</x:v>
      </x:c>
      <x:c r="E494" s="3" t="inlineStr">
        <x:is>
          <x:t xml:space="preserve">Security typically learns about joiner/mover/leaver changes late; access cleanup and monitoring changes lag by days/weeks.</x:t>
        </x:is>
      </x:c>
      <x:c r="F494" s="3" t="n">
        <x:v>0</x:v>
      </x:c>
      <x:c r="G494" s="3" t="inlineStr">
        <x:is>
          <x:t xml:space="preserve">control_lag_high,ad_hoc</x:t>
        </x:is>
      </x:c>
      <x:c r="H494" s="3" t="inlineStr">
        <x:is>
          <x:t xml:space="preserve">Control Lag</x:t>
        </x:is>
      </x:c>
      <x:c r="I494" s="3" t="inlineStr">
        <x:is>
          <x:t xml:space="preserve">Assess_Control_Lag</x:t>
        </x:is>
      </x:c>
      <x:c r="J494" s="3" t="inlineStr">
        <x:is>
          <x:t xml:space="preserve">N</x:t>
        </x:is>
      </x:c>
      <x:c r="K494" s="3" t="inlineStr">
        <x:is>
          <x:t xml:space="preserve">Example of last termination timing</x:t>
        </x:is>
      </x:c>
    </x:row>
    <x:row r="495">
      <x:c r="A495" s="3" t="inlineStr">
        <x:is>
          <x:t xml:space="preserve">Security</x:t>
        </x:is>
      </x:c>
      <x:c r="B495" s="3" t="inlineStr">
        <x:is>
          <x:t xml:space="preserve">SEC-D11-Q33</x:t>
        </x:is>
      </x:c>
      <x:c r="C495" s="3" t="inlineStr">
        <x:is>
          <x:t xml:space="preserve">SEC-D11-Q33-A2</x:t>
        </x:is>
      </x:c>
      <x:c r="D495" s="3" t="n">
        <x:v>3</x:v>
      </x:c>
      <x:c r="E495" s="3" t="inlineStr">
        <x:is>
          <x:t xml:space="preserve">We receive notifications, but changes are manual and inconsistent; sometimes accounts or access remain longer than intended.</x:t>
        </x:is>
      </x:c>
      <x:c r="F495" s="3" t="n">
        <x:v>1</x:v>
      </x:c>
      <x:c r="G495" s="3" t="inlineStr">
        <x:is>
          <x:t xml:space="preserve">control_lag,inconsistent_execution</x:t>
        </x:is>
      </x:c>
      <x:c r="H495" s="3" t="inlineStr">
        <x:is>
          <x:t xml:space="preserve">Control Lag</x:t>
        </x:is>
      </x:c>
      <x:c r="I495" s="3" t="inlineStr">
        <x:is>
          <x:t xml:space="preserve">Assess_Control_Lag</x:t>
        </x:is>
      </x:c>
      <x:c r="J495" s="3" t="inlineStr">
        <x:is>
          <x:t xml:space="preserve">N</x:t>
        </x:is>
      </x:c>
      <x:c r="K495" s="3" t="inlineStr">
        <x:is>
          <x:t xml:space="preserve">Process description</x:t>
        </x:is>
      </x:c>
    </x:row>
    <x:row r="496">
      <x:c r="A496" s="3" t="inlineStr">
        <x:is>
          <x:t xml:space="preserve">Security</x:t>
        </x:is>
      </x:c>
      <x:c r="B496" s="3" t="inlineStr">
        <x:is>
          <x:t xml:space="preserve">SEC-D11-Q33</x:t>
        </x:is>
      </x:c>
      <x:c r="C496" s="3" t="inlineStr">
        <x:is>
          <x:t xml:space="preserve">SEC-D11-Q33-A3</x:t>
        </x:is>
      </x:c>
      <x:c r="D496" s="3" t="n">
        <x:v>4</x:v>
      </x:c>
      <x:c r="E496" s="3" t="inlineStr">
        <x:is>
          <x:t xml:space="preserve">Leavers are handled reasonably fast, but movers/role changes and sensitive HR events aren’t consistently reflected in controls.</x:t>
        </x:is>
      </x:c>
      <x:c r="F496" s="3" t="n">
        <x:v>2</x:v>
      </x:c>
      <x:c r="G496" s="3" t="inlineStr">
        <x:is>
          <x:t xml:space="preserve">partial_maturity,control_lag</x:t>
        </x:is>
      </x:c>
      <x:c r="H496" s="3" t="inlineStr">
        <x:is>
          <x:t xml:space="preserve">Control Lag</x:t>
        </x:is>
      </x:c>
      <x:c r="I496" s="3" t="inlineStr">
        <x:is>
          <x:t xml:space="preserve">Integrate_JML_Automation</x:t>
        </x:is>
      </x:c>
      <x:c r="J496" s="3" t="inlineStr">
        <x:is>
          <x:t xml:space="preserve">N</x:t>
        </x:is>
      </x:c>
      <x:c r="K496" s="3" t="inlineStr">
        <x:is>
          <x:t xml:space="preserve">JML SLA evidence</x:t>
        </x:is>
      </x:c>
    </x:row>
    <x:row r="497">
      <x:c r="A497" s="3" t="inlineStr">
        <x:is>
          <x:t xml:space="preserve">Security</x:t>
        </x:is>
      </x:c>
      <x:c r="B497" s="3" t="inlineStr">
        <x:is>
          <x:t xml:space="preserve">SEC-D11-Q33</x:t>
        </x:is>
      </x:c>
      <x:c r="C497" s="3" t="inlineStr">
        <x:is>
          <x:t xml:space="preserve">SEC-D11-Q33-A4</x:t>
        </x:is>
      </x:c>
      <x:c r="D497" s="3" t="n">
        <x:v>5</x:v>
      </x:c>
      <x:c r="E497" s="3" t="inlineStr">
        <x:is>
          <x:t xml:space="preserve">Automated feeds handle most changes; we have SLAs and escalation when control lag exceeds limits.</x:t>
        </x:is>
      </x:c>
      <x:c r="F497" s="3" t="n">
        <x:v>3</x:v>
      </x:c>
      <x:c r="G497" s="3" t="inlineStr">
        <x:is>
          <x:t xml:space="preserve">good_practice,execution_strength</x:t>
        </x:is>
      </x:c>
      <x:c r="H497" s="3" t="n"/>
      <x:c r="I497" s="3" t="inlineStr">
        <x:is>
          <x:t xml:space="preserve">Request_Evidence</x:t>
        </x:is>
      </x:c>
      <x:c r="J497" s="3" t="inlineStr">
        <x:is>
          <x:t xml:space="preserve">N</x:t>
        </x:is>
      </x:c>
      <x:c r="K497" s="3" t="inlineStr">
        <x:is>
          <x:t xml:space="preserve">Automation proof + SLA dashboard</x:t>
        </x:is>
      </x:c>
    </x:row>
    <x:row r="498">
      <x:c r="A498" s="3" t="inlineStr">
        <x:is>
          <x:t xml:space="preserve">Security</x:t>
        </x:is>
      </x:c>
      <x:c r="B498" s="3" t="inlineStr">
        <x:is>
          <x:t xml:space="preserve">SEC-D11-Q33</x:t>
        </x:is>
      </x:c>
      <x:c r="C498" s="3" t="inlineStr">
        <x:is>
          <x:t xml:space="preserve">SEC-D11-Q33-A5</x:t>
        </x:is>
      </x:c>
      <x:c r="D498" s="3" t="n">
        <x:v>6</x:v>
      </x:c>
      <x:c r="E498" s="3" t="inlineStr">
        <x:is>
          <x:t xml:space="preserve">Real-time integration drives access and monitoring adjustments for risky events; lag is measured and continuously improved.</x:t>
        </x:is>
      </x:c>
      <x:c r="F498" s="3" t="n">
        <x:v>4</x:v>
      </x:c>
      <x:c r="G498" s="3" t="inlineStr">
        <x:is>
          <x:t xml:space="preserve">optimized,execution_strength</x:t>
        </x:is>
      </x:c>
      <x:c r="H498" s="3" t="n"/>
      <x:c r="I498" s="3" t="inlineStr">
        <x:is>
          <x:t xml:space="preserve">Request_Evidence</x:t>
        </x:is>
      </x:c>
      <x:c r="J498" s="3" t="inlineStr">
        <x:is>
          <x:t xml:space="preserve">N</x:t>
        </x:is>
      </x:c>
      <x:c r="K498" s="3" t="inlineStr">
        <x:is>
          <x:t xml:space="preserve">Lag KPIs; automation logs</x:t>
        </x:is>
      </x:c>
    </x:row>
    <x:row r="499">
      <x:c r="A499" s="3" t="inlineStr">
        <x:is>
          <x:t xml:space="preserve">Security</x:t>
        </x:is>
      </x:c>
      <x:c r="B499" s="3" t="inlineStr">
        <x:is>
          <x:t xml:space="preserve">SEC-D12-Q34</x:t>
        </x:is>
      </x:c>
      <x:c r="C499" s="3" t="inlineStr">
        <x:is>
          <x:t xml:space="preserve">SEC-D12-Q34-A0</x:t>
        </x:is>
      </x:c>
      <x:c r="D499" s="3" t="n">
        <x:v>1</x:v>
      </x:c>
      <x:c r="E499" s="3" t="inlineStr">
        <x:is>
          <x:t xml:space="preserve">I don’t know / not sure.</x:t>
        </x:is>
      </x:c>
      <x:c r="F499" s="3" t="n">
        <x:v>0</x:v>
      </x:c>
      <x:c r="G499" s="3" t="inlineStr">
        <x:is>
          <x:t xml:space="preserve">unknown</x:t>
        </x:is>
      </x:c>
      <x:c r="H499" s="3" t="inlineStr">
        <x:is>
          <x:t xml:space="preserve">Unknown</x:t>
        </x:is>
      </x:c>
      <x:c r="I499" s="3" t="inlineStr">
        <x:is>
          <x:t xml:space="preserve">Clarify_Stakeholders</x:t>
        </x:is>
      </x:c>
      <x:c r="J499" s="3" t="inlineStr">
        <x:is>
          <x:t xml:space="preserve">N</x:t>
        </x:is>
      </x:c>
      <x:c r="K499" s="3" t="inlineStr">
        <x:is>
          <x:t xml:space="preserve">None</x:t>
        </x:is>
      </x:c>
    </x:row>
    <x:row r="500">
      <x:c r="A500" s="3" t="inlineStr">
        <x:is>
          <x:t xml:space="preserve">Security</x:t>
        </x:is>
      </x:c>
      <x:c r="B500" s="3" t="inlineStr">
        <x:is>
          <x:t xml:space="preserve">SEC-D12-Q34</x:t>
        </x:is>
      </x:c>
      <x:c r="C500" s="3" t="inlineStr">
        <x:is>
          <x:t xml:space="preserve">SEC-D12-Q34-A1</x:t>
        </x:is>
      </x:c>
      <x:c r="D500" s="3" t="n">
        <x:v>2</x:v>
      </x:c>
      <x:c r="E500" s="3" t="inlineStr">
        <x:is>
          <x:t xml:space="preserve">Containment is mostly manual (calls/emails); it can take many hours or days and is hard to coordinate.</x:t>
        </x:is>
      </x:c>
      <x:c r="F500" s="3" t="n">
        <x:v>0</x:v>
      </x:c>
      <x:c r="G500" s="3" t="inlineStr">
        <x:is>
          <x:t xml:space="preserve">resilience_gap,siloed</x:t>
        </x:is>
      </x:c>
      <x:c r="H500" s="3" t="inlineStr">
        <x:is>
          <x:t xml:space="preserve">Resilience Gap</x:t>
        </x:is>
      </x:c>
      <x:c r="I500" s="3" t="inlineStr">
        <x:is>
          <x:t xml:space="preserve">Implement_SOAR_Containment</x:t>
        </x:is>
      </x:c>
      <x:c r="J500" s="3" t="inlineStr">
        <x:is>
          <x:t xml:space="preserve">N</x:t>
        </x:is>
      </x:c>
      <x:c r="K500" s="3" t="inlineStr">
        <x:is>
          <x:t xml:space="preserve">Example containment timeline</x:t>
        </x:is>
      </x:c>
    </x:row>
    <x:row r="501">
      <x:c r="A501" s="3" t="inlineStr">
        <x:is>
          <x:t xml:space="preserve">Security</x:t>
        </x:is>
      </x:c>
      <x:c r="B501" s="3" t="inlineStr">
        <x:is>
          <x:t xml:space="preserve">SEC-D12-Q34</x:t>
        </x:is>
      </x:c>
      <x:c r="C501" s="3" t="inlineStr">
        <x:is>
          <x:t xml:space="preserve">SEC-D12-Q34-A2</x:t>
        </x:is>
      </x:c>
      <x:c r="D501" s="3" t="n">
        <x:v>3</x:v>
      </x:c>
      <x:c r="E501" s="3" t="inlineStr">
        <x:is>
          <x:t xml:space="preserve">We have scripts or admin runbooks, but containment still depends on specific people and isn’t consistently audited.</x:t>
        </x:is>
      </x:c>
      <x:c r="F501" s="3" t="n">
        <x:v>1</x:v>
      </x:c>
      <x:c r="G501" s="3" t="inlineStr">
        <x:is>
          <x:t xml:space="preserve">key_person_dependency,ad_hoc</x:t>
        </x:is>
      </x:c>
      <x:c r="H501" s="3" t="inlineStr">
        <x:is>
          <x:t xml:space="preserve">Shadow Mature</x:t>
        </x:is>
      </x:c>
      <x:c r="I501" s="3" t="inlineStr">
        <x:is>
          <x:t xml:space="preserve">Capture_Playbook</x:t>
        </x:is>
      </x:c>
      <x:c r="J501" s="3" t="inlineStr">
        <x:is>
          <x:t xml:space="preserve">N</x:t>
        </x:is>
      </x:c>
      <x:c r="K501" s="3" t="inlineStr">
        <x:is>
          <x:t xml:space="preserve">Runbook/sample script</x:t>
        </x:is>
      </x:c>
    </x:row>
    <x:row r="502">
      <x:c r="A502" s="3" t="inlineStr">
        <x:is>
          <x:t xml:space="preserve">Security</x:t>
        </x:is>
      </x:c>
      <x:c r="B502" s="3" t="inlineStr">
        <x:is>
          <x:t xml:space="preserve">SEC-D12-Q34</x:t>
        </x:is>
      </x:c>
      <x:c r="C502" s="3" t="inlineStr">
        <x:is>
          <x:t xml:space="preserve">SEC-D12-Q34-A3</x:t>
        </x:is>
      </x:c>
      <x:c r="D502" s="3" t="n">
        <x:v>4</x:v>
      </x:c>
      <x:c r="E502" s="3" t="inlineStr">
        <x:is>
          <x:t xml:space="preserve">We can contain key accounts within hours with documented steps; coverage is limited to some systems.</x:t>
        </x:is>
      </x:c>
      <x:c r="F502" s="3" t="n">
        <x:v>2</x:v>
      </x:c>
      <x:c r="G502" s="3" t="inlineStr">
        <x:is>
          <x:t xml:space="preserve">partial_maturity,execution_strength</x:t>
        </x:is>
      </x:c>
      <x:c r="H502" s="3" t="inlineStr">
        <x:is>
          <x:t xml:space="preserve">Resilience Gap</x:t>
        </x:is>
      </x:c>
      <x:c r="I502" s="3" t="inlineStr">
        <x:is>
          <x:t xml:space="preserve">Implement_SOAR_Containment</x:t>
        </x:is>
      </x:c>
      <x:c r="J502" s="3" t="inlineStr">
        <x:is>
          <x:t xml:space="preserve">N</x:t>
        </x:is>
      </x:c>
      <x:c r="K502" s="3" t="inlineStr">
        <x:is>
          <x:t xml:space="preserve">SOP + scope list</x:t>
        </x:is>
      </x:c>
    </x:row>
    <x:row r="503">
      <x:c r="A503" s="3" t="inlineStr">
        <x:is>
          <x:t xml:space="preserve">Security</x:t>
        </x:is>
      </x:c>
      <x:c r="B503" s="3" t="inlineStr">
        <x:is>
          <x:t xml:space="preserve">SEC-D12-Q34</x:t>
        </x:is>
      </x:c>
      <x:c r="C503" s="3" t="inlineStr">
        <x:is>
          <x:t xml:space="preserve">SEC-D12-Q34-A4</x:t>
        </x:is>
      </x:c>
      <x:c r="D503" s="3" t="n">
        <x:v>5</x:v>
      </x:c>
      <x:c r="E503" s="3" t="inlineStr">
        <x:is>
          <x:t xml:space="preserve">SOAR/workflows can contain across most critical systems with approvals and audit trail; tested periodically.</x:t>
        </x:is>
      </x:c>
      <x:c r="F503" s="3" t="n">
        <x:v>3</x:v>
      </x:c>
      <x:c r="G503" s="3" t="inlineStr">
        <x:is>
          <x:t xml:space="preserve">good_practice,execution_strength</x:t>
        </x:is>
      </x:c>
      <x:c r="H503" s="3" t="n"/>
      <x:c r="I503" s="3" t="inlineStr">
        <x:is>
          <x:t xml:space="preserve">Request_Evidence</x:t>
        </x:is>
      </x:c>
      <x:c r="J503" s="3" t="inlineStr">
        <x:is>
          <x:t xml:space="preserve">N</x:t>
        </x:is>
      </x:c>
      <x:c r="K503" s="3" t="inlineStr">
        <x:is>
          <x:t xml:space="preserve">SOAR playbook + test record</x:t>
        </x:is>
      </x:c>
    </x:row>
    <x:row r="504">
      <x:c r="A504" s="3" t="inlineStr">
        <x:is>
          <x:t xml:space="preserve">Security</x:t>
        </x:is>
      </x:c>
      <x:c r="B504" s="3" t="inlineStr">
        <x:is>
          <x:t xml:space="preserve">SEC-D12-Q34</x:t>
        </x:is>
      </x:c>
      <x:c r="C504" s="3" t="inlineStr">
        <x:is>
          <x:t xml:space="preserve">SEC-D12-Q34-A5</x:t>
        </x:is>
      </x:c>
      <x:c r="D504" s="3" t="n">
        <x:v>6</x:v>
      </x:c>
      <x:c r="E504" s="3" t="inlineStr">
        <x:is>
          <x:t xml:space="preserve">Near real-time ‘kill switch’ exists for HVAs (access, sessions, data egress) with staged actions and measured success.</x:t>
        </x:is>
      </x:c>
      <x:c r="F504" s="3" t="n">
        <x:v>4</x:v>
      </x:c>
      <x:c r="G504" s="3" t="inlineStr">
        <x:is>
          <x:t xml:space="preserve">optimized,execution_strength</x:t>
        </x:is>
      </x:c>
      <x:c r="H504" s="3" t="n"/>
      <x:c r="I504" s="3" t="inlineStr">
        <x:is>
          <x:t xml:space="preserve">Request_Evidence</x:t>
        </x:is>
      </x:c>
      <x:c r="J504" s="3" t="inlineStr">
        <x:is>
          <x:t xml:space="preserve">N</x:t>
        </x:is>
      </x:c>
      <x:c r="K504" s="3" t="inlineStr">
        <x:is>
          <x:t xml:space="preserve">Playbook metrics + proof</x:t>
        </x:is>
      </x:c>
    </x:row>
    <x:row r="505">
      <x:c r="A505" s="3" t="inlineStr">
        <x:is>
          <x:t xml:space="preserve">Security</x:t>
        </x:is>
      </x:c>
      <x:c r="B505" s="3" t="inlineStr">
        <x:is>
          <x:t xml:space="preserve">SEC-D12-Q35</x:t>
        </x:is>
      </x:c>
      <x:c r="C505" s="3" t="inlineStr">
        <x:is>
          <x:t xml:space="preserve">SEC-D12-Q35-A0</x:t>
        </x:is>
      </x:c>
      <x:c r="D505" s="3" t="n">
        <x:v>1</x:v>
      </x:c>
      <x:c r="E505" s="3" t="inlineStr">
        <x:is>
          <x:t xml:space="preserve">I don’t know / not sure.</x:t>
        </x:is>
      </x:c>
      <x:c r="F505" s="3" t="n">
        <x:v>0</x:v>
      </x:c>
      <x:c r="G505" s="3" t="inlineStr">
        <x:is>
          <x:t xml:space="preserve">unknown</x:t>
        </x:is>
      </x:c>
      <x:c r="H505" s="3" t="inlineStr">
        <x:is>
          <x:t xml:space="preserve">Unknown</x:t>
        </x:is>
      </x:c>
      <x:c r="I505" s="3" t="inlineStr">
        <x:is>
          <x:t xml:space="preserve">Clarify_Stakeholders</x:t>
        </x:is>
      </x:c>
      <x:c r="J505" s="3" t="inlineStr">
        <x:is>
          <x:t xml:space="preserve">N</x:t>
        </x:is>
      </x:c>
      <x:c r="K505" s="3" t="inlineStr">
        <x:is>
          <x:t xml:space="preserve">None</x:t>
        </x:is>
      </x:c>
    </x:row>
    <x:row r="506">
      <x:c r="A506" s="3" t="inlineStr">
        <x:is>
          <x:t xml:space="preserve">Security</x:t>
        </x:is>
      </x:c>
      <x:c r="B506" s="3" t="inlineStr">
        <x:is>
          <x:t xml:space="preserve">SEC-D12-Q35</x:t>
        </x:is>
      </x:c>
      <x:c r="C506" s="3" t="inlineStr">
        <x:is>
          <x:t xml:space="preserve">SEC-D12-Q35-A1</x:t>
        </x:is>
      </x:c>
      <x:c r="D506" s="3" t="n">
        <x:v>2</x:v>
      </x:c>
      <x:c r="E506" s="3" t="inlineStr">
        <x:is>
          <x:t xml:space="preserve">We decide intrusive actions case-by-case during incidents; approvals and documentation vary.</x:t>
        </x:is>
      </x:c>
      <x:c r="F506" s="3" t="n">
        <x:v>0</x:v>
      </x:c>
      <x:c r="G506" s="3" t="inlineStr">
        <x:is>
          <x:t xml:space="preserve">legal_exposure,ad_hoc</x:t>
        </x:is>
      </x:c>
      <x:c r="H506" s="3" t="inlineStr">
        <x:is>
          <x:t xml:space="preserve">Legal Exposure</x:t>
        </x:is>
      </x:c>
      <x:c r="I506" s="3" t="inlineStr">
        <x:is>
          <x:t xml:space="preserve">Legal_Defensibility_Audit</x:t>
        </x:is>
      </x:c>
      <x:c r="J506" s="3" t="inlineStr">
        <x:is>
          <x:t xml:space="preserve">N</x:t>
        </x:is>
      </x:c>
      <x:c r="K506" s="3" t="inlineStr">
        <x:is>
          <x:t xml:space="preserve">Example decision record</x:t>
        </x:is>
      </x:c>
    </x:row>
    <x:row r="507">
      <x:c r="A507" s="3" t="inlineStr">
        <x:is>
          <x:t xml:space="preserve">Security</x:t>
        </x:is>
      </x:c>
      <x:c r="B507" s="3" t="inlineStr">
        <x:is>
          <x:t xml:space="preserve">SEC-D12-Q35</x:t>
        </x:is>
      </x:c>
      <x:c r="C507" s="3" t="inlineStr">
        <x:is>
          <x:t xml:space="preserve">SEC-D12-Q35-A2</x:t>
        </x:is>
      </x:c>
      <x:c r="D507" s="3" t="n">
        <x:v>3</x:v>
      </x:c>
      <x:c r="E507" s="3" t="inlineStr">
        <x:is>
          <x:t xml:space="preserve">There is a policy, but it’s generic; staff are unsure what is allowed and what approvals are needed.</x:t>
        </x:is>
      </x:c>
      <x:c r="F507" s="3" t="n">
        <x:v>1</x:v>
      </x:c>
      <x:c r="G507" s="3" t="inlineStr">
        <x:is>
          <x:t xml:space="preserve">paper_process,legal_exposure</x:t>
        </x:is>
      </x:c>
      <x:c r="H507" s="3" t="inlineStr">
        <x:is>
          <x:t xml:space="preserve">Paper Dragon</x:t>
        </x:is>
      </x:c>
      <x:c r="I507" s="3" t="inlineStr">
        <x:is>
          <x:t xml:space="preserve">Legal_Defensibility_Audit</x:t>
        </x:is>
      </x:c>
      <x:c r="J507" s="3" t="inlineStr">
        <x:is>
          <x:t xml:space="preserve">N</x:t>
        </x:is>
      </x:c>
      <x:c r="K507" s="3" t="inlineStr">
        <x:is>
          <x:t xml:space="preserve">Policy excerpt</x:t>
        </x:is>
      </x:c>
    </x:row>
    <x:row r="508">
      <x:c r="A508" s="3" t="inlineStr">
        <x:is>
          <x:t xml:space="preserve">Security</x:t>
        </x:is>
      </x:c>
      <x:c r="B508" s="3" t="inlineStr">
        <x:is>
          <x:t xml:space="preserve">SEC-D12-Q35</x:t>
        </x:is>
      </x:c>
      <x:c r="C508" s="3" t="inlineStr">
        <x:is>
          <x:t xml:space="preserve">SEC-D12-Q35-A3</x:t>
        </x:is>
      </x:c>
      <x:c r="D508" s="3" t="n">
        <x:v>4</x:v>
      </x:c>
      <x:c r="E508" s="3" t="inlineStr">
        <x:is>
          <x:t xml:space="preserve">We have criteria and approval steps for some actions (e.g., mailbox review), but not consistently for all intrusive actions.</x:t>
        </x:is>
      </x:c>
      <x:c r="F508" s="3" t="n">
        <x:v>2</x:v>
      </x:c>
      <x:c r="G508" s="3" t="inlineStr">
        <x:is>
          <x:t xml:space="preserve">partial_maturity,legal_exposure</x:t>
        </x:is>
      </x:c>
      <x:c r="H508" s="3" t="inlineStr">
        <x:is>
          <x:t xml:space="preserve">Legal Exposure</x:t>
        </x:is>
      </x:c>
      <x:c r="I508" s="3" t="inlineStr">
        <x:is>
          <x:t xml:space="preserve">Legal_Defensibility_Audit</x:t>
        </x:is>
      </x:c>
      <x:c r="J508" s="3" t="inlineStr">
        <x:is>
          <x:t xml:space="preserve">N</x:t>
        </x:is>
      </x:c>
      <x:c r="K508" s="3" t="inlineStr">
        <x:is>
          <x:t xml:space="preserve">Approval workflow evidence</x:t>
        </x:is>
      </x:c>
    </x:row>
    <x:row r="509">
      <x:c r="A509" s="3" t="inlineStr">
        <x:is>
          <x:t xml:space="preserve">Security</x:t>
        </x:is>
      </x:c>
      <x:c r="B509" s="3" t="inlineStr">
        <x:is>
          <x:t xml:space="preserve">SEC-D12-Q35</x:t>
        </x:is>
      </x:c>
      <x:c r="C509" s="3" t="inlineStr">
        <x:is>
          <x:t xml:space="preserve">SEC-D12-Q35-A4</x:t>
        </x:is>
      </x:c>
      <x:c r="D509" s="3" t="n">
        <x:v>5</x:v>
      </x:c>
      <x:c r="E509" s="3" t="inlineStr">
        <x:is>
          <x:t xml:space="preserve">Criteria and approvals are defined and legally reviewed; actions are documented with proportionality rationale.</x:t>
        </x:is>
      </x:c>
      <x:c r="F509" s="3" t="n">
        <x:v>3</x:v>
      </x:c>
      <x:c r="G509" s="3" t="inlineStr">
        <x:is>
          <x:t xml:space="preserve">good_practice,forensic_ready</x:t>
        </x:is>
      </x:c>
      <x:c r="H509" s="3" t="n"/>
      <x:c r="I509" s="3" t="inlineStr">
        <x:is>
          <x:t xml:space="preserve">Request_Evidence</x:t>
        </x:is>
      </x:c>
      <x:c r="J509" s="3" t="inlineStr">
        <x:is>
          <x:t xml:space="preserve">N</x:t>
        </x:is>
      </x:c>
      <x:c r="K509" s="3" t="inlineStr">
        <x:is>
          <x:t xml:space="preserve">DPIA/LIA or legal review record</x:t>
        </x:is>
      </x:c>
    </x:row>
    <x:row r="510">
      <x:c r="A510" s="3" t="inlineStr">
        <x:is>
          <x:t xml:space="preserve">Security</x:t>
        </x:is>
      </x:c>
      <x:c r="B510" s="3" t="inlineStr">
        <x:is>
          <x:t xml:space="preserve">SEC-D12-Q35</x:t>
        </x:is>
      </x:c>
      <x:c r="C510" s="3" t="inlineStr">
        <x:is>
          <x:t xml:space="preserve">SEC-D12-Q35-A5</x:t>
        </x:is>
      </x:c>
      <x:c r="D510" s="3" t="n">
        <x:v>6</x:v>
      </x:c>
      <x:c r="E510" s="3" t="inlineStr">
        <x:is>
          <x:t xml:space="preserve">Criteria are comprehensive, periodically reviewed, and integrated into case tooling; audits confirm compliance.</x:t>
        </x:is>
      </x:c>
      <x:c r="F510" s="3" t="n">
        <x:v>4</x:v>
      </x:c>
      <x:c r="G510" s="3" t="inlineStr">
        <x:is>
          <x:t xml:space="preserve">optimized,forensic_ready</x:t>
        </x:is>
      </x:c>
      <x:c r="H510" s="3" t="n"/>
      <x:c r="I510" s="3" t="inlineStr">
        <x:is>
          <x:t xml:space="preserve">Request_Evidence</x:t>
        </x:is>
      </x:c>
      <x:c r="J510" s="3" t="inlineStr">
        <x:is>
          <x:t xml:space="preserve">N</x:t>
        </x:is>
      </x:c>
      <x:c r="K510" s="3" t="inlineStr">
        <x:is>
          <x:t xml:space="preserve">Audit report / case tooling screenshots</x:t>
        </x:is>
      </x:c>
    </x:row>
    <x:row r="511">
      <x:c r="A511" s="3" t="inlineStr">
        <x:is>
          <x:t xml:space="preserve">Security</x:t>
        </x:is>
      </x:c>
      <x:c r="B511" s="3" t="inlineStr">
        <x:is>
          <x:t xml:space="preserve">SEC-D12-Q36</x:t>
        </x:is>
      </x:c>
      <x:c r="C511" s="3" t="inlineStr">
        <x:is>
          <x:t xml:space="preserve">SEC-D12-Q36-A0</x:t>
        </x:is>
      </x:c>
      <x:c r="D511" s="3" t="n">
        <x:v>1</x:v>
      </x:c>
      <x:c r="E511" s="3" t="inlineStr">
        <x:is>
          <x:t xml:space="preserve">I don’t know / not sure.</x:t>
        </x:is>
      </x:c>
      <x:c r="F511" s="3" t="n">
        <x:v>0</x:v>
      </x:c>
      <x:c r="G511" s="3" t="inlineStr">
        <x:is>
          <x:t xml:space="preserve">unknown</x:t>
        </x:is>
      </x:c>
      <x:c r="H511" s="3" t="inlineStr">
        <x:is>
          <x:t xml:space="preserve">Unknown</x:t>
        </x:is>
      </x:c>
      <x:c r="I511" s="3" t="inlineStr">
        <x:is>
          <x:t xml:space="preserve">Clarify_Stakeholders</x:t>
        </x:is>
      </x:c>
      <x:c r="J511" s="3" t="inlineStr">
        <x:is>
          <x:t xml:space="preserve">N</x:t>
        </x:is>
      </x:c>
      <x:c r="K511" s="3" t="inlineStr">
        <x:is>
          <x:t xml:space="preserve">None</x:t>
        </x:is>
      </x:c>
    </x:row>
    <x:row r="512">
      <x:c r="A512" s="3" t="inlineStr">
        <x:is>
          <x:t xml:space="preserve">Security</x:t>
        </x:is>
      </x:c>
      <x:c r="B512" s="3" t="inlineStr">
        <x:is>
          <x:t xml:space="preserve">SEC-D12-Q36</x:t>
        </x:is>
      </x:c>
      <x:c r="C512" s="3" t="inlineStr">
        <x:is>
          <x:t xml:space="preserve">SEC-D12-Q36-A1</x:t>
        </x:is>
      </x:c>
      <x:c r="D512" s="3" t="n">
        <x:v>2</x:v>
      </x:c>
      <x:c r="E512" s="3" t="inlineStr">
        <x:is>
          <x:t xml:space="preserve">Containment actions often break work; rollback is improvised and evidence can be lost.</x:t>
        </x:is>
      </x:c>
      <x:c r="F512" s="3" t="n">
        <x:v>0</x:v>
      </x:c>
      <x:c r="G512" s="3" t="inlineStr">
        <x:is>
          <x:t xml:space="preserve">bypass_pressure,business_disruption</x:t>
        </x:is>
      </x:c>
      <x:c r="H512" s="3" t="inlineStr">
        <x:is>
          <x:t xml:space="preserve">Bypass Pressure</x:t>
        </x:is>
      </x:c>
      <x:c r="I512" s="3" t="inlineStr">
        <x:is>
          <x:t xml:space="preserve">Security_UX_Review</x:t>
        </x:is>
      </x:c>
      <x:c r="J512" s="3" t="inlineStr">
        <x:is>
          <x:t xml:space="preserve">N</x:t>
        </x:is>
      </x:c>
      <x:c r="K512" s="3" t="inlineStr">
        <x:is>
          <x:t xml:space="preserve">Examples of disruption</x:t>
        </x:is>
      </x:c>
    </x:row>
    <x:row r="513">
      <x:c r="A513" s="3" t="inlineStr">
        <x:is>
          <x:t xml:space="preserve">Security</x:t>
        </x:is>
      </x:c>
      <x:c r="B513" s="3" t="inlineStr">
        <x:is>
          <x:t xml:space="preserve">SEC-D12-Q36</x:t>
        </x:is>
      </x:c>
      <x:c r="C513" s="3" t="inlineStr">
        <x:is>
          <x:t xml:space="preserve">SEC-D12-Q36-A2</x:t>
        </x:is>
      </x:c>
      <x:c r="D513" s="3" t="n">
        <x:v>3</x:v>
      </x:c>
      <x:c r="E513" s="3" t="inlineStr">
        <x:is>
          <x:t xml:space="preserve">We try to minimize impact informally, but we don’t have staged actions or rollback plans.</x:t>
        </x:is>
      </x:c>
      <x:c r="F513" s="3" t="n">
        <x:v>1</x:v>
      </x:c>
      <x:c r="G513" s="3" t="inlineStr">
        <x:is>
          <x:t xml:space="preserve">ad_hoc,partial_maturity</x:t>
        </x:is>
      </x:c>
      <x:c r="H513" s="3" t="inlineStr">
        <x:is>
          <x:t xml:space="preserve">Resilience Gap</x:t>
        </x:is>
      </x:c>
      <x:c r="I513" s="3" t="inlineStr">
        <x:is>
          <x:t xml:space="preserve">Security_UX_Review</x:t>
        </x:is>
      </x:c>
      <x:c r="J513" s="3" t="inlineStr">
        <x:is>
          <x:t xml:space="preserve">N</x:t>
        </x:is>
      </x:c>
      <x:c r="K513" s="3" t="inlineStr">
        <x:is>
          <x:t xml:space="preserve">Process description</x:t>
        </x:is>
      </x:c>
    </x:row>
    <x:row r="514">
      <x:c r="A514" s="3" t="inlineStr">
        <x:is>
          <x:t xml:space="preserve">Security</x:t>
        </x:is>
      </x:c>
      <x:c r="B514" s="3" t="inlineStr">
        <x:is>
          <x:t xml:space="preserve">SEC-D12-Q36</x:t>
        </x:is>
      </x:c>
      <x:c r="C514" s="3" t="inlineStr">
        <x:is>
          <x:t xml:space="preserve">SEC-D12-Q36-A3</x:t>
        </x:is>
      </x:c>
      <x:c r="D514" s="3" t="n">
        <x:v>4</x:v>
      </x:c>
      <x:c r="E514" s="3" t="inlineStr">
        <x:is>
          <x:t xml:space="preserve">Some containment actions are staged and have rollback guidance; but it’s not consistent or measured.</x:t>
        </x:is>
      </x:c>
      <x:c r="F514" s="3" t="n">
        <x:v>2</x:v>
      </x:c>
      <x:c r="G514" s="3" t="inlineStr">
        <x:is>
          <x:t xml:space="preserve">partial_maturity,inconsistent_execution</x:t>
        </x:is>
      </x:c>
      <x:c r="H514" s="3" t="inlineStr">
        <x:is>
          <x:t xml:space="preserve">Resilience Gap</x:t>
        </x:is>
      </x:c>
      <x:c r="I514" s="3" t="inlineStr">
        <x:is>
          <x:t xml:space="preserve">Security_UX_Review</x:t>
        </x:is>
      </x:c>
      <x:c r="J514" s="3" t="inlineStr">
        <x:is>
          <x:t xml:space="preserve">N</x:t>
        </x:is>
      </x:c>
      <x:c r="K514" s="3" t="inlineStr">
        <x:is>
          <x:t xml:space="preserve">Rollback guidance proof</x:t>
        </x:is>
      </x:c>
    </x:row>
    <x:row r="515">
      <x:c r="A515" s="3" t="inlineStr">
        <x:is>
          <x:t xml:space="preserve">Security</x:t>
        </x:is>
      </x:c>
      <x:c r="B515" s="3" t="inlineStr">
        <x:is>
          <x:t xml:space="preserve">SEC-D12-Q36</x:t>
        </x:is>
      </x:c>
      <x:c r="C515" s="3" t="inlineStr">
        <x:is>
          <x:t xml:space="preserve">SEC-D12-Q36-A4</x:t>
        </x:is>
      </x:c>
      <x:c r="D515" s="3" t="n">
        <x:v>5</x:v>
      </x:c>
      <x:c r="E515" s="3" t="inlineStr">
        <x:is>
          <x:t xml:space="preserve">We use staged containment, approvals, and rollback; we track disruption and refine playbooks.</x:t>
        </x:is>
      </x:c>
      <x:c r="F515" s="3" t="n">
        <x:v>3</x:v>
      </x:c>
      <x:c r="G515" s="3" t="inlineStr">
        <x:is>
          <x:t xml:space="preserve">good_practice,execution_strength</x:t>
        </x:is>
      </x:c>
      <x:c r="H515" s="3" t="n"/>
      <x:c r="I515" s="3" t="inlineStr">
        <x:is>
          <x:t xml:space="preserve">Request_Evidence</x:t>
        </x:is>
      </x:c>
      <x:c r="J515" s="3" t="inlineStr">
        <x:is>
          <x:t xml:space="preserve">N</x:t>
        </x:is>
      </x:c>
      <x:c r="K515" s="3" t="inlineStr">
        <x:is>
          <x:t xml:space="preserve">Metrics evidence</x:t>
        </x:is>
      </x:c>
    </x:row>
    <x:row r="516">
      <x:c r="A516" s="3" t="inlineStr">
        <x:is>
          <x:t xml:space="preserve">Security</x:t>
        </x:is>
      </x:c>
      <x:c r="B516" s="3" t="inlineStr">
        <x:is>
          <x:t xml:space="preserve">SEC-D12-Q36</x:t>
        </x:is>
      </x:c>
      <x:c r="C516" s="3" t="inlineStr">
        <x:is>
          <x:t xml:space="preserve">SEC-D12-Q36-A5</x:t>
        </x:is>
      </x:c>
      <x:c r="D516" s="3" t="n">
        <x:v>6</x:v>
      </x:c>
      <x:c r="E516" s="3" t="inlineStr">
        <x:is>
          <x:t xml:space="preserve">Business-safe containment is built in (break-glass, staged controls, verified rollback) and tested; disruption is minimized and measured.</x:t>
        </x:is>
      </x:c>
      <x:c r="F516" s="3" t="n">
        <x:v>4</x:v>
      </x:c>
      <x:c r="G516" s="3" t="inlineStr">
        <x:is>
          <x:t xml:space="preserve">optimized,execution_strength</x:t>
        </x:is>
      </x:c>
      <x:c r="H516" s="3" t="n"/>
      <x:c r="I516" s="3" t="inlineStr">
        <x:is>
          <x:t xml:space="preserve">Request_Evidence</x:t>
        </x:is>
      </x:c>
      <x:c r="J516" s="3" t="inlineStr">
        <x:is>
          <x:t xml:space="preserve">N</x:t>
        </x:is>
      </x:c>
      <x:c r="K516" s="3" t="inlineStr">
        <x:is>
          <x:t xml:space="preserve">Exercise report + metrics</x:t>
        </x:is>
      </x:c>
    </x:row>
    <x:row r="517">
      <x:c r="A517" s="3" t="inlineStr">
        <x:is>
          <x:t xml:space="preserve">Security</x:t>
        </x:is>
      </x:c>
      <x:c r="B517" s="3" t="inlineStr">
        <x:is>
          <x:t xml:space="preserve">SEC-D13-Q37</x:t>
        </x:is>
      </x:c>
      <x:c r="C517" s="3" t="inlineStr">
        <x:is>
          <x:t xml:space="preserve">SEC-D13-Q37-A0</x:t>
        </x:is>
      </x:c>
      <x:c r="D517" s="3" t="n">
        <x:v>1</x:v>
      </x:c>
      <x:c r="E517" s="3" t="inlineStr">
        <x:is>
          <x:t xml:space="preserve">I don’t know / not sure.</x:t>
        </x:is>
      </x:c>
      <x:c r="F517" s="3" t="n">
        <x:v>0</x:v>
      </x:c>
      <x:c r="G517" s="3" t="inlineStr">
        <x:is>
          <x:t xml:space="preserve">unknown</x:t>
        </x:is>
      </x:c>
      <x:c r="H517" s="3" t="inlineStr">
        <x:is>
          <x:t xml:space="preserve">Unknown</x:t>
        </x:is>
      </x:c>
      <x:c r="I517" s="3" t="inlineStr">
        <x:is>
          <x:t xml:space="preserve">Clarify_Stakeholders</x:t>
        </x:is>
      </x:c>
      <x:c r="J517" s="3" t="inlineStr">
        <x:is>
          <x:t xml:space="preserve">N</x:t>
        </x:is>
      </x:c>
      <x:c r="K517" s="3" t="inlineStr">
        <x:is>
          <x:t xml:space="preserve">None</x:t>
        </x:is>
      </x:c>
    </x:row>
    <x:row r="518">
      <x:c r="A518" s="3" t="inlineStr">
        <x:is>
          <x:t xml:space="preserve">Security</x:t>
        </x:is>
      </x:c>
      <x:c r="B518" s="3" t="inlineStr">
        <x:is>
          <x:t xml:space="preserve">SEC-D13-Q37</x:t>
        </x:is>
      </x:c>
      <x:c r="C518" s="3" t="inlineStr">
        <x:is>
          <x:t xml:space="preserve">SEC-D13-Q37-A1</x:t>
        </x:is>
      </x:c>
      <x:c r="D518" s="3" t="n">
        <x:v>2</x:v>
      </x:c>
      <x:c r="E518" s="3" t="inlineStr">
        <x:is>
          <x:t xml:space="preserve">We don’t test detections; we only learn after an incident or a major alert miss.</x:t>
        </x:is>
      </x:c>
      <x:c r="F518" s="3" t="n">
        <x:v>0</x:v>
      </x:c>
      <x:c r="G518" s="3" t="inlineStr">
        <x:is>
          <x:t xml:space="preserve">testing_gap,reactive</x:t>
        </x:is>
      </x:c>
      <x:c r="H518" s="3" t="inlineStr">
        <x:is>
          <x:t xml:space="preserve">Paper Dragon</x:t>
        </x:is>
      </x:c>
      <x:c r="I518" s="3" t="inlineStr">
        <x:is>
          <x:t xml:space="preserve">Run_Purple_Team</x:t>
        </x:is>
      </x:c>
      <x:c r="J518" s="3" t="inlineStr">
        <x:is>
          <x:t xml:space="preserve">N</x:t>
        </x:is>
      </x:c>
      <x:c r="K518" s="3" t="inlineStr">
        <x:is>
          <x:t xml:space="preserve">None</x:t>
        </x:is>
      </x:c>
    </x:row>
    <x:row r="519">
      <x:c r="A519" s="3" t="inlineStr">
        <x:is>
          <x:t xml:space="preserve">Security</x:t>
        </x:is>
      </x:c>
      <x:c r="B519" s="3" t="inlineStr">
        <x:is>
          <x:t xml:space="preserve">SEC-D13-Q37</x:t>
        </x:is>
      </x:c>
      <x:c r="C519" s="3" t="inlineStr">
        <x:is>
          <x:t xml:space="preserve">SEC-D13-Q37-A2</x:t>
        </x:is>
      </x:c>
      <x:c r="D519" s="3" t="n">
        <x:v>3</x:v>
      </x:c>
      <x:c r="E519" s="3" t="inlineStr">
        <x:is>
          <x:t xml:space="preserve">We run ad-hoc tests when someone has time or after changes; results aren’t tracked systematically.</x:t>
        </x:is>
      </x:c>
      <x:c r="F519" s="3" t="n">
        <x:v>1</x:v>
      </x:c>
      <x:c r="G519" s="3" t="inlineStr">
        <x:is>
          <x:t xml:space="preserve">ad_hoc,testing_gap</x:t>
        </x:is>
      </x:c>
      <x:c r="H519" s="3" t="inlineStr">
        <x:is>
          <x:t xml:space="preserve">Shadow Mature</x:t>
        </x:is>
      </x:c>
      <x:c r="I519" s="3" t="inlineStr">
        <x:is>
          <x:t xml:space="preserve">Run_Purple_Team</x:t>
        </x:is>
      </x:c>
      <x:c r="J519" s="3" t="inlineStr">
        <x:is>
          <x:t xml:space="preserve">N</x:t>
        </x:is>
      </x:c>
      <x:c r="K519" s="3" t="inlineStr">
        <x:is>
          <x:t xml:space="preserve">Example of a past test</x:t>
        </x:is>
      </x:c>
    </x:row>
    <x:row r="520">
      <x:c r="A520" s="3" t="inlineStr">
        <x:is>
          <x:t xml:space="preserve">Security</x:t>
        </x:is>
      </x:c>
      <x:c r="B520" s="3" t="inlineStr">
        <x:is>
          <x:t xml:space="preserve">SEC-D13-Q37</x:t>
        </x:is>
      </x:c>
      <x:c r="C520" s="3" t="inlineStr">
        <x:is>
          <x:t xml:space="preserve">SEC-D13-Q37-A3</x:t>
        </x:is>
      </x:c>
      <x:c r="D520" s="3" t="n">
        <x:v>4</x:v>
      </x:c>
      <x:c r="E520" s="3" t="inlineStr">
        <x:is>
          <x:t xml:space="preserve">We run periodic table-tops or simulations, but coverage and outcomes are not measured.</x:t>
        </x:is>
      </x:c>
      <x:c r="F520" s="3" t="n">
        <x:v>2</x:v>
      </x:c>
      <x:c r="G520" s="3" t="inlineStr">
        <x:is>
          <x:t xml:space="preserve">partial_maturity,inconsistent_execution</x:t>
        </x:is>
      </x:c>
      <x:c r="H520" s="3" t="inlineStr">
        <x:is>
          <x:t xml:space="preserve">Resilience Gap</x:t>
        </x:is>
      </x:c>
      <x:c r="I520" s="3" t="inlineStr">
        <x:is>
          <x:t xml:space="preserve">Run_Purple_Team</x:t>
        </x:is>
      </x:c>
      <x:c r="J520" s="3" t="inlineStr">
        <x:is>
          <x:t xml:space="preserve">N</x:t>
        </x:is>
      </x:c>
      <x:c r="K520" s="3" t="inlineStr">
        <x:is>
          <x:t xml:space="preserve">Exercise notes</x:t>
        </x:is>
      </x:c>
    </x:row>
    <x:row r="521">
      <x:c r="A521" s="3" t="inlineStr">
        <x:is>
          <x:t xml:space="preserve">Security</x:t>
        </x:is>
      </x:c>
      <x:c r="B521" s="3" t="inlineStr">
        <x:is>
          <x:t xml:space="preserve">SEC-D13-Q37</x:t>
        </x:is>
      </x:c>
      <x:c r="C521" s="3" t="inlineStr">
        <x:is>
          <x:t xml:space="preserve">SEC-D13-Q37-A4</x:t>
        </x:is>
      </x:c>
      <x:c r="D521" s="3" t="n">
        <x:v>5</x:v>
      </x:c>
      <x:c r="E521" s="3" t="inlineStr">
        <x:is>
          <x:t xml:space="preserve">We test priority insider scenarios at least quarterly; outcomes are tracked and drive improvements.</x:t>
        </x:is>
      </x:c>
      <x:c r="F521" s="3" t="n">
        <x:v>3</x:v>
      </x:c>
      <x:c r="G521" s="3" t="inlineStr">
        <x:is>
          <x:t xml:space="preserve">good_practice,execution_strength</x:t>
        </x:is>
      </x:c>
      <x:c r="H521" s="3" t="n"/>
      <x:c r="I521" s="3" t="inlineStr">
        <x:is>
          <x:t xml:space="preserve">Request_Evidence</x:t>
        </x:is>
      </x:c>
      <x:c r="J521" s="3" t="inlineStr">
        <x:is>
          <x:t xml:space="preserve">N</x:t>
        </x:is>
      </x:c>
      <x:c r="K521" s="3" t="inlineStr">
        <x:is>
          <x:t xml:space="preserve">Test plan + results</x:t>
        </x:is>
      </x:c>
    </x:row>
    <x:row r="522">
      <x:c r="A522" s="3" t="inlineStr">
        <x:is>
          <x:t xml:space="preserve">Security</x:t>
        </x:is>
      </x:c>
      <x:c r="B522" s="3" t="inlineStr">
        <x:is>
          <x:t xml:space="preserve">SEC-D13-Q37</x:t>
        </x:is>
      </x:c>
      <x:c r="C522" s="3" t="inlineStr">
        <x:is>
          <x:t xml:space="preserve">SEC-D13-Q37-A5</x:t>
        </x:is>
      </x:c>
      <x:c r="D522" s="3" t="n">
        <x:v>6</x:v>
      </x:c>
      <x:c r="E522" s="3" t="inlineStr">
        <x:is>
          <x:t xml:space="preserve">We use detection-as-code/testing (test cases, regression checks) and regular purple teaming; drift is detected automatically.</x:t>
        </x:is>
      </x:c>
      <x:c r="F522" s="3" t="n">
        <x:v>4</x:v>
      </x:c>
      <x:c r="G522" s="3" t="inlineStr">
        <x:is>
          <x:t xml:space="preserve">optimized,execution_strength</x:t>
        </x:is>
      </x:c>
      <x:c r="H522" s="3" t="n"/>
      <x:c r="I522" s="3" t="inlineStr">
        <x:is>
          <x:t xml:space="preserve">Request_Evidence</x:t>
        </x:is>
      </x:c>
      <x:c r="J522" s="3" t="inlineStr">
        <x:is>
          <x:t xml:space="preserve">N</x:t>
        </x:is>
      </x:c>
      <x:c r="K522" s="3" t="inlineStr">
        <x:is>
          <x:t xml:space="preserve">Test pipeline proof</x:t>
        </x:is>
      </x:c>
    </x:row>
    <x:row r="523">
      <x:c r="A523" s="3" t="inlineStr">
        <x:is>
          <x:t xml:space="preserve">Security</x:t>
        </x:is>
      </x:c>
      <x:c r="B523" s="3" t="inlineStr">
        <x:is>
          <x:t xml:space="preserve">SEC-D13-Q38</x:t>
        </x:is>
      </x:c>
      <x:c r="C523" s="3" t="inlineStr">
        <x:is>
          <x:t xml:space="preserve">SEC-D13-Q38-A0</x:t>
        </x:is>
      </x:c>
      <x:c r="D523" s="3" t="n">
        <x:v>1</x:v>
      </x:c>
      <x:c r="E523" s="3" t="inlineStr">
        <x:is>
          <x:t xml:space="preserve">I don’t know / not sure.</x:t>
        </x:is>
      </x:c>
      <x:c r="F523" s="3" t="n">
        <x:v>0</x:v>
      </x:c>
      <x:c r="G523" s="3" t="inlineStr">
        <x:is>
          <x:t xml:space="preserve">unknown</x:t>
        </x:is>
      </x:c>
      <x:c r="H523" s="3" t="inlineStr">
        <x:is>
          <x:t xml:space="preserve">Unknown</x:t>
        </x:is>
      </x:c>
      <x:c r="I523" s="3" t="inlineStr">
        <x:is>
          <x:t xml:space="preserve">Clarify_Stakeholders</x:t>
        </x:is>
      </x:c>
      <x:c r="J523" s="3" t="inlineStr">
        <x:is>
          <x:t xml:space="preserve">N</x:t>
        </x:is>
      </x:c>
      <x:c r="K523" s="3" t="inlineStr">
        <x:is>
          <x:t xml:space="preserve">None</x:t>
        </x:is>
      </x:c>
    </x:row>
    <x:row r="524">
      <x:c r="A524" s="3" t="inlineStr">
        <x:is>
          <x:t xml:space="preserve">Security</x:t>
        </x:is>
      </x:c>
      <x:c r="B524" s="3" t="inlineStr">
        <x:is>
          <x:t xml:space="preserve">SEC-D13-Q38</x:t>
        </x:is>
      </x:c>
      <x:c r="C524" s="3" t="inlineStr">
        <x:is>
          <x:t xml:space="preserve">SEC-D13-Q38-A1</x:t>
        </x:is>
      </x:c>
      <x:c r="D524" s="3" t="n">
        <x:v>2</x:v>
      </x:c>
      <x:c r="E524" s="3" t="inlineStr">
        <x:is>
          <x:t xml:space="preserve">We don’t measure triage quality; consistency depends on individual analysts.</x:t>
        </x:is>
      </x:c>
      <x:c r="F524" s="3" t="n">
        <x:v>0</x:v>
      </x:c>
      <x:c r="G524" s="3" t="inlineStr">
        <x:is>
          <x:t xml:space="preserve">triage_quality_gap,key_person_dependency</x:t>
        </x:is>
      </x:c>
      <x:c r="H524" s="3" t="inlineStr">
        <x:is>
          <x:t xml:space="preserve">Resilience Gap</x:t>
        </x:is>
      </x:c>
      <x:c r="I524" s="3" t="inlineStr">
        <x:is>
          <x:t xml:space="preserve">Improve_Triage_QA</x:t>
        </x:is>
      </x:c>
      <x:c r="J524" s="3" t="inlineStr">
        <x:is>
          <x:t xml:space="preserve">N</x:t>
        </x:is>
      </x:c>
      <x:c r="K524" s="3" t="inlineStr">
        <x:is>
          <x:t xml:space="preserve">None</x:t>
        </x:is>
      </x:c>
    </x:row>
    <x:row r="525">
      <x:c r="A525" s="3" t="inlineStr">
        <x:is>
          <x:t xml:space="preserve">Security</x:t>
        </x:is>
      </x:c>
      <x:c r="B525" s="3" t="inlineStr">
        <x:is>
          <x:t xml:space="preserve">SEC-D13-Q38</x:t>
        </x:is>
      </x:c>
      <x:c r="C525" s="3" t="inlineStr">
        <x:is>
          <x:t xml:space="preserve">SEC-D13-Q38-A2</x:t>
        </x:is>
      </x:c>
      <x:c r="D525" s="3" t="n">
        <x:v>3</x:v>
      </x:c>
      <x:c r="E525" s="3" t="inlineStr">
        <x:is>
          <x:t xml:space="preserve">We do occasional reviews, usually after complaints or audits, but not continuously.</x:t>
        </x:is>
      </x:c>
      <x:c r="F525" s="3" t="n">
        <x:v>1</x:v>
      </x:c>
      <x:c r="G525" s="3" t="inlineStr">
        <x:is>
          <x:t xml:space="preserve">ad_hoc,partial_maturity</x:t>
        </x:is>
      </x:c>
      <x:c r="H525" s="3" t="inlineStr">
        <x:is>
          <x:t xml:space="preserve">Paper Dragon</x:t>
        </x:is>
      </x:c>
      <x:c r="I525" s="3" t="inlineStr">
        <x:is>
          <x:t xml:space="preserve">Improve_Triage_QA</x:t>
        </x:is>
      </x:c>
      <x:c r="J525" s="3" t="inlineStr">
        <x:is>
          <x:t xml:space="preserve">N</x:t>
        </x:is>
      </x:c>
      <x:c r="K525" s="3" t="inlineStr">
        <x:is>
          <x:t xml:space="preserve">Example review</x:t>
        </x:is>
      </x:c>
    </x:row>
    <x:row r="526">
      <x:c r="A526" s="3" t="inlineStr">
        <x:is>
          <x:t xml:space="preserve">Security</x:t>
        </x:is>
      </x:c>
      <x:c r="B526" s="3" t="inlineStr">
        <x:is>
          <x:t xml:space="preserve">SEC-D13-Q38</x:t>
        </x:is>
      </x:c>
      <x:c r="C526" s="3" t="inlineStr">
        <x:is>
          <x:t xml:space="preserve">SEC-D13-Q38-A3</x:t>
        </x:is>
      </x:c>
      <x:c r="D526" s="3" t="n">
        <x:v>4</x:v>
      </x:c>
      <x:c r="E526" s="3" t="inlineStr">
        <x:is>
          <x:t xml:space="preserve">We sample cases and review accuracy sometimes; metrics exist but don’t consistently drive improvements.</x:t>
        </x:is>
      </x:c>
      <x:c r="F526" s="3" t="n">
        <x:v>2</x:v>
      </x:c>
      <x:c r="G526" s="3" t="inlineStr">
        <x:is>
          <x:t xml:space="preserve">partial_maturity,inconsistent_execution</x:t>
        </x:is>
      </x:c>
      <x:c r="H526" s="3" t="inlineStr">
        <x:is>
          <x:t xml:space="preserve">Resilience Gap</x:t>
        </x:is>
      </x:c>
      <x:c r="I526" s="3" t="inlineStr">
        <x:is>
          <x:t xml:space="preserve">Improve_Triage_QA</x:t>
        </x:is>
      </x:c>
      <x:c r="J526" s="3" t="inlineStr">
        <x:is>
          <x:t xml:space="preserve">N</x:t>
        </x:is>
      </x:c>
      <x:c r="K526" s="3" t="inlineStr">
        <x:is>
          <x:t xml:space="preserve">Sampling approach</x:t>
        </x:is>
      </x:c>
    </x:row>
    <x:row r="527">
      <x:c r="A527" s="3" t="inlineStr">
        <x:is>
          <x:t xml:space="preserve">Security</x:t>
        </x:is>
      </x:c>
      <x:c r="B527" s="3" t="inlineStr">
        <x:is>
          <x:t xml:space="preserve">SEC-D13-Q38</x:t>
        </x:is>
      </x:c>
      <x:c r="C527" s="3" t="inlineStr">
        <x:is>
          <x:t xml:space="preserve">SEC-D13-Q38-A4</x:t>
        </x:is>
      </x:c>
      <x:c r="D527" s="3" t="n">
        <x:v>5</x:v>
      </x:c>
      <x:c r="E527" s="3" t="inlineStr">
        <x:is>
          <x:t xml:space="preserve">We run regular sampling and second-pair review with clear metrics (false negatives/positives); training is data-driven.</x:t>
        </x:is>
      </x:c>
      <x:c r="F527" s="3" t="n">
        <x:v>3</x:v>
      </x:c>
      <x:c r="G527" s="3" t="inlineStr">
        <x:is>
          <x:t xml:space="preserve">good_practice,execution_strength</x:t>
        </x:is>
      </x:c>
      <x:c r="H527" s="3" t="n"/>
      <x:c r="I527" s="3" t="inlineStr">
        <x:is>
          <x:t xml:space="preserve">Request_Evidence</x:t>
        </x:is>
      </x:c>
      <x:c r="J527" s="3" t="inlineStr">
        <x:is>
          <x:t xml:space="preserve">N</x:t>
        </x:is>
      </x:c>
      <x:c r="K527" s="3" t="inlineStr">
        <x:is>
          <x:t xml:space="preserve">Dashboard evidence</x:t>
        </x:is>
      </x:c>
    </x:row>
    <x:row r="528">
      <x:c r="A528" s="3" t="inlineStr">
        <x:is>
          <x:t xml:space="preserve">Security</x:t>
        </x:is>
      </x:c>
      <x:c r="B528" s="3" t="inlineStr">
        <x:is>
          <x:t xml:space="preserve">SEC-D13-Q38</x:t>
        </x:is>
      </x:c>
      <x:c r="C528" s="3" t="inlineStr">
        <x:is>
          <x:t xml:space="preserve">SEC-D13-Q38-A5</x:t>
        </x:is>
      </x:c>
      <x:c r="D528" s="3" t="n">
        <x:v>6</x:v>
      </x:c>
      <x:c r="E528" s="3" t="inlineStr">
        <x:is>
          <x:t xml:space="preserve">We use blind reviews/bias checks, structured coaching, and continuous improvement loops; quality metrics are board-visible where relevant.</x:t>
        </x:is>
      </x:c>
      <x:c r="F528" s="3" t="n">
        <x:v>4</x:v>
      </x:c>
      <x:c r="G528" s="3" t="inlineStr">
        <x:is>
          <x:t xml:space="preserve">optimized,execution_strength</x:t>
        </x:is>
      </x:c>
      <x:c r="H528" s="3" t="n"/>
      <x:c r="I528" s="3" t="inlineStr">
        <x:is>
          <x:t xml:space="preserve">Request_Evidence</x:t>
        </x:is>
      </x:c>
      <x:c r="J528" s="3" t="inlineStr">
        <x:is>
          <x:t xml:space="preserve">N</x:t>
        </x:is>
      </x:c>
      <x:c r="K528" s="3" t="inlineStr">
        <x:is>
          <x:t xml:space="preserve">QA program evidence</x:t>
        </x:is>
      </x:c>
    </x:row>
    <x:row r="529">
      <x:c r="A529" s="3" t="inlineStr">
        <x:is>
          <x:t xml:space="preserve">Security</x:t>
        </x:is>
      </x:c>
      <x:c r="B529" s="3" t="inlineStr">
        <x:is>
          <x:t xml:space="preserve">SEC-D13-Q39</x:t>
        </x:is>
      </x:c>
      <x:c r="C529" s="3" t="inlineStr">
        <x:is>
          <x:t xml:space="preserve">SEC-D13-Q39-A0</x:t>
        </x:is>
      </x:c>
      <x:c r="D529" s="3" t="n">
        <x:v>1</x:v>
      </x:c>
      <x:c r="E529" s="3" t="inlineStr">
        <x:is>
          <x:t xml:space="preserve">I don’t know / not sure.</x:t>
        </x:is>
      </x:c>
      <x:c r="F529" s="3" t="n">
        <x:v>0</x:v>
      </x:c>
      <x:c r="G529" s="3" t="inlineStr">
        <x:is>
          <x:t xml:space="preserve">unknown</x:t>
        </x:is>
      </x:c>
      <x:c r="H529" s="3" t="inlineStr">
        <x:is>
          <x:t xml:space="preserve">Unknown</x:t>
        </x:is>
      </x:c>
      <x:c r="I529" s="3" t="inlineStr">
        <x:is>
          <x:t xml:space="preserve">Clarify_Stakeholders</x:t>
        </x:is>
      </x:c>
      <x:c r="J529" s="3" t="inlineStr">
        <x:is>
          <x:t xml:space="preserve">N</x:t>
        </x:is>
      </x:c>
      <x:c r="K529" s="3" t="inlineStr">
        <x:is>
          <x:t xml:space="preserve">None</x:t>
        </x:is>
      </x:c>
    </x:row>
    <x:row r="530">
      <x:c r="A530" s="3" t="inlineStr">
        <x:is>
          <x:t xml:space="preserve">Security</x:t>
        </x:is>
      </x:c>
      <x:c r="B530" s="3" t="inlineStr">
        <x:is>
          <x:t xml:space="preserve">SEC-D13-Q39</x:t>
        </x:is>
      </x:c>
      <x:c r="C530" s="3" t="inlineStr">
        <x:is>
          <x:t xml:space="preserve">SEC-D13-Q39-A1</x:t>
        </x:is>
      </x:c>
      <x:c r="D530" s="3" t="n">
        <x:v>2</x:v>
      </x:c>
      <x:c r="E530" s="3" t="inlineStr">
        <x:is>
          <x:t xml:space="preserve">Alert fatigue is high; people ignore alerts or disable noisy rules; business impact isn’t measured.</x:t>
        </x:is>
      </x:c>
      <x:c r="F530" s="3" t="n">
        <x:v>0</x:v>
      </x:c>
      <x:c r="G530" s="3" t="inlineStr">
        <x:is>
          <x:t xml:space="preserve">bypass_pressure,alert_fatigue</x:t>
        </x:is>
      </x:c>
      <x:c r="H530" s="3" t="inlineStr">
        <x:is>
          <x:t xml:space="preserve">Bypass Pressure</x:t>
        </x:is>
      </x:c>
      <x:c r="I530" s="3" t="inlineStr">
        <x:is>
          <x:t xml:space="preserve">Tune_Detections_Reduce_Friction</x:t>
        </x:is>
      </x:c>
      <x:c r="J530" s="3" t="inlineStr">
        <x:is>
          <x:t xml:space="preserve">N</x:t>
        </x:is>
      </x:c>
      <x:c r="K530" s="3" t="inlineStr">
        <x:is>
          <x:t xml:space="preserve">Alert volume evidence</x:t>
        </x:is>
      </x:c>
    </x:row>
    <x:row r="531">
      <x:c r="A531" s="3" t="inlineStr">
        <x:is>
          <x:t xml:space="preserve">Security</x:t>
        </x:is>
      </x:c>
      <x:c r="B531" s="3" t="inlineStr">
        <x:is>
          <x:t xml:space="preserve">SEC-D13-Q39</x:t>
        </x:is>
      </x:c>
      <x:c r="C531" s="3" t="inlineStr">
        <x:is>
          <x:t xml:space="preserve">SEC-D13-Q39-A2</x:t>
        </x:is>
      </x:c>
      <x:c r="D531" s="3" t="n">
        <x:v>3</x:v>
      </x:c>
      <x:c r="E531" s="3" t="inlineStr">
        <x:is>
          <x:t xml:space="preserve">We tune occasionally, but decisions are subjective and not linked to business impact or crown jewels.</x:t>
        </x:is>
      </x:c>
      <x:c r="F531" s="3" t="n">
        <x:v>1</x:v>
      </x:c>
      <x:c r="G531" s="3" t="inlineStr">
        <x:is>
          <x:t xml:space="preserve">ad_hoc,partial_maturity</x:t>
        </x:is>
      </x:c>
      <x:c r="H531" s="3" t="inlineStr">
        <x:is>
          <x:t xml:space="preserve">Resilience Gap</x:t>
        </x:is>
      </x:c>
      <x:c r="I531" s="3" t="inlineStr">
        <x:is>
          <x:t xml:space="preserve">Tune_Detections_Reduce_Friction</x:t>
        </x:is>
      </x:c>
      <x:c r="J531" s="3" t="inlineStr">
        <x:is>
          <x:t xml:space="preserve">N</x:t>
        </x:is>
      </x:c>
      <x:c r="K531" s="3" t="inlineStr">
        <x:is>
          <x:t xml:space="preserve">Example tuning change</x:t>
        </x:is>
      </x:c>
    </x:row>
    <x:row r="532">
      <x:c r="A532" s="3" t="inlineStr">
        <x:is>
          <x:t xml:space="preserve">Security</x:t>
        </x:is>
      </x:c>
      <x:c r="B532" s="3" t="inlineStr">
        <x:is>
          <x:t xml:space="preserve">SEC-D13-Q39</x:t>
        </x:is>
      </x:c>
      <x:c r="C532" s="3" t="inlineStr">
        <x:is>
          <x:t xml:space="preserve">SEC-D13-Q39-A3</x:t>
        </x:is>
      </x:c>
      <x:c r="D532" s="3" t="n">
        <x:v>4</x:v>
      </x:c>
      <x:c r="E532" s="3" t="inlineStr">
        <x:is>
          <x:t xml:space="preserve">We track false positives, but tuning is slow and often trades away coverage.</x:t>
        </x:is>
      </x:c>
      <x:c r="F532" s="3" t="n">
        <x:v>2</x:v>
      </x:c>
      <x:c r="G532" s="3" t="inlineStr">
        <x:is>
          <x:t xml:space="preserve">partial_maturity,control_lag</x:t>
        </x:is>
      </x:c>
      <x:c r="H532" s="3" t="inlineStr">
        <x:is>
          <x:t xml:space="preserve">Control Lag</x:t>
        </x:is>
      </x:c>
      <x:c r="I532" s="3" t="inlineStr">
        <x:is>
          <x:t xml:space="preserve">Tune_Detections_Reduce_Friction</x:t>
        </x:is>
      </x:c>
      <x:c r="J532" s="3" t="inlineStr">
        <x:is>
          <x:t xml:space="preserve">N</x:t>
        </x:is>
      </x:c>
      <x:c r="K532" s="3" t="inlineStr">
        <x:is>
          <x:t xml:space="preserve">FP metrics</x:t>
        </x:is>
      </x:c>
    </x:row>
    <x:row r="533">
      <x:c r="A533" s="3" t="inlineStr">
        <x:is>
          <x:t xml:space="preserve">Security</x:t>
        </x:is>
      </x:c>
      <x:c r="B533" s="3" t="inlineStr">
        <x:is>
          <x:t xml:space="preserve">SEC-D13-Q39</x:t>
        </x:is>
      </x:c>
      <x:c r="C533" s="3" t="inlineStr">
        <x:is>
          <x:t xml:space="preserve">SEC-D13-Q39-A4</x:t>
        </x:is>
      </x:c>
      <x:c r="D533" s="3" t="n">
        <x:v>5</x:v>
      </x:c>
      <x:c r="E533" s="3" t="inlineStr">
        <x:is>
          <x:t xml:space="preserve">We tune with metrics and risk-based targeting (HVAs/high-risk roles); changes are documented and reviewed.</x:t>
        </x:is>
      </x:c>
      <x:c r="F533" s="3" t="n">
        <x:v>3</x:v>
      </x:c>
      <x:c r="G533" s="3" t="inlineStr">
        <x:is>
          <x:t xml:space="preserve">good_practice,execution_strength</x:t>
        </x:is>
      </x:c>
      <x:c r="H533" s="3" t="n"/>
      <x:c r="I533" s="3" t="inlineStr">
        <x:is>
          <x:t xml:space="preserve">Request_Evidence</x:t>
        </x:is>
      </x:c>
      <x:c r="J533" s="3" t="inlineStr">
        <x:is>
          <x:t xml:space="preserve">N</x:t>
        </x:is>
      </x:c>
      <x:c r="K533" s="3" t="inlineStr">
        <x:is>
          <x:t xml:space="preserve">Change log</x:t>
        </x:is>
      </x:c>
    </x:row>
    <x:row r="534">
      <x:c r="A534" s="3" t="inlineStr">
        <x:is>
          <x:t xml:space="preserve">Security</x:t>
        </x:is>
      </x:c>
      <x:c r="B534" s="3" t="inlineStr">
        <x:is>
          <x:t xml:space="preserve">SEC-D13-Q39</x:t>
        </x:is>
      </x:c>
      <x:c r="C534" s="3" t="inlineStr">
        <x:is>
          <x:t xml:space="preserve">SEC-D13-Q39-A5</x:t>
        </x:is>
      </x:c>
      <x:c r="D534" s="3" t="n">
        <x:v>6</x:v>
      </x:c>
      <x:c r="E534" s="3" t="inlineStr">
        <x:is>
          <x:t xml:space="preserve">We continuously optimize with measured impact, automation, and drift detection; friction is minimized without losing coverage.</x:t>
        </x:is>
      </x:c>
      <x:c r="F534" s="3" t="n">
        <x:v>4</x:v>
      </x:c>
      <x:c r="G534" s="3" t="inlineStr">
        <x:is>
          <x:t xml:space="preserve">optimized,execution_strength</x:t>
        </x:is>
      </x:c>
      <x:c r="H534" s="3" t="n"/>
      <x:c r="I534" s="3" t="inlineStr">
        <x:is>
          <x:t xml:space="preserve">Request_Evidence</x:t>
        </x:is>
      </x:c>
      <x:c r="J534" s="3" t="inlineStr">
        <x:is>
          <x:t xml:space="preserve">N</x:t>
        </x:is>
      </x:c>
      <x:c r="K534" s="3" t="inlineStr">
        <x:is>
          <x:t xml:space="preserve">Optimization evidence</x:t>
        </x:is>
      </x:c>
    </x:row>
    <x:row r="535">
      <x:c r="A535" s="3" t="inlineStr">
        <x:is>
          <x:t xml:space="preserve">Security</x:t>
        </x:is>
      </x:c>
      <x:c r="B535" s="3" t="inlineStr">
        <x:is>
          <x:t xml:space="preserve">SEC-D14-Q40</x:t>
        </x:is>
      </x:c>
      <x:c r="C535" s="3" t="inlineStr">
        <x:is>
          <x:t xml:space="preserve">SEC-D14-Q40-A0</x:t>
        </x:is>
      </x:c>
      <x:c r="D535" s="3" t="n">
        <x:v>1</x:v>
      </x:c>
      <x:c r="E535" s="3" t="inlineStr">
        <x:is>
          <x:t xml:space="preserve">I don’t know / not sure.</x:t>
        </x:is>
      </x:c>
      <x:c r="F535" s="3" t="n">
        <x:v>0</x:v>
      </x:c>
      <x:c r="G535" s="3" t="inlineStr">
        <x:is>
          <x:t xml:space="preserve">unknown</x:t>
        </x:is>
      </x:c>
      <x:c r="H535" s="3" t="inlineStr">
        <x:is>
          <x:t xml:space="preserve">Unknown</x:t>
        </x:is>
      </x:c>
      <x:c r="I535" s="3" t="inlineStr">
        <x:is>
          <x:t xml:space="preserve">Clarify_Stakeholders</x:t>
        </x:is>
      </x:c>
      <x:c r="J535" s="3" t="inlineStr">
        <x:is>
          <x:t xml:space="preserve">N</x:t>
        </x:is>
      </x:c>
      <x:c r="K535" s="3" t="inlineStr">
        <x:is>
          <x:t xml:space="preserve">None</x:t>
        </x:is>
      </x:c>
    </x:row>
    <x:row r="536">
      <x:c r="A536" s="3" t="inlineStr">
        <x:is>
          <x:t xml:space="preserve">Security</x:t>
        </x:is>
      </x:c>
      <x:c r="B536" s="3" t="inlineStr">
        <x:is>
          <x:t xml:space="preserve">SEC-D14-Q40</x:t>
        </x:is>
      </x:c>
      <x:c r="C536" s="3" t="inlineStr">
        <x:is>
          <x:t xml:space="preserve">SEC-D14-Q40-A1</x:t>
        </x:is>
      </x:c>
      <x:c r="D536" s="3" t="n">
        <x:v>2</x:v>
      </x:c>
      <x:c r="E536" s="3" t="inlineStr">
        <x:is>
          <x:t xml:space="preserve">We don’t consistently collect cloud/SaaS audit trails; visibility into sharing/exfiltration is limited.</x:t>
        </x:is>
      </x:c>
      <x:c r="F536" s="3" t="n">
        <x:v>0</x:v>
      </x:c>
      <x:c r="G536" s="3" t="inlineStr">
        <x:is>
          <x:t xml:space="preserve">cloud_visibility_gap,visibility_gap</x:t>
        </x:is>
      </x:c>
      <x:c r="H536" s="3" t="inlineStr">
        <x:is>
          <x:t xml:space="preserve">Visibility Gap</x:t>
        </x:is>
      </x:c>
      <x:c r="I536" s="3" t="inlineStr">
        <x:is>
          <x:t xml:space="preserve">Expand_Cloud_SaaS_Logging</x:t>
        </x:is>
      </x:c>
      <x:c r="J536" s="3" t="inlineStr">
        <x:is>
          <x:t xml:space="preserve">N</x:t>
        </x:is>
      </x:c>
      <x:c r="K536" s="3" t="inlineStr">
        <x:is>
          <x:t xml:space="preserve">List of SaaS used</x:t>
        </x:is>
      </x:c>
    </x:row>
    <x:row r="537">
      <x:c r="A537" s="3" t="inlineStr">
        <x:is>
          <x:t xml:space="preserve">Security</x:t>
        </x:is>
      </x:c>
      <x:c r="B537" s="3" t="inlineStr">
        <x:is>
          <x:t xml:space="preserve">SEC-D14-Q40</x:t>
        </x:is>
      </x:c>
      <x:c r="C537" s="3" t="inlineStr">
        <x:is>
          <x:t xml:space="preserve">SEC-D14-Q40-A2</x:t>
        </x:is>
      </x:c>
      <x:c r="D537" s="3" t="n">
        <x:v>3</x:v>
      </x:c>
      <x:c r="E537" s="3" t="inlineStr">
        <x:is>
          <x:t xml:space="preserve">Some audit trails exist, but they’re not centralized and are hard to use in investigations.</x:t>
        </x:is>
      </x:c>
      <x:c r="F537" s="3" t="n">
        <x:v>1</x:v>
      </x:c>
      <x:c r="G537" s="3" t="inlineStr">
        <x:is>
          <x:t xml:space="preserve">partial_visibility,ad_hoc</x:t>
        </x:is>
      </x:c>
      <x:c r="H537" s="3" t="inlineStr">
        <x:is>
          <x:t xml:space="preserve">Shadow Mature</x:t>
        </x:is>
      </x:c>
      <x:c r="I537" s="3" t="inlineStr">
        <x:is>
          <x:t xml:space="preserve">Expand_Cloud_SaaS_Logging</x:t>
        </x:is>
      </x:c>
      <x:c r="J537" s="3" t="inlineStr">
        <x:is>
          <x:t xml:space="preserve">N</x:t>
        </x:is>
      </x:c>
      <x:c r="K537" s="3" t="inlineStr">
        <x:is>
          <x:t xml:space="preserve">Where logs live</x:t>
        </x:is>
      </x:c>
    </x:row>
    <x:row r="538">
      <x:c r="A538" s="3" t="inlineStr">
        <x:is>
          <x:t xml:space="preserve">Security</x:t>
        </x:is>
      </x:c>
      <x:c r="B538" s="3" t="inlineStr">
        <x:is>
          <x:t xml:space="preserve">SEC-D14-Q40</x:t>
        </x:is>
      </x:c>
      <x:c r="C538" s="3" t="inlineStr">
        <x:is>
          <x:t xml:space="preserve">SEC-D14-Q40-A3</x:t>
        </x:is>
      </x:c>
      <x:c r="D538" s="3" t="n">
        <x:v>4</x:v>
      </x:c>
      <x:c r="E538" s="3" t="inlineStr">
        <x:is>
          <x:t xml:space="preserve">We collect key audit logs centrally, but monitoring focuses on generic alerts and misses risky sharing patterns.</x:t>
        </x:is>
      </x:c>
      <x:c r="F538" s="3" t="n">
        <x:v>2</x:v>
      </x:c>
      <x:c r="G538" s="3" t="inlineStr">
        <x:is>
          <x:t xml:space="preserve">partial_maturity,inconsistent_execution</x:t>
        </x:is>
      </x:c>
      <x:c r="H538" s="3" t="inlineStr">
        <x:is>
          <x:t xml:space="preserve">Visibility Gap</x:t>
        </x:is>
      </x:c>
      <x:c r="I538" s="3" t="inlineStr">
        <x:is>
          <x:t xml:space="preserve">Expand_Cloud_SaaS_Logging</x:t>
        </x:is>
      </x:c>
      <x:c r="J538" s="3" t="inlineStr">
        <x:is>
          <x:t xml:space="preserve">N</x:t>
        </x:is>
      </x:c>
      <x:c r="K538" s="3" t="inlineStr">
        <x:is>
          <x:t xml:space="preserve">Example alerts</x:t>
        </x:is>
      </x:c>
    </x:row>
    <x:row r="539">
      <x:c r="A539" s="3" t="inlineStr">
        <x:is>
          <x:t xml:space="preserve">Security</x:t>
        </x:is>
      </x:c>
      <x:c r="B539" s="3" t="inlineStr">
        <x:is>
          <x:t xml:space="preserve">SEC-D14-Q40</x:t>
        </x:is>
      </x:c>
      <x:c r="C539" s="3" t="inlineStr">
        <x:is>
          <x:t xml:space="preserve">SEC-D14-Q40-A4</x:t>
        </x:is>
      </x:c>
      <x:c r="D539" s="3" t="n">
        <x:v>5</x:v>
      </x:c>
      <x:c r="E539" s="3" t="inlineStr">
        <x:is>
          <x:t xml:space="preserve">We collect and monitor audit trails for key services; risky sharing/exfil patterns are in scope for detection.</x:t>
        </x:is>
      </x:c>
      <x:c r="F539" s="3" t="n">
        <x:v>3</x:v>
      </x:c>
      <x:c r="G539" s="3" t="inlineStr">
        <x:is>
          <x:t xml:space="preserve">good_practice,execution_strength</x:t>
        </x:is>
      </x:c>
      <x:c r="H539" s="3" t="n"/>
      <x:c r="I539" s="3" t="inlineStr">
        <x:is>
          <x:t xml:space="preserve">Request_Evidence</x:t>
        </x:is>
      </x:c>
      <x:c r="J539" s="3" t="inlineStr">
        <x:is>
          <x:t xml:space="preserve">N</x:t>
        </x:is>
      </x:c>
      <x:c r="K539" s="3" t="inlineStr">
        <x:is>
          <x:t xml:space="preserve">Detection list</x:t>
        </x:is>
      </x:c>
    </x:row>
    <x:row r="540">
      <x:c r="A540" s="3" t="inlineStr">
        <x:is>
          <x:t xml:space="preserve">Security</x:t>
        </x:is>
      </x:c>
      <x:c r="B540" s="3" t="inlineStr">
        <x:is>
          <x:t xml:space="preserve">SEC-D14-Q40</x:t>
        </x:is>
      </x:c>
      <x:c r="C540" s="3" t="inlineStr">
        <x:is>
          <x:t xml:space="preserve">SEC-D14-Q40-A5</x:t>
        </x:is>
      </x:c>
      <x:c r="D540" s="3" t="n">
        <x:v>6</x:v>
      </x:c>
      <x:c r="E540" s="3" t="inlineStr">
        <x:is>
          <x:t xml:space="preserve">Cloud/SaaS logs are comprehensive, correlated with identity and data sensitivity, and validated for coverage.</x:t>
        </x:is>
      </x:c>
      <x:c r="F540" s="3" t="n">
        <x:v>4</x:v>
      </x:c>
      <x:c r="G540" s="3" t="inlineStr">
        <x:is>
          <x:t xml:space="preserve">optimized,execution_strength</x:t>
        </x:is>
      </x:c>
      <x:c r="H540" s="3" t="n"/>
      <x:c r="I540" s="3" t="inlineStr">
        <x:is>
          <x:t xml:space="preserve">Request_Evidence</x:t>
        </x:is>
      </x:c>
      <x:c r="J540" s="3" t="inlineStr">
        <x:is>
          <x:t xml:space="preserve">N</x:t>
        </x:is>
      </x:c>
      <x:c r="K540" s="3" t="inlineStr">
        <x:is>
          <x:t xml:space="preserve">Coverage proof</x:t>
        </x:is>
      </x:c>
    </x:row>
    <x:row r="541">
      <x:c r="A541" s="3" t="inlineStr">
        <x:is>
          <x:t xml:space="preserve">Security</x:t>
        </x:is>
      </x:c>
      <x:c r="B541" s="3" t="inlineStr">
        <x:is>
          <x:t xml:space="preserve">SEC-D14-Q41</x:t>
        </x:is>
      </x:c>
      <x:c r="C541" s="3" t="inlineStr">
        <x:is>
          <x:t xml:space="preserve">SEC-D14-Q41-A0</x:t>
        </x:is>
      </x:c>
      <x:c r="D541" s="3" t="n">
        <x:v>1</x:v>
      </x:c>
      <x:c r="E541" s="3" t="inlineStr">
        <x:is>
          <x:t xml:space="preserve">I don’t know / not sure.</x:t>
        </x:is>
      </x:c>
      <x:c r="F541" s="3" t="n">
        <x:v>0</x:v>
      </x:c>
      <x:c r="G541" s="3" t="inlineStr">
        <x:is>
          <x:t xml:space="preserve">unknown</x:t>
        </x:is>
      </x:c>
      <x:c r="H541" s="3" t="inlineStr">
        <x:is>
          <x:t xml:space="preserve">Unknown</x:t>
        </x:is>
      </x:c>
      <x:c r="I541" s="3" t="inlineStr">
        <x:is>
          <x:t xml:space="preserve">Clarify_Stakeholders</x:t>
        </x:is>
      </x:c>
      <x:c r="J541" s="3" t="inlineStr">
        <x:is>
          <x:t xml:space="preserve">N</x:t>
        </x:is>
      </x:c>
      <x:c r="K541" s="3" t="inlineStr">
        <x:is>
          <x:t xml:space="preserve">None</x:t>
        </x:is>
      </x:c>
    </x:row>
    <x:row r="542">
      <x:c r="A542" s="3" t="inlineStr">
        <x:is>
          <x:t xml:space="preserve">Security</x:t>
        </x:is>
      </x:c>
      <x:c r="B542" s="3" t="inlineStr">
        <x:is>
          <x:t xml:space="preserve">SEC-D14-Q41</x:t>
        </x:is>
      </x:c>
      <x:c r="C542" s="3" t="inlineStr">
        <x:is>
          <x:t xml:space="preserve">SEC-D14-Q41-A1</x:t>
        </x:is>
      </x:c>
      <x:c r="D542" s="3" t="n">
        <x:v>2</x:v>
      </x:c>
      <x:c r="E542" s="3" t="inlineStr">
        <x:is>
          <x:t xml:space="preserve">Controls are mostly blanket blocking; it disrupts work and pushes people to workarounds/shadow tools.</x:t>
        </x:is>
      </x:c>
      <x:c r="F542" s="3" t="n">
        <x:v>0</x:v>
      </x:c>
      <x:c r="G542" s="3" t="inlineStr">
        <x:is>
          <x:t xml:space="preserve">bypass_pressure,dlp_tuning_gap</x:t>
        </x:is>
      </x:c>
      <x:c r="H542" s="3" t="inlineStr">
        <x:is>
          <x:t xml:space="preserve">Bypass Pressure</x:t>
        </x:is>
      </x:c>
      <x:c r="I542" s="3" t="inlineStr">
        <x:is>
          <x:t xml:space="preserve">Tune_DLP_Crown_Jewels</x:t>
        </x:is>
      </x:c>
      <x:c r="J542" s="3" t="inlineStr">
        <x:is>
          <x:t xml:space="preserve">N</x:t>
        </x:is>
      </x:c>
      <x:c r="K542" s="3" t="inlineStr">
        <x:is>
          <x:t xml:space="preserve">Examples of blocked work</x:t>
        </x:is>
      </x:c>
    </x:row>
    <x:row r="543">
      <x:c r="A543" s="3" t="inlineStr">
        <x:is>
          <x:t xml:space="preserve">Security</x:t>
        </x:is>
      </x:c>
      <x:c r="B543" s="3" t="inlineStr">
        <x:is>
          <x:t xml:space="preserve">SEC-D14-Q41</x:t>
        </x:is>
      </x:c>
      <x:c r="C543" s="3" t="inlineStr">
        <x:is>
          <x:t xml:space="preserve">SEC-D14-Q41-A2</x:t>
        </x:is>
      </x:c>
      <x:c r="D543" s="3" t="n">
        <x:v>3</x:v>
      </x:c>
      <x:c r="E543" s="3" t="inlineStr">
        <x:is>
          <x:t xml:space="preserve">Controls exist but are inconsistently applied; exceptions are informal and not tracked.</x:t>
        </x:is>
      </x:c>
      <x:c r="F543" s="3" t="n">
        <x:v>1</x:v>
      </x:c>
      <x:c r="G543" s="3" t="inlineStr">
        <x:is>
          <x:t xml:space="preserve">ad_hoc,inconsistent_execution</x:t>
        </x:is>
      </x:c>
      <x:c r="H543" s="3" t="inlineStr">
        <x:is>
          <x:t xml:space="preserve">Shadow Mature</x:t>
        </x:is>
      </x:c>
      <x:c r="I543" s="3" t="inlineStr">
        <x:is>
          <x:t xml:space="preserve">Tune_DLP_Crown_Jewels</x:t>
        </x:is>
      </x:c>
      <x:c r="J543" s="3" t="inlineStr">
        <x:is>
          <x:t xml:space="preserve">N</x:t>
        </x:is>
      </x:c>
      <x:c r="K543" s="3" t="inlineStr">
        <x:is>
          <x:t xml:space="preserve">Exception process</x:t>
        </x:is>
      </x:c>
    </x:row>
    <x:row r="544">
      <x:c r="A544" s="3" t="inlineStr">
        <x:is>
          <x:t xml:space="preserve">Security</x:t>
        </x:is>
      </x:c>
      <x:c r="B544" s="3" t="inlineStr">
        <x:is>
          <x:t xml:space="preserve">SEC-D14-Q41</x:t>
        </x:is>
      </x:c>
      <x:c r="C544" s="3" t="inlineStr">
        <x:is>
          <x:t xml:space="preserve">SEC-D14-Q41-A3</x:t>
        </x:is>
      </x:c>
      <x:c r="D544" s="3" t="n">
        <x:v>4</x:v>
      </x:c>
      <x:c r="E544" s="3" t="inlineStr">
        <x:is>
          <x:t xml:space="preserve">We have some risk-based controls, but crown jewels mapping isn’t strong enough to tune confidently.</x:t>
        </x:is>
      </x:c>
      <x:c r="F544" s="3" t="n">
        <x:v>2</x:v>
      </x:c>
      <x:c r="G544" s="3" t="inlineStr">
        <x:is>
          <x:t xml:space="preserve">partial_maturity,partial_visibility</x:t>
        </x:is>
      </x:c>
      <x:c r="H544" s="3" t="inlineStr">
        <x:is>
          <x:t xml:space="preserve">Visibility Gap</x:t>
        </x:is>
      </x:c>
      <x:c r="I544" s="3" t="inlineStr">
        <x:is>
          <x:t xml:space="preserve">Tune_DLP_Crown_Jewels</x:t>
        </x:is>
      </x:c>
      <x:c r="J544" s="3" t="inlineStr">
        <x:is>
          <x:t xml:space="preserve">N</x:t>
        </x:is>
      </x:c>
      <x:c r="K544" s="3" t="inlineStr">
        <x:is>
          <x:t xml:space="preserve">Policy scope</x:t>
        </x:is>
      </x:c>
    </x:row>
    <x:row r="545">
      <x:c r="A545" s="3" t="inlineStr">
        <x:is>
          <x:t xml:space="preserve">Security</x:t>
        </x:is>
      </x:c>
      <x:c r="B545" s="3" t="inlineStr">
        <x:is>
          <x:t xml:space="preserve">SEC-D14-Q41</x:t>
        </x:is>
      </x:c>
      <x:c r="C545" s="3" t="inlineStr">
        <x:is>
          <x:t xml:space="preserve">SEC-D14-Q41-A4</x:t>
        </x:is>
      </x:c>
      <x:c r="D545" s="3" t="n">
        <x:v>5</x:v>
      </x:c>
      <x:c r="E545" s="3" t="inlineStr">
        <x:is>
          <x:t xml:space="preserve">Controls are tuned based on crown jewels and role risk; business impact is measured and exceptions are governed.</x:t>
        </x:is>
      </x:c>
      <x:c r="F545" s="3" t="n">
        <x:v>3</x:v>
      </x:c>
      <x:c r="G545" s="3" t="inlineStr">
        <x:is>
          <x:t xml:space="preserve">good_practice,execution_strength</x:t>
        </x:is>
      </x:c>
      <x:c r="H545" s="3" t="n"/>
      <x:c r="I545" s="3" t="inlineStr">
        <x:is>
          <x:t xml:space="preserve">Request_Evidence</x:t>
        </x:is>
      </x:c>
      <x:c r="J545" s="3" t="inlineStr">
        <x:is>
          <x:t xml:space="preserve">N</x:t>
        </x:is>
      </x:c>
      <x:c r="K545" s="3" t="inlineStr">
        <x:is>
          <x:t xml:space="preserve">Metrics evidence</x:t>
        </x:is>
      </x:c>
    </x:row>
    <x:row r="546">
      <x:c r="A546" s="3" t="inlineStr">
        <x:is>
          <x:t xml:space="preserve">Security</x:t>
        </x:is>
      </x:c>
      <x:c r="B546" s="3" t="inlineStr">
        <x:is>
          <x:t xml:space="preserve">SEC-D14-Q41</x:t>
        </x:is>
      </x:c>
      <x:c r="C546" s="3" t="inlineStr">
        <x:is>
          <x:t xml:space="preserve">SEC-D14-Q41-A5</x:t>
        </x:is>
      </x:c>
      <x:c r="D546" s="3" t="n">
        <x:v>6</x:v>
      </x:c>
      <x:c r="E546" s="3" t="inlineStr">
        <x:is>
          <x:t xml:space="preserve">Controls are continuously optimized using measured impact and risk scoring; workarounds are minimized and monitored.</x:t>
        </x:is>
      </x:c>
      <x:c r="F546" s="3" t="n">
        <x:v>4</x:v>
      </x:c>
      <x:c r="G546" s="3" t="inlineStr">
        <x:is>
          <x:t xml:space="preserve">optimized,execution_strength</x:t>
        </x:is>
      </x:c>
      <x:c r="H546" s="3" t="n"/>
      <x:c r="I546" s="3" t="inlineStr">
        <x:is>
          <x:t xml:space="preserve">Request_Evidence</x:t>
        </x:is>
      </x:c>
      <x:c r="J546" s="3" t="inlineStr">
        <x:is>
          <x:t xml:space="preserve">N</x:t>
        </x:is>
      </x:c>
      <x:c r="K546" s="3" t="inlineStr">
        <x:is>
          <x:t xml:space="preserve">Optimization proof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1b4d2b826978430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  <x:col min="9" max="9" width="48" customWidth="1"/>
    <x:col min="10" max="10" width="48" customWidth="1"/>
    <x:col min="11" max="11" width="4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18" customWidth="1"/>
    <x:col min="17" max="17" width="18" customWidth="1"/>
    <x:col min="18" max="18" width="48" customWidth="1"/>
    <x:col min="19" max="19" width="18" customWidth="1"/>
    <x:col min="20" max="20" width="28" customWidth="1"/>
    <x:col min="21" max="21" width="18" customWidth="1"/>
    <x:col min="22" max="22" width="18" customWidth="1"/>
    <x:col min="23" max="23" width="18" customWidth="1"/>
    <x:col min="24" max="24" width="28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  <x:col min="31" max="31" width="18" customWidth="1"/>
    <x:col min="32" max="32" width="18" customWidth="1"/>
    <x:col min="33" max="33" width="18" customWidth="1"/>
  </x:cols>
  <x:sheetData>
    <x:row r="1">
      <x:c r="A1" s="2" t="inlineStr">
        <x:is>
          <x:t xml:space="preserve">Pack</x:t>
        </x:is>
      </x:c>
      <x:c r="B1" s="2" t="inlineStr">
        <x:is>
          <x:t xml:space="preserve">Q-ID</x:t>
        </x:is>
      </x:c>
      <x:c r="C1" s="2" t="inlineStr">
        <x:is>
          <x:t xml:space="preserve">Tier</x:t>
        </x:is>
      </x:c>
      <x:c r="D1" s="2" t="inlineStr">
        <x:is>
          <x:t xml:space="preserve">Domain</x:t>
        </x:is>
      </x:c>
      <x:c r="E1" s="2" t="inlineStr">
        <x:is>
          <x:t xml:space="preserve">Axis1</x:t>
        </x:is>
      </x:c>
      <x:c r="F1" s="2" t="inlineStr">
        <x:is>
          <x:t xml:space="preserve">W1</x:t>
        </x:is>
      </x:c>
      <x:c r="G1" s="2" t="inlineStr">
        <x:is>
          <x:t xml:space="preserve">Axis2</x:t>
        </x:is>
      </x:c>
      <x:c r="H1" s="2" t="inlineStr">
        <x:is>
          <x:t xml:space="preserve">W2</x:t>
        </x:is>
      </x:c>
      <x:c r="I1" s="2" t="inlineStr">
        <x:is>
          <x:t xml:space="preserve">Question Text</x:t>
        </x:is>
      </x:c>
      <x:c r="J1" s="2" t="inlineStr">
        <x:is>
          <x:t xml:space="preserve">Guidance</x:t>
        </x:is>
      </x:c>
      <x:c r="K1" s="2" t="inlineStr">
        <x:is>
          <x:t xml:space="preserve">Logic/Branching</x:t>
        </x:is>
      </x:c>
      <x:c r="L1" s="2" t="inlineStr">
        <x:is>
          <x:t xml:space="preserve">EvidencePolicyID</x:t>
        </x:is>
      </x:c>
      <x:c r="M1" s="2" t="inlineStr">
        <x:is>
          <x:t xml:space="preserve">CW</x:t>
        </x:is>
      </x:c>
      <x:c r="N1" s="2" t="inlineStr">
        <x:is>
          <x:t xml:space="preserve">TH</x:t>
        </x:is>
      </x:c>
      <x:c r="O1" s="2" t="inlineStr">
        <x:is>
          <x:t xml:space="preserve">Scope</x:t>
        </x:is>
      </x:c>
      <x:c r="P1" s="2" t="inlineStr">
        <x:is>
          <x:t xml:space="preserve">A-ID</x:t>
        </x:is>
      </x:c>
      <x:c r="Q1" s="2" t="inlineStr">
        <x:is>
          <x:t xml:space="preserve">Option #</x:t>
        </x:is>
      </x:c>
      <x:c r="R1" s="2" t="inlineStr">
        <x:is>
          <x:t xml:space="preserve">Answer Option Text</x:t>
        </x:is>
      </x:c>
      <x:c r="S1" s="2" t="inlineStr">
        <x:is>
          <x:t xml:space="preserve">BaseScore</x:t>
        </x:is>
      </x:c>
      <x:c r="T1" s="2" t="inlineStr">
        <x:is>
          <x:t xml:space="preserve">Tags</x:t>
        </x:is>
      </x:c>
      <x:c r="U1" s="2" t="inlineStr">
        <x:is>
          <x:t xml:space="preserve">FractureType</x:t>
        </x:is>
      </x:c>
      <x:c r="V1" s="2" t="inlineStr">
        <x:is>
          <x:t xml:space="preserve">FollowUpTrigger</x:t>
        </x:is>
      </x:c>
      <x:c r="W1" s="2" t="inlineStr">
        <x:is>
          <x:t xml:space="preserve">NegativeControl</x:t>
        </x:is>
      </x:c>
      <x:c r="X1" s="2" t="inlineStr">
        <x:is>
          <x:t xml:space="preserve">Evidence Hint</x:t>
        </x:is>
      </x:c>
      <x:c r="Y1" s="5" t="inlineStr">
        <x:is>
          <x:t xml:space="preserve">Pts_G</x:t>
        </x:is>
      </x:c>
      <x:c r="Z1" s="5" t="inlineStr">
        <x:is>
          <x:t xml:space="preserve">Pts_E</x:t>
        </x:is>
      </x:c>
      <x:c r="AA1" s="5" t="inlineStr">
        <x:is>
          <x:t xml:space="preserve">Pts_T</x:t>
        </x:is>
      </x:c>
      <x:c r="AB1" s="5" t="inlineStr">
        <x:is>
          <x:t xml:space="preserve">Pts_L</x:t>
        </x:is>
      </x:c>
      <x:c r="AC1" s="5" t="inlineStr">
        <x:is>
          <x:t xml:space="preserve">Pts_H</x:t>
        </x:is>
      </x:c>
      <x:c r="AD1" s="5" t="inlineStr">
        <x:is>
          <x:t xml:space="preserve">Pts_V</x:t>
        </x:is>
      </x:c>
      <x:c r="AE1" s="5" t="inlineStr">
        <x:is>
          <x:t xml:space="preserve">Pts_R</x:t>
        </x:is>
      </x:c>
      <x:c r="AF1" s="5" t="inlineStr">
        <x:is>
          <x:t xml:space="preserve">Pts_F</x:t>
        </x:is>
      </x:c>
      <x:c r="AG1" s="5" t="inlineStr">
        <x:is>
          <x:t xml:space="preserve">Pts_W</x:t>
        </x:is>
      </x:c>
    </x:row>
    <x:row r="2">
      <x:c r="A2" s="3" t="inlineStr">
        <x:is>
          <x:t xml:space="preserve">Executive</x:t>
        </x:is>
      </x:c>
      <x:c r="B2" s="3" t="inlineStr">
        <x:is>
          <x:t xml:space="preserve">EXCO-D1-Q01</x:t>
        </x:is>
      </x:c>
      <x:c r="C2" s="3" t="inlineStr">
        <x:is>
          <x:t xml:space="preserve">T1</x:t>
        </x:is>
      </x:c>
      <x:c r="D2" s="3" t="inlineStr">
        <x:is>
          <x:t xml:space="preserve">1. Strategy &amp; Governance</x:t>
        </x:is>
      </x:c>
      <x:c r="E2" s="3" t="inlineStr">
        <x:is>
          <x:t xml:space="preserve">G</x:t>
        </x:is>
      </x:c>
      <x:c r="F2" s="3" t="n">
        <x:v>1</x:v>
      </x:c>
      <x:c r="G2" s="3" t="inlineStr">
        <x:is>
          <x:t xml:space="preserve">-</x:t>
        </x:is>
      </x:c>
      <x:c r="H2" s="3" t="inlineStr">
        <x:is>
          <x:t xml:space="preserve"/>
        </x:is>
      </x:c>
      <x:c r="I2" s="3" t="inlineStr">
        <x:is>
          <x:t xml:space="preserve">How is the insider risk program officially authorised?</x:t>
        </x:is>
      </x:c>
      <x:c r="J2" s="3" t="inlineStr">
        <x:is>
          <x:t xml:space="preserve">Think about a signed charter/decision, named sponsor, and whether funding is formally approved.</x:t>
        </x:is>
      </x:c>
      <x:c r="K2" s="3" t="inlineStr">
        <x:is>
          <x:t xml:space="preserve">Gatekeeper; if BaseScore&lt;2 -&gt; next=EXCO-D1-Q02; else next=EXCO-D1-Q03</x:t>
        </x:is>
      </x:c>
      <x:c r="L2" s="3" t="inlineStr">
        <x:is>
          <x:t xml:space="preserve">GOV_STD</x:t>
        </x:is>
      </x:c>
      <x:c r="M2" s="3" t="n">
        <x:v>1</x:v>
      </x:c>
      <x:c r="N2" s="3" t="n"/>
      <x:c r="O2" s="3" t="n"/>
      <x:c r="P2" s="3" t="inlineStr">
        <x:is>
          <x:t xml:space="preserve">EXCO-D1-Q01-A0</x:t>
        </x:is>
      </x:c>
      <x:c r="Q2" s="3" t="n">
        <x:v>1</x:v>
      </x:c>
      <x:c r="R2" s="3" t="inlineStr">
        <x:is>
          <x:t xml:space="preserve">I don’t know / not sure.</x:t>
        </x:is>
      </x:c>
      <x:c r="S2" s="3" t="n">
        <x:v>0</x:v>
      </x:c>
      <x:c r="T2" s="3" t="inlineStr">
        <x:is>
          <x:t xml:space="preserve">unknown</x:t>
        </x:is>
      </x:c>
      <x:c r="U2" s="3" t="inlineStr">
        <x:is>
          <x:t xml:space="preserve">Unknown</x:t>
        </x:is>
      </x:c>
      <x:c r="V2" s="3" t="inlineStr">
        <x:is>
          <x:t xml:space="preserve">Clarify_Stakeholders</x:t>
        </x:is>
      </x:c>
      <x:c r="W2" s="3" t="inlineStr">
        <x:is>
          <x:t xml:space="preserve">N</x:t>
        </x:is>
      </x:c>
      <x:c r="X2" s="3" t="inlineStr">
        <x:is>
          <x:t xml:space="preserve"/>
        </x:is>
      </x:c>
      <x:c r="Y2" s="6">
        <x:f>(S2*IF(E2="G",F2,0))+(S2*IF(G2="G",H2,0))</x:f>
        <x:v>0</x:v>
      </x:c>
      <x:c r="Z2" s="6">
        <x:f>(S2*IF(E2="E",F2,0))+(S2*IF(G2="E",H2,0))</x:f>
        <x:v>0</x:v>
      </x:c>
      <x:c r="AA2" s="6">
        <x:f>(S2*IF(E2="T",F2,0))+(S2*IF(G2="T",H2,0))</x:f>
        <x:v>0</x:v>
      </x:c>
      <x:c r="AB2" s="6">
        <x:f>(S2*IF(E2="L",F2,0))+(S2*IF(G2="L",H2,0))</x:f>
        <x:v>0</x:v>
      </x:c>
      <x:c r="AC2" s="6">
        <x:f>(S2*IF(E2="H",F2,0))+(S2*IF(G2="H",H2,0))</x:f>
        <x:v>0</x:v>
      </x:c>
      <x:c r="AD2" s="6">
        <x:f>(S2*IF(E2="V",F2,0))+(S2*IF(G2="V",H2,0))</x:f>
        <x:v>0</x:v>
      </x:c>
      <x:c r="AE2" s="6">
        <x:f>(S2*IF(E2="R",F2,0))+(S2*IF(G2="R",H2,0))</x:f>
        <x:v>0</x:v>
      </x:c>
      <x:c r="AF2" s="6">
        <x:f>(S2*IF(E2="F",F2,0))+(S2*IF(G2="F",H2,0))</x:f>
        <x:v>0</x:v>
      </x:c>
      <x:c r="AG2" s="6">
        <x:f>(S2*IF(E2="W",F2,0))+(S2*IF(G2="W",H2,0))</x:f>
        <x:v>0</x:v>
      </x:c>
    </x:row>
    <x:row r="3">
      <x:c r="A3" s="3" t="inlineStr">
        <x:is>
          <x:t xml:space="preserve">Executive</x:t>
        </x:is>
      </x:c>
      <x:c r="B3" s="3" t="inlineStr">
        <x:is>
          <x:t xml:space="preserve">EXCO-D1-Q01</x:t>
        </x:is>
      </x:c>
      <x:c r="C3" s="3" t="inlineStr">
        <x:is>
          <x:t xml:space="preserve">T1</x:t>
        </x:is>
      </x:c>
      <x:c r="D3" s="3" t="inlineStr">
        <x:is>
          <x:t xml:space="preserve">1. Strategy &amp; Governance</x:t>
        </x:is>
      </x:c>
      <x:c r="E3" s="3" t="inlineStr">
        <x:is>
          <x:t xml:space="preserve">G</x:t>
        </x:is>
      </x:c>
      <x:c r="F3" s="3" t="n">
        <x:v>1</x:v>
      </x:c>
      <x:c r="G3" s="3" t="inlineStr">
        <x:is>
          <x:t xml:space="preserve">-</x:t>
        </x:is>
      </x:c>
      <x:c r="H3" s="3" t="inlineStr">
        <x:is>
          <x:t xml:space="preserve"/>
        </x:is>
      </x:c>
      <x:c r="I3" s="3" t="inlineStr">
        <x:is>
          <x:t xml:space="preserve">How is the insider risk program officially authorised?</x:t>
        </x:is>
      </x:c>
      <x:c r="J3" s="3" t="inlineStr">
        <x:is>
          <x:t xml:space="preserve">Think about a signed charter/decision, named sponsor, and whether funding is formally approved.</x:t>
        </x:is>
      </x:c>
      <x:c r="K3" s="3" t="inlineStr">
        <x:is>
          <x:t xml:space="preserve">Gatekeeper; if BaseScore&lt;2 -&gt; next=EXCO-D1-Q02; else next=EXCO-D1-Q03</x:t>
        </x:is>
      </x:c>
      <x:c r="L3" s="3" t="inlineStr">
        <x:is>
          <x:t xml:space="preserve">GOV_STD</x:t>
        </x:is>
      </x:c>
      <x:c r="M3" s="3" t="n">
        <x:v>1</x:v>
      </x:c>
      <x:c r="N3" s="3" t="n"/>
      <x:c r="O3" s="3" t="n"/>
      <x:c r="P3" s="3" t="inlineStr">
        <x:is>
          <x:t xml:space="preserve">EXCO-D1-Q01-A1</x:t>
        </x:is>
      </x:c>
      <x:c r="Q3" s="3" t="n">
        <x:v>2</x:v>
      </x:c>
      <x:c r="R3" s="3" t="inlineStr">
        <x:is>
          <x:t xml:space="preserve">No formal decision or budget; work happens only when incidents occur.</x:t>
        </x:is>
      </x:c>
      <x:c r="S3" s="3" t="n">
        <x:v>0</x:v>
      </x:c>
      <x:c r="T3" s="3" t="inlineStr">
        <x:is>
          <x:t xml:space="preserve">foundational_gap</x:t>
        </x:is>
      </x:c>
      <x:c r="U3" s="3" t="inlineStr">
        <x:is>
          <x:t xml:space="preserve">Operating Model Gap</x:t>
        </x:is>
      </x:c>
      <x:c r="V3" s="3" t="inlineStr">
        <x:is>
          <x:t xml:space="preserve">Foundational_Setup</x:t>
        </x:is>
      </x:c>
      <x:c r="W3" s="3" t="inlineStr">
        <x:is>
          <x:t xml:space="preserve">N</x:t>
        </x:is>
      </x:c>
      <x:c r="X3" s="3" t="inlineStr">
        <x:is>
          <x:t xml:space="preserve"/>
        </x:is>
      </x:c>
      <x:c r="Y3" s="6">
        <x:f>(S3*IF(E3="G",F3,0))+(S3*IF(G3="G",H3,0))</x:f>
        <x:v>0</x:v>
      </x:c>
      <x:c r="Z3" s="6">
        <x:f>(S3*IF(E3="E",F3,0))+(S3*IF(G3="E",H3,0))</x:f>
        <x:v>0</x:v>
      </x:c>
      <x:c r="AA3" s="6">
        <x:f>(S3*IF(E3="T",F3,0))+(S3*IF(G3="T",H3,0))</x:f>
        <x:v>0</x:v>
      </x:c>
      <x:c r="AB3" s="6">
        <x:f>(S3*IF(E3="L",F3,0))+(S3*IF(G3="L",H3,0))</x:f>
        <x:v>0</x:v>
      </x:c>
      <x:c r="AC3" s="6">
        <x:f>(S3*IF(E3="H",F3,0))+(S3*IF(G3="H",H3,0))</x:f>
        <x:v>0</x:v>
      </x:c>
      <x:c r="AD3" s="6">
        <x:f>(S3*IF(E3="V",F3,0))+(S3*IF(G3="V",H3,0))</x:f>
        <x:v>0</x:v>
      </x:c>
      <x:c r="AE3" s="6">
        <x:f>(S3*IF(E3="R",F3,0))+(S3*IF(G3="R",H3,0))</x:f>
        <x:v>0</x:v>
      </x:c>
      <x:c r="AF3" s="6">
        <x:f>(S3*IF(E3="F",F3,0))+(S3*IF(G3="F",H3,0))</x:f>
        <x:v>0</x:v>
      </x:c>
      <x:c r="AG3" s="6">
        <x:f>(S3*IF(E3="W",F3,0))+(S3*IF(G3="W",H3,0))</x:f>
        <x:v>0</x:v>
      </x:c>
    </x:row>
    <x:row r="4">
      <x:c r="A4" s="3" t="inlineStr">
        <x:is>
          <x:t xml:space="preserve">Executive</x:t>
        </x:is>
      </x:c>
      <x:c r="B4" s="3" t="inlineStr">
        <x:is>
          <x:t xml:space="preserve">EXCO-D1-Q01</x:t>
        </x:is>
      </x:c>
      <x:c r="C4" s="3" t="inlineStr">
        <x:is>
          <x:t xml:space="preserve">T1</x:t>
        </x:is>
      </x:c>
      <x:c r="D4" s="3" t="inlineStr">
        <x:is>
          <x:t xml:space="preserve">1. Strategy &amp; Governance</x:t>
        </x:is>
      </x:c>
      <x:c r="E4" s="3" t="inlineStr">
        <x:is>
          <x:t xml:space="preserve">G</x:t>
        </x:is>
      </x:c>
      <x:c r="F4" s="3" t="n">
        <x:v>1</x:v>
      </x:c>
      <x:c r="G4" s="3" t="inlineStr">
        <x:is>
          <x:t xml:space="preserve">-</x:t>
        </x:is>
      </x:c>
      <x:c r="H4" s="3" t="inlineStr">
        <x:is>
          <x:t xml:space="preserve"/>
        </x:is>
      </x:c>
      <x:c r="I4" s="3" t="inlineStr">
        <x:is>
          <x:t xml:space="preserve">How is the insider risk program officially authorised?</x:t>
        </x:is>
      </x:c>
      <x:c r="J4" s="3" t="inlineStr">
        <x:is>
          <x:t xml:space="preserve">Think about a signed charter/decision, named sponsor, and whether funding is formally approved.</x:t>
        </x:is>
      </x:c>
      <x:c r="K4" s="3" t="inlineStr">
        <x:is>
          <x:t xml:space="preserve">Gatekeeper; if BaseScore&lt;2 -&gt; next=EXCO-D1-Q02; else next=EXCO-D1-Q03</x:t>
        </x:is>
      </x:c>
      <x:c r="L4" s="3" t="inlineStr">
        <x:is>
          <x:t xml:space="preserve">GOV_STD</x:t>
        </x:is>
      </x:c>
      <x:c r="M4" s="3" t="n">
        <x:v>1</x:v>
      </x:c>
      <x:c r="N4" s="3" t="n"/>
      <x:c r="O4" s="3" t="n"/>
      <x:c r="P4" s="3" t="inlineStr">
        <x:is>
          <x:t xml:space="preserve">EXCO-D1-Q01-A2</x:t>
        </x:is>
      </x:c>
      <x:c r="Q4" s="3" t="n">
        <x:v>3</x:v>
      </x:c>
      <x:c r="R4" s="3" t="inlineStr">
        <x:is>
          <x:t xml:space="preserve">Verbal agreement that it matters, but nothing is written down or funded.</x:t>
        </x:is>
      </x:c>
      <x:c r="S4" s="3" t="n">
        <x:v>1</x:v>
      </x:c>
      <x:c r="T4" s="3" t="inlineStr">
        <x:is>
          <x:t xml:space="preserve">shadow_signal</x:t>
        </x:is>
      </x:c>
      <x:c r="U4" s="3" t="inlineStr">
        <x:is>
          <x:t xml:space="preserve">Shadow Mature</x:t>
        </x:is>
      </x:c>
      <x:c r="V4" s="3" t="inlineStr">
        <x:is>
          <x:t xml:space="preserve">Run_Shadow_Probe</x:t>
        </x:is>
      </x:c>
      <x:c r="W4" s="3" t="inlineStr">
        <x:is>
          <x:t xml:space="preserve">N</x:t>
        </x:is>
      </x:c>
      <x:c r="X4" s="3" t="inlineStr">
        <x:is>
          <x:t xml:space="preserve"/>
        </x:is>
      </x:c>
      <x:c r="Y4" s="6">
        <x:f>(S4*IF(E4="G",F4,0))+(S4*IF(G4="G",H4,0))</x:f>
        <x:v>1</x:v>
      </x:c>
      <x:c r="Z4" s="6">
        <x:f>(S4*IF(E4="E",F4,0))+(S4*IF(G4="E",H4,0))</x:f>
        <x:v>0</x:v>
      </x:c>
      <x:c r="AA4" s="6">
        <x:f>(S4*IF(E4="T",F4,0))+(S4*IF(G4="T",H4,0))</x:f>
        <x:v>0</x:v>
      </x:c>
      <x:c r="AB4" s="6">
        <x:f>(S4*IF(E4="L",F4,0))+(S4*IF(G4="L",H4,0))</x:f>
        <x:v>0</x:v>
      </x:c>
      <x:c r="AC4" s="6">
        <x:f>(S4*IF(E4="H",F4,0))+(S4*IF(G4="H",H4,0))</x:f>
        <x:v>0</x:v>
      </x:c>
      <x:c r="AD4" s="6">
        <x:f>(S4*IF(E4="V",F4,0))+(S4*IF(G4="V",H4,0))</x:f>
        <x:v>0</x:v>
      </x:c>
      <x:c r="AE4" s="6">
        <x:f>(S4*IF(E4="R",F4,0))+(S4*IF(G4="R",H4,0))</x:f>
        <x:v>0</x:v>
      </x:c>
      <x:c r="AF4" s="6">
        <x:f>(S4*IF(E4="F",F4,0))+(S4*IF(G4="F",H4,0))</x:f>
        <x:v>0</x:v>
      </x:c>
      <x:c r="AG4" s="6">
        <x:f>(S4*IF(E4="W",F4,0))+(S4*IF(G4="W",H4,0))</x:f>
        <x:v>0</x:v>
      </x:c>
    </x:row>
    <x:row r="5">
      <x:c r="A5" s="3" t="inlineStr">
        <x:is>
          <x:t xml:space="preserve">Executive</x:t>
        </x:is>
      </x:c>
      <x:c r="B5" s="3" t="inlineStr">
        <x:is>
          <x:t xml:space="preserve">EXCO-D1-Q01</x:t>
        </x:is>
      </x:c>
      <x:c r="C5" s="3" t="inlineStr">
        <x:is>
          <x:t xml:space="preserve">T1</x:t>
        </x:is>
      </x:c>
      <x:c r="D5" s="3" t="inlineStr">
        <x:is>
          <x:t xml:space="preserve">1. Strategy &amp; Governance</x:t>
        </x:is>
      </x:c>
      <x:c r="E5" s="3" t="inlineStr">
        <x:is>
          <x:t xml:space="preserve">G</x:t>
        </x:is>
      </x:c>
      <x:c r="F5" s="3" t="n">
        <x:v>1</x:v>
      </x:c>
      <x:c r="G5" s="3" t="inlineStr">
        <x:is>
          <x:t xml:space="preserve">-</x:t>
        </x:is>
      </x:c>
      <x:c r="H5" s="3" t="inlineStr">
        <x:is>
          <x:t xml:space="preserve"/>
        </x:is>
      </x:c>
      <x:c r="I5" s="3" t="inlineStr">
        <x:is>
          <x:t xml:space="preserve">How is the insider risk program officially authorised?</x:t>
        </x:is>
      </x:c>
      <x:c r="J5" s="3" t="inlineStr">
        <x:is>
          <x:t xml:space="preserve">Think about a signed charter/decision, named sponsor, and whether funding is formally approved.</x:t>
        </x:is>
      </x:c>
      <x:c r="K5" s="3" t="inlineStr">
        <x:is>
          <x:t xml:space="preserve">Gatekeeper; if BaseScore&lt;2 -&gt; next=EXCO-D1-Q02; else next=EXCO-D1-Q03</x:t>
        </x:is>
      </x:c>
      <x:c r="L5" s="3" t="inlineStr">
        <x:is>
          <x:t xml:space="preserve">GOV_STD</x:t>
        </x:is>
      </x:c>
      <x:c r="M5" s="3" t="n">
        <x:v>1</x:v>
      </x:c>
      <x:c r="N5" s="3" t="n"/>
      <x:c r="O5" s="3" t="n"/>
      <x:c r="P5" s="3" t="inlineStr">
        <x:is>
          <x:t xml:space="preserve">EXCO-D1-Q01-A3</x:t>
        </x:is>
      </x:c>
      <x:c r="Q5" s="3" t="n">
        <x:v>4</x:v>
      </x:c>
      <x:c r="R5" s="3" t="inlineStr">
        <x:is>
          <x:t xml:space="preserve">Written policy/statement exists, but it has not been reviewed/approved at executive or board level.</x:t>
        </x:is>
      </x:c>
      <x:c r="S5" s="3" t="n">
        <x:v>2</x:v>
      </x:c>
      <x:c r="T5" s="3" t="inlineStr">
        <x:is>
          <x:t xml:space="preserve">paper_dragon_signal</x:t>
        </x:is>
      </x:c>
      <x:c r="U5" s="3" t="inlineStr">
        <x:is>
          <x:t xml:space="preserve">Paper Dragon</x:t>
        </x:is>
      </x:c>
      <x:c r="V5" s="3" t="inlineStr">
        <x:is>
          <x:t xml:space="preserve">Request_Evidence</x:t>
        </x:is>
      </x:c>
      <x:c r="W5" s="3" t="inlineStr">
        <x:is>
          <x:t xml:space="preserve">Y</x:t>
        </x:is>
      </x:c>
      <x:c r="X5" s="3" t="inlineStr">
        <x:is>
          <x:t xml:space="preserve">Provide policy/charter and last approval date.</x:t>
        </x:is>
      </x:c>
      <x:c r="Y5" s="6">
        <x:f>(S5*IF(E5="G",F5,0))+(S5*IF(G5="G",H5,0))</x:f>
        <x:v>2</x:v>
      </x:c>
      <x:c r="Z5" s="6">
        <x:f>(S5*IF(E5="E",F5,0))+(S5*IF(G5="E",H5,0))</x:f>
        <x:v>0</x:v>
      </x:c>
      <x:c r="AA5" s="6">
        <x:f>(S5*IF(E5="T",F5,0))+(S5*IF(G5="T",H5,0))</x:f>
        <x:v>0</x:v>
      </x:c>
      <x:c r="AB5" s="6">
        <x:f>(S5*IF(E5="L",F5,0))+(S5*IF(G5="L",H5,0))</x:f>
        <x:v>0</x:v>
      </x:c>
      <x:c r="AC5" s="6">
        <x:f>(S5*IF(E5="H",F5,0))+(S5*IF(G5="H",H5,0))</x:f>
        <x:v>0</x:v>
      </x:c>
      <x:c r="AD5" s="6">
        <x:f>(S5*IF(E5="V",F5,0))+(S5*IF(G5="V",H5,0))</x:f>
        <x:v>0</x:v>
      </x:c>
      <x:c r="AE5" s="6">
        <x:f>(S5*IF(E5="R",F5,0))+(S5*IF(G5="R",H5,0))</x:f>
        <x:v>0</x:v>
      </x:c>
      <x:c r="AF5" s="6">
        <x:f>(S5*IF(E5="F",F5,0))+(S5*IF(G5="F",H5,0))</x:f>
        <x:v>0</x:v>
      </x:c>
      <x:c r="AG5" s="6">
        <x:f>(S5*IF(E5="W",F5,0))+(S5*IF(G5="W",H5,0))</x:f>
        <x:v>0</x:v>
      </x:c>
    </x:row>
    <x:row r="6">
      <x:c r="A6" s="3" t="inlineStr">
        <x:is>
          <x:t xml:space="preserve">Executive</x:t>
        </x:is>
      </x:c>
      <x:c r="B6" s="3" t="inlineStr">
        <x:is>
          <x:t xml:space="preserve">EXCO-D1-Q01</x:t>
        </x:is>
      </x:c>
      <x:c r="C6" s="3" t="inlineStr">
        <x:is>
          <x:t xml:space="preserve">T1</x:t>
        </x:is>
      </x:c>
      <x:c r="D6" s="3" t="inlineStr">
        <x:is>
          <x:t xml:space="preserve">1. Strategy &amp; Governance</x:t>
        </x:is>
      </x:c>
      <x:c r="E6" s="3" t="inlineStr">
        <x:is>
          <x:t xml:space="preserve">G</x:t>
        </x:is>
      </x:c>
      <x:c r="F6" s="3" t="n">
        <x:v>1</x:v>
      </x:c>
      <x:c r="G6" s="3" t="inlineStr">
        <x:is>
          <x:t xml:space="preserve">-</x:t>
        </x:is>
      </x:c>
      <x:c r="H6" s="3" t="inlineStr">
        <x:is>
          <x:t xml:space="preserve"/>
        </x:is>
      </x:c>
      <x:c r="I6" s="3" t="inlineStr">
        <x:is>
          <x:t xml:space="preserve">How is the insider risk program officially authorised?</x:t>
        </x:is>
      </x:c>
      <x:c r="J6" s="3" t="inlineStr">
        <x:is>
          <x:t xml:space="preserve">Think about a signed charter/decision, named sponsor, and whether funding is formally approved.</x:t>
        </x:is>
      </x:c>
      <x:c r="K6" s="3" t="inlineStr">
        <x:is>
          <x:t xml:space="preserve">Gatekeeper; if BaseScore&lt;2 -&gt; next=EXCO-D1-Q02; else next=EXCO-D1-Q03</x:t>
        </x:is>
      </x:c>
      <x:c r="L6" s="3" t="inlineStr">
        <x:is>
          <x:t xml:space="preserve">GOV_STD</x:t>
        </x:is>
      </x:c>
      <x:c r="M6" s="3" t="n">
        <x:v>1</x:v>
      </x:c>
      <x:c r="N6" s="3" t="n"/>
      <x:c r="O6" s="3" t="n"/>
      <x:c r="P6" s="3" t="inlineStr">
        <x:is>
          <x:t xml:space="preserve">EXCO-D1-Q01-A4</x:t>
        </x:is>
      </x:c>
      <x:c r="Q6" s="3" t="n">
        <x:v>5</x:v>
      </x:c>
      <x:c r="R6" s="3" t="inlineStr">
        <x:is>
          <x:t xml:space="preserve">Executive-approved plan exists with clear goals and dedicated funding (reviewed at least annually).</x:t>
        </x:is>
      </x:c>
      <x:c r="S6" s="3" t="n">
        <x:v>3</x:v>
      </x:c>
      <x:c r="T6" s="3" t="inlineStr">
        <x:is>
          <x:t xml:space="preserve">good_practice</x:t>
        </x:is>
      </x:c>
      <x:c r="U6" s="3" t="inlineStr">
        <x:is>
          <x:t xml:space="preserve"/>
        </x:is>
      </x:c>
      <x:c r="V6" s="3" t="inlineStr">
        <x:is>
          <x:t xml:space="preserve">Request_Evidence</x:t>
        </x:is>
      </x:c>
      <x:c r="W6" s="3" t="inlineStr">
        <x:is>
          <x:t xml:space="preserve">Y</x:t>
        </x:is>
      </x:c>
      <x:c r="X6" s="3" t="inlineStr">
        <x:is>
          <x:t xml:space="preserve">Provide board/exco minute or signed approval; budget line.</x:t>
        </x:is>
      </x:c>
      <x:c r="Y6" s="6">
        <x:f>(S6*IF(E6="G",F6,0))+(S6*IF(G6="G",H6,0))</x:f>
        <x:v>3</x:v>
      </x:c>
      <x:c r="Z6" s="6">
        <x:f>(S6*IF(E6="E",F6,0))+(S6*IF(G6="E",H6,0))</x:f>
        <x:v>0</x:v>
      </x:c>
      <x:c r="AA6" s="6">
        <x:f>(S6*IF(E6="T",F6,0))+(S6*IF(G6="T",H6,0))</x:f>
        <x:v>0</x:v>
      </x:c>
      <x:c r="AB6" s="6">
        <x:f>(S6*IF(E6="L",F6,0))+(S6*IF(G6="L",H6,0))</x:f>
        <x:v>0</x:v>
      </x:c>
      <x:c r="AC6" s="6">
        <x:f>(S6*IF(E6="H",F6,0))+(S6*IF(G6="H",H6,0))</x:f>
        <x:v>0</x:v>
      </x:c>
      <x:c r="AD6" s="6">
        <x:f>(S6*IF(E6="V",F6,0))+(S6*IF(G6="V",H6,0))</x:f>
        <x:v>0</x:v>
      </x:c>
      <x:c r="AE6" s="6">
        <x:f>(S6*IF(E6="R",F6,0))+(S6*IF(G6="R",H6,0))</x:f>
        <x:v>0</x:v>
      </x:c>
      <x:c r="AF6" s="6">
        <x:f>(S6*IF(E6="F",F6,0))+(S6*IF(G6="F",H6,0))</x:f>
        <x:v>0</x:v>
      </x:c>
      <x:c r="AG6" s="6">
        <x:f>(S6*IF(E6="W",F6,0))+(S6*IF(G6="W",H6,0))</x:f>
        <x:v>0</x:v>
      </x:c>
    </x:row>
    <x:row r="7">
      <x:c r="A7" s="3" t="inlineStr">
        <x:is>
          <x:t xml:space="preserve">Executive</x:t>
        </x:is>
      </x:c>
      <x:c r="B7" s="3" t="inlineStr">
        <x:is>
          <x:t xml:space="preserve">EXCO-D1-Q01</x:t>
        </x:is>
      </x:c>
      <x:c r="C7" s="3" t="inlineStr">
        <x:is>
          <x:t xml:space="preserve">T1</x:t>
        </x:is>
      </x:c>
      <x:c r="D7" s="3" t="inlineStr">
        <x:is>
          <x:t xml:space="preserve">1. Strategy &amp; Governance</x:t>
        </x:is>
      </x:c>
      <x:c r="E7" s="3" t="inlineStr">
        <x:is>
          <x:t xml:space="preserve">G</x:t>
        </x:is>
      </x:c>
      <x:c r="F7" s="3" t="n">
        <x:v>1</x:v>
      </x:c>
      <x:c r="G7" s="3" t="inlineStr">
        <x:is>
          <x:t xml:space="preserve">-</x:t>
        </x:is>
      </x:c>
      <x:c r="H7" s="3" t="inlineStr">
        <x:is>
          <x:t xml:space="preserve"/>
        </x:is>
      </x:c>
      <x:c r="I7" s="3" t="inlineStr">
        <x:is>
          <x:t xml:space="preserve">How is the insider risk program officially authorised?</x:t>
        </x:is>
      </x:c>
      <x:c r="J7" s="3" t="inlineStr">
        <x:is>
          <x:t xml:space="preserve">Think about a signed charter/decision, named sponsor, and whether funding is formally approved.</x:t>
        </x:is>
      </x:c>
      <x:c r="K7" s="3" t="inlineStr">
        <x:is>
          <x:t xml:space="preserve">Gatekeeper; if BaseScore&lt;2 -&gt; next=EXCO-D1-Q02; else next=EXCO-D1-Q03</x:t>
        </x:is>
      </x:c>
      <x:c r="L7" s="3" t="inlineStr">
        <x:is>
          <x:t xml:space="preserve">GOV_STD</x:t>
        </x:is>
      </x:c>
      <x:c r="M7" s="3" t="n">
        <x:v>1</x:v>
      </x:c>
      <x:c r="N7" s="3" t="n"/>
      <x:c r="O7" s="3" t="n"/>
      <x:c r="P7" s="3" t="inlineStr">
        <x:is>
          <x:t xml:space="preserve">EXCO-D1-Q01-A5</x:t>
        </x:is>
      </x:c>
      <x:c r="Q7" s="3" t="n">
        <x:v>6</x:v>
      </x:c>
      <x:c r="R7" s="3" t="inlineStr">
        <x:is>
          <x:t xml:space="preserve">Formal charter with cross-functional decision rights (HR/Legal/Security/Data) and measurable objectives.</x:t>
        </x:is>
      </x:c>
      <x:c r="S7" s="3" t="n">
        <x:v>4</x:v>
      </x:c>
      <x:c r="T7" s="3" t="inlineStr">
        <x:is>
          <x:t xml:space="preserve">optimized</x:t>
        </x:is>
      </x:c>
      <x:c r="U7" s="3" t="inlineStr">
        <x:is>
          <x:t xml:space="preserve"/>
        </x:is>
      </x:c>
      <x:c r="V7" s="3" t="inlineStr">
        <x:is>
          <x:t xml:space="preserve">Request_Evidence</x:t>
        </x:is>
      </x:c>
      <x:c r="W7" s="3" t="inlineStr">
        <x:is>
          <x:t xml:space="preserve">Y</x:t>
        </x:is>
      </x:c>
      <x:c r="X7" s="3" t="inlineStr">
        <x:is>
          <x:t xml:space="preserve">Provide charter + RACI + meeting cadence evidence.</x:t>
        </x:is>
      </x:c>
      <x:c r="Y7" s="6">
        <x:f>(S7*IF(E7="G",F7,0))+(S7*IF(G7="G",H7,0))</x:f>
        <x:v>4</x:v>
      </x:c>
      <x:c r="Z7" s="6">
        <x:f>(S7*IF(E7="E",F7,0))+(S7*IF(G7="E",H7,0))</x:f>
        <x:v>0</x:v>
      </x:c>
      <x:c r="AA7" s="6">
        <x:f>(S7*IF(E7="T",F7,0))+(S7*IF(G7="T",H7,0))</x:f>
        <x:v>0</x:v>
      </x:c>
      <x:c r="AB7" s="6">
        <x:f>(S7*IF(E7="L",F7,0))+(S7*IF(G7="L",H7,0))</x:f>
        <x:v>0</x:v>
      </x:c>
      <x:c r="AC7" s="6">
        <x:f>(S7*IF(E7="H",F7,0))+(S7*IF(G7="H",H7,0))</x:f>
        <x:v>0</x:v>
      </x:c>
      <x:c r="AD7" s="6">
        <x:f>(S7*IF(E7="V",F7,0))+(S7*IF(G7="V",H7,0))</x:f>
        <x:v>0</x:v>
      </x:c>
      <x:c r="AE7" s="6">
        <x:f>(S7*IF(E7="R",F7,0))+(S7*IF(G7="R",H7,0))</x:f>
        <x:v>0</x:v>
      </x:c>
      <x:c r="AF7" s="6">
        <x:f>(S7*IF(E7="F",F7,0))+(S7*IF(G7="F",H7,0))</x:f>
        <x:v>0</x:v>
      </x:c>
      <x:c r="AG7" s="6">
        <x:f>(S7*IF(E7="W",F7,0))+(S7*IF(G7="W",H7,0))</x:f>
        <x:v>0</x:v>
      </x:c>
    </x:row>
    <x:row r="8">
      <x:c r="A8" s="3" t="inlineStr">
        <x:is>
          <x:t xml:space="preserve">Executive</x:t>
        </x:is>
      </x:c>
      <x:c r="B8" s="3" t="inlineStr">
        <x:is>
          <x:t xml:space="preserve">EXCO-D1-Q02</x:t>
        </x:is>
      </x:c>
      <x:c r="C8" s="3" t="inlineStr">
        <x:is>
          <x:t xml:space="preserve">T2</x:t>
        </x:is>
      </x:c>
      <x:c r="D8" s="3" t="inlineStr">
        <x:is>
          <x:t xml:space="preserve">1. Strategy &amp; Governance</x:t>
        </x:is>
      </x:c>
      <x:c r="E8" s="3" t="inlineStr">
        <x:is>
          <x:t xml:space="preserve">E</x:t>
        </x:is>
      </x:c>
      <x:c r="F8" s="3" t="n">
        <x:v>1</x:v>
      </x:c>
      <x:c r="G8" s="3" t="inlineStr">
        <x:is>
          <x:t xml:space="preserve">-</x:t>
        </x:is>
      </x:c>
      <x:c r="H8" s="3" t="inlineStr">
        <x:is>
          <x:t xml:space="preserve"/>
        </x:is>
      </x:c>
      <x:c r="I8" s="3" t="inlineStr">
        <x:is>
          <x:t xml:space="preserve">(Shadow probe) Even without formal approval, are there consistent “habits” to prevent sensitive data loss?</x:t>
        </x:is>
      </x:c>
      <x:c r="J8" s="3" t="inlineStr">
        <x:is>
          <x:t xml:space="preserve">Examples: managers consistently enforce leaver checks, sensitive projects use extra approvals, privileged actions are reviewed.</x:t>
        </x:is>
      </x:c>
      <x:c r="K8" s="3" t="inlineStr">
        <x:is>
          <x:t xml:space="preserve">Shadow probe; after -&gt; next=EXCO-D1-Q03</x:t>
        </x:is>
      </x:c>
      <x:c r="L8" s="3" t="inlineStr">
        <x:is>
          <x:t xml:space="preserve">OPS_STD</x:t>
        </x:is>
      </x:c>
      <x:c r="M8" s="3" t="n">
        <x:v>1</x:v>
      </x:c>
      <x:c r="N8" s="3" t="n"/>
      <x:c r="O8" s="3" t="n"/>
      <x:c r="P8" s="3" t="inlineStr">
        <x:is>
          <x:t xml:space="preserve">EXCO-D1-Q02-A1</x:t>
        </x:is>
      </x:c>
      <x:c r="Q8" s="3" t="n">
        <x:v>1</x:v>
      </x:c>
      <x:c r="R8" s="3" t="inlineStr">
        <x:is>
          <x:t xml:space="preserve">No—controls are inconsistent; we mainly rely on standard IT security (e.g., antivirus, firewall).</x:t>
        </x:is>
      </x:c>
      <x:c r="S8" s="3" t="n">
        <x:v>0</x:v>
      </x:c>
      <x:c r="T8" s="3" t="inlineStr">
        <x:is>
          <x:t xml:space="preserve">foundational_gap</x:t>
        </x:is>
      </x:c>
      <x:c r="U8" s="3" t="inlineStr">
        <x:is>
          <x:t xml:space="preserve">Operating Model Gap</x:t>
        </x:is>
      </x:c>
      <x:c r="V8" s="3" t="inlineStr">
        <x:is>
          <x:t xml:space="preserve">Foundational_Setup</x:t>
        </x:is>
      </x:c>
      <x:c r="W8" s="3" t="inlineStr">
        <x:is>
          <x:t xml:space="preserve">N</x:t>
        </x:is>
      </x:c>
      <x:c r="X8" s="3" t="inlineStr">
        <x:is>
          <x:t xml:space="preserve"/>
        </x:is>
      </x:c>
      <x:c r="Y8" s="6">
        <x:f>(S8*IF(E8="G",F8,0))+(S8*IF(G8="G",H8,0))</x:f>
        <x:v>0</x:v>
      </x:c>
      <x:c r="Z8" s="6">
        <x:f>(S8*IF(E8="E",F8,0))+(S8*IF(G8="E",H8,0))</x:f>
        <x:v>0</x:v>
      </x:c>
      <x:c r="AA8" s="6">
        <x:f>(S8*IF(E8="T",F8,0))+(S8*IF(G8="T",H8,0))</x:f>
        <x:v>0</x:v>
      </x:c>
      <x:c r="AB8" s="6">
        <x:f>(S8*IF(E8="L",F8,0))+(S8*IF(G8="L",H8,0))</x:f>
        <x:v>0</x:v>
      </x:c>
      <x:c r="AC8" s="6">
        <x:f>(S8*IF(E8="H",F8,0))+(S8*IF(G8="H",H8,0))</x:f>
        <x:v>0</x:v>
      </x:c>
      <x:c r="AD8" s="6">
        <x:f>(S8*IF(E8="V",F8,0))+(S8*IF(G8="V",H8,0))</x:f>
        <x:v>0</x:v>
      </x:c>
      <x:c r="AE8" s="6">
        <x:f>(S8*IF(E8="R",F8,0))+(S8*IF(G8="R",H8,0))</x:f>
        <x:v>0</x:v>
      </x:c>
      <x:c r="AF8" s="6">
        <x:f>(S8*IF(E8="F",F8,0))+(S8*IF(G8="F",H8,0))</x:f>
        <x:v>0</x:v>
      </x:c>
      <x:c r="AG8" s="6">
        <x:f>(S8*IF(E8="W",F8,0))+(S8*IF(G8="W",H8,0))</x:f>
        <x:v>0</x:v>
      </x:c>
    </x:row>
    <x:row r="9">
      <x:c r="A9" s="3" t="inlineStr">
        <x:is>
          <x:t xml:space="preserve">Executive</x:t>
        </x:is>
      </x:c>
      <x:c r="B9" s="3" t="inlineStr">
        <x:is>
          <x:t xml:space="preserve">EXCO-D1-Q02</x:t>
        </x:is>
      </x:c>
      <x:c r="C9" s="3" t="inlineStr">
        <x:is>
          <x:t xml:space="preserve">T2</x:t>
        </x:is>
      </x:c>
      <x:c r="D9" s="3" t="inlineStr">
        <x:is>
          <x:t xml:space="preserve">1. Strategy &amp; Governance</x:t>
        </x:is>
      </x:c>
      <x:c r="E9" s="3" t="inlineStr">
        <x:is>
          <x:t xml:space="preserve">E</x:t>
        </x:is>
      </x:c>
      <x:c r="F9" s="3" t="n">
        <x:v>1</x:v>
      </x:c>
      <x:c r="G9" s="3" t="inlineStr">
        <x:is>
          <x:t xml:space="preserve">-</x:t>
        </x:is>
      </x:c>
      <x:c r="H9" s="3" t="inlineStr">
        <x:is>
          <x:t xml:space="preserve"/>
        </x:is>
      </x:c>
      <x:c r="I9" s="3" t="inlineStr">
        <x:is>
          <x:t xml:space="preserve">(Shadow probe) Even without formal approval, are there consistent “habits” to prevent sensitive data loss?</x:t>
        </x:is>
      </x:c>
      <x:c r="J9" s="3" t="inlineStr">
        <x:is>
          <x:t xml:space="preserve">Examples: managers consistently enforce leaver checks, sensitive projects use extra approvals, privileged actions are reviewed.</x:t>
        </x:is>
      </x:c>
      <x:c r="K9" s="3" t="inlineStr">
        <x:is>
          <x:t xml:space="preserve">Shadow probe; after -&gt; next=EXCO-D1-Q03</x:t>
        </x:is>
      </x:c>
      <x:c r="L9" s="3" t="inlineStr">
        <x:is>
          <x:t xml:space="preserve">OPS_STD</x:t>
        </x:is>
      </x:c>
      <x:c r="M9" s="3" t="n">
        <x:v>1</x:v>
      </x:c>
      <x:c r="N9" s="3" t="n"/>
      <x:c r="O9" s="3" t="n"/>
      <x:c r="P9" s="3" t="inlineStr">
        <x:is>
          <x:t xml:space="preserve">EXCO-D1-Q02-A2</x:t>
        </x:is>
      </x:c>
      <x:c r="Q9" s="3" t="n">
        <x:v>2</x:v>
      </x:c>
      <x:c r="R9" s="3" t="inlineStr">
        <x:is>
          <x:t xml:space="preserve">Some teams do ad-hoc checks, but it depends on individuals and isn’t repeatable.</x:t>
        </x:is>
      </x:c>
      <x:c r="S9" s="3" t="n">
        <x:v>1</x:v>
      </x:c>
      <x:c r="T9" s="3" t="inlineStr">
        <x:is>
          <x:t xml:space="preserve">key_person_dependency,shadow_signal</x:t>
        </x:is>
      </x:c>
      <x:c r="U9" s="3" t="inlineStr">
        <x:is>
          <x:t xml:space="preserve">Shadow Mature</x:t>
        </x:is>
      </x:c>
      <x:c r="V9" s="3" t="inlineStr">
        <x:is>
          <x:t xml:space="preserve">Capture_Informal_Practices</x:t>
        </x:is>
      </x:c>
      <x:c r="W9" s="3" t="inlineStr">
        <x:is>
          <x:t xml:space="preserve">N</x:t>
        </x:is>
      </x:c>
      <x:c r="X9" s="3" t="inlineStr">
        <x:is>
          <x:t xml:space="preserve"/>
        </x:is>
      </x:c>
      <x:c r="Y9" s="6">
        <x:f>(S9*IF(E9="G",F9,0))+(S9*IF(G9="G",H9,0))</x:f>
        <x:v>0</x:v>
      </x:c>
      <x:c r="Z9" s="6">
        <x:f>(S9*IF(E9="E",F9,0))+(S9*IF(G9="E",H9,0))</x:f>
        <x:v>1</x:v>
      </x:c>
      <x:c r="AA9" s="6">
        <x:f>(S9*IF(E9="T",F9,0))+(S9*IF(G9="T",H9,0))</x:f>
        <x:v>0</x:v>
      </x:c>
      <x:c r="AB9" s="6">
        <x:f>(S9*IF(E9="L",F9,0))+(S9*IF(G9="L",H9,0))</x:f>
        <x:v>0</x:v>
      </x:c>
      <x:c r="AC9" s="6">
        <x:f>(S9*IF(E9="H",F9,0))+(S9*IF(G9="H",H9,0))</x:f>
        <x:v>0</x:v>
      </x:c>
      <x:c r="AD9" s="6">
        <x:f>(S9*IF(E9="V",F9,0))+(S9*IF(G9="V",H9,0))</x:f>
        <x:v>0</x:v>
      </x:c>
      <x:c r="AE9" s="6">
        <x:f>(S9*IF(E9="R",F9,0))+(S9*IF(G9="R",H9,0))</x:f>
        <x:v>0</x:v>
      </x:c>
      <x:c r="AF9" s="6">
        <x:f>(S9*IF(E9="F",F9,0))+(S9*IF(G9="F",H9,0))</x:f>
        <x:v>0</x:v>
      </x:c>
      <x:c r="AG9" s="6">
        <x:f>(S9*IF(E9="W",F9,0))+(S9*IF(G9="W",H9,0))</x:f>
        <x:v>0</x:v>
      </x:c>
    </x:row>
    <x:row r="10">
      <x:c r="A10" s="3" t="inlineStr">
        <x:is>
          <x:t xml:space="preserve">Executive</x:t>
        </x:is>
      </x:c>
      <x:c r="B10" s="3" t="inlineStr">
        <x:is>
          <x:t xml:space="preserve">EXCO-D1-Q02</x:t>
        </x:is>
      </x:c>
      <x:c r="C10" s="3" t="inlineStr">
        <x:is>
          <x:t xml:space="preserve">T2</x:t>
        </x:is>
      </x:c>
      <x:c r="D10" s="3" t="inlineStr">
        <x:is>
          <x:t xml:space="preserve">1. Strategy &amp; Governance</x:t>
        </x:is>
      </x:c>
      <x:c r="E10" s="3" t="inlineStr">
        <x:is>
          <x:t xml:space="preserve">E</x:t>
        </x:is>
      </x:c>
      <x:c r="F10" s="3" t="n">
        <x:v>1</x:v>
      </x:c>
      <x:c r="G10" s="3" t="inlineStr">
        <x:is>
          <x:t xml:space="preserve">-</x:t>
        </x:is>
      </x:c>
      <x:c r="H10" s="3" t="inlineStr">
        <x:is>
          <x:t xml:space="preserve"/>
        </x:is>
      </x:c>
      <x:c r="I10" s="3" t="inlineStr">
        <x:is>
          <x:t xml:space="preserve">(Shadow probe) Even without formal approval, are there consistent “habits” to prevent sensitive data loss?</x:t>
        </x:is>
      </x:c>
      <x:c r="J10" s="3" t="inlineStr">
        <x:is>
          <x:t xml:space="preserve">Examples: managers consistently enforce leaver checks, sensitive projects use extra approvals, privileged actions are reviewed.</x:t>
        </x:is>
      </x:c>
      <x:c r="K10" s="3" t="inlineStr">
        <x:is>
          <x:t xml:space="preserve">Shadow probe; after -&gt; next=EXCO-D1-Q03</x:t>
        </x:is>
      </x:c>
      <x:c r="L10" s="3" t="inlineStr">
        <x:is>
          <x:t xml:space="preserve">OPS_STD</x:t>
        </x:is>
      </x:c>
      <x:c r="M10" s="3" t="n">
        <x:v>1</x:v>
      </x:c>
      <x:c r="N10" s="3" t="n"/>
      <x:c r="O10" s="3" t="n"/>
      <x:c r="P10" s="3" t="inlineStr">
        <x:is>
          <x:t xml:space="preserve">EXCO-D1-Q02-A3</x:t>
        </x:is>
      </x:c>
      <x:c r="Q10" s="3" t="n">
        <x:v>3</x:v>
      </x:c>
      <x:c r="R10" s="3" t="inlineStr">
        <x:is>
          <x:t xml:space="preserve">Yes—there are repeatable habits in key areas (e.g., leavers, privileged access), but they are not documented or measured.</x:t>
        </x:is>
      </x:c>
      <x:c r="S10" s="3" t="n">
        <x:v>2</x:v>
      </x:c>
      <x:c r="T10" s="3" t="inlineStr">
        <x:is>
          <x:t xml:space="preserve">shadow_mature_signal</x:t>
        </x:is>
      </x:c>
      <x:c r="U10" s="3" t="inlineStr">
        <x:is>
          <x:t xml:space="preserve">Shadow Mature</x:t>
        </x:is>
      </x:c>
      <x:c r="V10" s="3" t="inlineStr">
        <x:is>
          <x:t xml:space="preserve">Formalize_Playbook</x:t>
        </x:is>
      </x:c>
      <x:c r="W10" s="3" t="inlineStr">
        <x:is>
          <x:t xml:space="preserve">N</x:t>
        </x:is>
      </x:c>
      <x:c r="X10" s="3" t="inlineStr">
        <x:is>
          <x:t xml:space="preserve"/>
        </x:is>
      </x:c>
      <x:c r="Y10" s="6">
        <x:f>(S10*IF(E10="G",F10,0))+(S10*IF(G10="G",H10,0))</x:f>
        <x:v>0</x:v>
      </x:c>
      <x:c r="Z10" s="6">
        <x:f>(S10*IF(E10="E",F10,0))+(S10*IF(G10="E",H10,0))</x:f>
        <x:v>2</x:v>
      </x:c>
      <x:c r="AA10" s="6">
        <x:f>(S10*IF(E10="T",F10,0))+(S10*IF(G10="T",H10,0))</x:f>
        <x:v>0</x:v>
      </x:c>
      <x:c r="AB10" s="6">
        <x:f>(S10*IF(E10="L",F10,0))+(S10*IF(G10="L",H10,0))</x:f>
        <x:v>0</x:v>
      </x:c>
      <x:c r="AC10" s="6">
        <x:f>(S10*IF(E10="H",F10,0))+(S10*IF(G10="H",H10,0))</x:f>
        <x:v>0</x:v>
      </x:c>
      <x:c r="AD10" s="6">
        <x:f>(S10*IF(E10="V",F10,0))+(S10*IF(G10="V",H10,0))</x:f>
        <x:v>0</x:v>
      </x:c>
      <x:c r="AE10" s="6">
        <x:f>(S10*IF(E10="R",F10,0))+(S10*IF(G10="R",H10,0))</x:f>
        <x:v>0</x:v>
      </x:c>
      <x:c r="AF10" s="6">
        <x:f>(S10*IF(E10="F",F10,0))+(S10*IF(G10="F",H10,0))</x:f>
        <x:v>0</x:v>
      </x:c>
      <x:c r="AG10" s="6">
        <x:f>(S10*IF(E10="W",F10,0))+(S10*IF(G10="W",H10,0))</x:f>
        <x:v>0</x:v>
      </x:c>
    </x:row>
    <x:row r="11">
      <x:c r="A11" s="3" t="inlineStr">
        <x:is>
          <x:t xml:space="preserve">Executive</x:t>
        </x:is>
      </x:c>
      <x:c r="B11" s="3" t="inlineStr">
        <x:is>
          <x:t xml:space="preserve">EXCO-D1-Q02</x:t>
        </x:is>
      </x:c>
      <x:c r="C11" s="3" t="inlineStr">
        <x:is>
          <x:t xml:space="preserve">T2</x:t>
        </x:is>
      </x:c>
      <x:c r="D11" s="3" t="inlineStr">
        <x:is>
          <x:t xml:space="preserve">1. Strategy &amp; Governance</x:t>
        </x:is>
      </x:c>
      <x:c r="E11" s="3" t="inlineStr">
        <x:is>
          <x:t xml:space="preserve">E</x:t>
        </x:is>
      </x:c>
      <x:c r="F11" s="3" t="n">
        <x:v>1</x:v>
      </x:c>
      <x:c r="G11" s="3" t="inlineStr">
        <x:is>
          <x:t xml:space="preserve">-</x:t>
        </x:is>
      </x:c>
      <x:c r="H11" s="3" t="inlineStr">
        <x:is>
          <x:t xml:space="preserve"/>
        </x:is>
      </x:c>
      <x:c r="I11" s="3" t="inlineStr">
        <x:is>
          <x:t xml:space="preserve">(Shadow probe) Even without formal approval, are there consistent “habits” to prevent sensitive data loss?</x:t>
        </x:is>
      </x:c>
      <x:c r="J11" s="3" t="inlineStr">
        <x:is>
          <x:t xml:space="preserve">Examples: managers consistently enforce leaver checks, sensitive projects use extra approvals, privileged actions are reviewed.</x:t>
        </x:is>
      </x:c>
      <x:c r="K11" s="3" t="inlineStr">
        <x:is>
          <x:t xml:space="preserve">Shadow probe; after -&gt; next=EXCO-D1-Q03</x:t>
        </x:is>
      </x:c>
      <x:c r="L11" s="3" t="inlineStr">
        <x:is>
          <x:t xml:space="preserve">OPS_STD</x:t>
        </x:is>
      </x:c>
      <x:c r="M11" s="3" t="n">
        <x:v>1</x:v>
      </x:c>
      <x:c r="N11" s="3" t="n"/>
      <x:c r="O11" s="3" t="n"/>
      <x:c r="P11" s="3" t="inlineStr">
        <x:is>
          <x:t xml:space="preserve">EXCO-D1-Q02-A4</x:t>
        </x:is>
      </x:c>
      <x:c r="Q11" s="3" t="n">
        <x:v>4</x:v>
      </x:c>
      <x:c r="R11" s="3" t="inlineStr">
        <x:is>
          <x:t xml:space="preserve">Yes—repeatable habits exist and are tracked (e.g., checks completed, exceptions logged) even if governance is still light.</x:t>
        </x:is>
      </x:c>
      <x:c r="S11" s="3" t="n">
        <x:v>3</x:v>
      </x:c>
      <x:c r="T11" s="3" t="inlineStr">
        <x:is>
          <x:t xml:space="preserve">execution_strength</x:t>
        </x:is>
      </x:c>
      <x:c r="U11" s="3" t="inlineStr">
        <x:is>
          <x:t xml:space="preserve">Shadow Mature</x:t>
        </x:is>
      </x:c>
      <x:c r="V11" s="3" t="inlineStr">
        <x:is>
          <x:t xml:space="preserve">Scale_And_Govern</x:t>
        </x:is>
      </x:c>
      <x:c r="W11" s="3" t="inlineStr">
        <x:is>
          <x:t xml:space="preserve">N</x:t>
        </x:is>
      </x:c>
      <x:c r="X11" s="3" t="inlineStr">
        <x:is>
          <x:t xml:space="preserve"/>
        </x:is>
      </x:c>
      <x:c r="Y11" s="6">
        <x:f>(S11*IF(E11="G",F11,0))+(S11*IF(G11="G",H11,0))</x:f>
        <x:v>0</x:v>
      </x:c>
      <x:c r="Z11" s="6">
        <x:f>(S11*IF(E11="E",F11,0))+(S11*IF(G11="E",H11,0))</x:f>
        <x:v>3</x:v>
      </x:c>
      <x:c r="AA11" s="6">
        <x:f>(S11*IF(E11="T",F11,0))+(S11*IF(G11="T",H11,0))</x:f>
        <x:v>0</x:v>
      </x:c>
      <x:c r="AB11" s="6">
        <x:f>(S11*IF(E11="L",F11,0))+(S11*IF(G11="L",H11,0))</x:f>
        <x:v>0</x:v>
      </x:c>
      <x:c r="AC11" s="6">
        <x:f>(S11*IF(E11="H",F11,0))+(S11*IF(G11="H",H11,0))</x:f>
        <x:v>0</x:v>
      </x:c>
      <x:c r="AD11" s="6">
        <x:f>(S11*IF(E11="V",F11,0))+(S11*IF(G11="V",H11,0))</x:f>
        <x:v>0</x:v>
      </x:c>
      <x:c r="AE11" s="6">
        <x:f>(S11*IF(E11="R",F11,0))+(S11*IF(G11="R",H11,0))</x:f>
        <x:v>0</x:v>
      </x:c>
      <x:c r="AF11" s="6">
        <x:f>(S11*IF(E11="F",F11,0))+(S11*IF(G11="F",H11,0))</x:f>
        <x:v>0</x:v>
      </x:c>
      <x:c r="AG11" s="6">
        <x:f>(S11*IF(E11="W",F11,0))+(S11*IF(G11="W",H11,0))</x:f>
        <x:v>0</x:v>
      </x:c>
    </x:row>
    <x:row r="12">
      <x:c r="A12" s="3" t="inlineStr">
        <x:is>
          <x:t xml:space="preserve">Executive</x:t>
        </x:is>
      </x:c>
      <x:c r="B12" s="3" t="inlineStr">
        <x:is>
          <x:t xml:space="preserve">EXCO-D1-Q03</x:t>
        </x:is>
      </x:c>
      <x:c r="C12" s="3" t="inlineStr">
        <x:is>
          <x:t xml:space="preserve">T2</x:t>
        </x:is>
      </x:c>
      <x:c r="D12" s="3" t="inlineStr">
        <x:is>
          <x:t xml:space="preserve">1. Strategy &amp; Governance</x:t>
        </x:is>
      </x:c>
      <x:c r="E12" s="3" t="inlineStr">
        <x:is>
          <x:t xml:space="preserve">G</x:t>
        </x:is>
      </x:c>
      <x:c r="F12" s="3" t="n">
        <x:v>0.6</x:v>
      </x:c>
      <x:c r="G12" s="3" t="inlineStr">
        <x:is>
          <x:t xml:space="preserve">E</x:t>
        </x:is>
      </x:c>
      <x:c r="H12" s="3" t="n">
        <x:v>0.4</x:v>
      </x:c>
      <x:c r="I12" s="3" t="inlineStr">
        <x:is>
          <x:t xml:space="preserve">Who has final decision authority for insider risk actions (and who pays for them)?</x:t>
        </x:is>
      </x:c>
      <x:c r="J12" s="3" t="inlineStr">
        <x:is>
          <x:t xml:space="preserve">Look for a named owner who can make trade-offs across HR, Legal, Security and the business.</x:t>
        </x:is>
      </x:c>
      <x:c r="K12" s="3" t="inlineStr">
        <x:is>
          <x:t xml:space="preserve">Drill-down; next=EXCO-D1-Q04</x:t>
        </x:is>
      </x:c>
      <x:c r="L12" s="3" t="inlineStr">
        <x:is>
          <x:t xml:space="preserve">GOV_STD</x:t>
        </x:is>
      </x:c>
      <x:c r="M12" s="3" t="n">
        <x:v>1</x:v>
      </x:c>
      <x:c r="N12" s="3" t="n"/>
      <x:c r="O12" s="3" t="n"/>
      <x:c r="P12" s="3" t="inlineStr">
        <x:is>
          <x:t xml:space="preserve">EXCO-D1-Q03-A0</x:t>
        </x:is>
      </x:c>
      <x:c r="Q12" s="3" t="n">
        <x:v>1</x:v>
      </x:c>
      <x:c r="R12" s="3" t="inlineStr">
        <x:is>
          <x:t xml:space="preserve">I don’t know / not sure.</x:t>
        </x:is>
      </x:c>
      <x:c r="S12" s="3" t="n">
        <x:v>0</x:v>
      </x:c>
      <x:c r="T12" s="3" t="inlineStr">
        <x:is>
          <x:t xml:space="preserve">unknown</x:t>
        </x:is>
      </x:c>
      <x:c r="U12" s="3" t="inlineStr">
        <x:is>
          <x:t xml:space="preserve">Unknown</x:t>
        </x:is>
      </x:c>
      <x:c r="V12" s="3" t="inlineStr">
        <x:is>
          <x:t xml:space="preserve">Clarify_Stakeholders</x:t>
        </x:is>
      </x:c>
      <x:c r="W12" s="3" t="inlineStr">
        <x:is>
          <x:t xml:space="preserve">N</x:t>
        </x:is>
      </x:c>
      <x:c r="X12" s="3" t="inlineStr">
        <x:is>
          <x:t xml:space="preserve"/>
        </x:is>
      </x:c>
      <x:c r="Y12" s="6">
        <x:f>(S12*IF(E12="G",F12,0))+(S12*IF(G12="G",H12,0))</x:f>
        <x:v>0</x:v>
      </x:c>
      <x:c r="Z12" s="6">
        <x:f>(S12*IF(E12="E",F12,0))+(S12*IF(G12="E",H12,0))</x:f>
        <x:v>0</x:v>
      </x:c>
      <x:c r="AA12" s="6">
        <x:f>(S12*IF(E12="T",F12,0))+(S12*IF(G12="T",H12,0))</x:f>
        <x:v>0</x:v>
      </x:c>
      <x:c r="AB12" s="6">
        <x:f>(S12*IF(E12="L",F12,0))+(S12*IF(G12="L",H12,0))</x:f>
        <x:v>0</x:v>
      </x:c>
      <x:c r="AC12" s="6">
        <x:f>(S12*IF(E12="H",F12,0))+(S12*IF(G12="H",H12,0))</x:f>
        <x:v>0</x:v>
      </x:c>
      <x:c r="AD12" s="6">
        <x:f>(S12*IF(E12="V",F12,0))+(S12*IF(G12="V",H12,0))</x:f>
        <x:v>0</x:v>
      </x:c>
      <x:c r="AE12" s="6">
        <x:f>(S12*IF(E12="R",F12,0))+(S12*IF(G12="R",H12,0))</x:f>
        <x:v>0</x:v>
      </x:c>
      <x:c r="AF12" s="6">
        <x:f>(S12*IF(E12="F",F12,0))+(S12*IF(G12="F",H12,0))</x:f>
        <x:v>0</x:v>
      </x:c>
      <x:c r="AG12" s="6">
        <x:f>(S12*IF(E12="W",F12,0))+(S12*IF(G12="W",H12,0))</x:f>
        <x:v>0</x:v>
      </x:c>
    </x:row>
    <x:row r="13">
      <x:c r="A13" s="3" t="inlineStr">
        <x:is>
          <x:t xml:space="preserve">Executive</x:t>
        </x:is>
      </x:c>
      <x:c r="B13" s="3" t="inlineStr">
        <x:is>
          <x:t xml:space="preserve">EXCO-D1-Q03</x:t>
        </x:is>
      </x:c>
      <x:c r="C13" s="3" t="inlineStr">
        <x:is>
          <x:t xml:space="preserve">T2</x:t>
        </x:is>
      </x:c>
      <x:c r="D13" s="3" t="inlineStr">
        <x:is>
          <x:t xml:space="preserve">1. Strategy &amp; Governance</x:t>
        </x:is>
      </x:c>
      <x:c r="E13" s="3" t="inlineStr">
        <x:is>
          <x:t xml:space="preserve">G</x:t>
        </x:is>
      </x:c>
      <x:c r="F13" s="3" t="n">
        <x:v>0.6</x:v>
      </x:c>
      <x:c r="G13" s="3" t="inlineStr">
        <x:is>
          <x:t xml:space="preserve">E</x:t>
        </x:is>
      </x:c>
      <x:c r="H13" s="3" t="n">
        <x:v>0.4</x:v>
      </x:c>
      <x:c r="I13" s="3" t="inlineStr">
        <x:is>
          <x:t xml:space="preserve">Who has final decision authority for insider risk actions (and who pays for them)?</x:t>
        </x:is>
      </x:c>
      <x:c r="J13" s="3" t="inlineStr">
        <x:is>
          <x:t xml:space="preserve">Look for a named owner who can make trade-offs across HR, Legal, Security and the business.</x:t>
        </x:is>
      </x:c>
      <x:c r="K13" s="3" t="inlineStr">
        <x:is>
          <x:t xml:space="preserve">Drill-down; next=EXCO-D1-Q04</x:t>
        </x:is>
      </x:c>
      <x:c r="L13" s="3" t="inlineStr">
        <x:is>
          <x:t xml:space="preserve">GOV_STD</x:t>
        </x:is>
      </x:c>
      <x:c r="M13" s="3" t="n">
        <x:v>1</x:v>
      </x:c>
      <x:c r="N13" s="3" t="n"/>
      <x:c r="O13" s="3" t="n"/>
      <x:c r="P13" s="3" t="inlineStr">
        <x:is>
          <x:t xml:space="preserve">EXCO-D1-Q03-A1</x:t>
        </x:is>
      </x:c>
      <x:c r="Q13" s="3" t="n">
        <x:v>2</x:v>
      </x:c>
      <x:c r="R13" s="3" t="inlineStr">
        <x:is>
          <x:t xml:space="preserve">No one—ownership is spread and decisions are made case-by-case.</x:t>
        </x:is>
      </x:c>
      <x:c r="S13" s="3" t="n">
        <x:v>0</x:v>
      </x:c>
      <x:c r="T13" s="3" t="inlineStr">
        <x:is>
          <x:t xml:space="preserve">foundational_gap</x:t>
        </x:is>
      </x:c>
      <x:c r="U13" s="3" t="inlineStr">
        <x:is>
          <x:t xml:space="preserve">Operating Model Gap</x:t>
        </x:is>
      </x:c>
      <x:c r="V13" s="3" t="inlineStr">
        <x:is>
          <x:t xml:space="preserve">Define_Ownership</x:t>
        </x:is>
      </x:c>
      <x:c r="W13" s="3" t="inlineStr">
        <x:is>
          <x:t xml:space="preserve">N</x:t>
        </x:is>
      </x:c>
      <x:c r="X13" s="3" t="inlineStr">
        <x:is>
          <x:t xml:space="preserve"/>
        </x:is>
      </x:c>
      <x:c r="Y13" s="6">
        <x:f>(S13*IF(E13="G",F13,0))+(S13*IF(G13="G",H13,0))</x:f>
        <x:v>0</x:v>
      </x:c>
      <x:c r="Z13" s="6">
        <x:f>(S13*IF(E13="E",F13,0))+(S13*IF(G13="E",H13,0))</x:f>
        <x:v>0</x:v>
      </x:c>
      <x:c r="AA13" s="6">
        <x:f>(S13*IF(E13="T",F13,0))+(S13*IF(G13="T",H13,0))</x:f>
        <x:v>0</x:v>
      </x:c>
      <x:c r="AB13" s="6">
        <x:f>(S13*IF(E13="L",F13,0))+(S13*IF(G13="L",H13,0))</x:f>
        <x:v>0</x:v>
      </x:c>
      <x:c r="AC13" s="6">
        <x:f>(S13*IF(E13="H",F13,0))+(S13*IF(G13="H",H13,0))</x:f>
        <x:v>0</x:v>
      </x:c>
      <x:c r="AD13" s="6">
        <x:f>(S13*IF(E13="V",F13,0))+(S13*IF(G13="V",H13,0))</x:f>
        <x:v>0</x:v>
      </x:c>
      <x:c r="AE13" s="6">
        <x:f>(S13*IF(E13="R",F13,0))+(S13*IF(G13="R",H13,0))</x:f>
        <x:v>0</x:v>
      </x:c>
      <x:c r="AF13" s="6">
        <x:f>(S13*IF(E13="F",F13,0))+(S13*IF(G13="F",H13,0))</x:f>
        <x:v>0</x:v>
      </x:c>
      <x:c r="AG13" s="6">
        <x:f>(S13*IF(E13="W",F13,0))+(S13*IF(G13="W",H13,0))</x:f>
        <x:v>0</x:v>
      </x:c>
    </x:row>
    <x:row r="14">
      <x:c r="A14" s="3" t="inlineStr">
        <x:is>
          <x:t xml:space="preserve">Executive</x:t>
        </x:is>
      </x:c>
      <x:c r="B14" s="3" t="inlineStr">
        <x:is>
          <x:t xml:space="preserve">EXCO-D1-Q03</x:t>
        </x:is>
      </x:c>
      <x:c r="C14" s="3" t="inlineStr">
        <x:is>
          <x:t xml:space="preserve">T2</x:t>
        </x:is>
      </x:c>
      <x:c r="D14" s="3" t="inlineStr">
        <x:is>
          <x:t xml:space="preserve">1. Strategy &amp; Governance</x:t>
        </x:is>
      </x:c>
      <x:c r="E14" s="3" t="inlineStr">
        <x:is>
          <x:t xml:space="preserve">G</x:t>
        </x:is>
      </x:c>
      <x:c r="F14" s="3" t="n">
        <x:v>0.6</x:v>
      </x:c>
      <x:c r="G14" s="3" t="inlineStr">
        <x:is>
          <x:t xml:space="preserve">E</x:t>
        </x:is>
      </x:c>
      <x:c r="H14" s="3" t="n">
        <x:v>0.4</x:v>
      </x:c>
      <x:c r="I14" s="3" t="inlineStr">
        <x:is>
          <x:t xml:space="preserve">Who has final decision authority for insider risk actions (and who pays for them)?</x:t>
        </x:is>
      </x:c>
      <x:c r="J14" s="3" t="inlineStr">
        <x:is>
          <x:t xml:space="preserve">Look for a named owner who can make trade-offs across HR, Legal, Security and the business.</x:t>
        </x:is>
      </x:c>
      <x:c r="K14" s="3" t="inlineStr">
        <x:is>
          <x:t xml:space="preserve">Drill-down; next=EXCO-D1-Q04</x:t>
        </x:is>
      </x:c>
      <x:c r="L14" s="3" t="inlineStr">
        <x:is>
          <x:t xml:space="preserve">GOV_STD</x:t>
        </x:is>
      </x:c>
      <x:c r="M14" s="3" t="n">
        <x:v>1</x:v>
      </x:c>
      <x:c r="N14" s="3" t="n"/>
      <x:c r="O14" s="3" t="n"/>
      <x:c r="P14" s="3" t="inlineStr">
        <x:is>
          <x:t xml:space="preserve">EXCO-D1-Q03-A2</x:t>
        </x:is>
      </x:c>
      <x:c r="Q14" s="3" t="n">
        <x:v>3</x:v>
      </x:c>
      <x:c r="R14" s="3" t="inlineStr">
        <x:is>
          <x:t xml:space="preserve">Security/IT owns it, but has limited authority across HR/Legal/business units.</x:t>
        </x:is>
      </x:c>
      <x:c r="S14" s="3" t="n">
        <x:v>1</x:v>
      </x:c>
      <x:c r="T14" s="3" t="inlineStr">
        <x:is>
          <x:t xml:space="preserve">siloed</x:t>
        </x:is>
      </x:c>
      <x:c r="U14" s="3" t="inlineStr">
        <x:is>
          <x:t xml:space="preserve">Operating Model Gap</x:t>
        </x:is>
      </x:c>
      <x:c r="V14" s="3" t="inlineStr">
        <x:is>
          <x:t xml:space="preserve">Design_Ops_Model</x:t>
        </x:is>
      </x:c>
      <x:c r="W14" s="3" t="inlineStr">
        <x:is>
          <x:t xml:space="preserve">N</x:t>
        </x:is>
      </x:c>
      <x:c r="X14" s="3" t="inlineStr">
        <x:is>
          <x:t xml:space="preserve"/>
        </x:is>
      </x:c>
      <x:c r="Y14" s="6">
        <x:f>(S14*IF(E14="G",F14,0))+(S14*IF(G14="G",H14,0))</x:f>
        <x:v>0.6</x:v>
      </x:c>
      <x:c r="Z14" s="6">
        <x:f>(S14*IF(E14="E",F14,0))+(S14*IF(G14="E",H14,0))</x:f>
        <x:v>0.4</x:v>
      </x:c>
      <x:c r="AA14" s="6">
        <x:f>(S14*IF(E14="T",F14,0))+(S14*IF(G14="T",H14,0))</x:f>
        <x:v>0</x:v>
      </x:c>
      <x:c r="AB14" s="6">
        <x:f>(S14*IF(E14="L",F14,0))+(S14*IF(G14="L",H14,0))</x:f>
        <x:v>0</x:v>
      </x:c>
      <x:c r="AC14" s="6">
        <x:f>(S14*IF(E14="H",F14,0))+(S14*IF(G14="H",H14,0))</x:f>
        <x:v>0</x:v>
      </x:c>
      <x:c r="AD14" s="6">
        <x:f>(S14*IF(E14="V",F14,0))+(S14*IF(G14="V",H14,0))</x:f>
        <x:v>0</x:v>
      </x:c>
      <x:c r="AE14" s="6">
        <x:f>(S14*IF(E14="R",F14,0))+(S14*IF(G14="R",H14,0))</x:f>
        <x:v>0</x:v>
      </x:c>
      <x:c r="AF14" s="6">
        <x:f>(S14*IF(E14="F",F14,0))+(S14*IF(G14="F",H14,0))</x:f>
        <x:v>0</x:v>
      </x:c>
      <x:c r="AG14" s="6">
        <x:f>(S14*IF(E14="W",F14,0))+(S14*IF(G14="W",H14,0))</x:f>
        <x:v>0</x:v>
      </x:c>
    </x:row>
    <x:row r="15">
      <x:c r="A15" s="3" t="inlineStr">
        <x:is>
          <x:t xml:space="preserve">Executive</x:t>
        </x:is>
      </x:c>
      <x:c r="B15" s="3" t="inlineStr">
        <x:is>
          <x:t xml:space="preserve">EXCO-D1-Q03</x:t>
        </x:is>
      </x:c>
      <x:c r="C15" s="3" t="inlineStr">
        <x:is>
          <x:t xml:space="preserve">T2</x:t>
        </x:is>
      </x:c>
      <x:c r="D15" s="3" t="inlineStr">
        <x:is>
          <x:t xml:space="preserve">1. Strategy &amp; Governance</x:t>
        </x:is>
      </x:c>
      <x:c r="E15" s="3" t="inlineStr">
        <x:is>
          <x:t xml:space="preserve">G</x:t>
        </x:is>
      </x:c>
      <x:c r="F15" s="3" t="n">
        <x:v>0.6</x:v>
      </x:c>
      <x:c r="G15" s="3" t="inlineStr">
        <x:is>
          <x:t xml:space="preserve">E</x:t>
        </x:is>
      </x:c>
      <x:c r="H15" s="3" t="n">
        <x:v>0.4</x:v>
      </x:c>
      <x:c r="I15" s="3" t="inlineStr">
        <x:is>
          <x:t xml:space="preserve">Who has final decision authority for insider risk actions (and who pays for them)?</x:t>
        </x:is>
      </x:c>
      <x:c r="J15" s="3" t="inlineStr">
        <x:is>
          <x:t xml:space="preserve">Look for a named owner who can make trade-offs across HR, Legal, Security and the business.</x:t>
        </x:is>
      </x:c>
      <x:c r="K15" s="3" t="inlineStr">
        <x:is>
          <x:t xml:space="preserve">Drill-down; next=EXCO-D1-Q04</x:t>
        </x:is>
      </x:c>
      <x:c r="L15" s="3" t="inlineStr">
        <x:is>
          <x:t xml:space="preserve">GOV_STD</x:t>
        </x:is>
      </x:c>
      <x:c r="M15" s="3" t="n">
        <x:v>1</x:v>
      </x:c>
      <x:c r="N15" s="3" t="n"/>
      <x:c r="O15" s="3" t="n"/>
      <x:c r="P15" s="3" t="inlineStr">
        <x:is>
          <x:t xml:space="preserve">EXCO-D1-Q03-A3</x:t>
        </x:is>
      </x:c>
      <x:c r="Q15" s="3" t="n">
        <x:v>4</x:v>
      </x:c>
      <x:c r="R15" s="3" t="inlineStr">
        <x:is>
          <x:t xml:space="preserve">A committee meets occasionally, but has no budget authority or clear escalation path.</x:t>
        </x:is>
      </x:c>
      <x:c r="S15" s="3" t="n">
        <x:v>2</x:v>
      </x:c>
      <x:c r="T15" s="3" t="inlineStr">
        <x:is>
          <x:t xml:space="preserve">paper_process</x:t>
        </x:is>
      </x:c>
      <x:c r="U15" s="3" t="inlineStr">
        <x:is>
          <x:t xml:space="preserve">Paper Dragon</x:t>
        </x:is>
      </x:c>
      <x:c r="V15" s="3" t="inlineStr">
        <x:is>
          <x:t xml:space="preserve">Strengthen_Governance</x:t>
        </x:is>
      </x:c>
      <x:c r="W15" s="3" t="inlineStr">
        <x:is>
          <x:t xml:space="preserve">N</x:t>
        </x:is>
      </x:c>
      <x:c r="X15" s="3" t="inlineStr">
        <x:is>
          <x:t xml:space="preserve"/>
        </x:is>
      </x:c>
      <x:c r="Y15" s="6">
        <x:f>(S15*IF(E15="G",F15,0))+(S15*IF(G15="G",H15,0))</x:f>
        <x:v>1.2</x:v>
      </x:c>
      <x:c r="Z15" s="6">
        <x:f>(S15*IF(E15="E",F15,0))+(S15*IF(G15="E",H15,0))</x:f>
        <x:v>0.8</x:v>
      </x:c>
      <x:c r="AA15" s="6">
        <x:f>(S15*IF(E15="T",F15,0))+(S15*IF(G15="T",H15,0))</x:f>
        <x:v>0</x:v>
      </x:c>
      <x:c r="AB15" s="6">
        <x:f>(S15*IF(E15="L",F15,0))+(S15*IF(G15="L",H15,0))</x:f>
        <x:v>0</x:v>
      </x:c>
      <x:c r="AC15" s="6">
        <x:f>(S15*IF(E15="H",F15,0))+(S15*IF(G15="H",H15,0))</x:f>
        <x:v>0</x:v>
      </x:c>
      <x:c r="AD15" s="6">
        <x:f>(S15*IF(E15="V",F15,0))+(S15*IF(G15="V",H15,0))</x:f>
        <x:v>0</x:v>
      </x:c>
      <x:c r="AE15" s="6">
        <x:f>(S15*IF(E15="R",F15,0))+(S15*IF(G15="R",H15,0))</x:f>
        <x:v>0</x:v>
      </x:c>
      <x:c r="AF15" s="6">
        <x:f>(S15*IF(E15="F",F15,0))+(S15*IF(G15="F",H15,0))</x:f>
        <x:v>0</x:v>
      </x:c>
      <x:c r="AG15" s="6">
        <x:f>(S15*IF(E15="W",F15,0))+(S15*IF(G15="W",H15,0))</x:f>
        <x:v>0</x:v>
      </x:c>
    </x:row>
    <x:row r="16">
      <x:c r="A16" s="3" t="inlineStr">
        <x:is>
          <x:t xml:space="preserve">Executive</x:t>
        </x:is>
      </x:c>
      <x:c r="B16" s="3" t="inlineStr">
        <x:is>
          <x:t xml:space="preserve">EXCO-D1-Q03</x:t>
        </x:is>
      </x:c>
      <x:c r="C16" s="3" t="inlineStr">
        <x:is>
          <x:t xml:space="preserve">T2</x:t>
        </x:is>
      </x:c>
      <x:c r="D16" s="3" t="inlineStr">
        <x:is>
          <x:t xml:space="preserve">1. Strategy &amp; Governance</x:t>
        </x:is>
      </x:c>
      <x:c r="E16" s="3" t="inlineStr">
        <x:is>
          <x:t xml:space="preserve">G</x:t>
        </x:is>
      </x:c>
      <x:c r="F16" s="3" t="n">
        <x:v>0.6</x:v>
      </x:c>
      <x:c r="G16" s="3" t="inlineStr">
        <x:is>
          <x:t xml:space="preserve">E</x:t>
        </x:is>
      </x:c>
      <x:c r="H16" s="3" t="n">
        <x:v>0.4</x:v>
      </x:c>
      <x:c r="I16" s="3" t="inlineStr">
        <x:is>
          <x:t xml:space="preserve">Who has final decision authority for insider risk actions (and who pays for them)?</x:t>
        </x:is>
      </x:c>
      <x:c r="J16" s="3" t="inlineStr">
        <x:is>
          <x:t xml:space="preserve">Look for a named owner who can make trade-offs across HR, Legal, Security and the business.</x:t>
        </x:is>
      </x:c>
      <x:c r="K16" s="3" t="inlineStr">
        <x:is>
          <x:t xml:space="preserve">Drill-down; next=EXCO-D1-Q04</x:t>
        </x:is>
      </x:c>
      <x:c r="L16" s="3" t="inlineStr">
        <x:is>
          <x:t xml:space="preserve">GOV_STD</x:t>
        </x:is>
      </x:c>
      <x:c r="M16" s="3" t="n">
        <x:v>1</x:v>
      </x:c>
      <x:c r="N16" s="3" t="n"/>
      <x:c r="O16" s="3" t="n"/>
      <x:c r="P16" s="3" t="inlineStr">
        <x:is>
          <x:t xml:space="preserve">EXCO-D1-Q03-A4</x:t>
        </x:is>
      </x:c>
      <x:c r="Q16" s="3" t="n">
        <x:v>5</x:v>
      </x:c>
      <x:c r="R16" s="3" t="inlineStr">
        <x:is>
          <x:t xml:space="preserve">An executive sponsor owns it with clear escalation and budget authority.</x:t>
        </x:is>
      </x:c>
      <x:c r="S16" s="3" t="n">
        <x:v>3</x:v>
      </x:c>
      <x:c r="T16" s="3" t="inlineStr">
        <x:is>
          <x:t xml:space="preserve">good_practice</x:t>
        </x:is>
      </x:c>
      <x:c r="U16" s="3" t="inlineStr">
        <x:is>
          <x:t xml:space="preserve"/>
        </x:is>
      </x:c>
      <x:c r="V16" s="3" t="inlineStr">
        <x:is>
          <x:t xml:space="preserve">Request_Evidence</x:t>
        </x:is>
      </x:c>
      <x:c r="W16" s="3" t="inlineStr">
        <x:is>
          <x:t xml:space="preserve">Y</x:t>
        </x:is>
      </x:c>
      <x:c r="X16" s="3" t="inlineStr">
        <x:is>
          <x:t xml:space="preserve">Provide governance doc showing decision rights and escalation.</x:t>
        </x:is>
      </x:c>
      <x:c r="Y16" s="6">
        <x:f>(S16*IF(E16="G",F16,0))+(S16*IF(G16="G",H16,0))</x:f>
        <x:v>1.7999999999999998</x:v>
      </x:c>
      <x:c r="Z16" s="6">
        <x:f>(S16*IF(E16="E",F16,0))+(S16*IF(G16="E",H16,0))</x:f>
        <x:v>1.2000000000000002</x:v>
      </x:c>
      <x:c r="AA16" s="6">
        <x:f>(S16*IF(E16="T",F16,0))+(S16*IF(G16="T",H16,0))</x:f>
        <x:v>0</x:v>
      </x:c>
      <x:c r="AB16" s="6">
        <x:f>(S16*IF(E16="L",F16,0))+(S16*IF(G16="L",H16,0))</x:f>
        <x:v>0</x:v>
      </x:c>
      <x:c r="AC16" s="6">
        <x:f>(S16*IF(E16="H",F16,0))+(S16*IF(G16="H",H16,0))</x:f>
        <x:v>0</x:v>
      </x:c>
      <x:c r="AD16" s="6">
        <x:f>(S16*IF(E16="V",F16,0))+(S16*IF(G16="V",H16,0))</x:f>
        <x:v>0</x:v>
      </x:c>
      <x:c r="AE16" s="6">
        <x:f>(S16*IF(E16="R",F16,0))+(S16*IF(G16="R",H16,0))</x:f>
        <x:v>0</x:v>
      </x:c>
      <x:c r="AF16" s="6">
        <x:f>(S16*IF(E16="F",F16,0))+(S16*IF(G16="F",H16,0))</x:f>
        <x:v>0</x:v>
      </x:c>
      <x:c r="AG16" s="6">
        <x:f>(S16*IF(E16="W",F16,0))+(S16*IF(G16="W",H16,0))</x:f>
        <x:v>0</x:v>
      </x:c>
    </x:row>
    <x:row r="17">
      <x:c r="A17" s="3" t="inlineStr">
        <x:is>
          <x:t xml:space="preserve">Executive</x:t>
        </x:is>
      </x:c>
      <x:c r="B17" s="3" t="inlineStr">
        <x:is>
          <x:t xml:space="preserve">EXCO-D1-Q03</x:t>
        </x:is>
      </x:c>
      <x:c r="C17" s="3" t="inlineStr">
        <x:is>
          <x:t xml:space="preserve">T2</x:t>
        </x:is>
      </x:c>
      <x:c r="D17" s="3" t="inlineStr">
        <x:is>
          <x:t xml:space="preserve">1. Strategy &amp; Governance</x:t>
        </x:is>
      </x:c>
      <x:c r="E17" s="3" t="inlineStr">
        <x:is>
          <x:t xml:space="preserve">G</x:t>
        </x:is>
      </x:c>
      <x:c r="F17" s="3" t="n">
        <x:v>0.6</x:v>
      </x:c>
      <x:c r="G17" s="3" t="inlineStr">
        <x:is>
          <x:t xml:space="preserve">E</x:t>
        </x:is>
      </x:c>
      <x:c r="H17" s="3" t="n">
        <x:v>0.4</x:v>
      </x:c>
      <x:c r="I17" s="3" t="inlineStr">
        <x:is>
          <x:t xml:space="preserve">Who has final decision authority for insider risk actions (and who pays for them)?</x:t>
        </x:is>
      </x:c>
      <x:c r="J17" s="3" t="inlineStr">
        <x:is>
          <x:t xml:space="preserve">Look for a named owner who can make trade-offs across HR, Legal, Security and the business.</x:t>
        </x:is>
      </x:c>
      <x:c r="K17" s="3" t="inlineStr">
        <x:is>
          <x:t xml:space="preserve">Drill-down; next=EXCO-D1-Q04</x:t>
        </x:is>
      </x:c>
      <x:c r="L17" s="3" t="inlineStr">
        <x:is>
          <x:t xml:space="preserve">GOV_STD</x:t>
        </x:is>
      </x:c>
      <x:c r="M17" s="3" t="n">
        <x:v>1</x:v>
      </x:c>
      <x:c r="N17" s="3" t="n"/>
      <x:c r="O17" s="3" t="n"/>
      <x:c r="P17" s="3" t="inlineStr">
        <x:is>
          <x:t xml:space="preserve">EXCO-D1-Q03-A5</x:t>
        </x:is>
      </x:c>
      <x:c r="Q17" s="3" t="n">
        <x:v>6</x:v>
      </x:c>
      <x:c r="R17" s="3" t="inlineStr">
        <x:is>
          <x:t xml:space="preserve">Executive sponsor + department KPIs (HR/Legal/Security/Data) and a regular review cadence.</x:t>
        </x:is>
      </x:c>
      <x:c r="S17" s="3" t="n">
        <x:v>4</x:v>
      </x:c>
      <x:c r="T17" s="3" t="inlineStr">
        <x:is>
          <x:t xml:space="preserve">optimized</x:t>
        </x:is>
      </x:c>
      <x:c r="U17" s="3" t="inlineStr">
        <x:is>
          <x:t xml:space="preserve"/>
        </x:is>
      </x:c>
      <x:c r="V17" s="3" t="inlineStr">
        <x:is>
          <x:t xml:space="preserve">Request_Evidence</x:t>
        </x:is>
      </x:c>
      <x:c r="W17" s="3" t="inlineStr">
        <x:is>
          <x:t xml:space="preserve">Y</x:t>
        </x:is>
      </x:c>
      <x:c r="X17" s="3" t="inlineStr">
        <x:is>
          <x:t xml:space="preserve">Provide KPI pack / steering minutes.</x:t>
        </x:is>
      </x:c>
      <x:c r="Y17" s="6">
        <x:f>(S17*IF(E17="G",F17,0))+(S17*IF(G17="G",H17,0))</x:f>
        <x:v>2.4</x:v>
      </x:c>
      <x:c r="Z17" s="6">
        <x:f>(S17*IF(E17="E",F17,0))+(S17*IF(G17="E",H17,0))</x:f>
        <x:v>1.6</x:v>
      </x:c>
      <x:c r="AA17" s="6">
        <x:f>(S17*IF(E17="T",F17,0))+(S17*IF(G17="T",H17,0))</x:f>
        <x:v>0</x:v>
      </x:c>
      <x:c r="AB17" s="6">
        <x:f>(S17*IF(E17="L",F17,0))+(S17*IF(G17="L",H17,0))</x:f>
        <x:v>0</x:v>
      </x:c>
      <x:c r="AC17" s="6">
        <x:f>(S17*IF(E17="H",F17,0))+(S17*IF(G17="H",H17,0))</x:f>
        <x:v>0</x:v>
      </x:c>
      <x:c r="AD17" s="6">
        <x:f>(S17*IF(E17="V",F17,0))+(S17*IF(G17="V",H17,0))</x:f>
        <x:v>0</x:v>
      </x:c>
      <x:c r="AE17" s="6">
        <x:f>(S17*IF(E17="R",F17,0))+(S17*IF(G17="R",H17,0))</x:f>
        <x:v>0</x:v>
      </x:c>
      <x:c r="AF17" s="6">
        <x:f>(S17*IF(E17="F",F17,0))+(S17*IF(G17="F",H17,0))</x:f>
        <x:v>0</x:v>
      </x:c>
      <x:c r="AG17" s="6">
        <x:f>(S17*IF(E17="W",F17,0))+(S17*IF(G17="W",H17,0))</x:f>
        <x:v>0</x:v>
      </x:c>
    </x:row>
    <x:row r="18">
      <x:c r="A18" s="3" t="inlineStr">
        <x:is>
          <x:t xml:space="preserve">Executive</x:t>
        </x:is>
      </x:c>
      <x:c r="B18" s="3" t="inlineStr">
        <x:is>
          <x:t xml:space="preserve">EXCO-D1-Q04</x:t>
        </x:is>
      </x:c>
      <x:c r="C18" s="3" t="inlineStr">
        <x:is>
          <x:t xml:space="preserve">T2</x:t>
        </x:is>
      </x:c>
      <x:c r="D18" s="3" t="inlineStr">
        <x:is>
          <x:t xml:space="preserve">1. Strategy &amp; Governance</x:t>
        </x:is>
      </x:c>
      <x:c r="E18" s="3" t="inlineStr">
        <x:is>
          <x:t xml:space="preserve">G</x:t>
        </x:is>
      </x:c>
      <x:c r="F18" s="3" t="n">
        <x:v>0.5</x:v>
      </x:c>
      <x:c r="G18" s="3" t="inlineStr">
        <x:is>
          <x:t xml:space="preserve">E</x:t>
        </x:is>
      </x:c>
      <x:c r="H18" s="3" t="n">
        <x:v>0.5</x:v>
      </x:c>
      <x:c r="I18" s="3" t="inlineStr">
        <x:is>
          <x:t xml:space="preserve">How does the program operate day-to-day across departments?</x:t>
        </x:is>
      </x:c>
      <x:c r="J18" s="3" t="inlineStr">
        <x:is>
          <x:t xml:space="preserve">Think about whether there is a defined cross-functional working group, how cases are triaged, and how changes are implemented.</x:t>
        </x:is>
      </x:c>
      <x:c r="K18" s="3" t="inlineStr">
        <x:is>
          <x:t xml:space="preserve">Drill-down; next=EXCO-D1-Q05</x:t>
        </x:is>
      </x:c>
      <x:c r="L18" s="3" t="inlineStr">
        <x:is>
          <x:t xml:space="preserve">GOV_STD</x:t>
        </x:is>
      </x:c>
      <x:c r="M18" s="3" t="n">
        <x:v>1</x:v>
      </x:c>
      <x:c r="N18" s="3" t="n"/>
      <x:c r="O18" s="3" t="n"/>
      <x:c r="P18" s="3" t="inlineStr">
        <x:is>
          <x:t xml:space="preserve">EXCO-D1-Q04-A0</x:t>
        </x:is>
      </x:c>
      <x:c r="Q18" s="3" t="n">
        <x:v>1</x:v>
      </x:c>
      <x:c r="R18" s="3" t="inlineStr">
        <x:is>
          <x:t xml:space="preserve">I don’t know / not sure.</x:t>
        </x:is>
      </x:c>
      <x:c r="S18" s="3" t="n">
        <x:v>0</x:v>
      </x:c>
      <x:c r="T18" s="3" t="inlineStr">
        <x:is>
          <x:t xml:space="preserve">unknown</x:t>
        </x:is>
      </x:c>
      <x:c r="U18" s="3" t="inlineStr">
        <x:is>
          <x:t xml:space="preserve">Unknown</x:t>
        </x:is>
      </x:c>
      <x:c r="V18" s="3" t="inlineStr">
        <x:is>
          <x:t xml:space="preserve">Clarify_Stakeholders</x:t>
        </x:is>
      </x:c>
      <x:c r="W18" s="3" t="inlineStr">
        <x:is>
          <x:t xml:space="preserve">N</x:t>
        </x:is>
      </x:c>
      <x:c r="X18" s="3" t="inlineStr">
        <x:is>
          <x:t xml:space="preserve"/>
        </x:is>
      </x:c>
      <x:c r="Y18" s="6">
        <x:f>(S18*IF(E18="G",F18,0))+(S18*IF(G18="G",H18,0))</x:f>
        <x:v>0</x:v>
      </x:c>
      <x:c r="Z18" s="6">
        <x:f>(S18*IF(E18="E",F18,0))+(S18*IF(G18="E",H18,0))</x:f>
        <x:v>0</x:v>
      </x:c>
      <x:c r="AA18" s="6">
        <x:f>(S18*IF(E18="T",F18,0))+(S18*IF(G18="T",H18,0))</x:f>
        <x:v>0</x:v>
      </x:c>
      <x:c r="AB18" s="6">
        <x:f>(S18*IF(E18="L",F18,0))+(S18*IF(G18="L",H18,0))</x:f>
        <x:v>0</x:v>
      </x:c>
      <x:c r="AC18" s="6">
        <x:f>(S18*IF(E18="H",F18,0))+(S18*IF(G18="H",H18,0))</x:f>
        <x:v>0</x:v>
      </x:c>
      <x:c r="AD18" s="6">
        <x:f>(S18*IF(E18="V",F18,0))+(S18*IF(G18="V",H18,0))</x:f>
        <x:v>0</x:v>
      </x:c>
      <x:c r="AE18" s="6">
        <x:f>(S18*IF(E18="R",F18,0))+(S18*IF(G18="R",H18,0))</x:f>
        <x:v>0</x:v>
      </x:c>
      <x:c r="AF18" s="6">
        <x:f>(S18*IF(E18="F",F18,0))+(S18*IF(G18="F",H18,0))</x:f>
        <x:v>0</x:v>
      </x:c>
      <x:c r="AG18" s="6">
        <x:f>(S18*IF(E18="W",F18,0))+(S18*IF(G18="W",H18,0))</x:f>
        <x:v>0</x:v>
      </x:c>
    </x:row>
    <x:row r="19">
      <x:c r="A19" s="3" t="inlineStr">
        <x:is>
          <x:t xml:space="preserve">Executive</x:t>
        </x:is>
      </x:c>
      <x:c r="B19" s="3" t="inlineStr">
        <x:is>
          <x:t xml:space="preserve">EXCO-D1-Q04</x:t>
        </x:is>
      </x:c>
      <x:c r="C19" s="3" t="inlineStr">
        <x:is>
          <x:t xml:space="preserve">T2</x:t>
        </x:is>
      </x:c>
      <x:c r="D19" s="3" t="inlineStr">
        <x:is>
          <x:t xml:space="preserve">1. Strategy &amp; Governance</x:t>
        </x:is>
      </x:c>
      <x:c r="E19" s="3" t="inlineStr">
        <x:is>
          <x:t xml:space="preserve">G</x:t>
        </x:is>
      </x:c>
      <x:c r="F19" s="3" t="n">
        <x:v>0.5</x:v>
      </x:c>
      <x:c r="G19" s="3" t="inlineStr">
        <x:is>
          <x:t xml:space="preserve">E</x:t>
        </x:is>
      </x:c>
      <x:c r="H19" s="3" t="n">
        <x:v>0.5</x:v>
      </x:c>
      <x:c r="I19" s="3" t="inlineStr">
        <x:is>
          <x:t xml:space="preserve">How does the program operate day-to-day across departments?</x:t>
        </x:is>
      </x:c>
      <x:c r="J19" s="3" t="inlineStr">
        <x:is>
          <x:t xml:space="preserve">Think about whether there is a defined cross-functional working group, how cases are triaged, and how changes are implemented.</x:t>
        </x:is>
      </x:c>
      <x:c r="K19" s="3" t="inlineStr">
        <x:is>
          <x:t xml:space="preserve">Drill-down; next=EXCO-D1-Q05</x:t>
        </x:is>
      </x:c>
      <x:c r="L19" s="3" t="inlineStr">
        <x:is>
          <x:t xml:space="preserve">GOV_STD</x:t>
        </x:is>
      </x:c>
      <x:c r="M19" s="3" t="n">
        <x:v>1</x:v>
      </x:c>
      <x:c r="N19" s="3" t="n"/>
      <x:c r="O19" s="3" t="n"/>
      <x:c r="P19" s="3" t="inlineStr">
        <x:is>
          <x:t xml:space="preserve">EXCO-D1-Q04-A1</x:t>
        </x:is>
      </x:c>
      <x:c r="Q19" s="3" t="n">
        <x:v>2</x:v>
      </x:c>
      <x:c r="R19" s="3" t="inlineStr">
        <x:is>
          <x:t xml:space="preserve">Each department acts on its own; coordination happens only during crises.</x:t>
        </x:is>
      </x:c>
      <x:c r="S19" s="3" t="n">
        <x:v>0</x:v>
      </x:c>
      <x:c r="T19" s="3" t="inlineStr">
        <x:is>
          <x:t xml:space="preserve">siloed</x:t>
        </x:is>
      </x:c>
      <x:c r="U19" s="3" t="inlineStr">
        <x:is>
          <x:t xml:space="preserve">Operating Model Gap</x:t>
        </x:is>
      </x:c>
      <x:c r="V19" s="3" t="inlineStr">
        <x:is>
          <x:t xml:space="preserve">Create_Working_Group</x:t>
        </x:is>
      </x:c>
      <x:c r="W19" s="3" t="inlineStr">
        <x:is>
          <x:t xml:space="preserve">N</x:t>
        </x:is>
      </x:c>
      <x:c r="X19" s="3" t="inlineStr">
        <x:is>
          <x:t xml:space="preserve"/>
        </x:is>
      </x:c>
      <x:c r="Y19" s="6">
        <x:f>(S19*IF(E19="G",F19,0))+(S19*IF(G19="G",H19,0))</x:f>
        <x:v>0</x:v>
      </x:c>
      <x:c r="Z19" s="6">
        <x:f>(S19*IF(E19="E",F19,0))+(S19*IF(G19="E",H19,0))</x:f>
        <x:v>0</x:v>
      </x:c>
      <x:c r="AA19" s="6">
        <x:f>(S19*IF(E19="T",F19,0))+(S19*IF(G19="T",H19,0))</x:f>
        <x:v>0</x:v>
      </x:c>
      <x:c r="AB19" s="6">
        <x:f>(S19*IF(E19="L",F19,0))+(S19*IF(G19="L",H19,0))</x:f>
        <x:v>0</x:v>
      </x:c>
      <x:c r="AC19" s="6">
        <x:f>(S19*IF(E19="H",F19,0))+(S19*IF(G19="H",H19,0))</x:f>
        <x:v>0</x:v>
      </x:c>
      <x:c r="AD19" s="6">
        <x:f>(S19*IF(E19="V",F19,0))+(S19*IF(G19="V",H19,0))</x:f>
        <x:v>0</x:v>
      </x:c>
      <x:c r="AE19" s="6">
        <x:f>(S19*IF(E19="R",F19,0))+(S19*IF(G19="R",H19,0))</x:f>
        <x:v>0</x:v>
      </x:c>
      <x:c r="AF19" s="6">
        <x:f>(S19*IF(E19="F",F19,0))+(S19*IF(G19="F",H19,0))</x:f>
        <x:v>0</x:v>
      </x:c>
      <x:c r="AG19" s="6">
        <x:f>(S19*IF(E19="W",F19,0))+(S19*IF(G19="W",H19,0))</x:f>
        <x:v>0</x:v>
      </x:c>
    </x:row>
    <x:row r="20">
      <x:c r="A20" s="3" t="inlineStr">
        <x:is>
          <x:t xml:space="preserve">Executive</x:t>
        </x:is>
      </x:c>
      <x:c r="B20" s="3" t="inlineStr">
        <x:is>
          <x:t xml:space="preserve">EXCO-D1-Q04</x:t>
        </x:is>
      </x:c>
      <x:c r="C20" s="3" t="inlineStr">
        <x:is>
          <x:t xml:space="preserve">T2</x:t>
        </x:is>
      </x:c>
      <x:c r="D20" s="3" t="inlineStr">
        <x:is>
          <x:t xml:space="preserve">1. Strategy &amp; Governance</x:t>
        </x:is>
      </x:c>
      <x:c r="E20" s="3" t="inlineStr">
        <x:is>
          <x:t xml:space="preserve">G</x:t>
        </x:is>
      </x:c>
      <x:c r="F20" s="3" t="n">
        <x:v>0.5</x:v>
      </x:c>
      <x:c r="G20" s="3" t="inlineStr">
        <x:is>
          <x:t xml:space="preserve">E</x:t>
        </x:is>
      </x:c>
      <x:c r="H20" s="3" t="n">
        <x:v>0.5</x:v>
      </x:c>
      <x:c r="I20" s="3" t="inlineStr">
        <x:is>
          <x:t xml:space="preserve">How does the program operate day-to-day across departments?</x:t>
        </x:is>
      </x:c>
      <x:c r="J20" s="3" t="inlineStr">
        <x:is>
          <x:t xml:space="preserve">Think about whether there is a defined cross-functional working group, how cases are triaged, and how changes are implemented.</x:t>
        </x:is>
      </x:c>
      <x:c r="K20" s="3" t="inlineStr">
        <x:is>
          <x:t xml:space="preserve">Drill-down; next=EXCO-D1-Q05</x:t>
        </x:is>
      </x:c>
      <x:c r="L20" s="3" t="inlineStr">
        <x:is>
          <x:t xml:space="preserve">GOV_STD</x:t>
        </x:is>
      </x:c>
      <x:c r="M20" s="3" t="n">
        <x:v>1</x:v>
      </x:c>
      <x:c r="N20" s="3" t="n"/>
      <x:c r="O20" s="3" t="n"/>
      <x:c r="P20" s="3" t="inlineStr">
        <x:is>
          <x:t xml:space="preserve">EXCO-D1-Q04-A2</x:t>
        </x:is>
      </x:c>
      <x:c r="Q20" s="3" t="n">
        <x:v>3</x:v>
      </x:c>
      <x:c r="R20" s="3" t="inlineStr">
        <x:is>
          <x:t xml:space="preserve">People collaborate informally for incidents, but there is no routine coordination.</x:t>
        </x:is>
      </x:c>
      <x:c r="S20" s="3" t="n">
        <x:v>1</x:v>
      </x:c>
      <x:c r="T20" s="3" t="inlineStr">
        <x:is>
          <x:t xml:space="preserve">informal_only</x:t>
        </x:is>
      </x:c>
      <x:c r="U20" s="3" t="inlineStr">
        <x:is>
          <x:t xml:space="preserve">Shadow Mature</x:t>
        </x:is>
      </x:c>
      <x:c r="V20" s="3" t="inlineStr">
        <x:is>
          <x:t xml:space="preserve">Formalize_Cadence</x:t>
        </x:is>
      </x:c>
      <x:c r="W20" s="3" t="inlineStr">
        <x:is>
          <x:t xml:space="preserve">N</x:t>
        </x:is>
      </x:c>
      <x:c r="X20" s="3" t="inlineStr">
        <x:is>
          <x:t xml:space="preserve"/>
        </x:is>
      </x:c>
      <x:c r="Y20" s="6">
        <x:f>(S20*IF(E20="G",F20,0))+(S20*IF(G20="G",H20,0))</x:f>
        <x:v>0.5</x:v>
      </x:c>
      <x:c r="Z20" s="6">
        <x:f>(S20*IF(E20="E",F20,0))+(S20*IF(G20="E",H20,0))</x:f>
        <x:v>0.5</x:v>
      </x:c>
      <x:c r="AA20" s="6">
        <x:f>(S20*IF(E20="T",F20,0))+(S20*IF(G20="T",H20,0))</x:f>
        <x:v>0</x:v>
      </x:c>
      <x:c r="AB20" s="6">
        <x:f>(S20*IF(E20="L",F20,0))+(S20*IF(G20="L",H20,0))</x:f>
        <x:v>0</x:v>
      </x:c>
      <x:c r="AC20" s="6">
        <x:f>(S20*IF(E20="H",F20,0))+(S20*IF(G20="H",H20,0))</x:f>
        <x:v>0</x:v>
      </x:c>
      <x:c r="AD20" s="6">
        <x:f>(S20*IF(E20="V",F20,0))+(S20*IF(G20="V",H20,0))</x:f>
        <x:v>0</x:v>
      </x:c>
      <x:c r="AE20" s="6">
        <x:f>(S20*IF(E20="R",F20,0))+(S20*IF(G20="R",H20,0))</x:f>
        <x:v>0</x:v>
      </x:c>
      <x:c r="AF20" s="6">
        <x:f>(S20*IF(E20="F",F20,0))+(S20*IF(G20="F",H20,0))</x:f>
        <x:v>0</x:v>
      </x:c>
      <x:c r="AG20" s="6">
        <x:f>(S20*IF(E20="W",F20,0))+(S20*IF(G20="W",H20,0))</x:f>
        <x:v>0</x:v>
      </x:c>
    </x:row>
    <x:row r="21">
      <x:c r="A21" s="3" t="inlineStr">
        <x:is>
          <x:t xml:space="preserve">Executive</x:t>
        </x:is>
      </x:c>
      <x:c r="B21" s="3" t="inlineStr">
        <x:is>
          <x:t xml:space="preserve">EXCO-D1-Q04</x:t>
        </x:is>
      </x:c>
      <x:c r="C21" s="3" t="inlineStr">
        <x:is>
          <x:t xml:space="preserve">T2</x:t>
        </x:is>
      </x:c>
      <x:c r="D21" s="3" t="inlineStr">
        <x:is>
          <x:t xml:space="preserve">1. Strategy &amp; Governance</x:t>
        </x:is>
      </x:c>
      <x:c r="E21" s="3" t="inlineStr">
        <x:is>
          <x:t xml:space="preserve">G</x:t>
        </x:is>
      </x:c>
      <x:c r="F21" s="3" t="n">
        <x:v>0.5</x:v>
      </x:c>
      <x:c r="G21" s="3" t="inlineStr">
        <x:is>
          <x:t xml:space="preserve">E</x:t>
        </x:is>
      </x:c>
      <x:c r="H21" s="3" t="n">
        <x:v>0.5</x:v>
      </x:c>
      <x:c r="I21" s="3" t="inlineStr">
        <x:is>
          <x:t xml:space="preserve">How does the program operate day-to-day across departments?</x:t>
        </x:is>
      </x:c>
      <x:c r="J21" s="3" t="inlineStr">
        <x:is>
          <x:t xml:space="preserve">Think about whether there is a defined cross-functional working group, how cases are triaged, and how changes are implemented.</x:t>
        </x:is>
      </x:c>
      <x:c r="K21" s="3" t="inlineStr">
        <x:is>
          <x:t xml:space="preserve">Drill-down; next=EXCO-D1-Q05</x:t>
        </x:is>
      </x:c>
      <x:c r="L21" s="3" t="inlineStr">
        <x:is>
          <x:t xml:space="preserve">GOV_STD</x:t>
        </x:is>
      </x:c>
      <x:c r="M21" s="3" t="n">
        <x:v>1</x:v>
      </x:c>
      <x:c r="N21" s="3" t="n"/>
      <x:c r="O21" s="3" t="n"/>
      <x:c r="P21" s="3" t="inlineStr">
        <x:is>
          <x:t xml:space="preserve">EXCO-D1-Q04-A3</x:t>
        </x:is>
      </x:c>
      <x:c r="Q21" s="3" t="n">
        <x:v>4</x:v>
      </x:c>
      <x:c r="R21" s="3" t="inlineStr">
        <x:is>
          <x:t xml:space="preserve">There is a defined process, but adoption is inconsistent across business units.</x:t>
        </x:is>
      </x:c>
      <x:c r="S21" s="3" t="n">
        <x:v>2</x:v>
      </x:c>
      <x:c r="T21" s="3" t="inlineStr">
        <x:is>
          <x:t xml:space="preserve">inconsistent_execution</x:t>
        </x:is>
      </x:c>
      <x:c r="U21" s="3" t="inlineStr">
        <x:is>
          <x:t xml:space="preserve">Paper Dragon</x:t>
        </x:is>
      </x:c>
      <x:c r="V21" s="3" t="inlineStr">
        <x:is>
          <x:t xml:space="preserve">Improve_Adoption</x:t>
        </x:is>
      </x:c>
      <x:c r="W21" s="3" t="inlineStr">
        <x:is>
          <x:t xml:space="preserve">N</x:t>
        </x:is>
      </x:c>
      <x:c r="X21" s="3" t="inlineStr">
        <x:is>
          <x:t xml:space="preserve"/>
        </x:is>
      </x:c>
      <x:c r="Y21" s="6">
        <x:f>(S21*IF(E21="G",F21,0))+(S21*IF(G21="G",H21,0))</x:f>
        <x:v>1</x:v>
      </x:c>
      <x:c r="Z21" s="6">
        <x:f>(S21*IF(E21="E",F21,0))+(S21*IF(G21="E",H21,0))</x:f>
        <x:v>1</x:v>
      </x:c>
      <x:c r="AA21" s="6">
        <x:f>(S21*IF(E21="T",F21,0))+(S21*IF(G21="T",H21,0))</x:f>
        <x:v>0</x:v>
      </x:c>
      <x:c r="AB21" s="6">
        <x:f>(S21*IF(E21="L",F21,0))+(S21*IF(G21="L",H21,0))</x:f>
        <x:v>0</x:v>
      </x:c>
      <x:c r="AC21" s="6">
        <x:f>(S21*IF(E21="H",F21,0))+(S21*IF(G21="H",H21,0))</x:f>
        <x:v>0</x:v>
      </x:c>
      <x:c r="AD21" s="6">
        <x:f>(S21*IF(E21="V",F21,0))+(S21*IF(G21="V",H21,0))</x:f>
        <x:v>0</x:v>
      </x:c>
      <x:c r="AE21" s="6">
        <x:f>(S21*IF(E21="R",F21,0))+(S21*IF(G21="R",H21,0))</x:f>
        <x:v>0</x:v>
      </x:c>
      <x:c r="AF21" s="6">
        <x:f>(S21*IF(E21="F",F21,0))+(S21*IF(G21="F",H21,0))</x:f>
        <x:v>0</x:v>
      </x:c>
      <x:c r="AG21" s="6">
        <x:f>(S21*IF(E21="W",F21,0))+(S21*IF(G21="W",H21,0))</x:f>
        <x:v>0</x:v>
      </x:c>
    </x:row>
    <x:row r="22">
      <x:c r="A22" s="3" t="inlineStr">
        <x:is>
          <x:t xml:space="preserve">Executive</x:t>
        </x:is>
      </x:c>
      <x:c r="B22" s="3" t="inlineStr">
        <x:is>
          <x:t xml:space="preserve">EXCO-D1-Q04</x:t>
        </x:is>
      </x:c>
      <x:c r="C22" s="3" t="inlineStr">
        <x:is>
          <x:t xml:space="preserve">T2</x:t>
        </x:is>
      </x:c>
      <x:c r="D22" s="3" t="inlineStr">
        <x:is>
          <x:t xml:space="preserve">1. Strategy &amp; Governance</x:t>
        </x:is>
      </x:c>
      <x:c r="E22" s="3" t="inlineStr">
        <x:is>
          <x:t xml:space="preserve">G</x:t>
        </x:is>
      </x:c>
      <x:c r="F22" s="3" t="n">
        <x:v>0.5</x:v>
      </x:c>
      <x:c r="G22" s="3" t="inlineStr">
        <x:is>
          <x:t xml:space="preserve">E</x:t>
        </x:is>
      </x:c>
      <x:c r="H22" s="3" t="n">
        <x:v>0.5</x:v>
      </x:c>
      <x:c r="I22" s="3" t="inlineStr">
        <x:is>
          <x:t xml:space="preserve">How does the program operate day-to-day across departments?</x:t>
        </x:is>
      </x:c>
      <x:c r="J22" s="3" t="inlineStr">
        <x:is>
          <x:t xml:space="preserve">Think about whether there is a defined cross-functional working group, how cases are triaged, and how changes are implemented.</x:t>
        </x:is>
      </x:c>
      <x:c r="K22" s="3" t="inlineStr">
        <x:is>
          <x:t xml:space="preserve">Drill-down; next=EXCO-D1-Q05</x:t>
        </x:is>
      </x:c>
      <x:c r="L22" s="3" t="inlineStr">
        <x:is>
          <x:t xml:space="preserve">GOV_STD</x:t>
        </x:is>
      </x:c>
      <x:c r="M22" s="3" t="n">
        <x:v>1</x:v>
      </x:c>
      <x:c r="N22" s="3" t="n"/>
      <x:c r="O22" s="3" t="n"/>
      <x:c r="P22" s="3" t="inlineStr">
        <x:is>
          <x:t xml:space="preserve">EXCO-D1-Q04-A4</x:t>
        </x:is>
      </x:c>
      <x:c r="Q22" s="3" t="n">
        <x:v>5</x:v>
      </x:c>
      <x:c r="R22" s="3" t="inlineStr">
        <x:is>
          <x:t xml:space="preserve">There is a cross-functional working group and routine cadence (e.g., monthly), with tracked actions.</x:t>
        </x:is>
      </x:c>
      <x:c r="S22" s="3" t="n">
        <x:v>3</x:v>
      </x:c>
      <x:c r="T22" s="3" t="inlineStr">
        <x:is>
          <x:t xml:space="preserve">good_practice</x:t>
        </x:is>
      </x:c>
      <x:c r="U22" s="3" t="inlineStr">
        <x:is>
          <x:t xml:space="preserve"/>
        </x:is>
      </x:c>
      <x:c r="V22" s="3" t="inlineStr">
        <x:is>
          <x:t xml:space="preserve">Request_Evidence</x:t>
        </x:is>
      </x:c>
      <x:c r="W22" s="3" t="inlineStr">
        <x:is>
          <x:t xml:space="preserve">Y</x:t>
        </x:is>
      </x:c>
      <x:c r="X22" s="3" t="inlineStr">
        <x:is>
          <x:t xml:space="preserve">Provide meeting cadence and action log.</x:t>
        </x:is>
      </x:c>
      <x:c r="Y22" s="6">
        <x:f>(S22*IF(E22="G",F22,0))+(S22*IF(G22="G",H22,0))</x:f>
        <x:v>1.5</x:v>
      </x:c>
      <x:c r="Z22" s="6">
        <x:f>(S22*IF(E22="E",F22,0))+(S22*IF(G22="E",H22,0))</x:f>
        <x:v>1.5</x:v>
      </x:c>
      <x:c r="AA22" s="6">
        <x:f>(S22*IF(E22="T",F22,0))+(S22*IF(G22="T",H22,0))</x:f>
        <x:v>0</x:v>
      </x:c>
      <x:c r="AB22" s="6">
        <x:f>(S22*IF(E22="L",F22,0))+(S22*IF(G22="L",H22,0))</x:f>
        <x:v>0</x:v>
      </x:c>
      <x:c r="AC22" s="6">
        <x:f>(S22*IF(E22="H",F22,0))+(S22*IF(G22="H",H22,0))</x:f>
        <x:v>0</x:v>
      </x:c>
      <x:c r="AD22" s="6">
        <x:f>(S22*IF(E22="V",F22,0))+(S22*IF(G22="V",H22,0))</x:f>
        <x:v>0</x:v>
      </x:c>
      <x:c r="AE22" s="6">
        <x:f>(S22*IF(E22="R",F22,0))+(S22*IF(G22="R",H22,0))</x:f>
        <x:v>0</x:v>
      </x:c>
      <x:c r="AF22" s="6">
        <x:f>(S22*IF(E22="F",F22,0))+(S22*IF(G22="F",H22,0))</x:f>
        <x:v>0</x:v>
      </x:c>
      <x:c r="AG22" s="6">
        <x:f>(S22*IF(E22="W",F22,0))+(S22*IF(G22="W",H22,0))</x:f>
        <x:v>0</x:v>
      </x:c>
    </x:row>
    <x:row r="23">
      <x:c r="A23" s="3" t="inlineStr">
        <x:is>
          <x:t xml:space="preserve">Executive</x:t>
        </x:is>
      </x:c>
      <x:c r="B23" s="3" t="inlineStr">
        <x:is>
          <x:t xml:space="preserve">EXCO-D1-Q04</x:t>
        </x:is>
      </x:c>
      <x:c r="C23" s="3" t="inlineStr">
        <x:is>
          <x:t xml:space="preserve">T2</x:t>
        </x:is>
      </x:c>
      <x:c r="D23" s="3" t="inlineStr">
        <x:is>
          <x:t xml:space="preserve">1. Strategy &amp; Governance</x:t>
        </x:is>
      </x:c>
      <x:c r="E23" s="3" t="inlineStr">
        <x:is>
          <x:t xml:space="preserve">G</x:t>
        </x:is>
      </x:c>
      <x:c r="F23" s="3" t="n">
        <x:v>0.5</x:v>
      </x:c>
      <x:c r="G23" s="3" t="inlineStr">
        <x:is>
          <x:t xml:space="preserve">E</x:t>
        </x:is>
      </x:c>
      <x:c r="H23" s="3" t="n">
        <x:v>0.5</x:v>
      </x:c>
      <x:c r="I23" s="3" t="inlineStr">
        <x:is>
          <x:t xml:space="preserve">How does the program operate day-to-day across departments?</x:t>
        </x:is>
      </x:c>
      <x:c r="J23" s="3" t="inlineStr">
        <x:is>
          <x:t xml:space="preserve">Think about whether there is a defined cross-functional working group, how cases are triaged, and how changes are implemented.</x:t>
        </x:is>
      </x:c>
      <x:c r="K23" s="3" t="inlineStr">
        <x:is>
          <x:t xml:space="preserve">Drill-down; next=EXCO-D1-Q05</x:t>
        </x:is>
      </x:c>
      <x:c r="L23" s="3" t="inlineStr">
        <x:is>
          <x:t xml:space="preserve">GOV_STD</x:t>
        </x:is>
      </x:c>
      <x:c r="M23" s="3" t="n">
        <x:v>1</x:v>
      </x:c>
      <x:c r="N23" s="3" t="n"/>
      <x:c r="O23" s="3" t="n"/>
      <x:c r="P23" s="3" t="inlineStr">
        <x:is>
          <x:t xml:space="preserve">EXCO-D1-Q04-A5</x:t>
        </x:is>
      </x:c>
      <x:c r="Q23" s="3" t="n">
        <x:v>6</x:v>
      </x:c>
      <x:c r="R23" s="3" t="inlineStr">
        <x:is>
          <x:t xml:space="preserve">Operating model is integrated into business processes (joiner/mover/leaver, sensitive projects, vendor onboarding) with measurable outcomes.</x:t>
        </x:is>
      </x:c>
      <x:c r="S23" s="3" t="n">
        <x:v>4</x:v>
      </x:c>
      <x:c r="T23" s="3" t="inlineStr">
        <x:is>
          <x:t xml:space="preserve">optimized</x:t>
        </x:is>
      </x:c>
      <x:c r="U23" s="3" t="inlineStr">
        <x:is>
          <x:t xml:space="preserve"/>
        </x:is>
      </x:c>
      <x:c r="V23" s="3" t="inlineStr">
        <x:is>
          <x:t xml:space="preserve">Request_Evidence</x:t>
        </x:is>
      </x:c>
      <x:c r="W23" s="3" t="inlineStr">
        <x:is>
          <x:t xml:space="preserve">Y</x:t>
        </x:is>
      </x:c>
      <x:c r="X23" s="3" t="inlineStr">
        <x:is>
          <x:t xml:space="preserve"/>
        </x:is>
      </x:c>
      <x:c r="Y23" s="6">
        <x:f>(S23*IF(E23="G",F23,0))+(S23*IF(G23="G",H23,0))</x:f>
        <x:v>2</x:v>
      </x:c>
      <x:c r="Z23" s="6">
        <x:f>(S23*IF(E23="E",F23,0))+(S23*IF(G23="E",H23,0))</x:f>
        <x:v>2</x:v>
      </x:c>
      <x:c r="AA23" s="6">
        <x:f>(S23*IF(E23="T",F23,0))+(S23*IF(G23="T",H23,0))</x:f>
        <x:v>0</x:v>
      </x:c>
      <x:c r="AB23" s="6">
        <x:f>(S23*IF(E23="L",F23,0))+(S23*IF(G23="L",H23,0))</x:f>
        <x:v>0</x:v>
      </x:c>
      <x:c r="AC23" s="6">
        <x:f>(S23*IF(E23="H",F23,0))+(S23*IF(G23="H",H23,0))</x:f>
        <x:v>0</x:v>
      </x:c>
      <x:c r="AD23" s="6">
        <x:f>(S23*IF(E23="V",F23,0))+(S23*IF(G23="V",H23,0))</x:f>
        <x:v>0</x:v>
      </x:c>
      <x:c r="AE23" s="6">
        <x:f>(S23*IF(E23="R",F23,0))+(S23*IF(G23="R",H23,0))</x:f>
        <x:v>0</x:v>
      </x:c>
      <x:c r="AF23" s="6">
        <x:f>(S23*IF(E23="F",F23,0))+(S23*IF(G23="F",H23,0))</x:f>
        <x:v>0</x:v>
      </x:c>
      <x:c r="AG23" s="6">
        <x:f>(S23*IF(E23="W",F23,0))+(S23*IF(G23="W",H23,0))</x:f>
        <x:v>0</x:v>
      </x:c>
    </x:row>
    <x:row r="24">
      <x:c r="A24" s="3" t="inlineStr">
        <x:is>
          <x:t xml:space="preserve">Executive</x:t>
        </x:is>
      </x:c>
      <x:c r="B24" s="3" t="inlineStr">
        <x:is>
          <x:t xml:space="preserve">EXCO-D1-Q05</x:t>
        </x:is>
      </x:c>
      <x:c r="C24" s="3" t="inlineStr">
        <x:is>
          <x:t xml:space="preserve">T3</x:t>
        </x:is>
      </x:c>
      <x:c r="D24" s="3" t="inlineStr">
        <x:is>
          <x:t xml:space="preserve">1. Strategy &amp; Governance</x:t>
        </x:is>
      </x:c>
      <x:c r="E24" s="3" t="inlineStr">
        <x:is>
          <x:t xml:space="preserve">G</x:t>
        </x:is>
      </x:c>
      <x:c r="F24" s="3" t="n">
        <x:v>1</x:v>
      </x:c>
      <x:c r="G24" s="3" t="inlineStr">
        <x:is>
          <x:t xml:space="preserve">-</x:t>
        </x:is>
      </x:c>
      <x:c r="H24" s="3" t="inlineStr">
        <x:is>
          <x:t xml:space="preserve"/>
        </x:is>
      </x:c>
      <x:c r="I24" s="3" t="inlineStr">
        <x:is>
          <x:t xml:space="preserve">Is there a dedicated budget for insider risk activities (people/process/tooling), and is it ring-fenced?</x:t>
        </x:is>
      </x:c>
      <x:c r="J24" s="3" t="inlineStr">
        <x:is>
          <x:t xml:space="preserve">Budget can be small, but should be identifiable and protected from being reallocated without review.</x:t>
        </x:is>
      </x:c>
      <x:c r="K24" s="3" t="inlineStr">
        <x:is>
          <x:t xml:space="preserve">Drill-down; next=EXCO-D1-Q06</x:t>
        </x:is>
      </x:c>
      <x:c r="L24" s="3" t="inlineStr">
        <x:is>
          <x:t xml:space="preserve">GOV_STD</x:t>
        </x:is>
      </x:c>
      <x:c r="M24" s="3" t="n">
        <x:v>1</x:v>
      </x:c>
      <x:c r="N24" s="3" t="n"/>
      <x:c r="O24" s="3" t="n"/>
      <x:c r="P24" s="3" t="inlineStr">
        <x:is>
          <x:t xml:space="preserve">EXCO-D1-Q05-A0</x:t>
        </x:is>
      </x:c>
      <x:c r="Q24" s="3" t="n">
        <x:v>1</x:v>
      </x:c>
      <x:c r="R24" s="3" t="inlineStr">
        <x:is>
          <x:t xml:space="preserve">I don’t know / not sure.</x:t>
        </x:is>
      </x:c>
      <x:c r="S24" s="3" t="n">
        <x:v>0</x:v>
      </x:c>
      <x:c r="T24" s="3" t="inlineStr">
        <x:is>
          <x:t xml:space="preserve">unknown</x:t>
        </x:is>
      </x:c>
      <x:c r="U24" s="3" t="inlineStr">
        <x:is>
          <x:t xml:space="preserve">Unknown</x:t>
        </x:is>
      </x:c>
      <x:c r="V24" s="3" t="inlineStr">
        <x:is>
          <x:t xml:space="preserve">Clarify_Budget</x:t>
        </x:is>
      </x:c>
      <x:c r="W24" s="3" t="inlineStr">
        <x:is>
          <x:t xml:space="preserve">N</x:t>
        </x:is>
      </x:c>
      <x:c r="X24" s="3" t="inlineStr">
        <x:is>
          <x:t xml:space="preserve"/>
        </x:is>
      </x:c>
      <x:c r="Y24" s="6">
        <x:f>(S24*IF(E24="G",F24,0))+(S24*IF(G24="G",H24,0))</x:f>
        <x:v>0</x:v>
      </x:c>
      <x:c r="Z24" s="6">
        <x:f>(S24*IF(E24="E",F24,0))+(S24*IF(G24="E",H24,0))</x:f>
        <x:v>0</x:v>
      </x:c>
      <x:c r="AA24" s="6">
        <x:f>(S24*IF(E24="T",F24,0))+(S24*IF(G24="T",H24,0))</x:f>
        <x:v>0</x:v>
      </x:c>
      <x:c r="AB24" s="6">
        <x:f>(S24*IF(E24="L",F24,0))+(S24*IF(G24="L",H24,0))</x:f>
        <x:v>0</x:v>
      </x:c>
      <x:c r="AC24" s="6">
        <x:f>(S24*IF(E24="H",F24,0))+(S24*IF(G24="H",H24,0))</x:f>
        <x:v>0</x:v>
      </x:c>
      <x:c r="AD24" s="6">
        <x:f>(S24*IF(E24="V",F24,0))+(S24*IF(G24="V",H24,0))</x:f>
        <x:v>0</x:v>
      </x:c>
      <x:c r="AE24" s="6">
        <x:f>(S24*IF(E24="R",F24,0))+(S24*IF(G24="R",H24,0))</x:f>
        <x:v>0</x:v>
      </x:c>
      <x:c r="AF24" s="6">
        <x:f>(S24*IF(E24="F",F24,0))+(S24*IF(G24="F",H24,0))</x:f>
        <x:v>0</x:v>
      </x:c>
      <x:c r="AG24" s="6">
        <x:f>(S24*IF(E24="W",F24,0))+(S24*IF(G24="W",H24,0))</x:f>
        <x:v>0</x:v>
      </x:c>
    </x:row>
    <x:row r="25">
      <x:c r="A25" s="3" t="inlineStr">
        <x:is>
          <x:t xml:space="preserve">Executive</x:t>
        </x:is>
      </x:c>
      <x:c r="B25" s="3" t="inlineStr">
        <x:is>
          <x:t xml:space="preserve">EXCO-D1-Q05</x:t>
        </x:is>
      </x:c>
      <x:c r="C25" s="3" t="inlineStr">
        <x:is>
          <x:t xml:space="preserve">T3</x:t>
        </x:is>
      </x:c>
      <x:c r="D25" s="3" t="inlineStr">
        <x:is>
          <x:t xml:space="preserve">1. Strategy &amp; Governance</x:t>
        </x:is>
      </x:c>
      <x:c r="E25" s="3" t="inlineStr">
        <x:is>
          <x:t xml:space="preserve">G</x:t>
        </x:is>
      </x:c>
      <x:c r="F25" s="3" t="n">
        <x:v>1</x:v>
      </x:c>
      <x:c r="G25" s="3" t="inlineStr">
        <x:is>
          <x:t xml:space="preserve">-</x:t>
        </x:is>
      </x:c>
      <x:c r="H25" s="3" t="inlineStr">
        <x:is>
          <x:t xml:space="preserve"/>
        </x:is>
      </x:c>
      <x:c r="I25" s="3" t="inlineStr">
        <x:is>
          <x:t xml:space="preserve">Is there a dedicated budget for insider risk activities (people/process/tooling), and is it ring-fenced?</x:t>
        </x:is>
      </x:c>
      <x:c r="J25" s="3" t="inlineStr">
        <x:is>
          <x:t xml:space="preserve">Budget can be small, but should be identifiable and protected from being reallocated without review.</x:t>
        </x:is>
      </x:c>
      <x:c r="K25" s="3" t="inlineStr">
        <x:is>
          <x:t xml:space="preserve">Drill-down; next=EXCO-D1-Q06</x:t>
        </x:is>
      </x:c>
      <x:c r="L25" s="3" t="inlineStr">
        <x:is>
          <x:t xml:space="preserve">GOV_STD</x:t>
        </x:is>
      </x:c>
      <x:c r="M25" s="3" t="n">
        <x:v>1</x:v>
      </x:c>
      <x:c r="N25" s="3" t="n"/>
      <x:c r="O25" s="3" t="n"/>
      <x:c r="P25" s="3" t="inlineStr">
        <x:is>
          <x:t xml:space="preserve">EXCO-D1-Q05-A1</x:t>
        </x:is>
      </x:c>
      <x:c r="Q25" s="3" t="n">
        <x:v>2</x:v>
      </x:c>
      <x:c r="R25" s="3" t="inlineStr">
        <x:is>
          <x:t xml:space="preserve">No—costs are absorbed ad-hoc in IT/security or HR.</x:t>
        </x:is>
      </x:c>
      <x:c r="S25" s="3" t="n">
        <x:v>0</x:v>
      </x:c>
      <x:c r="T25" s="3" t="inlineStr">
        <x:is>
          <x:t xml:space="preserve">foundational_gap</x:t>
        </x:is>
      </x:c>
      <x:c r="U25" s="3" t="inlineStr">
        <x:is>
          <x:t xml:space="preserve">Operating Model Gap</x:t>
        </x:is>
      </x:c>
      <x:c r="V25" s="3" t="inlineStr">
        <x:is>
          <x:t xml:space="preserve">Define_Funding_Model</x:t>
        </x:is>
      </x:c>
      <x:c r="W25" s="3" t="inlineStr">
        <x:is>
          <x:t xml:space="preserve">N</x:t>
        </x:is>
      </x:c>
      <x:c r="X25" s="3" t="inlineStr">
        <x:is>
          <x:t xml:space="preserve"/>
        </x:is>
      </x:c>
      <x:c r="Y25" s="6">
        <x:f>(S25*IF(E25="G",F25,0))+(S25*IF(G25="G",H25,0))</x:f>
        <x:v>0</x:v>
      </x:c>
      <x:c r="Z25" s="6">
        <x:f>(S25*IF(E25="E",F25,0))+(S25*IF(G25="E",H25,0))</x:f>
        <x:v>0</x:v>
      </x:c>
      <x:c r="AA25" s="6">
        <x:f>(S25*IF(E25="T",F25,0))+(S25*IF(G25="T",H25,0))</x:f>
        <x:v>0</x:v>
      </x:c>
      <x:c r="AB25" s="6">
        <x:f>(S25*IF(E25="L",F25,0))+(S25*IF(G25="L",H25,0))</x:f>
        <x:v>0</x:v>
      </x:c>
      <x:c r="AC25" s="6">
        <x:f>(S25*IF(E25="H",F25,0))+(S25*IF(G25="H",H25,0))</x:f>
        <x:v>0</x:v>
      </x:c>
      <x:c r="AD25" s="6">
        <x:f>(S25*IF(E25="V",F25,0))+(S25*IF(G25="V",H25,0))</x:f>
        <x:v>0</x:v>
      </x:c>
      <x:c r="AE25" s="6">
        <x:f>(S25*IF(E25="R",F25,0))+(S25*IF(G25="R",H25,0))</x:f>
        <x:v>0</x:v>
      </x:c>
      <x:c r="AF25" s="6">
        <x:f>(S25*IF(E25="F",F25,0))+(S25*IF(G25="F",H25,0))</x:f>
        <x:v>0</x:v>
      </x:c>
      <x:c r="AG25" s="6">
        <x:f>(S25*IF(E25="W",F25,0))+(S25*IF(G25="W",H25,0))</x:f>
        <x:v>0</x:v>
      </x:c>
    </x:row>
    <x:row r="26">
      <x:c r="A26" s="3" t="inlineStr">
        <x:is>
          <x:t xml:space="preserve">Executive</x:t>
        </x:is>
      </x:c>
      <x:c r="B26" s="3" t="inlineStr">
        <x:is>
          <x:t xml:space="preserve">EXCO-D1-Q05</x:t>
        </x:is>
      </x:c>
      <x:c r="C26" s="3" t="inlineStr">
        <x:is>
          <x:t xml:space="preserve">T3</x:t>
        </x:is>
      </x:c>
      <x:c r="D26" s="3" t="inlineStr">
        <x:is>
          <x:t xml:space="preserve">1. Strategy &amp; Governance</x:t>
        </x:is>
      </x:c>
      <x:c r="E26" s="3" t="inlineStr">
        <x:is>
          <x:t xml:space="preserve">G</x:t>
        </x:is>
      </x:c>
      <x:c r="F26" s="3" t="n">
        <x:v>1</x:v>
      </x:c>
      <x:c r="G26" s="3" t="inlineStr">
        <x:is>
          <x:t xml:space="preserve">-</x:t>
        </x:is>
      </x:c>
      <x:c r="H26" s="3" t="inlineStr">
        <x:is>
          <x:t xml:space="preserve"/>
        </x:is>
      </x:c>
      <x:c r="I26" s="3" t="inlineStr">
        <x:is>
          <x:t xml:space="preserve">Is there a dedicated budget for insider risk activities (people/process/tooling), and is it ring-fenced?</x:t>
        </x:is>
      </x:c>
      <x:c r="J26" s="3" t="inlineStr">
        <x:is>
          <x:t xml:space="preserve">Budget can be small, but should be identifiable and protected from being reallocated without review.</x:t>
        </x:is>
      </x:c>
      <x:c r="K26" s="3" t="inlineStr">
        <x:is>
          <x:t xml:space="preserve">Drill-down; next=EXCO-D1-Q06</x:t>
        </x:is>
      </x:c>
      <x:c r="L26" s="3" t="inlineStr">
        <x:is>
          <x:t xml:space="preserve">GOV_STD</x:t>
        </x:is>
      </x:c>
      <x:c r="M26" s="3" t="n">
        <x:v>1</x:v>
      </x:c>
      <x:c r="N26" s="3" t="n"/>
      <x:c r="O26" s="3" t="n"/>
      <x:c r="P26" s="3" t="inlineStr">
        <x:is>
          <x:t xml:space="preserve">EXCO-D1-Q05-A2</x:t>
        </x:is>
      </x:c>
      <x:c r="Q26" s="3" t="n">
        <x:v>3</x:v>
      </x:c>
      <x:c r="R26" s="3" t="inlineStr">
        <x:is>
          <x:t xml:space="preserve">Some funding exists but is regularly reallocated; priorities change without oversight.</x:t>
        </x:is>
      </x:c>
      <x:c r="S26" s="3" t="n">
        <x:v>1</x:v>
      </x:c>
      <x:c r="T26" s="3" t="inlineStr">
        <x:is>
          <x:t xml:space="preserve">unstable_funding</x:t>
        </x:is>
      </x:c>
      <x:c r="U26" s="3" t="inlineStr">
        <x:is>
          <x:t xml:space="preserve">Control Lag</x:t>
        </x:is>
      </x:c>
      <x:c r="V26" s="3" t="inlineStr">
        <x:is>
          <x:t xml:space="preserve">Stabilize_Funding</x:t>
        </x:is>
      </x:c>
      <x:c r="W26" s="3" t="inlineStr">
        <x:is>
          <x:t xml:space="preserve">N</x:t>
        </x:is>
      </x:c>
      <x:c r="X26" s="3" t="inlineStr">
        <x:is>
          <x:t xml:space="preserve"/>
        </x:is>
      </x:c>
      <x:c r="Y26" s="6">
        <x:f>(S26*IF(E26="G",F26,0))+(S26*IF(G26="G",H26,0))</x:f>
        <x:v>1</x:v>
      </x:c>
      <x:c r="Z26" s="6">
        <x:f>(S26*IF(E26="E",F26,0))+(S26*IF(G26="E",H26,0))</x:f>
        <x:v>0</x:v>
      </x:c>
      <x:c r="AA26" s="6">
        <x:f>(S26*IF(E26="T",F26,0))+(S26*IF(G26="T",H26,0))</x:f>
        <x:v>0</x:v>
      </x:c>
      <x:c r="AB26" s="6">
        <x:f>(S26*IF(E26="L",F26,0))+(S26*IF(G26="L",H26,0))</x:f>
        <x:v>0</x:v>
      </x:c>
      <x:c r="AC26" s="6">
        <x:f>(S26*IF(E26="H",F26,0))+(S26*IF(G26="H",H26,0))</x:f>
        <x:v>0</x:v>
      </x:c>
      <x:c r="AD26" s="6">
        <x:f>(S26*IF(E26="V",F26,0))+(S26*IF(G26="V",H26,0))</x:f>
        <x:v>0</x:v>
      </x:c>
      <x:c r="AE26" s="6">
        <x:f>(S26*IF(E26="R",F26,0))+(S26*IF(G26="R",H26,0))</x:f>
        <x:v>0</x:v>
      </x:c>
      <x:c r="AF26" s="6">
        <x:f>(S26*IF(E26="F",F26,0))+(S26*IF(G26="F",H26,0))</x:f>
        <x:v>0</x:v>
      </x:c>
      <x:c r="AG26" s="6">
        <x:f>(S26*IF(E26="W",F26,0))+(S26*IF(G26="W",H26,0))</x:f>
        <x:v>0</x:v>
      </x:c>
    </x:row>
    <x:row r="27">
      <x:c r="A27" s="3" t="inlineStr">
        <x:is>
          <x:t xml:space="preserve">Executive</x:t>
        </x:is>
      </x:c>
      <x:c r="B27" s="3" t="inlineStr">
        <x:is>
          <x:t xml:space="preserve">EXCO-D1-Q05</x:t>
        </x:is>
      </x:c>
      <x:c r="C27" s="3" t="inlineStr">
        <x:is>
          <x:t xml:space="preserve">T3</x:t>
        </x:is>
      </x:c>
      <x:c r="D27" s="3" t="inlineStr">
        <x:is>
          <x:t xml:space="preserve">1. Strategy &amp; Governance</x:t>
        </x:is>
      </x:c>
      <x:c r="E27" s="3" t="inlineStr">
        <x:is>
          <x:t xml:space="preserve">G</x:t>
        </x:is>
      </x:c>
      <x:c r="F27" s="3" t="n">
        <x:v>1</x:v>
      </x:c>
      <x:c r="G27" s="3" t="inlineStr">
        <x:is>
          <x:t xml:space="preserve">-</x:t>
        </x:is>
      </x:c>
      <x:c r="H27" s="3" t="inlineStr">
        <x:is>
          <x:t xml:space="preserve"/>
        </x:is>
      </x:c>
      <x:c r="I27" s="3" t="inlineStr">
        <x:is>
          <x:t xml:space="preserve">Is there a dedicated budget for insider risk activities (people/process/tooling), and is it ring-fenced?</x:t>
        </x:is>
      </x:c>
      <x:c r="J27" s="3" t="inlineStr">
        <x:is>
          <x:t xml:space="preserve">Budget can be small, but should be identifiable and protected from being reallocated without review.</x:t>
        </x:is>
      </x:c>
      <x:c r="K27" s="3" t="inlineStr">
        <x:is>
          <x:t xml:space="preserve">Drill-down; next=EXCO-D1-Q06</x:t>
        </x:is>
      </x:c>
      <x:c r="L27" s="3" t="inlineStr">
        <x:is>
          <x:t xml:space="preserve">GOV_STD</x:t>
        </x:is>
      </x:c>
      <x:c r="M27" s="3" t="n">
        <x:v>1</x:v>
      </x:c>
      <x:c r="N27" s="3" t="n"/>
      <x:c r="O27" s="3" t="n"/>
      <x:c r="P27" s="3" t="inlineStr">
        <x:is>
          <x:t xml:space="preserve">EXCO-D1-Q05-A3</x:t>
        </x:is>
      </x:c>
      <x:c r="Q27" s="3" t="n">
        <x:v>4</x:v>
      </x:c>
      <x:c r="R27" s="3" t="inlineStr">
        <x:is>
          <x:t xml:space="preserve">There is a budget line, but it is not linked to clear priorities (e.g., crown jewels or key risks).</x:t>
        </x:is>
      </x:c>
      <x:c r="S27" s="3" t="n">
        <x:v>2</x:v>
      </x:c>
      <x:c r="T27" s="3" t="inlineStr">
        <x:is>
          <x:t xml:space="preserve">paper_budget</x:t>
        </x:is>
      </x:c>
      <x:c r="U27" s="3" t="inlineStr">
        <x:is>
          <x:t xml:space="preserve">Paper Dragon</x:t>
        </x:is>
      </x:c>
      <x:c r="V27" s="3" t="inlineStr">
        <x:is>
          <x:t xml:space="preserve">Link_To_Priorities</x:t>
        </x:is>
      </x:c>
      <x:c r="W27" s="3" t="inlineStr">
        <x:is>
          <x:t xml:space="preserve">N</x:t>
        </x:is>
      </x:c>
      <x:c r="X27" s="3" t="inlineStr">
        <x:is>
          <x:t xml:space="preserve"/>
        </x:is>
      </x:c>
      <x:c r="Y27" s="6">
        <x:f>(S27*IF(E27="G",F27,0))+(S27*IF(G27="G",H27,0))</x:f>
        <x:v>2</x:v>
      </x:c>
      <x:c r="Z27" s="6">
        <x:f>(S27*IF(E27="E",F27,0))+(S27*IF(G27="E",H27,0))</x:f>
        <x:v>0</x:v>
      </x:c>
      <x:c r="AA27" s="6">
        <x:f>(S27*IF(E27="T",F27,0))+(S27*IF(G27="T",H27,0))</x:f>
        <x:v>0</x:v>
      </x:c>
      <x:c r="AB27" s="6">
        <x:f>(S27*IF(E27="L",F27,0))+(S27*IF(G27="L",H27,0))</x:f>
        <x:v>0</x:v>
      </x:c>
      <x:c r="AC27" s="6">
        <x:f>(S27*IF(E27="H",F27,0))+(S27*IF(G27="H",H27,0))</x:f>
        <x:v>0</x:v>
      </x:c>
      <x:c r="AD27" s="6">
        <x:f>(S27*IF(E27="V",F27,0))+(S27*IF(G27="V",H27,0))</x:f>
        <x:v>0</x:v>
      </x:c>
      <x:c r="AE27" s="6">
        <x:f>(S27*IF(E27="R",F27,0))+(S27*IF(G27="R",H27,0))</x:f>
        <x:v>0</x:v>
      </x:c>
      <x:c r="AF27" s="6">
        <x:f>(S27*IF(E27="F",F27,0))+(S27*IF(G27="F",H27,0))</x:f>
        <x:v>0</x:v>
      </x:c>
      <x:c r="AG27" s="6">
        <x:f>(S27*IF(E27="W",F27,0))+(S27*IF(G27="W",H27,0))</x:f>
        <x:v>0</x:v>
      </x:c>
    </x:row>
    <x:row r="28">
      <x:c r="A28" s="3" t="inlineStr">
        <x:is>
          <x:t xml:space="preserve">Executive</x:t>
        </x:is>
      </x:c>
      <x:c r="B28" s="3" t="inlineStr">
        <x:is>
          <x:t xml:space="preserve">EXCO-D1-Q05</x:t>
        </x:is>
      </x:c>
      <x:c r="C28" s="3" t="inlineStr">
        <x:is>
          <x:t xml:space="preserve">T3</x:t>
        </x:is>
      </x:c>
      <x:c r="D28" s="3" t="inlineStr">
        <x:is>
          <x:t xml:space="preserve">1. Strategy &amp; Governance</x:t>
        </x:is>
      </x:c>
      <x:c r="E28" s="3" t="inlineStr">
        <x:is>
          <x:t xml:space="preserve">G</x:t>
        </x:is>
      </x:c>
      <x:c r="F28" s="3" t="n">
        <x:v>1</x:v>
      </x:c>
      <x:c r="G28" s="3" t="inlineStr">
        <x:is>
          <x:t xml:space="preserve">-</x:t>
        </x:is>
      </x:c>
      <x:c r="H28" s="3" t="inlineStr">
        <x:is>
          <x:t xml:space="preserve"/>
        </x:is>
      </x:c>
      <x:c r="I28" s="3" t="inlineStr">
        <x:is>
          <x:t xml:space="preserve">Is there a dedicated budget for insider risk activities (people/process/tooling), and is it ring-fenced?</x:t>
        </x:is>
      </x:c>
      <x:c r="J28" s="3" t="inlineStr">
        <x:is>
          <x:t xml:space="preserve">Budget can be small, but should be identifiable and protected from being reallocated without review.</x:t>
        </x:is>
      </x:c>
      <x:c r="K28" s="3" t="inlineStr">
        <x:is>
          <x:t xml:space="preserve">Drill-down; next=EXCO-D1-Q06</x:t>
        </x:is>
      </x:c>
      <x:c r="L28" s="3" t="inlineStr">
        <x:is>
          <x:t xml:space="preserve">GOV_STD</x:t>
        </x:is>
      </x:c>
      <x:c r="M28" s="3" t="n">
        <x:v>1</x:v>
      </x:c>
      <x:c r="N28" s="3" t="n"/>
      <x:c r="O28" s="3" t="n"/>
      <x:c r="P28" s="3" t="inlineStr">
        <x:is>
          <x:t xml:space="preserve">EXCO-D1-Q05-A4</x:t>
        </x:is>
      </x:c>
      <x:c r="Q28" s="3" t="n">
        <x:v>5</x:v>
      </x:c>
      <x:c r="R28" s="3" t="inlineStr">
        <x:is>
          <x:t xml:space="preserve">Dedicated funding exists and is linked to defined priorities (e.g., most sensitive data/systems).</x:t>
        </x:is>
      </x:c>
      <x:c r="S28" s="3" t="n">
        <x:v>3</x:v>
      </x:c>
      <x:c r="T28" s="3" t="inlineStr">
        <x:is>
          <x:t xml:space="preserve">good_practice</x:t>
        </x:is>
      </x:c>
      <x:c r="U28" s="3" t="inlineStr">
        <x:is>
          <x:t xml:space="preserve"/>
        </x:is>
      </x:c>
      <x:c r="V28" s="3" t="inlineStr">
        <x:is>
          <x:t xml:space="preserve">Request_Evidence</x:t>
        </x:is>
      </x:c>
      <x:c r="W28" s="3" t="inlineStr">
        <x:is>
          <x:t xml:space="preserve">Y</x:t>
        </x:is>
      </x:c>
      <x:c r="X28" s="3" t="inlineStr">
        <x:is>
          <x:t xml:space="preserve">Provide budget line and priority statement.</x:t>
        </x:is>
      </x:c>
      <x:c r="Y28" s="6">
        <x:f>(S28*IF(E28="G",F28,0))+(S28*IF(G28="G",H28,0))</x:f>
        <x:v>3</x:v>
      </x:c>
      <x:c r="Z28" s="6">
        <x:f>(S28*IF(E28="E",F28,0))+(S28*IF(G28="E",H28,0))</x:f>
        <x:v>0</x:v>
      </x:c>
      <x:c r="AA28" s="6">
        <x:f>(S28*IF(E28="T",F28,0))+(S28*IF(G28="T",H28,0))</x:f>
        <x:v>0</x:v>
      </x:c>
      <x:c r="AB28" s="6">
        <x:f>(S28*IF(E28="L",F28,0))+(S28*IF(G28="L",H28,0))</x:f>
        <x:v>0</x:v>
      </x:c>
      <x:c r="AC28" s="6">
        <x:f>(S28*IF(E28="H",F28,0))+(S28*IF(G28="H",H28,0))</x:f>
        <x:v>0</x:v>
      </x:c>
      <x:c r="AD28" s="6">
        <x:f>(S28*IF(E28="V",F28,0))+(S28*IF(G28="V",H28,0))</x:f>
        <x:v>0</x:v>
      </x:c>
      <x:c r="AE28" s="6">
        <x:f>(S28*IF(E28="R",F28,0))+(S28*IF(G28="R",H28,0))</x:f>
        <x:v>0</x:v>
      </x:c>
      <x:c r="AF28" s="6">
        <x:f>(S28*IF(E28="F",F28,0))+(S28*IF(G28="F",H28,0))</x:f>
        <x:v>0</x:v>
      </x:c>
      <x:c r="AG28" s="6">
        <x:f>(S28*IF(E28="W",F28,0))+(S28*IF(G28="W",H28,0))</x:f>
        <x:v>0</x:v>
      </x:c>
    </x:row>
    <x:row r="29">
      <x:c r="A29" s="3" t="inlineStr">
        <x:is>
          <x:t xml:space="preserve">Executive</x:t>
        </x:is>
      </x:c>
      <x:c r="B29" s="3" t="inlineStr">
        <x:is>
          <x:t xml:space="preserve">EXCO-D1-Q05</x:t>
        </x:is>
      </x:c>
      <x:c r="C29" s="3" t="inlineStr">
        <x:is>
          <x:t xml:space="preserve">T3</x:t>
        </x:is>
      </x:c>
      <x:c r="D29" s="3" t="inlineStr">
        <x:is>
          <x:t xml:space="preserve">1. Strategy &amp; Governance</x:t>
        </x:is>
      </x:c>
      <x:c r="E29" s="3" t="inlineStr">
        <x:is>
          <x:t xml:space="preserve">G</x:t>
        </x:is>
      </x:c>
      <x:c r="F29" s="3" t="n">
        <x:v>1</x:v>
      </x:c>
      <x:c r="G29" s="3" t="inlineStr">
        <x:is>
          <x:t xml:space="preserve">-</x:t>
        </x:is>
      </x:c>
      <x:c r="H29" s="3" t="inlineStr">
        <x:is>
          <x:t xml:space="preserve"/>
        </x:is>
      </x:c>
      <x:c r="I29" s="3" t="inlineStr">
        <x:is>
          <x:t xml:space="preserve">Is there a dedicated budget for insider risk activities (people/process/tooling), and is it ring-fenced?</x:t>
        </x:is>
      </x:c>
      <x:c r="J29" s="3" t="inlineStr">
        <x:is>
          <x:t xml:space="preserve">Budget can be small, but should be identifiable and protected from being reallocated without review.</x:t>
        </x:is>
      </x:c>
      <x:c r="K29" s="3" t="inlineStr">
        <x:is>
          <x:t xml:space="preserve">Drill-down; next=EXCO-D1-Q06</x:t>
        </x:is>
      </x:c>
      <x:c r="L29" s="3" t="inlineStr">
        <x:is>
          <x:t xml:space="preserve">GOV_STD</x:t>
        </x:is>
      </x:c>
      <x:c r="M29" s="3" t="n">
        <x:v>1</x:v>
      </x:c>
      <x:c r="N29" s="3" t="n"/>
      <x:c r="O29" s="3" t="n"/>
      <x:c r="P29" s="3" t="inlineStr">
        <x:is>
          <x:t xml:space="preserve">EXCO-D1-Q05-A5</x:t>
        </x:is>
      </x:c>
      <x:c r="Q29" s="3" t="n">
        <x:v>6</x:v>
      </x:c>
      <x:c r="R29" s="3" t="inlineStr">
        <x:is>
          <x:t xml:space="preserve">Multi-year funding plan aligned to risk appetite with benefits tracked (e.g., risk reduction, fewer high-risk clusters).</x:t>
        </x:is>
      </x:c>
      <x:c r="S29" s="3" t="n">
        <x:v>4</x:v>
      </x:c>
      <x:c r="T29" s="3" t="inlineStr">
        <x:is>
          <x:t xml:space="preserve">optimized</x:t>
        </x:is>
      </x:c>
      <x:c r="U29" s="3" t="inlineStr">
        <x:is>
          <x:t xml:space="preserve"/>
        </x:is>
      </x:c>
      <x:c r="V29" s="3" t="inlineStr">
        <x:is>
          <x:t xml:space="preserve">Request_Evidence</x:t>
        </x:is>
      </x:c>
      <x:c r="W29" s="3" t="inlineStr">
        <x:is>
          <x:t xml:space="preserve">Y</x:t>
        </x:is>
      </x:c>
      <x:c r="X29" s="3" t="inlineStr">
        <x:is>
          <x:t xml:space="preserve"/>
        </x:is>
      </x:c>
      <x:c r="Y29" s="6">
        <x:f>(S29*IF(E29="G",F29,0))+(S29*IF(G29="G",H29,0))</x:f>
        <x:v>4</x:v>
      </x:c>
      <x:c r="Z29" s="6">
        <x:f>(S29*IF(E29="E",F29,0))+(S29*IF(G29="E",H29,0))</x:f>
        <x:v>0</x:v>
      </x:c>
      <x:c r="AA29" s="6">
        <x:f>(S29*IF(E29="T",F29,0))+(S29*IF(G29="T",H29,0))</x:f>
        <x:v>0</x:v>
      </x:c>
      <x:c r="AB29" s="6">
        <x:f>(S29*IF(E29="L",F29,0))+(S29*IF(G29="L",H29,0))</x:f>
        <x:v>0</x:v>
      </x:c>
      <x:c r="AC29" s="6">
        <x:f>(S29*IF(E29="H",F29,0))+(S29*IF(G29="H",H29,0))</x:f>
        <x:v>0</x:v>
      </x:c>
      <x:c r="AD29" s="6">
        <x:f>(S29*IF(E29="V",F29,0))+(S29*IF(G29="V",H29,0))</x:f>
        <x:v>0</x:v>
      </x:c>
      <x:c r="AE29" s="6">
        <x:f>(S29*IF(E29="R",F29,0))+(S29*IF(G29="R",H29,0))</x:f>
        <x:v>0</x:v>
      </x:c>
      <x:c r="AF29" s="6">
        <x:f>(S29*IF(E29="F",F29,0))+(S29*IF(G29="F",H29,0))</x:f>
        <x:v>0</x:v>
      </x:c>
      <x:c r="AG29" s="6">
        <x:f>(S29*IF(E29="W",F29,0))+(S29*IF(G29="W",H29,0))</x:f>
        <x:v>0</x:v>
      </x:c>
    </x:row>
    <x:row r="30">
      <x:c r="A30" s="3" t="inlineStr">
        <x:is>
          <x:t xml:space="preserve">Executive</x:t>
        </x:is>
      </x:c>
      <x:c r="B30" s="3" t="inlineStr">
        <x:is>
          <x:t xml:space="preserve">EXCO-D1-Q06</x:t>
        </x:is>
      </x:c>
      <x:c r="C30" s="3" t="inlineStr">
        <x:is>
          <x:t xml:space="preserve">T2</x:t>
        </x:is>
      </x:c>
      <x:c r="D30" s="3" t="inlineStr">
        <x:is>
          <x:t xml:space="preserve">1. Strategy &amp; Governance</x:t>
        </x:is>
      </x:c>
      <x:c r="E30" s="3" t="inlineStr">
        <x:is>
          <x:t xml:space="preserve">G</x:t>
        </x:is>
      </x:c>
      <x:c r="F30" s="3" t="n">
        <x:v>1</x:v>
      </x:c>
      <x:c r="G30" s="3" t="inlineStr">
        <x:is>
          <x:t xml:space="preserve">-</x:t>
        </x:is>
      </x:c>
      <x:c r="H30" s="3" t="inlineStr">
        <x:is>
          <x:t xml:space="preserve"/>
        </x:is>
      </x:c>
      <x:c r="I30" s="3" t="inlineStr">
        <x:is>
          <x:t xml:space="preserve">Is there a 12–24 month improvement roadmap with owners and dates?</x:t>
        </x:is>
      </x:c>
      <x:c r="J30" s="3" t="inlineStr">
        <x:is>
          <x:t xml:space="preserve">Even a simple roadmap counts if it has owners, deadlines, and is reviewed regularly.</x:t>
        </x:is>
      </x:c>
      <x:c r="K30" s="3" t="inlineStr">
        <x:is>
          <x:t xml:space="preserve">Drill-down; next=EXCO-D2-Q01</x:t>
        </x:is>
      </x:c>
      <x:c r="L30" s="3" t="inlineStr">
        <x:is>
          <x:t xml:space="preserve">GOV_STD</x:t>
        </x:is>
      </x:c>
      <x:c r="M30" s="3" t="n">
        <x:v>1</x:v>
      </x:c>
      <x:c r="N30" s="3" t="n"/>
      <x:c r="O30" s="3" t="n"/>
      <x:c r="P30" s="3" t="inlineStr">
        <x:is>
          <x:t xml:space="preserve">EXCO-D1-Q06-A0</x:t>
        </x:is>
      </x:c>
      <x:c r="Q30" s="3" t="n">
        <x:v>1</x:v>
      </x:c>
      <x:c r="R30" s="3" t="inlineStr">
        <x:is>
          <x:t xml:space="preserve">I don’t know / not sure.</x:t>
        </x:is>
      </x:c>
      <x:c r="S30" s="3" t="n">
        <x:v>0</x:v>
      </x:c>
      <x:c r="T30" s="3" t="inlineStr">
        <x:is>
          <x:t xml:space="preserve">unknown</x:t>
        </x:is>
      </x:c>
      <x:c r="U30" s="3" t="inlineStr">
        <x:is>
          <x:t xml:space="preserve">Unknown</x:t>
        </x:is>
      </x:c>
      <x:c r="V30" s="3" t="inlineStr">
        <x:is>
          <x:t xml:space="preserve">Clarify_Roadmap</x:t>
        </x:is>
      </x:c>
      <x:c r="W30" s="3" t="inlineStr">
        <x:is>
          <x:t xml:space="preserve">N</x:t>
        </x:is>
      </x:c>
      <x:c r="X30" s="3" t="inlineStr">
        <x:is>
          <x:t xml:space="preserve"/>
        </x:is>
      </x:c>
      <x:c r="Y30" s="6">
        <x:f>(S30*IF(E30="G",F30,0))+(S30*IF(G30="G",H30,0))</x:f>
        <x:v>0</x:v>
      </x:c>
      <x:c r="Z30" s="6">
        <x:f>(S30*IF(E30="E",F30,0))+(S30*IF(G30="E",H30,0))</x:f>
        <x:v>0</x:v>
      </x:c>
      <x:c r="AA30" s="6">
        <x:f>(S30*IF(E30="T",F30,0))+(S30*IF(G30="T",H30,0))</x:f>
        <x:v>0</x:v>
      </x:c>
      <x:c r="AB30" s="6">
        <x:f>(S30*IF(E30="L",F30,0))+(S30*IF(G30="L",H30,0))</x:f>
        <x:v>0</x:v>
      </x:c>
      <x:c r="AC30" s="6">
        <x:f>(S30*IF(E30="H",F30,0))+(S30*IF(G30="H",H30,0))</x:f>
        <x:v>0</x:v>
      </x:c>
      <x:c r="AD30" s="6">
        <x:f>(S30*IF(E30="V",F30,0))+(S30*IF(G30="V",H30,0))</x:f>
        <x:v>0</x:v>
      </x:c>
      <x:c r="AE30" s="6">
        <x:f>(S30*IF(E30="R",F30,0))+(S30*IF(G30="R",H30,0))</x:f>
        <x:v>0</x:v>
      </x:c>
      <x:c r="AF30" s="6">
        <x:f>(S30*IF(E30="F",F30,0))+(S30*IF(G30="F",H30,0))</x:f>
        <x:v>0</x:v>
      </x:c>
      <x:c r="AG30" s="6">
        <x:f>(S30*IF(E30="W",F30,0))+(S30*IF(G30="W",H30,0))</x:f>
        <x:v>0</x:v>
      </x:c>
    </x:row>
    <x:row r="31">
      <x:c r="A31" s="3" t="inlineStr">
        <x:is>
          <x:t xml:space="preserve">Executive</x:t>
        </x:is>
      </x:c>
      <x:c r="B31" s="3" t="inlineStr">
        <x:is>
          <x:t xml:space="preserve">EXCO-D1-Q06</x:t>
        </x:is>
      </x:c>
      <x:c r="C31" s="3" t="inlineStr">
        <x:is>
          <x:t xml:space="preserve">T2</x:t>
        </x:is>
      </x:c>
      <x:c r="D31" s="3" t="inlineStr">
        <x:is>
          <x:t xml:space="preserve">1. Strategy &amp; Governance</x:t>
        </x:is>
      </x:c>
      <x:c r="E31" s="3" t="inlineStr">
        <x:is>
          <x:t xml:space="preserve">G</x:t>
        </x:is>
      </x:c>
      <x:c r="F31" s="3" t="n">
        <x:v>1</x:v>
      </x:c>
      <x:c r="G31" s="3" t="inlineStr">
        <x:is>
          <x:t xml:space="preserve">-</x:t>
        </x:is>
      </x:c>
      <x:c r="H31" s="3" t="inlineStr">
        <x:is>
          <x:t xml:space="preserve"/>
        </x:is>
      </x:c>
      <x:c r="I31" s="3" t="inlineStr">
        <x:is>
          <x:t xml:space="preserve">Is there a 12–24 month improvement roadmap with owners and dates?</x:t>
        </x:is>
      </x:c>
      <x:c r="J31" s="3" t="inlineStr">
        <x:is>
          <x:t xml:space="preserve">Even a simple roadmap counts if it has owners, deadlines, and is reviewed regularly.</x:t>
        </x:is>
      </x:c>
      <x:c r="K31" s="3" t="inlineStr">
        <x:is>
          <x:t xml:space="preserve">Drill-down; next=EXCO-D2-Q01</x:t>
        </x:is>
      </x:c>
      <x:c r="L31" s="3" t="inlineStr">
        <x:is>
          <x:t xml:space="preserve">GOV_STD</x:t>
        </x:is>
      </x:c>
      <x:c r="M31" s="3" t="n">
        <x:v>1</x:v>
      </x:c>
      <x:c r="N31" s="3" t="n"/>
      <x:c r="O31" s="3" t="n"/>
      <x:c r="P31" s="3" t="inlineStr">
        <x:is>
          <x:t xml:space="preserve">EXCO-D1-Q06-A1</x:t>
        </x:is>
      </x:c>
      <x:c r="Q31" s="3" t="n">
        <x:v>2</x:v>
      </x:c>
      <x:c r="R31" s="3" t="inlineStr">
        <x:is>
          <x:t xml:space="preserve">No—work is reactive (we respond to incidents and urgent requests).</x:t>
        </x:is>
      </x:c>
      <x:c r="S31" s="3" t="n">
        <x:v>0</x:v>
      </x:c>
      <x:c r="T31" s="3" t="inlineStr">
        <x:is>
          <x:t xml:space="preserve">reactive</x:t>
        </x:is>
      </x:c>
      <x:c r="U31" s="3" t="inlineStr">
        <x:is>
          <x:t xml:space="preserve">Operating Model Gap</x:t>
        </x:is>
      </x:c>
      <x:c r="V31" s="3" t="inlineStr">
        <x:is>
          <x:t xml:space="preserve">Create_Roadmap</x:t>
        </x:is>
      </x:c>
      <x:c r="W31" s="3" t="inlineStr">
        <x:is>
          <x:t xml:space="preserve">N</x:t>
        </x:is>
      </x:c>
      <x:c r="X31" s="3" t="inlineStr">
        <x:is>
          <x:t xml:space="preserve"/>
        </x:is>
      </x:c>
      <x:c r="Y31" s="6">
        <x:f>(S31*IF(E31="G",F31,0))+(S31*IF(G31="G",H31,0))</x:f>
        <x:v>0</x:v>
      </x:c>
      <x:c r="Z31" s="6">
        <x:f>(S31*IF(E31="E",F31,0))+(S31*IF(G31="E",H31,0))</x:f>
        <x:v>0</x:v>
      </x:c>
      <x:c r="AA31" s="6">
        <x:f>(S31*IF(E31="T",F31,0))+(S31*IF(G31="T",H31,0))</x:f>
        <x:v>0</x:v>
      </x:c>
      <x:c r="AB31" s="6">
        <x:f>(S31*IF(E31="L",F31,0))+(S31*IF(G31="L",H31,0))</x:f>
        <x:v>0</x:v>
      </x:c>
      <x:c r="AC31" s="6">
        <x:f>(S31*IF(E31="H",F31,0))+(S31*IF(G31="H",H31,0))</x:f>
        <x:v>0</x:v>
      </x:c>
      <x:c r="AD31" s="6">
        <x:f>(S31*IF(E31="V",F31,0))+(S31*IF(G31="V",H31,0))</x:f>
        <x:v>0</x:v>
      </x:c>
      <x:c r="AE31" s="6">
        <x:f>(S31*IF(E31="R",F31,0))+(S31*IF(G31="R",H31,0))</x:f>
        <x:v>0</x:v>
      </x:c>
      <x:c r="AF31" s="6">
        <x:f>(S31*IF(E31="F",F31,0))+(S31*IF(G31="F",H31,0))</x:f>
        <x:v>0</x:v>
      </x:c>
      <x:c r="AG31" s="6">
        <x:f>(S31*IF(E31="W",F31,0))+(S31*IF(G31="W",H31,0))</x:f>
        <x:v>0</x:v>
      </x:c>
    </x:row>
    <x:row r="32">
      <x:c r="A32" s="3" t="inlineStr">
        <x:is>
          <x:t xml:space="preserve">Executive</x:t>
        </x:is>
      </x:c>
      <x:c r="B32" s="3" t="inlineStr">
        <x:is>
          <x:t xml:space="preserve">EXCO-D1-Q06</x:t>
        </x:is>
      </x:c>
      <x:c r="C32" s="3" t="inlineStr">
        <x:is>
          <x:t xml:space="preserve">T2</x:t>
        </x:is>
      </x:c>
      <x:c r="D32" s="3" t="inlineStr">
        <x:is>
          <x:t xml:space="preserve">1. Strategy &amp; Governance</x:t>
        </x:is>
      </x:c>
      <x:c r="E32" s="3" t="inlineStr">
        <x:is>
          <x:t xml:space="preserve">G</x:t>
        </x:is>
      </x:c>
      <x:c r="F32" s="3" t="n">
        <x:v>1</x:v>
      </x:c>
      <x:c r="G32" s="3" t="inlineStr">
        <x:is>
          <x:t xml:space="preserve">-</x:t>
        </x:is>
      </x:c>
      <x:c r="H32" s="3" t="inlineStr">
        <x:is>
          <x:t xml:space="preserve"/>
        </x:is>
      </x:c>
      <x:c r="I32" s="3" t="inlineStr">
        <x:is>
          <x:t xml:space="preserve">Is there a 12–24 month improvement roadmap with owners and dates?</x:t>
        </x:is>
      </x:c>
      <x:c r="J32" s="3" t="inlineStr">
        <x:is>
          <x:t xml:space="preserve">Even a simple roadmap counts if it has owners, deadlines, and is reviewed regularly.</x:t>
        </x:is>
      </x:c>
      <x:c r="K32" s="3" t="inlineStr">
        <x:is>
          <x:t xml:space="preserve">Drill-down; next=EXCO-D2-Q01</x:t>
        </x:is>
      </x:c>
      <x:c r="L32" s="3" t="inlineStr">
        <x:is>
          <x:t xml:space="preserve">GOV_STD</x:t>
        </x:is>
      </x:c>
      <x:c r="M32" s="3" t="n">
        <x:v>1</x:v>
      </x:c>
      <x:c r="N32" s="3" t="n"/>
      <x:c r="O32" s="3" t="n"/>
      <x:c r="P32" s="3" t="inlineStr">
        <x:is>
          <x:t xml:space="preserve">EXCO-D1-Q06-A2</x:t>
        </x:is>
      </x:c>
      <x:c r="Q32" s="3" t="n">
        <x:v>3</x:v>
      </x:c>
      <x:c r="R32" s="3" t="inlineStr">
        <x:is>
          <x:t xml:space="preserve">There is an informal ‘wishlist’ but no dates, owners, or review cadence.</x:t>
        </x:is>
      </x:c>
      <x:c r="S32" s="3" t="n">
        <x:v>1</x:v>
      </x:c>
      <x:c r="T32" s="3" t="inlineStr">
        <x:is>
          <x:t xml:space="preserve">shadow_signal</x:t>
        </x:is>
      </x:c>
      <x:c r="U32" s="3" t="inlineStr">
        <x:is>
          <x:t xml:space="preserve">Shadow Mature</x:t>
        </x:is>
      </x:c>
      <x:c r="V32" s="3" t="inlineStr">
        <x:is>
          <x:t xml:space="preserve">Formalize_Roadmap</x:t>
        </x:is>
      </x:c>
      <x:c r="W32" s="3" t="inlineStr">
        <x:is>
          <x:t xml:space="preserve">N</x:t>
        </x:is>
      </x:c>
      <x:c r="X32" s="3" t="inlineStr">
        <x:is>
          <x:t xml:space="preserve"/>
        </x:is>
      </x:c>
      <x:c r="Y32" s="6">
        <x:f>(S32*IF(E32="G",F32,0))+(S32*IF(G32="G",H32,0))</x:f>
        <x:v>1</x:v>
      </x:c>
      <x:c r="Z32" s="6">
        <x:f>(S32*IF(E32="E",F32,0))+(S32*IF(G32="E",H32,0))</x:f>
        <x:v>0</x:v>
      </x:c>
      <x:c r="AA32" s="6">
        <x:f>(S32*IF(E32="T",F32,0))+(S32*IF(G32="T",H32,0))</x:f>
        <x:v>0</x:v>
      </x:c>
      <x:c r="AB32" s="6">
        <x:f>(S32*IF(E32="L",F32,0))+(S32*IF(G32="L",H32,0))</x:f>
        <x:v>0</x:v>
      </x:c>
      <x:c r="AC32" s="6">
        <x:f>(S32*IF(E32="H",F32,0))+(S32*IF(G32="H",H32,0))</x:f>
        <x:v>0</x:v>
      </x:c>
      <x:c r="AD32" s="6">
        <x:f>(S32*IF(E32="V",F32,0))+(S32*IF(G32="V",H32,0))</x:f>
        <x:v>0</x:v>
      </x:c>
      <x:c r="AE32" s="6">
        <x:f>(S32*IF(E32="R",F32,0))+(S32*IF(G32="R",H32,0))</x:f>
        <x:v>0</x:v>
      </x:c>
      <x:c r="AF32" s="6">
        <x:f>(S32*IF(E32="F",F32,0))+(S32*IF(G32="F",H32,0))</x:f>
        <x:v>0</x:v>
      </x:c>
      <x:c r="AG32" s="6">
        <x:f>(S32*IF(E32="W",F32,0))+(S32*IF(G32="W",H32,0))</x:f>
        <x:v>0</x:v>
      </x:c>
    </x:row>
    <x:row r="33">
      <x:c r="A33" s="3" t="inlineStr">
        <x:is>
          <x:t xml:space="preserve">Executive</x:t>
        </x:is>
      </x:c>
      <x:c r="B33" s="3" t="inlineStr">
        <x:is>
          <x:t xml:space="preserve">EXCO-D1-Q06</x:t>
        </x:is>
      </x:c>
      <x:c r="C33" s="3" t="inlineStr">
        <x:is>
          <x:t xml:space="preserve">T2</x:t>
        </x:is>
      </x:c>
      <x:c r="D33" s="3" t="inlineStr">
        <x:is>
          <x:t xml:space="preserve">1. Strategy &amp; Governance</x:t>
        </x:is>
      </x:c>
      <x:c r="E33" s="3" t="inlineStr">
        <x:is>
          <x:t xml:space="preserve">G</x:t>
        </x:is>
      </x:c>
      <x:c r="F33" s="3" t="n">
        <x:v>1</x:v>
      </x:c>
      <x:c r="G33" s="3" t="inlineStr">
        <x:is>
          <x:t xml:space="preserve">-</x:t>
        </x:is>
      </x:c>
      <x:c r="H33" s="3" t="inlineStr">
        <x:is>
          <x:t xml:space="preserve"/>
        </x:is>
      </x:c>
      <x:c r="I33" s="3" t="inlineStr">
        <x:is>
          <x:t xml:space="preserve">Is there a 12–24 month improvement roadmap with owners and dates?</x:t>
        </x:is>
      </x:c>
      <x:c r="J33" s="3" t="inlineStr">
        <x:is>
          <x:t xml:space="preserve">Even a simple roadmap counts if it has owners, deadlines, and is reviewed regularly.</x:t>
        </x:is>
      </x:c>
      <x:c r="K33" s="3" t="inlineStr">
        <x:is>
          <x:t xml:space="preserve">Drill-down; next=EXCO-D2-Q01</x:t>
        </x:is>
      </x:c>
      <x:c r="L33" s="3" t="inlineStr">
        <x:is>
          <x:t xml:space="preserve">GOV_STD</x:t>
        </x:is>
      </x:c>
      <x:c r="M33" s="3" t="n">
        <x:v>1</x:v>
      </x:c>
      <x:c r="N33" s="3" t="n"/>
      <x:c r="O33" s="3" t="n"/>
      <x:c r="P33" s="3" t="inlineStr">
        <x:is>
          <x:t xml:space="preserve">EXCO-D1-Q06-A3</x:t>
        </x:is>
      </x:c>
      <x:c r="Q33" s="3" t="n">
        <x:v>4</x:v>
      </x:c>
      <x:c r="R33" s="3" t="inlineStr">
        <x:is>
          <x:t xml:space="preserve">A roadmap exists, but it is not funded or is frequently re-prioritised without governance.</x:t>
        </x:is>
      </x:c>
      <x:c r="S33" s="3" t="n">
        <x:v>2</x:v>
      </x:c>
      <x:c r="T33" s="3" t="inlineStr">
        <x:is>
          <x:t xml:space="preserve">paper_roadmap</x:t>
        </x:is>
      </x:c>
      <x:c r="U33" s="3" t="inlineStr">
        <x:is>
          <x:t xml:space="preserve">Paper Dragon</x:t>
        </x:is>
      </x:c>
      <x:c r="V33" s="3" t="inlineStr">
        <x:is>
          <x:t xml:space="preserve">Align_Funding_Governance</x:t>
        </x:is>
      </x:c>
      <x:c r="W33" s="3" t="inlineStr">
        <x:is>
          <x:t xml:space="preserve">N</x:t>
        </x:is>
      </x:c>
      <x:c r="X33" s="3" t="inlineStr">
        <x:is>
          <x:t xml:space="preserve"/>
        </x:is>
      </x:c>
      <x:c r="Y33" s="6">
        <x:f>(S33*IF(E33="G",F33,0))+(S33*IF(G33="G",H33,0))</x:f>
        <x:v>2</x:v>
      </x:c>
      <x:c r="Z33" s="6">
        <x:f>(S33*IF(E33="E",F33,0))+(S33*IF(G33="E",H33,0))</x:f>
        <x:v>0</x:v>
      </x:c>
      <x:c r="AA33" s="6">
        <x:f>(S33*IF(E33="T",F33,0))+(S33*IF(G33="T",H33,0))</x:f>
        <x:v>0</x:v>
      </x:c>
      <x:c r="AB33" s="6">
        <x:f>(S33*IF(E33="L",F33,0))+(S33*IF(G33="L",H33,0))</x:f>
        <x:v>0</x:v>
      </x:c>
      <x:c r="AC33" s="6">
        <x:f>(S33*IF(E33="H",F33,0))+(S33*IF(G33="H",H33,0))</x:f>
        <x:v>0</x:v>
      </x:c>
      <x:c r="AD33" s="6">
        <x:f>(S33*IF(E33="V",F33,0))+(S33*IF(G33="V",H33,0))</x:f>
        <x:v>0</x:v>
      </x:c>
      <x:c r="AE33" s="6">
        <x:f>(S33*IF(E33="R",F33,0))+(S33*IF(G33="R",H33,0))</x:f>
        <x:v>0</x:v>
      </x:c>
      <x:c r="AF33" s="6">
        <x:f>(S33*IF(E33="F",F33,0))+(S33*IF(G33="F",H33,0))</x:f>
        <x:v>0</x:v>
      </x:c>
      <x:c r="AG33" s="6">
        <x:f>(S33*IF(E33="W",F33,0))+(S33*IF(G33="W",H33,0))</x:f>
        <x:v>0</x:v>
      </x:c>
    </x:row>
    <x:row r="34">
      <x:c r="A34" s="3" t="inlineStr">
        <x:is>
          <x:t xml:space="preserve">Executive</x:t>
        </x:is>
      </x:c>
      <x:c r="B34" s="3" t="inlineStr">
        <x:is>
          <x:t xml:space="preserve">EXCO-D1-Q06</x:t>
        </x:is>
      </x:c>
      <x:c r="C34" s="3" t="inlineStr">
        <x:is>
          <x:t xml:space="preserve">T2</x:t>
        </x:is>
      </x:c>
      <x:c r="D34" s="3" t="inlineStr">
        <x:is>
          <x:t xml:space="preserve">1. Strategy &amp; Governance</x:t>
        </x:is>
      </x:c>
      <x:c r="E34" s="3" t="inlineStr">
        <x:is>
          <x:t xml:space="preserve">G</x:t>
        </x:is>
      </x:c>
      <x:c r="F34" s="3" t="n">
        <x:v>1</x:v>
      </x:c>
      <x:c r="G34" s="3" t="inlineStr">
        <x:is>
          <x:t xml:space="preserve">-</x:t>
        </x:is>
      </x:c>
      <x:c r="H34" s="3" t="inlineStr">
        <x:is>
          <x:t xml:space="preserve"/>
        </x:is>
      </x:c>
      <x:c r="I34" s="3" t="inlineStr">
        <x:is>
          <x:t xml:space="preserve">Is there a 12–24 month improvement roadmap with owners and dates?</x:t>
        </x:is>
      </x:c>
      <x:c r="J34" s="3" t="inlineStr">
        <x:is>
          <x:t xml:space="preserve">Even a simple roadmap counts if it has owners, deadlines, and is reviewed regularly.</x:t>
        </x:is>
      </x:c>
      <x:c r="K34" s="3" t="inlineStr">
        <x:is>
          <x:t xml:space="preserve">Drill-down; next=EXCO-D2-Q01</x:t>
        </x:is>
      </x:c>
      <x:c r="L34" s="3" t="inlineStr">
        <x:is>
          <x:t xml:space="preserve">GOV_STD</x:t>
        </x:is>
      </x:c>
      <x:c r="M34" s="3" t="n">
        <x:v>1</x:v>
      </x:c>
      <x:c r="N34" s="3" t="n"/>
      <x:c r="O34" s="3" t="n"/>
      <x:c r="P34" s="3" t="inlineStr">
        <x:is>
          <x:t xml:space="preserve">EXCO-D1-Q06-A4</x:t>
        </x:is>
      </x:c>
      <x:c r="Q34" s="3" t="n">
        <x:v>5</x:v>
      </x:c>
      <x:c r="R34" s="3" t="inlineStr">
        <x:is>
          <x:t xml:space="preserve">Roadmap exists with owners, dates, and quarterly review.</x:t>
        </x:is>
      </x:c>
      <x:c r="S34" s="3" t="n">
        <x:v>3</x:v>
      </x:c>
      <x:c r="T34" s="3" t="inlineStr">
        <x:is>
          <x:t xml:space="preserve">good_practice</x:t>
        </x:is>
      </x:c>
      <x:c r="U34" s="3" t="inlineStr">
        <x:is>
          <x:t xml:space="preserve"/>
        </x:is>
      </x:c>
      <x:c r="V34" s="3" t="inlineStr">
        <x:is>
          <x:t xml:space="preserve">Request_Evidence</x:t>
        </x:is>
      </x:c>
      <x:c r="W34" s="3" t="inlineStr">
        <x:is>
          <x:t xml:space="preserve">Y</x:t>
        </x:is>
      </x:c>
      <x:c r="X34" s="3" t="inlineStr">
        <x:is>
          <x:t xml:space="preserve">Provide roadmap snapshot and last review date.</x:t>
        </x:is>
      </x:c>
      <x:c r="Y34" s="6">
        <x:f>(S34*IF(E34="G",F34,0))+(S34*IF(G34="G",H34,0))</x:f>
        <x:v>3</x:v>
      </x:c>
      <x:c r="Z34" s="6">
        <x:f>(S34*IF(E34="E",F34,0))+(S34*IF(G34="E",H34,0))</x:f>
        <x:v>0</x:v>
      </x:c>
      <x:c r="AA34" s="6">
        <x:f>(S34*IF(E34="T",F34,0))+(S34*IF(G34="T",H34,0))</x:f>
        <x:v>0</x:v>
      </x:c>
      <x:c r="AB34" s="6">
        <x:f>(S34*IF(E34="L",F34,0))+(S34*IF(G34="L",H34,0))</x:f>
        <x:v>0</x:v>
      </x:c>
      <x:c r="AC34" s="6">
        <x:f>(S34*IF(E34="H",F34,0))+(S34*IF(G34="H",H34,0))</x:f>
        <x:v>0</x:v>
      </x:c>
      <x:c r="AD34" s="6">
        <x:f>(S34*IF(E34="V",F34,0))+(S34*IF(G34="V",H34,0))</x:f>
        <x:v>0</x:v>
      </x:c>
      <x:c r="AE34" s="6">
        <x:f>(S34*IF(E34="R",F34,0))+(S34*IF(G34="R",H34,0))</x:f>
        <x:v>0</x:v>
      </x:c>
      <x:c r="AF34" s="6">
        <x:f>(S34*IF(E34="F",F34,0))+(S34*IF(G34="F",H34,0))</x:f>
        <x:v>0</x:v>
      </x:c>
      <x:c r="AG34" s="6">
        <x:f>(S34*IF(E34="W",F34,0))+(S34*IF(G34="W",H34,0))</x:f>
        <x:v>0</x:v>
      </x:c>
    </x:row>
    <x:row r="35">
      <x:c r="A35" s="3" t="inlineStr">
        <x:is>
          <x:t xml:space="preserve">Executive</x:t>
        </x:is>
      </x:c>
      <x:c r="B35" s="3" t="inlineStr">
        <x:is>
          <x:t xml:space="preserve">EXCO-D1-Q06</x:t>
        </x:is>
      </x:c>
      <x:c r="C35" s="3" t="inlineStr">
        <x:is>
          <x:t xml:space="preserve">T2</x:t>
        </x:is>
      </x:c>
      <x:c r="D35" s="3" t="inlineStr">
        <x:is>
          <x:t xml:space="preserve">1. Strategy &amp; Governance</x:t>
        </x:is>
      </x:c>
      <x:c r="E35" s="3" t="inlineStr">
        <x:is>
          <x:t xml:space="preserve">G</x:t>
        </x:is>
      </x:c>
      <x:c r="F35" s="3" t="n">
        <x:v>1</x:v>
      </x:c>
      <x:c r="G35" s="3" t="inlineStr">
        <x:is>
          <x:t xml:space="preserve">-</x:t>
        </x:is>
      </x:c>
      <x:c r="H35" s="3" t="inlineStr">
        <x:is>
          <x:t xml:space="preserve"/>
        </x:is>
      </x:c>
      <x:c r="I35" s="3" t="inlineStr">
        <x:is>
          <x:t xml:space="preserve">Is there a 12–24 month improvement roadmap with owners and dates?</x:t>
        </x:is>
      </x:c>
      <x:c r="J35" s="3" t="inlineStr">
        <x:is>
          <x:t xml:space="preserve">Even a simple roadmap counts if it has owners, deadlines, and is reviewed regularly.</x:t>
        </x:is>
      </x:c>
      <x:c r="K35" s="3" t="inlineStr">
        <x:is>
          <x:t xml:space="preserve">Drill-down; next=EXCO-D2-Q01</x:t>
        </x:is>
      </x:c>
      <x:c r="L35" s="3" t="inlineStr">
        <x:is>
          <x:t xml:space="preserve">GOV_STD</x:t>
        </x:is>
      </x:c>
      <x:c r="M35" s="3" t="n">
        <x:v>1</x:v>
      </x:c>
      <x:c r="N35" s="3" t="n"/>
      <x:c r="O35" s="3" t="n"/>
      <x:c r="P35" s="3" t="inlineStr">
        <x:is>
          <x:t xml:space="preserve">EXCO-D1-Q06-A5</x:t>
        </x:is>
      </x:c>
      <x:c r="Q35" s="3" t="n">
        <x:v>6</x:v>
      </x:c>
      <x:c r="R35" s="3" t="inlineStr">
        <x:is>
          <x:t xml:space="preserve">Roadmap is linked to risk appetite and measured outcomes; changes are controlled and documented.</x:t>
        </x:is>
      </x:c>
      <x:c r="S35" s="3" t="n">
        <x:v>4</x:v>
      </x:c>
      <x:c r="T35" s="3" t="inlineStr">
        <x:is>
          <x:t xml:space="preserve">optimized</x:t>
        </x:is>
      </x:c>
      <x:c r="U35" s="3" t="inlineStr">
        <x:is>
          <x:t xml:space="preserve"/>
        </x:is>
      </x:c>
      <x:c r="V35" s="3" t="inlineStr">
        <x:is>
          <x:t xml:space="preserve">Request_Evidence</x:t>
        </x:is>
      </x:c>
      <x:c r="W35" s="3" t="inlineStr">
        <x:is>
          <x:t xml:space="preserve">Y</x:t>
        </x:is>
      </x:c>
      <x:c r="X35" s="3" t="inlineStr">
        <x:is>
          <x:t xml:space="preserve"/>
        </x:is>
      </x:c>
      <x:c r="Y35" s="6">
        <x:f>(S35*IF(E35="G",F35,0))+(S35*IF(G35="G",H35,0))</x:f>
        <x:v>4</x:v>
      </x:c>
      <x:c r="Z35" s="6">
        <x:f>(S35*IF(E35="E",F35,0))+(S35*IF(G35="E",H35,0))</x:f>
        <x:v>0</x:v>
      </x:c>
      <x:c r="AA35" s="6">
        <x:f>(S35*IF(E35="T",F35,0))+(S35*IF(G35="T",H35,0))</x:f>
        <x:v>0</x:v>
      </x:c>
      <x:c r="AB35" s="6">
        <x:f>(S35*IF(E35="L",F35,0))+(S35*IF(G35="L",H35,0))</x:f>
        <x:v>0</x:v>
      </x:c>
      <x:c r="AC35" s="6">
        <x:f>(S35*IF(E35="H",F35,0))+(S35*IF(G35="H",H35,0))</x:f>
        <x:v>0</x:v>
      </x:c>
      <x:c r="AD35" s="6">
        <x:f>(S35*IF(E35="V",F35,0))+(S35*IF(G35="V",H35,0))</x:f>
        <x:v>0</x:v>
      </x:c>
      <x:c r="AE35" s="6">
        <x:f>(S35*IF(E35="R",F35,0))+(S35*IF(G35="R",H35,0))</x:f>
        <x:v>0</x:v>
      </x:c>
      <x:c r="AF35" s="6">
        <x:f>(S35*IF(E35="F",F35,0))+(S35*IF(G35="F",H35,0))</x:f>
        <x:v>0</x:v>
      </x:c>
      <x:c r="AG35" s="6">
        <x:f>(S35*IF(E35="W",F35,0))+(S35*IF(G35="W",H35,0))</x:f>
        <x:v>0</x:v>
      </x:c>
    </x:row>
    <x:row r="36">
      <x:c r="A36" s="3" t="inlineStr">
        <x:is>
          <x:t xml:space="preserve">Executive</x:t>
        </x:is>
      </x:c>
      <x:c r="B36" s="3" t="inlineStr">
        <x:is>
          <x:t xml:space="preserve">EXCO-D2-Q01</x:t>
        </x:is>
      </x:c>
      <x:c r="C36" s="3" t="inlineStr">
        <x:is>
          <x:t xml:space="preserve">T1</x:t>
        </x:is>
      </x:c>
      <x:c r="D36" s="3" t="inlineStr">
        <x:is>
          <x:t xml:space="preserve">2. Targeting &amp; Risk</x:t>
        </x:is>
      </x:c>
      <x:c r="E36" s="3" t="inlineStr">
        <x:is>
          <x:t xml:space="preserve">V</x:t>
        </x:is>
      </x:c>
      <x:c r="F36" s="3" t="n">
        <x:v>1</x:v>
      </x:c>
      <x:c r="G36" s="3" t="inlineStr">
        <x:is>
          <x:t xml:space="preserve">-</x:t>
        </x:is>
      </x:c>
      <x:c r="H36" s="3" t="inlineStr">
        <x:is>
          <x:t xml:space="preserve"/>
        </x:is>
      </x:c>
      <x:c r="I36" s="3" t="inlineStr">
        <x:is>
          <x:t xml:space="preserve">Do we know what our most sensitive business information and systems are (and where they live)?</x:t>
        </x:is>
      </x:c>
      <x:c r="J36" s="3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K36" s="3" t="inlineStr">
        <x:is>
          <x:t xml:space="preserve">Gatekeeper; if BaseScore&lt;2 -&gt; next=EXCO-D2-Q02; else next=EXCO-D2-Q03</x:t>
        </x:is>
      </x:c>
      <x:c r="L36" s="3" t="inlineStr">
        <x:is>
          <x:t xml:space="preserve">RISK_STD</x:t>
        </x:is>
      </x:c>
      <x:c r="M36" s="3" t="n">
        <x:v>1</x:v>
      </x:c>
      <x:c r="N36" s="3" t="n"/>
      <x:c r="O36" s="3" t="n"/>
      <x:c r="P36" s="3" t="inlineStr">
        <x:is>
          <x:t xml:space="preserve">EXCO-D2-Q01-A0</x:t>
        </x:is>
      </x:c>
      <x:c r="Q36" s="3" t="n">
        <x:v>1</x:v>
      </x:c>
      <x:c r="R36" s="3" t="inlineStr">
        <x:is>
          <x:t xml:space="preserve">I don’t know / not sure.</x:t>
        </x:is>
      </x:c>
      <x:c r="S36" s="3" t="n">
        <x:v>0</x:v>
      </x:c>
      <x:c r="T36" s="3" t="inlineStr">
        <x:is>
          <x:t xml:space="preserve">unknown</x:t>
        </x:is>
      </x:c>
      <x:c r="U36" s="3" t="inlineStr">
        <x:is>
          <x:t xml:space="preserve">Unknown</x:t>
        </x:is>
      </x:c>
      <x:c r="V36" s="3" t="inlineStr">
        <x:is>
          <x:t xml:space="preserve">Run_Crown_Jewel_Workshop</x:t>
        </x:is>
      </x:c>
      <x:c r="W36" s="3" t="inlineStr">
        <x:is>
          <x:t xml:space="preserve">N</x:t>
        </x:is>
      </x:c>
      <x:c r="X36" s="3" t="inlineStr">
        <x:is>
          <x:t xml:space="preserve"/>
        </x:is>
      </x:c>
      <x:c r="Y36" s="6">
        <x:f>(S36*IF(E36="G",F36,0))+(S36*IF(G36="G",H36,0))</x:f>
        <x:v>0</x:v>
      </x:c>
      <x:c r="Z36" s="6">
        <x:f>(S36*IF(E36="E",F36,0))+(S36*IF(G36="E",H36,0))</x:f>
        <x:v>0</x:v>
      </x:c>
      <x:c r="AA36" s="6">
        <x:f>(S36*IF(E36="T",F36,0))+(S36*IF(G36="T",H36,0))</x:f>
        <x:v>0</x:v>
      </x:c>
      <x:c r="AB36" s="6">
        <x:f>(S36*IF(E36="L",F36,0))+(S36*IF(G36="L",H36,0))</x:f>
        <x:v>0</x:v>
      </x:c>
      <x:c r="AC36" s="6">
        <x:f>(S36*IF(E36="H",F36,0))+(S36*IF(G36="H",H36,0))</x:f>
        <x:v>0</x:v>
      </x:c>
      <x:c r="AD36" s="6">
        <x:f>(S36*IF(E36="V",F36,0))+(S36*IF(G36="V",H36,0))</x:f>
        <x:v>0</x:v>
      </x:c>
      <x:c r="AE36" s="6">
        <x:f>(S36*IF(E36="R",F36,0))+(S36*IF(G36="R",H36,0))</x:f>
        <x:v>0</x:v>
      </x:c>
      <x:c r="AF36" s="6">
        <x:f>(S36*IF(E36="F",F36,0))+(S36*IF(G36="F",H36,0))</x:f>
        <x:v>0</x:v>
      </x:c>
      <x:c r="AG36" s="6">
        <x:f>(S36*IF(E36="W",F36,0))+(S36*IF(G36="W",H36,0))</x:f>
        <x:v>0</x:v>
      </x:c>
    </x:row>
    <x:row r="37">
      <x:c r="A37" s="3" t="inlineStr">
        <x:is>
          <x:t xml:space="preserve">Executive</x:t>
        </x:is>
      </x:c>
      <x:c r="B37" s="3" t="inlineStr">
        <x:is>
          <x:t xml:space="preserve">EXCO-D2-Q01</x:t>
        </x:is>
      </x:c>
      <x:c r="C37" s="3" t="inlineStr">
        <x:is>
          <x:t xml:space="preserve">T1</x:t>
        </x:is>
      </x:c>
      <x:c r="D37" s="3" t="inlineStr">
        <x:is>
          <x:t xml:space="preserve">2. Targeting &amp; Risk</x:t>
        </x:is>
      </x:c>
      <x:c r="E37" s="3" t="inlineStr">
        <x:is>
          <x:t xml:space="preserve">V</x:t>
        </x:is>
      </x:c>
      <x:c r="F37" s="3" t="n">
        <x:v>1</x:v>
      </x:c>
      <x:c r="G37" s="3" t="inlineStr">
        <x:is>
          <x:t xml:space="preserve">-</x:t>
        </x:is>
      </x:c>
      <x:c r="H37" s="3" t="inlineStr">
        <x:is>
          <x:t xml:space="preserve"/>
        </x:is>
      </x:c>
      <x:c r="I37" s="3" t="inlineStr">
        <x:is>
          <x:t xml:space="preserve">Do we know what our most sensitive business information and systems are (and where they live)?</x:t>
        </x:is>
      </x:c>
      <x:c r="J37" s="3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K37" s="3" t="inlineStr">
        <x:is>
          <x:t xml:space="preserve">Gatekeeper; if BaseScore&lt;2 -&gt; next=EXCO-D2-Q02; else next=EXCO-D2-Q03</x:t>
        </x:is>
      </x:c>
      <x:c r="L37" s="3" t="inlineStr">
        <x:is>
          <x:t xml:space="preserve">RISK_STD</x:t>
        </x:is>
      </x:c>
      <x:c r="M37" s="3" t="n">
        <x:v>1</x:v>
      </x:c>
      <x:c r="N37" s="3" t="n"/>
      <x:c r="O37" s="3" t="n"/>
      <x:c r="P37" s="3" t="inlineStr">
        <x:is>
          <x:t xml:space="preserve">EXCO-D2-Q01-A1</x:t>
        </x:is>
      </x:c>
      <x:c r="Q37" s="3" t="n">
        <x:v>2</x:v>
      </x:c>
      <x:c r="R37" s="3" t="inlineStr">
        <x:is>
          <x:t xml:space="preserve">No—everything is treated roughly the same; we don’t have a clear list.</x:t>
        </x:is>
      </x:c>
      <x:c r="S37" s="3" t="n">
        <x:v>0</x:v>
      </x:c>
      <x:c r="T37" s="3" t="inlineStr">
        <x:is>
          <x:t xml:space="preserve">visibility_gap</x:t>
        </x:is>
      </x:c>
      <x:c r="U37" s="3" t="inlineStr">
        <x:is>
          <x:t xml:space="preserve">Visibility Gap</x:t>
        </x:is>
      </x:c>
      <x:c r="V37" s="3" t="inlineStr">
        <x:is>
          <x:t xml:space="preserve">Run_Crown_Jewel_Workshop</x:t>
        </x:is>
      </x:c>
      <x:c r="W37" s="3" t="inlineStr">
        <x:is>
          <x:t xml:space="preserve">N</x:t>
        </x:is>
      </x:c>
      <x:c r="X37" s="3" t="inlineStr">
        <x:is>
          <x:t xml:space="preserve"/>
        </x:is>
      </x:c>
      <x:c r="Y37" s="6">
        <x:f>(S37*IF(E37="G",F37,0))+(S37*IF(G37="G",H37,0))</x:f>
        <x:v>0</x:v>
      </x:c>
      <x:c r="Z37" s="6">
        <x:f>(S37*IF(E37="E",F37,0))+(S37*IF(G37="E",H37,0))</x:f>
        <x:v>0</x:v>
      </x:c>
      <x:c r="AA37" s="6">
        <x:f>(S37*IF(E37="T",F37,0))+(S37*IF(G37="T",H37,0))</x:f>
        <x:v>0</x:v>
      </x:c>
      <x:c r="AB37" s="6">
        <x:f>(S37*IF(E37="L",F37,0))+(S37*IF(G37="L",H37,0))</x:f>
        <x:v>0</x:v>
      </x:c>
      <x:c r="AC37" s="6">
        <x:f>(S37*IF(E37="H",F37,0))+(S37*IF(G37="H",H37,0))</x:f>
        <x:v>0</x:v>
      </x:c>
      <x:c r="AD37" s="6">
        <x:f>(S37*IF(E37="V",F37,0))+(S37*IF(G37="V",H37,0))</x:f>
        <x:v>0</x:v>
      </x:c>
      <x:c r="AE37" s="6">
        <x:f>(S37*IF(E37="R",F37,0))+(S37*IF(G37="R",H37,0))</x:f>
        <x:v>0</x:v>
      </x:c>
      <x:c r="AF37" s="6">
        <x:f>(S37*IF(E37="F",F37,0))+(S37*IF(G37="F",H37,0))</x:f>
        <x:v>0</x:v>
      </x:c>
      <x:c r="AG37" s="6">
        <x:f>(S37*IF(E37="W",F37,0))+(S37*IF(G37="W",H37,0))</x:f>
        <x:v>0</x:v>
      </x:c>
    </x:row>
    <x:row r="38">
      <x:c r="A38" s="3" t="inlineStr">
        <x:is>
          <x:t xml:space="preserve">Executive</x:t>
        </x:is>
      </x:c>
      <x:c r="B38" s="3" t="inlineStr">
        <x:is>
          <x:t xml:space="preserve">EXCO-D2-Q01</x:t>
        </x:is>
      </x:c>
      <x:c r="C38" s="3" t="inlineStr">
        <x:is>
          <x:t xml:space="preserve">T1</x:t>
        </x:is>
      </x:c>
      <x:c r="D38" s="3" t="inlineStr">
        <x:is>
          <x:t xml:space="preserve">2. Targeting &amp; Risk</x:t>
        </x:is>
      </x:c>
      <x:c r="E38" s="3" t="inlineStr">
        <x:is>
          <x:t xml:space="preserve">V</x:t>
        </x:is>
      </x:c>
      <x:c r="F38" s="3" t="n">
        <x:v>1</x:v>
      </x:c>
      <x:c r="G38" s="3" t="inlineStr">
        <x:is>
          <x:t xml:space="preserve">-</x:t>
        </x:is>
      </x:c>
      <x:c r="H38" s="3" t="inlineStr">
        <x:is>
          <x:t xml:space="preserve"/>
        </x:is>
      </x:c>
      <x:c r="I38" s="3" t="inlineStr">
        <x:is>
          <x:t xml:space="preserve">Do we know what our most sensitive business information and systems are (and where they live)?</x:t>
        </x:is>
      </x:c>
      <x:c r="J38" s="3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K38" s="3" t="inlineStr">
        <x:is>
          <x:t xml:space="preserve">Gatekeeper; if BaseScore&lt;2 -&gt; next=EXCO-D2-Q02; else next=EXCO-D2-Q03</x:t>
        </x:is>
      </x:c>
      <x:c r="L38" s="3" t="inlineStr">
        <x:is>
          <x:t xml:space="preserve">RISK_STD</x:t>
        </x:is>
      </x:c>
      <x:c r="M38" s="3" t="n">
        <x:v>1</x:v>
      </x:c>
      <x:c r="N38" s="3" t="n"/>
      <x:c r="O38" s="3" t="n"/>
      <x:c r="P38" s="3" t="inlineStr">
        <x:is>
          <x:t xml:space="preserve">EXCO-D2-Q01-A2</x:t>
        </x:is>
      </x:c>
      <x:c r="Q38" s="3" t="n">
        <x:v>3</x:v>
      </x:c>
      <x:c r="R38" s="3" t="inlineStr">
        <x:is>
          <x:t xml:space="preserve">Key people ‘just know’ what matters, but it is not written down or kept current.</x:t>
        </x:is>
      </x:c>
      <x:c r="S38" s="3" t="n">
        <x:v>1</x:v>
      </x:c>
      <x:c r="T38" s="3" t="inlineStr">
        <x:is>
          <x:t xml:space="preserve">tribal_knowledge,shadow_signal</x:t>
        </x:is>
      </x:c>
      <x:c r="U38" s="3" t="inlineStr">
        <x:is>
          <x:t xml:space="preserve">Shadow Mature</x:t>
        </x:is>
      </x:c>
      <x:c r="V38" s="3" t="inlineStr">
        <x:is>
          <x:t xml:space="preserve">Document_Crown_Jewels</x:t>
        </x:is>
      </x:c>
      <x:c r="W38" s="3" t="inlineStr">
        <x:is>
          <x:t xml:space="preserve">N</x:t>
        </x:is>
      </x:c>
      <x:c r="X38" s="3" t="inlineStr">
        <x:is>
          <x:t xml:space="preserve"/>
        </x:is>
      </x:c>
      <x:c r="Y38" s="6">
        <x:f>(S38*IF(E38="G",F38,0))+(S38*IF(G38="G",H38,0))</x:f>
        <x:v>0</x:v>
      </x:c>
      <x:c r="Z38" s="6">
        <x:f>(S38*IF(E38="E",F38,0))+(S38*IF(G38="E",H38,0))</x:f>
        <x:v>0</x:v>
      </x:c>
      <x:c r="AA38" s="6">
        <x:f>(S38*IF(E38="T",F38,0))+(S38*IF(G38="T",H38,0))</x:f>
        <x:v>0</x:v>
      </x:c>
      <x:c r="AB38" s="6">
        <x:f>(S38*IF(E38="L",F38,0))+(S38*IF(G38="L",H38,0))</x:f>
        <x:v>0</x:v>
      </x:c>
      <x:c r="AC38" s="6">
        <x:f>(S38*IF(E38="H",F38,0))+(S38*IF(G38="H",H38,0))</x:f>
        <x:v>0</x:v>
      </x:c>
      <x:c r="AD38" s="6">
        <x:f>(S38*IF(E38="V",F38,0))+(S38*IF(G38="V",H38,0))</x:f>
        <x:v>1</x:v>
      </x:c>
      <x:c r="AE38" s="6">
        <x:f>(S38*IF(E38="R",F38,0))+(S38*IF(G38="R",H38,0))</x:f>
        <x:v>0</x:v>
      </x:c>
      <x:c r="AF38" s="6">
        <x:f>(S38*IF(E38="F",F38,0))+(S38*IF(G38="F",H38,0))</x:f>
        <x:v>0</x:v>
      </x:c>
      <x:c r="AG38" s="6">
        <x:f>(S38*IF(E38="W",F38,0))+(S38*IF(G38="W",H38,0))</x:f>
        <x:v>0</x:v>
      </x:c>
    </x:row>
    <x:row r="39">
      <x:c r="A39" s="3" t="inlineStr">
        <x:is>
          <x:t xml:space="preserve">Executive</x:t>
        </x:is>
      </x:c>
      <x:c r="B39" s="3" t="inlineStr">
        <x:is>
          <x:t xml:space="preserve">EXCO-D2-Q01</x:t>
        </x:is>
      </x:c>
      <x:c r="C39" s="3" t="inlineStr">
        <x:is>
          <x:t xml:space="preserve">T1</x:t>
        </x:is>
      </x:c>
      <x:c r="D39" s="3" t="inlineStr">
        <x:is>
          <x:t xml:space="preserve">2. Targeting &amp; Risk</x:t>
        </x:is>
      </x:c>
      <x:c r="E39" s="3" t="inlineStr">
        <x:is>
          <x:t xml:space="preserve">V</x:t>
        </x:is>
      </x:c>
      <x:c r="F39" s="3" t="n">
        <x:v>1</x:v>
      </x:c>
      <x:c r="G39" s="3" t="inlineStr">
        <x:is>
          <x:t xml:space="preserve">-</x:t>
        </x:is>
      </x:c>
      <x:c r="H39" s="3" t="inlineStr">
        <x:is>
          <x:t xml:space="preserve"/>
        </x:is>
      </x:c>
      <x:c r="I39" s="3" t="inlineStr">
        <x:is>
          <x:t xml:space="preserve">Do we know what our most sensitive business information and systems are (and where they live)?</x:t>
        </x:is>
      </x:c>
      <x:c r="J39" s="3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K39" s="3" t="inlineStr">
        <x:is>
          <x:t xml:space="preserve">Gatekeeper; if BaseScore&lt;2 -&gt; next=EXCO-D2-Q02; else next=EXCO-D2-Q03</x:t>
        </x:is>
      </x:c>
      <x:c r="L39" s="3" t="inlineStr">
        <x:is>
          <x:t xml:space="preserve">RISK_STD</x:t>
        </x:is>
      </x:c>
      <x:c r="M39" s="3" t="n">
        <x:v>1</x:v>
      </x:c>
      <x:c r="N39" s="3" t="n"/>
      <x:c r="O39" s="3" t="n"/>
      <x:c r="P39" s="3" t="inlineStr">
        <x:is>
          <x:t xml:space="preserve">EXCO-D2-Q01-A3</x:t>
        </x:is>
      </x:c>
      <x:c r="Q39" s="3" t="n">
        <x:v>4</x:v>
      </x:c>
      <x:c r="R39" s="3" t="inlineStr">
        <x:is>
          <x:t xml:space="preserve">A list exists for compliance reasons (e.g., regulated data) but misses business-critical information.</x:t>
        </x:is>
      </x:c>
      <x:c r="S39" s="3" t="n">
        <x:v>2</x:v>
      </x:c>
      <x:c r="T39" s="3" t="inlineStr">
        <x:is>
          <x:t xml:space="preserve">compliance_only</x:t>
        </x:is>
      </x:c>
      <x:c r="U39" s="3" t="inlineStr">
        <x:is>
          <x:t xml:space="preserve">Paper Dragon</x:t>
        </x:is>
      </x:c>
      <x:c r="V39" s="3" t="inlineStr">
        <x:is>
          <x:t xml:space="preserve">Expand_Scope</x:t>
        </x:is>
      </x:c>
      <x:c r="W39" s="3" t="inlineStr">
        <x:is>
          <x:t xml:space="preserve">N</x:t>
        </x:is>
      </x:c>
      <x:c r="X39" s="3" t="inlineStr">
        <x:is>
          <x:t xml:space="preserve"/>
        </x:is>
      </x:c>
      <x:c r="Y39" s="6">
        <x:f>(S39*IF(E39="G",F39,0))+(S39*IF(G39="G",H39,0))</x:f>
        <x:v>0</x:v>
      </x:c>
      <x:c r="Z39" s="6">
        <x:f>(S39*IF(E39="E",F39,0))+(S39*IF(G39="E",H39,0))</x:f>
        <x:v>0</x:v>
      </x:c>
      <x:c r="AA39" s="6">
        <x:f>(S39*IF(E39="T",F39,0))+(S39*IF(G39="T",H39,0))</x:f>
        <x:v>0</x:v>
      </x:c>
      <x:c r="AB39" s="6">
        <x:f>(S39*IF(E39="L",F39,0))+(S39*IF(G39="L",H39,0))</x:f>
        <x:v>0</x:v>
      </x:c>
      <x:c r="AC39" s="6">
        <x:f>(S39*IF(E39="H",F39,0))+(S39*IF(G39="H",H39,0))</x:f>
        <x:v>0</x:v>
      </x:c>
      <x:c r="AD39" s="6">
        <x:f>(S39*IF(E39="V",F39,0))+(S39*IF(G39="V",H39,0))</x:f>
        <x:v>2</x:v>
      </x:c>
      <x:c r="AE39" s="6">
        <x:f>(S39*IF(E39="R",F39,0))+(S39*IF(G39="R",H39,0))</x:f>
        <x:v>0</x:v>
      </x:c>
      <x:c r="AF39" s="6">
        <x:f>(S39*IF(E39="F",F39,0))+(S39*IF(G39="F",H39,0))</x:f>
        <x:v>0</x:v>
      </x:c>
      <x:c r="AG39" s="6">
        <x:f>(S39*IF(E39="W",F39,0))+(S39*IF(G39="W",H39,0))</x:f>
        <x:v>0</x:v>
      </x:c>
    </x:row>
    <x:row r="40">
      <x:c r="A40" s="3" t="inlineStr">
        <x:is>
          <x:t xml:space="preserve">Executive</x:t>
        </x:is>
      </x:c>
      <x:c r="B40" s="3" t="inlineStr">
        <x:is>
          <x:t xml:space="preserve">EXCO-D2-Q01</x:t>
        </x:is>
      </x:c>
      <x:c r="C40" s="3" t="inlineStr">
        <x:is>
          <x:t xml:space="preserve">T1</x:t>
        </x:is>
      </x:c>
      <x:c r="D40" s="3" t="inlineStr">
        <x:is>
          <x:t xml:space="preserve">2. Targeting &amp; Risk</x:t>
        </x:is>
      </x:c>
      <x:c r="E40" s="3" t="inlineStr">
        <x:is>
          <x:t xml:space="preserve">V</x:t>
        </x:is>
      </x:c>
      <x:c r="F40" s="3" t="n">
        <x:v>1</x:v>
      </x:c>
      <x:c r="G40" s="3" t="inlineStr">
        <x:is>
          <x:t xml:space="preserve">-</x:t>
        </x:is>
      </x:c>
      <x:c r="H40" s="3" t="inlineStr">
        <x:is>
          <x:t xml:space="preserve"/>
        </x:is>
      </x:c>
      <x:c r="I40" s="3" t="inlineStr">
        <x:is>
          <x:t xml:space="preserve">Do we know what our most sensitive business information and systems are (and where they live)?</x:t>
        </x:is>
      </x:c>
      <x:c r="J40" s="3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K40" s="3" t="inlineStr">
        <x:is>
          <x:t xml:space="preserve">Gatekeeper; if BaseScore&lt;2 -&gt; next=EXCO-D2-Q02; else next=EXCO-D2-Q03</x:t>
        </x:is>
      </x:c>
      <x:c r="L40" s="3" t="inlineStr">
        <x:is>
          <x:t xml:space="preserve">RISK_STD</x:t>
        </x:is>
      </x:c>
      <x:c r="M40" s="3" t="n">
        <x:v>1</x:v>
      </x:c>
      <x:c r="N40" s="3" t="n"/>
      <x:c r="O40" s="3" t="n"/>
      <x:c r="P40" s="3" t="inlineStr">
        <x:is>
          <x:t xml:space="preserve">EXCO-D2-Q01-A4</x:t>
        </x:is>
      </x:c>
      <x:c r="Q40" s="3" t="n">
        <x:v>5</x:v>
      </x:c>
      <x:c r="R40" s="3" t="inlineStr">
        <x:is>
          <x:t xml:space="preserve">We maintain an inventory of sensitive information/systems and review it at least annually.</x:t>
        </x:is>
      </x:c>
      <x:c r="S40" s="3" t="n">
        <x:v>3</x:v>
      </x:c>
      <x:c r="T40" s="3" t="inlineStr">
        <x:is>
          <x:t xml:space="preserve">good_practice</x:t>
        </x:is>
      </x:c>
      <x:c r="U40" s="3" t="inlineStr">
        <x:is>
          <x:t xml:space="preserve"/>
        </x:is>
      </x:c>
      <x:c r="V40" s="3" t="inlineStr">
        <x:is>
          <x:t xml:space="preserve">Request_Evidence</x:t>
        </x:is>
      </x:c>
      <x:c r="W40" s="3" t="inlineStr">
        <x:is>
          <x:t xml:space="preserve">Y</x:t>
        </x:is>
      </x:c>
      <x:c r="X40" s="3" t="inlineStr">
        <x:is>
          <x:t xml:space="preserve">Provide inventory and last review date.</x:t>
        </x:is>
      </x:c>
      <x:c r="Y40" s="6">
        <x:f>(S40*IF(E40="G",F40,0))+(S40*IF(G40="G",H40,0))</x:f>
        <x:v>0</x:v>
      </x:c>
      <x:c r="Z40" s="6">
        <x:f>(S40*IF(E40="E",F40,0))+(S40*IF(G40="E",H40,0))</x:f>
        <x:v>0</x:v>
      </x:c>
      <x:c r="AA40" s="6">
        <x:f>(S40*IF(E40="T",F40,0))+(S40*IF(G40="T",H40,0))</x:f>
        <x:v>0</x:v>
      </x:c>
      <x:c r="AB40" s="6">
        <x:f>(S40*IF(E40="L",F40,0))+(S40*IF(G40="L",H40,0))</x:f>
        <x:v>0</x:v>
      </x:c>
      <x:c r="AC40" s="6">
        <x:f>(S40*IF(E40="H",F40,0))+(S40*IF(G40="H",H40,0))</x:f>
        <x:v>0</x:v>
      </x:c>
      <x:c r="AD40" s="6">
        <x:f>(S40*IF(E40="V",F40,0))+(S40*IF(G40="V",H40,0))</x:f>
        <x:v>3</x:v>
      </x:c>
      <x:c r="AE40" s="6">
        <x:f>(S40*IF(E40="R",F40,0))+(S40*IF(G40="R",H40,0))</x:f>
        <x:v>0</x:v>
      </x:c>
      <x:c r="AF40" s="6">
        <x:f>(S40*IF(E40="F",F40,0))+(S40*IF(G40="F",H40,0))</x:f>
        <x:v>0</x:v>
      </x:c>
      <x:c r="AG40" s="6">
        <x:f>(S40*IF(E40="W",F40,0))+(S40*IF(G40="W",H40,0))</x:f>
        <x:v>0</x:v>
      </x:c>
    </x:row>
    <x:row r="41">
      <x:c r="A41" s="3" t="inlineStr">
        <x:is>
          <x:t xml:space="preserve">Executive</x:t>
        </x:is>
      </x:c>
      <x:c r="B41" s="3" t="inlineStr">
        <x:is>
          <x:t xml:space="preserve">EXCO-D2-Q01</x:t>
        </x:is>
      </x:c>
      <x:c r="C41" s="3" t="inlineStr">
        <x:is>
          <x:t xml:space="preserve">T1</x:t>
        </x:is>
      </x:c>
      <x:c r="D41" s="3" t="inlineStr">
        <x:is>
          <x:t xml:space="preserve">2. Targeting &amp; Risk</x:t>
        </x:is>
      </x:c>
      <x:c r="E41" s="3" t="inlineStr">
        <x:is>
          <x:t xml:space="preserve">V</x:t>
        </x:is>
      </x:c>
      <x:c r="F41" s="3" t="n">
        <x:v>1</x:v>
      </x:c>
      <x:c r="G41" s="3" t="inlineStr">
        <x:is>
          <x:t xml:space="preserve">-</x:t>
        </x:is>
      </x:c>
      <x:c r="H41" s="3" t="inlineStr">
        <x:is>
          <x:t xml:space="preserve"/>
        </x:is>
      </x:c>
      <x:c r="I41" s="3" t="inlineStr">
        <x:is>
          <x:t xml:space="preserve">Do we know what our most sensitive business information and systems are (and where they live)?</x:t>
        </x:is>
      </x:c>
      <x:c r="J41" s="3" t="inlineStr">
        <x:is>
          <x:t xml:space="preserve">Use plain examples: customer data, payroll, pricing models, source code, engineering drawings, M&amp;A documents. 'Where they live' = main apps, file shares, SaaS.</x:t>
        </x:is>
      </x:c>
      <x:c r="K41" s="3" t="inlineStr">
        <x:is>
          <x:t xml:space="preserve">Gatekeeper; if BaseScore&lt;2 -&gt; next=EXCO-D2-Q02; else next=EXCO-D2-Q03</x:t>
        </x:is>
      </x:c>
      <x:c r="L41" s="3" t="inlineStr">
        <x:is>
          <x:t xml:space="preserve">RISK_STD</x:t>
        </x:is>
      </x:c>
      <x:c r="M41" s="3" t="n">
        <x:v>1</x:v>
      </x:c>
      <x:c r="N41" s="3" t="n"/>
      <x:c r="O41" s="3" t="n"/>
      <x:c r="P41" s="3" t="inlineStr">
        <x:is>
          <x:t xml:space="preserve">EXCO-D2-Q01-A5</x:t>
        </x:is>
      </x:c>
      <x:c r="Q41" s="3" t="n">
        <x:v>6</x:v>
      </x:c>
      <x:c r="R41" s="3" t="inlineStr">
        <x:is>
          <x:t xml:space="preserve">Inventory is linked to business impact and access concentration; changes are tracked continuously.</x:t>
        </x:is>
      </x:c>
      <x:c r="S41" s="3" t="n">
        <x:v>4</x:v>
      </x:c>
      <x:c r="T41" s="3" t="inlineStr">
        <x:is>
          <x:t xml:space="preserve">optimized</x:t>
        </x:is>
      </x:c>
      <x:c r="U41" s="3" t="inlineStr">
        <x:is>
          <x:t xml:space="preserve"/>
        </x:is>
      </x:c>
      <x:c r="V41" s="3" t="inlineStr">
        <x:is>
          <x:t xml:space="preserve">Request_Evidence</x:t>
        </x:is>
      </x:c>
      <x:c r="W41" s="3" t="inlineStr">
        <x:is>
          <x:t xml:space="preserve">Y</x:t>
        </x:is>
      </x:c>
      <x:c r="X41" s="3" t="inlineStr">
        <x:is>
          <x:t xml:space="preserve"/>
        </x:is>
      </x:c>
      <x:c r="Y41" s="6">
        <x:f>(S41*IF(E41="G",F41,0))+(S41*IF(G41="G",H41,0))</x:f>
        <x:v>0</x:v>
      </x:c>
      <x:c r="Z41" s="6">
        <x:f>(S41*IF(E41="E",F41,0))+(S41*IF(G41="E",H41,0))</x:f>
        <x:v>0</x:v>
      </x:c>
      <x:c r="AA41" s="6">
        <x:f>(S41*IF(E41="T",F41,0))+(S41*IF(G41="T",H41,0))</x:f>
        <x:v>0</x:v>
      </x:c>
      <x:c r="AB41" s="6">
        <x:f>(S41*IF(E41="L",F41,0))+(S41*IF(G41="L",H41,0))</x:f>
        <x:v>0</x:v>
      </x:c>
      <x:c r="AC41" s="6">
        <x:f>(S41*IF(E41="H",F41,0))+(S41*IF(G41="H",H41,0))</x:f>
        <x:v>0</x:v>
      </x:c>
      <x:c r="AD41" s="6">
        <x:f>(S41*IF(E41="V",F41,0))+(S41*IF(G41="V",H41,0))</x:f>
        <x:v>4</x:v>
      </x:c>
      <x:c r="AE41" s="6">
        <x:f>(S41*IF(E41="R",F41,0))+(S41*IF(G41="R",H41,0))</x:f>
        <x:v>0</x:v>
      </x:c>
      <x:c r="AF41" s="6">
        <x:f>(S41*IF(E41="F",F41,0))+(S41*IF(G41="F",H41,0))</x:f>
        <x:v>0</x:v>
      </x:c>
      <x:c r="AG41" s="6">
        <x:f>(S41*IF(E41="W",F41,0))+(S41*IF(G41="W",H41,0))</x:f>
        <x:v>0</x:v>
      </x:c>
    </x:row>
    <x:row r="42">
      <x:c r="A42" s="3" t="inlineStr">
        <x:is>
          <x:t xml:space="preserve">Executive</x:t>
        </x:is>
      </x:c>
      <x:c r="B42" s="3" t="inlineStr">
        <x:is>
          <x:t xml:space="preserve">EXCO-D2-Q02</x:t>
        </x:is>
      </x:c>
      <x:c r="C42" s="3" t="inlineStr">
        <x:is>
          <x:t xml:space="preserve">T2</x:t>
        </x:is>
      </x:c>
      <x:c r="D42" s="3" t="inlineStr">
        <x:is>
          <x:t xml:space="preserve">2. Targeting &amp; Risk</x:t>
        </x:is>
      </x:c>
      <x:c r="E42" s="3" t="inlineStr">
        <x:is>
          <x:t xml:space="preserve">V</x:t>
        </x:is>
      </x:c>
      <x:c r="F42" s="3" t="n">
        <x:v>1</x:v>
      </x:c>
      <x:c r="G42" s="3" t="inlineStr">
        <x:is>
          <x:t xml:space="preserve">-</x:t>
        </x:is>
      </x:c>
      <x:c r="H42" s="3" t="inlineStr">
        <x:is>
          <x:t xml:space="preserve"/>
        </x:is>
      </x:c>
      <x:c r="I42" s="3" t="inlineStr">
        <x:is>
          <x:t xml:space="preserve">(Shadow probe) Even without a formal list, could we name the top 5 things we would be most worried to lose or leak?</x:t>
        </x:is>
      </x:c>
      <x:c r="J42" s="3" t="inlineStr">
        <x:is>
          <x:t xml:space="preserve">This checks whether ‘tribal knowledge’ exists that can be formalised.</x:t>
        </x:is>
      </x:c>
      <x:c r="K42" s="3" t="inlineStr">
        <x:is>
          <x:t xml:space="preserve">Shadow probe; next=EXCO-D2-Q03</x:t>
        </x:is>
      </x:c>
      <x:c r="L42" s="3" t="inlineStr">
        <x:is>
          <x:t xml:space="preserve">RISK_STD</x:t>
        </x:is>
      </x:c>
      <x:c r="M42" s="3" t="n">
        <x:v>1</x:v>
      </x:c>
      <x:c r="N42" s="3" t="n"/>
      <x:c r="O42" s="3" t="n"/>
      <x:c r="P42" s="3" t="inlineStr">
        <x:is>
          <x:t xml:space="preserve">EXCO-D2-Q02-A1</x:t>
        </x:is>
      </x:c>
      <x:c r="Q42" s="3" t="n">
        <x:v>1</x:v>
      </x:c>
      <x:c r="R42" s="3" t="inlineStr">
        <x:is>
          <x:t xml:space="preserve">No—different leaders would give completely different answers.</x:t>
        </x:is>
      </x:c>
      <x:c r="S42" s="3" t="n">
        <x:v>0</x:v>
      </x:c>
      <x:c r="T42" s="3" t="inlineStr">
        <x:is>
          <x:t xml:space="preserve">visibility_gap</x:t>
        </x:is>
      </x:c>
      <x:c r="U42" s="3" t="inlineStr">
        <x:is>
          <x:t xml:space="preserve">Visibility Gap</x:t>
        </x:is>
      </x:c>
      <x:c r="V42" s="3" t="inlineStr">
        <x:is>
          <x:t xml:space="preserve">Run_Crown_Jewel_Workshop</x:t>
        </x:is>
      </x:c>
      <x:c r="W42" s="3" t="inlineStr">
        <x:is>
          <x:t xml:space="preserve">N</x:t>
        </x:is>
      </x:c>
      <x:c r="X42" s="3" t="inlineStr">
        <x:is>
          <x:t xml:space="preserve"/>
        </x:is>
      </x:c>
      <x:c r="Y42" s="6">
        <x:f>(S42*IF(E42="G",F42,0))+(S42*IF(G42="G",H42,0))</x:f>
        <x:v>0</x:v>
      </x:c>
      <x:c r="Z42" s="6">
        <x:f>(S42*IF(E42="E",F42,0))+(S42*IF(G42="E",H42,0))</x:f>
        <x:v>0</x:v>
      </x:c>
      <x:c r="AA42" s="6">
        <x:f>(S42*IF(E42="T",F42,0))+(S42*IF(G42="T",H42,0))</x:f>
        <x:v>0</x:v>
      </x:c>
      <x:c r="AB42" s="6">
        <x:f>(S42*IF(E42="L",F42,0))+(S42*IF(G42="L",H42,0))</x:f>
        <x:v>0</x:v>
      </x:c>
      <x:c r="AC42" s="6">
        <x:f>(S42*IF(E42="H",F42,0))+(S42*IF(G42="H",H42,0))</x:f>
        <x:v>0</x:v>
      </x:c>
      <x:c r="AD42" s="6">
        <x:f>(S42*IF(E42="V",F42,0))+(S42*IF(G42="V",H42,0))</x:f>
        <x:v>0</x:v>
      </x:c>
      <x:c r="AE42" s="6">
        <x:f>(S42*IF(E42="R",F42,0))+(S42*IF(G42="R",H42,0))</x:f>
        <x:v>0</x:v>
      </x:c>
      <x:c r="AF42" s="6">
        <x:f>(S42*IF(E42="F",F42,0))+(S42*IF(G42="F",H42,0))</x:f>
        <x:v>0</x:v>
      </x:c>
      <x:c r="AG42" s="6">
        <x:f>(S42*IF(E42="W",F42,0))+(S42*IF(G42="W",H42,0))</x:f>
        <x:v>0</x:v>
      </x:c>
    </x:row>
    <x:row r="43">
      <x:c r="A43" s="3" t="inlineStr">
        <x:is>
          <x:t xml:space="preserve">Executive</x:t>
        </x:is>
      </x:c>
      <x:c r="B43" s="3" t="inlineStr">
        <x:is>
          <x:t xml:space="preserve">EXCO-D2-Q02</x:t>
        </x:is>
      </x:c>
      <x:c r="C43" s="3" t="inlineStr">
        <x:is>
          <x:t xml:space="preserve">T2</x:t>
        </x:is>
      </x:c>
      <x:c r="D43" s="3" t="inlineStr">
        <x:is>
          <x:t xml:space="preserve">2. Targeting &amp; Risk</x:t>
        </x:is>
      </x:c>
      <x:c r="E43" s="3" t="inlineStr">
        <x:is>
          <x:t xml:space="preserve">V</x:t>
        </x:is>
      </x:c>
      <x:c r="F43" s="3" t="n">
        <x:v>1</x:v>
      </x:c>
      <x:c r="G43" s="3" t="inlineStr">
        <x:is>
          <x:t xml:space="preserve">-</x:t>
        </x:is>
      </x:c>
      <x:c r="H43" s="3" t="inlineStr">
        <x:is>
          <x:t xml:space="preserve"/>
        </x:is>
      </x:c>
      <x:c r="I43" s="3" t="inlineStr">
        <x:is>
          <x:t xml:space="preserve">(Shadow probe) Even without a formal list, could we name the top 5 things we would be most worried to lose or leak?</x:t>
        </x:is>
      </x:c>
      <x:c r="J43" s="3" t="inlineStr">
        <x:is>
          <x:t xml:space="preserve">This checks whether ‘tribal knowledge’ exists that can be formalised.</x:t>
        </x:is>
      </x:c>
      <x:c r="K43" s="3" t="inlineStr">
        <x:is>
          <x:t xml:space="preserve">Shadow probe; next=EXCO-D2-Q03</x:t>
        </x:is>
      </x:c>
      <x:c r="L43" s="3" t="inlineStr">
        <x:is>
          <x:t xml:space="preserve">RISK_STD</x:t>
        </x:is>
      </x:c>
      <x:c r="M43" s="3" t="n">
        <x:v>1</x:v>
      </x:c>
      <x:c r="N43" s="3" t="n"/>
      <x:c r="O43" s="3" t="n"/>
      <x:c r="P43" s="3" t="inlineStr">
        <x:is>
          <x:t xml:space="preserve">EXCO-D2-Q02-A2</x:t>
        </x:is>
      </x:c>
      <x:c r="Q43" s="3" t="n">
        <x:v>2</x:v>
      </x:c>
      <x:c r="R43" s="3" t="inlineStr">
        <x:is>
          <x:t xml:space="preserve">Yes—but answers would vary by department and are not aligned.</x:t>
        </x:is>
      </x:c>
      <x:c r="S43" s="3" t="n">
        <x:v>1</x:v>
      </x:c>
      <x:c r="T43" s="3" t="inlineStr">
        <x:is>
          <x:t xml:space="preserve">misalignment_signal</x:t>
        </x:is>
      </x:c>
      <x:c r="U43" s="3" t="inlineStr">
        <x:is>
          <x:t xml:space="preserve">Operating Model Gap</x:t>
        </x:is>
      </x:c>
      <x:c r="V43" s="3" t="inlineStr">
        <x:is>
          <x:t xml:space="preserve">Align_On_Crown_Jewels</x:t>
        </x:is>
      </x:c>
      <x:c r="W43" s="3" t="inlineStr">
        <x:is>
          <x:t xml:space="preserve">N</x:t>
        </x:is>
      </x:c>
      <x:c r="X43" s="3" t="inlineStr">
        <x:is>
          <x:t xml:space="preserve"/>
        </x:is>
      </x:c>
      <x:c r="Y43" s="6">
        <x:f>(S43*IF(E43="G",F43,0))+(S43*IF(G43="G",H43,0))</x:f>
        <x:v>0</x:v>
      </x:c>
      <x:c r="Z43" s="6">
        <x:f>(S43*IF(E43="E",F43,0))+(S43*IF(G43="E",H43,0))</x:f>
        <x:v>0</x:v>
      </x:c>
      <x:c r="AA43" s="6">
        <x:f>(S43*IF(E43="T",F43,0))+(S43*IF(G43="T",H43,0))</x:f>
        <x:v>0</x:v>
      </x:c>
      <x:c r="AB43" s="6">
        <x:f>(S43*IF(E43="L",F43,0))+(S43*IF(G43="L",H43,0))</x:f>
        <x:v>0</x:v>
      </x:c>
      <x:c r="AC43" s="6">
        <x:f>(S43*IF(E43="H",F43,0))+(S43*IF(G43="H",H43,0))</x:f>
        <x:v>0</x:v>
      </x:c>
      <x:c r="AD43" s="6">
        <x:f>(S43*IF(E43="V",F43,0))+(S43*IF(G43="V",H43,0))</x:f>
        <x:v>1</x:v>
      </x:c>
      <x:c r="AE43" s="6">
        <x:f>(S43*IF(E43="R",F43,0))+(S43*IF(G43="R",H43,0))</x:f>
        <x:v>0</x:v>
      </x:c>
      <x:c r="AF43" s="6">
        <x:f>(S43*IF(E43="F",F43,0))+(S43*IF(G43="F",H43,0))</x:f>
        <x:v>0</x:v>
      </x:c>
      <x:c r="AG43" s="6">
        <x:f>(S43*IF(E43="W",F43,0))+(S43*IF(G43="W",H43,0))</x:f>
        <x:v>0</x:v>
      </x:c>
    </x:row>
    <x:row r="44">
      <x:c r="A44" s="3" t="inlineStr">
        <x:is>
          <x:t xml:space="preserve">Executive</x:t>
        </x:is>
      </x:c>
      <x:c r="B44" s="3" t="inlineStr">
        <x:is>
          <x:t xml:space="preserve">EXCO-D2-Q02</x:t>
        </x:is>
      </x:c>
      <x:c r="C44" s="3" t="inlineStr">
        <x:is>
          <x:t xml:space="preserve">T2</x:t>
        </x:is>
      </x:c>
      <x:c r="D44" s="3" t="inlineStr">
        <x:is>
          <x:t xml:space="preserve">2. Targeting &amp; Risk</x:t>
        </x:is>
      </x:c>
      <x:c r="E44" s="3" t="inlineStr">
        <x:is>
          <x:t xml:space="preserve">V</x:t>
        </x:is>
      </x:c>
      <x:c r="F44" s="3" t="n">
        <x:v>1</x:v>
      </x:c>
      <x:c r="G44" s="3" t="inlineStr">
        <x:is>
          <x:t xml:space="preserve">-</x:t>
        </x:is>
      </x:c>
      <x:c r="H44" s="3" t="inlineStr">
        <x:is>
          <x:t xml:space="preserve"/>
        </x:is>
      </x:c>
      <x:c r="I44" s="3" t="inlineStr">
        <x:is>
          <x:t xml:space="preserve">(Shadow probe) Even without a formal list, could we name the top 5 things we would be most worried to lose or leak?</x:t>
        </x:is>
      </x:c>
      <x:c r="J44" s="3" t="inlineStr">
        <x:is>
          <x:t xml:space="preserve">This checks whether ‘tribal knowledge’ exists that can be formalised.</x:t>
        </x:is>
      </x:c>
      <x:c r="K44" s="3" t="inlineStr">
        <x:is>
          <x:t xml:space="preserve">Shadow probe; next=EXCO-D2-Q03</x:t>
        </x:is>
      </x:c>
      <x:c r="L44" s="3" t="inlineStr">
        <x:is>
          <x:t xml:space="preserve">RISK_STD</x:t>
        </x:is>
      </x:c>
      <x:c r="M44" s="3" t="n">
        <x:v>1</x:v>
      </x:c>
      <x:c r="N44" s="3" t="n"/>
      <x:c r="O44" s="3" t="n"/>
      <x:c r="P44" s="3" t="inlineStr">
        <x:is>
          <x:t xml:space="preserve">EXCO-D2-Q02-A3</x:t>
        </x:is>
      </x:c>
      <x:c r="Q44" s="3" t="n">
        <x:v>3</x:v>
      </x:c>
      <x:c r="R44" s="3" t="inlineStr">
        <x:is>
          <x:t xml:space="preserve">Yes—there is broad agreement, but it’s not documented or mapped to systems.</x:t>
        </x:is>
      </x:c>
      <x:c r="S44" s="3" t="n">
        <x:v>2</x:v>
      </x:c>
      <x:c r="T44" s="3" t="inlineStr">
        <x:is>
          <x:t xml:space="preserve">shadow_mature_signal</x:t>
        </x:is>
      </x:c>
      <x:c r="U44" s="3" t="inlineStr">
        <x:is>
          <x:t xml:space="preserve">Shadow Mature</x:t>
        </x:is>
      </x:c>
      <x:c r="V44" s="3" t="inlineStr">
        <x:is>
          <x:t xml:space="preserve">Document_Crown_Jewels</x:t>
        </x:is>
      </x:c>
      <x:c r="W44" s="3" t="inlineStr">
        <x:is>
          <x:t xml:space="preserve">N</x:t>
        </x:is>
      </x:c>
      <x:c r="X44" s="3" t="inlineStr">
        <x:is>
          <x:t xml:space="preserve"/>
        </x:is>
      </x:c>
      <x:c r="Y44" s="6">
        <x:f>(S44*IF(E44="G",F44,0))+(S44*IF(G44="G",H44,0))</x:f>
        <x:v>0</x:v>
      </x:c>
      <x:c r="Z44" s="6">
        <x:f>(S44*IF(E44="E",F44,0))+(S44*IF(G44="E",H44,0))</x:f>
        <x:v>0</x:v>
      </x:c>
      <x:c r="AA44" s="6">
        <x:f>(S44*IF(E44="T",F44,0))+(S44*IF(G44="T",H44,0))</x:f>
        <x:v>0</x:v>
      </x:c>
      <x:c r="AB44" s="6">
        <x:f>(S44*IF(E44="L",F44,0))+(S44*IF(G44="L",H44,0))</x:f>
        <x:v>0</x:v>
      </x:c>
      <x:c r="AC44" s="6">
        <x:f>(S44*IF(E44="H",F44,0))+(S44*IF(G44="H",H44,0))</x:f>
        <x:v>0</x:v>
      </x:c>
      <x:c r="AD44" s="6">
        <x:f>(S44*IF(E44="V",F44,0))+(S44*IF(G44="V",H44,0))</x:f>
        <x:v>2</x:v>
      </x:c>
      <x:c r="AE44" s="6">
        <x:f>(S44*IF(E44="R",F44,0))+(S44*IF(G44="R",H44,0))</x:f>
        <x:v>0</x:v>
      </x:c>
      <x:c r="AF44" s="6">
        <x:f>(S44*IF(E44="F",F44,0))+(S44*IF(G44="F",H44,0))</x:f>
        <x:v>0</x:v>
      </x:c>
      <x:c r="AG44" s="6">
        <x:f>(S44*IF(E44="W",F44,0))+(S44*IF(G44="W",H44,0))</x:f>
        <x:v>0</x:v>
      </x:c>
    </x:row>
    <x:row r="45">
      <x:c r="A45" s="3" t="inlineStr">
        <x:is>
          <x:t xml:space="preserve">Executive</x:t>
        </x:is>
      </x:c>
      <x:c r="B45" s="3" t="inlineStr">
        <x:is>
          <x:t xml:space="preserve">EXCO-D2-Q02</x:t>
        </x:is>
      </x:c>
      <x:c r="C45" s="3" t="inlineStr">
        <x:is>
          <x:t xml:space="preserve">T2</x:t>
        </x:is>
      </x:c>
      <x:c r="D45" s="3" t="inlineStr">
        <x:is>
          <x:t xml:space="preserve">2. Targeting &amp; Risk</x:t>
        </x:is>
      </x:c>
      <x:c r="E45" s="3" t="inlineStr">
        <x:is>
          <x:t xml:space="preserve">V</x:t>
        </x:is>
      </x:c>
      <x:c r="F45" s="3" t="n">
        <x:v>1</x:v>
      </x:c>
      <x:c r="G45" s="3" t="inlineStr">
        <x:is>
          <x:t xml:space="preserve">-</x:t>
        </x:is>
      </x:c>
      <x:c r="H45" s="3" t="inlineStr">
        <x:is>
          <x:t xml:space="preserve"/>
        </x:is>
      </x:c>
      <x:c r="I45" s="3" t="inlineStr">
        <x:is>
          <x:t xml:space="preserve">(Shadow probe) Even without a formal list, could we name the top 5 things we would be most worried to lose or leak?</x:t>
        </x:is>
      </x:c>
      <x:c r="J45" s="3" t="inlineStr">
        <x:is>
          <x:t xml:space="preserve">This checks whether ‘tribal knowledge’ exists that can be formalised.</x:t>
        </x:is>
      </x:c>
      <x:c r="K45" s="3" t="inlineStr">
        <x:is>
          <x:t xml:space="preserve">Shadow probe; next=EXCO-D2-Q03</x:t>
        </x:is>
      </x:c>
      <x:c r="L45" s="3" t="inlineStr">
        <x:is>
          <x:t xml:space="preserve">RISK_STD</x:t>
        </x:is>
      </x:c>
      <x:c r="M45" s="3" t="n">
        <x:v>1</x:v>
      </x:c>
      <x:c r="N45" s="3" t="n"/>
      <x:c r="O45" s="3" t="n"/>
      <x:c r="P45" s="3" t="inlineStr">
        <x:is>
          <x:t xml:space="preserve">EXCO-D2-Q02-A4</x:t>
        </x:is>
      </x:c>
      <x:c r="Q45" s="3" t="n">
        <x:v>4</x:v>
      </x:c>
      <x:c r="R45" s="3" t="inlineStr">
        <x:is>
          <x:t xml:space="preserve">Yes—and we can point to where this information typically sits (key systems and repositories).</x:t>
        </x:is>
      </x:c>
      <x:c r="S45" s="3" t="n">
        <x:v>3</x:v>
      </x:c>
      <x:c r="T45" s="3" t="inlineStr">
        <x:is>
          <x:t xml:space="preserve">good_practice</x:t>
        </x:is>
      </x:c>
      <x:c r="U45" s="3" t="inlineStr">
        <x:is>
          <x:t xml:space="preserve"/>
        </x:is>
      </x:c>
      <x:c r="V45" s="3" t="inlineStr">
        <x:is>
          <x:t xml:space="preserve">Start_Mapping</x:t>
        </x:is>
      </x:c>
      <x:c r="W45" s="3" t="inlineStr">
        <x:is>
          <x:t xml:space="preserve">N</x:t>
        </x:is>
      </x:c>
      <x:c r="X45" s="3" t="inlineStr">
        <x:is>
          <x:t xml:space="preserve"/>
        </x:is>
      </x:c>
      <x:c r="Y45" s="6">
        <x:f>(S45*IF(E45="G",F45,0))+(S45*IF(G45="G",H45,0))</x:f>
        <x:v>0</x:v>
      </x:c>
      <x:c r="Z45" s="6">
        <x:f>(S45*IF(E45="E",F45,0))+(S45*IF(G45="E",H45,0))</x:f>
        <x:v>0</x:v>
      </x:c>
      <x:c r="AA45" s="6">
        <x:f>(S45*IF(E45="T",F45,0))+(S45*IF(G45="T",H45,0))</x:f>
        <x:v>0</x:v>
      </x:c>
      <x:c r="AB45" s="6">
        <x:f>(S45*IF(E45="L",F45,0))+(S45*IF(G45="L",H45,0))</x:f>
        <x:v>0</x:v>
      </x:c>
      <x:c r="AC45" s="6">
        <x:f>(S45*IF(E45="H",F45,0))+(S45*IF(G45="H",H45,0))</x:f>
        <x:v>0</x:v>
      </x:c>
      <x:c r="AD45" s="6">
        <x:f>(S45*IF(E45="V",F45,0))+(S45*IF(G45="V",H45,0))</x:f>
        <x:v>3</x:v>
      </x:c>
      <x:c r="AE45" s="6">
        <x:f>(S45*IF(E45="R",F45,0))+(S45*IF(G45="R",H45,0))</x:f>
        <x:v>0</x:v>
      </x:c>
      <x:c r="AF45" s="6">
        <x:f>(S45*IF(E45="F",F45,0))+(S45*IF(G45="F",H45,0))</x:f>
        <x:v>0</x:v>
      </x:c>
      <x:c r="AG45" s="6">
        <x:f>(S45*IF(E45="W",F45,0))+(S45*IF(G45="W",H45,0))</x:f>
        <x:v>0</x:v>
      </x:c>
    </x:row>
    <x:row r="46">
      <x:c r="A46" s="3" t="inlineStr">
        <x:is>
          <x:t xml:space="preserve">Executive</x:t>
        </x:is>
      </x:c>
      <x:c r="B46" s="3" t="inlineStr">
        <x:is>
          <x:t xml:space="preserve">EXCO-D2-Q03</x:t>
        </x:is>
      </x:c>
      <x:c r="C46" s="3" t="inlineStr">
        <x:is>
          <x:t xml:space="preserve">T2</x:t>
        </x:is>
      </x:c>
      <x:c r="D46" s="3" t="inlineStr">
        <x:is>
          <x:t xml:space="preserve">2. Targeting &amp; Risk</x:t>
        </x:is>
      </x:c>
      <x:c r="E46" s="3" t="inlineStr">
        <x:is>
          <x:t xml:space="preserve">V</x:t>
        </x:is>
      </x:c>
      <x:c r="F46" s="3" t="n">
        <x:v>0.7</x:v>
      </x:c>
      <x:c r="G46" s="3" t="inlineStr">
        <x:is>
          <x:t xml:space="preserve">E</x:t>
        </x:is>
      </x:c>
      <x:c r="H46" s="3" t="n">
        <x:v>0.3</x:v>
      </x:c>
      <x:c r="I46" s="3" t="inlineStr">
        <x:is>
          <x:t xml:space="preserve">Do we know which roles (or individuals) have unusually high access to sensitive information?</x:t>
        </x:is>
      </x:c>
      <x:c r="J46" s="3" t="inlineStr">
        <x:is>
          <x:t xml:space="preserve">Examples: admins, finance controllers, HR payroll, R&amp;D leads, M&amp;A team. The question is about *concentration of access*.</x:t>
        </x:is>
      </x:c>
      <x:c r="K46" s="3" t="inlineStr">
        <x:is>
          <x:t xml:space="preserve">Drill-down; next=EXCO-D2-Q04</x:t>
        </x:is>
      </x:c>
      <x:c r="L46" s="3" t="inlineStr">
        <x:is>
          <x:t xml:space="preserve">RISK_STD</x:t>
        </x:is>
      </x:c>
      <x:c r="M46" s="3" t="n">
        <x:v>1</x:v>
      </x:c>
      <x:c r="N46" s="3" t="n"/>
      <x:c r="O46" s="3" t="n"/>
      <x:c r="P46" s="3" t="inlineStr">
        <x:is>
          <x:t xml:space="preserve">EXCO-D2-Q03-A0</x:t>
        </x:is>
      </x:c>
      <x:c r="Q46" s="3" t="n">
        <x:v>1</x:v>
      </x:c>
      <x:c r="R46" s="3" t="inlineStr">
        <x:is>
          <x:t xml:space="preserve">I don’t know / not sure.</x:t>
        </x:is>
      </x:c>
      <x:c r="S46" s="3" t="n">
        <x:v>0</x:v>
      </x:c>
      <x:c r="T46" s="3" t="inlineStr">
        <x:is>
          <x:t xml:space="preserve">unknown</x:t>
        </x:is>
      </x:c>
      <x:c r="U46" s="3" t="inlineStr">
        <x:is>
          <x:t xml:space="preserve">Unknown</x:t>
        </x:is>
      </x:c>
      <x:c r="V46" s="3" t="inlineStr">
        <x:is>
          <x:t xml:space="preserve">Role_Mapping</x:t>
        </x:is>
      </x:c>
      <x:c r="W46" s="3" t="inlineStr">
        <x:is>
          <x:t xml:space="preserve">N</x:t>
        </x:is>
      </x:c>
      <x:c r="X46" s="3" t="inlineStr">
        <x:is>
          <x:t xml:space="preserve"/>
        </x:is>
      </x:c>
      <x:c r="Y46" s="6">
        <x:f>(S46*IF(E46="G",F46,0))+(S46*IF(G46="G",H46,0))</x:f>
        <x:v>0</x:v>
      </x:c>
      <x:c r="Z46" s="6">
        <x:f>(S46*IF(E46="E",F46,0))+(S46*IF(G46="E",H46,0))</x:f>
        <x:v>0</x:v>
      </x:c>
      <x:c r="AA46" s="6">
        <x:f>(S46*IF(E46="T",F46,0))+(S46*IF(G46="T",H46,0))</x:f>
        <x:v>0</x:v>
      </x:c>
      <x:c r="AB46" s="6">
        <x:f>(S46*IF(E46="L",F46,0))+(S46*IF(G46="L",H46,0))</x:f>
        <x:v>0</x:v>
      </x:c>
      <x:c r="AC46" s="6">
        <x:f>(S46*IF(E46="H",F46,0))+(S46*IF(G46="H",H46,0))</x:f>
        <x:v>0</x:v>
      </x:c>
      <x:c r="AD46" s="6">
        <x:f>(S46*IF(E46="V",F46,0))+(S46*IF(G46="V",H46,0))</x:f>
        <x:v>0</x:v>
      </x:c>
      <x:c r="AE46" s="6">
        <x:f>(S46*IF(E46="R",F46,0))+(S46*IF(G46="R",H46,0))</x:f>
        <x:v>0</x:v>
      </x:c>
      <x:c r="AF46" s="6">
        <x:f>(S46*IF(E46="F",F46,0))+(S46*IF(G46="F",H46,0))</x:f>
        <x:v>0</x:v>
      </x:c>
      <x:c r="AG46" s="6">
        <x:f>(S46*IF(E46="W",F46,0))+(S46*IF(G46="W",H46,0))</x:f>
        <x:v>0</x:v>
      </x:c>
    </x:row>
    <x:row r="47">
      <x:c r="A47" s="3" t="inlineStr">
        <x:is>
          <x:t xml:space="preserve">Executive</x:t>
        </x:is>
      </x:c>
      <x:c r="B47" s="3" t="inlineStr">
        <x:is>
          <x:t xml:space="preserve">EXCO-D2-Q03</x:t>
        </x:is>
      </x:c>
      <x:c r="C47" s="3" t="inlineStr">
        <x:is>
          <x:t xml:space="preserve">T2</x:t>
        </x:is>
      </x:c>
      <x:c r="D47" s="3" t="inlineStr">
        <x:is>
          <x:t xml:space="preserve">2. Targeting &amp; Risk</x:t>
        </x:is>
      </x:c>
      <x:c r="E47" s="3" t="inlineStr">
        <x:is>
          <x:t xml:space="preserve">V</x:t>
        </x:is>
      </x:c>
      <x:c r="F47" s="3" t="n">
        <x:v>0.7</x:v>
      </x:c>
      <x:c r="G47" s="3" t="inlineStr">
        <x:is>
          <x:t xml:space="preserve">E</x:t>
        </x:is>
      </x:c>
      <x:c r="H47" s="3" t="n">
        <x:v>0.3</x:v>
      </x:c>
      <x:c r="I47" s="3" t="inlineStr">
        <x:is>
          <x:t xml:space="preserve">Do we know which roles (or individuals) have unusually high access to sensitive information?</x:t>
        </x:is>
      </x:c>
      <x:c r="J47" s="3" t="inlineStr">
        <x:is>
          <x:t xml:space="preserve">Examples: admins, finance controllers, HR payroll, R&amp;D leads, M&amp;A team. The question is about *concentration of access*.</x:t>
        </x:is>
      </x:c>
      <x:c r="K47" s="3" t="inlineStr">
        <x:is>
          <x:t xml:space="preserve">Drill-down; next=EXCO-D2-Q04</x:t>
        </x:is>
      </x:c>
      <x:c r="L47" s="3" t="inlineStr">
        <x:is>
          <x:t xml:space="preserve">RISK_STD</x:t>
        </x:is>
      </x:c>
      <x:c r="M47" s="3" t="n">
        <x:v>1</x:v>
      </x:c>
      <x:c r="N47" s="3" t="n"/>
      <x:c r="O47" s="3" t="n"/>
      <x:c r="P47" s="3" t="inlineStr">
        <x:is>
          <x:t xml:space="preserve">EXCO-D2-Q03-A1</x:t>
        </x:is>
      </x:c>
      <x:c r="Q47" s="3" t="n">
        <x:v>2</x:v>
      </x:c>
      <x:c r="R47" s="3" t="inlineStr">
        <x:is>
          <x:t xml:space="preserve">No—we cannot easily see who has the ‘keys to the kingdom’.</x:t>
        </x:is>
      </x:c>
      <x:c r="S47" s="3" t="n">
        <x:v>0</x:v>
      </x:c>
      <x:c r="T47" s="3" t="inlineStr">
        <x:is>
          <x:t xml:space="preserve">visibility_gap</x:t>
        </x:is>
      </x:c>
      <x:c r="U47" s="3" t="inlineStr">
        <x:is>
          <x:t xml:space="preserve">Visibility Gap</x:t>
        </x:is>
      </x:c>
      <x:c r="V47" s="3" t="inlineStr">
        <x:is>
          <x:t xml:space="preserve">Role_Mapping</x:t>
        </x:is>
      </x:c>
      <x:c r="W47" s="3" t="inlineStr">
        <x:is>
          <x:t xml:space="preserve">N</x:t>
        </x:is>
      </x:c>
      <x:c r="X47" s="3" t="inlineStr">
        <x:is>
          <x:t xml:space="preserve"/>
        </x:is>
      </x:c>
      <x:c r="Y47" s="6">
        <x:f>(S47*IF(E47="G",F47,0))+(S47*IF(G47="G",H47,0))</x:f>
        <x:v>0</x:v>
      </x:c>
      <x:c r="Z47" s="6">
        <x:f>(S47*IF(E47="E",F47,0))+(S47*IF(G47="E",H47,0))</x:f>
        <x:v>0</x:v>
      </x:c>
      <x:c r="AA47" s="6">
        <x:f>(S47*IF(E47="T",F47,0))+(S47*IF(G47="T",H47,0))</x:f>
        <x:v>0</x:v>
      </x:c>
      <x:c r="AB47" s="6">
        <x:f>(S47*IF(E47="L",F47,0))+(S47*IF(G47="L",H47,0))</x:f>
        <x:v>0</x:v>
      </x:c>
      <x:c r="AC47" s="6">
        <x:f>(S47*IF(E47="H",F47,0))+(S47*IF(G47="H",H47,0))</x:f>
        <x:v>0</x:v>
      </x:c>
      <x:c r="AD47" s="6">
        <x:f>(S47*IF(E47="V",F47,0))+(S47*IF(G47="V",H47,0))</x:f>
        <x:v>0</x:v>
      </x:c>
      <x:c r="AE47" s="6">
        <x:f>(S47*IF(E47="R",F47,0))+(S47*IF(G47="R",H47,0))</x:f>
        <x:v>0</x:v>
      </x:c>
      <x:c r="AF47" s="6">
        <x:f>(S47*IF(E47="F",F47,0))+(S47*IF(G47="F",H47,0))</x:f>
        <x:v>0</x:v>
      </x:c>
      <x:c r="AG47" s="6">
        <x:f>(S47*IF(E47="W",F47,0))+(S47*IF(G47="W",H47,0))</x:f>
        <x:v>0</x:v>
      </x:c>
    </x:row>
    <x:row r="48">
      <x:c r="A48" s="3" t="inlineStr">
        <x:is>
          <x:t xml:space="preserve">Executive</x:t>
        </x:is>
      </x:c>
      <x:c r="B48" s="3" t="inlineStr">
        <x:is>
          <x:t xml:space="preserve">EXCO-D2-Q03</x:t>
        </x:is>
      </x:c>
      <x:c r="C48" s="3" t="inlineStr">
        <x:is>
          <x:t xml:space="preserve">T2</x:t>
        </x:is>
      </x:c>
      <x:c r="D48" s="3" t="inlineStr">
        <x:is>
          <x:t xml:space="preserve">2. Targeting &amp; Risk</x:t>
        </x:is>
      </x:c>
      <x:c r="E48" s="3" t="inlineStr">
        <x:is>
          <x:t xml:space="preserve">V</x:t>
        </x:is>
      </x:c>
      <x:c r="F48" s="3" t="n">
        <x:v>0.7</x:v>
      </x:c>
      <x:c r="G48" s="3" t="inlineStr">
        <x:is>
          <x:t xml:space="preserve">E</x:t>
        </x:is>
      </x:c>
      <x:c r="H48" s="3" t="n">
        <x:v>0.3</x:v>
      </x:c>
      <x:c r="I48" s="3" t="inlineStr">
        <x:is>
          <x:t xml:space="preserve">Do we know which roles (or individuals) have unusually high access to sensitive information?</x:t>
        </x:is>
      </x:c>
      <x:c r="J48" s="3" t="inlineStr">
        <x:is>
          <x:t xml:space="preserve">Examples: admins, finance controllers, HR payroll, R&amp;D leads, M&amp;A team. The question is about *concentration of access*.</x:t>
        </x:is>
      </x:c>
      <x:c r="K48" s="3" t="inlineStr">
        <x:is>
          <x:t xml:space="preserve">Drill-down; next=EXCO-D2-Q04</x:t>
        </x:is>
      </x:c>
      <x:c r="L48" s="3" t="inlineStr">
        <x:is>
          <x:t xml:space="preserve">RISK_STD</x:t>
        </x:is>
      </x:c>
      <x:c r="M48" s="3" t="n">
        <x:v>1</x:v>
      </x:c>
      <x:c r="N48" s="3" t="n"/>
      <x:c r="O48" s="3" t="n"/>
      <x:c r="P48" s="3" t="inlineStr">
        <x:is>
          <x:t xml:space="preserve">EXCO-D2-Q03-A2</x:t>
        </x:is>
      </x:c>
      <x:c r="Q48" s="3" t="n">
        <x:v>3</x:v>
      </x:c>
      <x:c r="R48" s="3" t="inlineStr">
        <x:is>
          <x:t xml:space="preserve">Managers know informally who the ‘key holders’ are, but there is no report or review.</x:t>
        </x:is>
      </x:c>
      <x:c r="S48" s="3" t="n">
        <x:v>1</x:v>
      </x:c>
      <x:c r="T48" s="3" t="inlineStr">
        <x:is>
          <x:t xml:space="preserve">tribal_knowledge,shadow_signal</x:t>
        </x:is>
      </x:c>
      <x:c r="U48" s="3" t="inlineStr">
        <x:is>
          <x:t xml:space="preserve">Shadow Mature</x:t>
        </x:is>
      </x:c>
      <x:c r="V48" s="3" t="inlineStr">
        <x:is>
          <x:t xml:space="preserve">Formalize_Access_Reviews</x:t>
        </x:is>
      </x:c>
      <x:c r="W48" s="3" t="inlineStr">
        <x:is>
          <x:t xml:space="preserve">N</x:t>
        </x:is>
      </x:c>
      <x:c r="X48" s="3" t="inlineStr">
        <x:is>
          <x:t xml:space="preserve"/>
        </x:is>
      </x:c>
      <x:c r="Y48" s="6">
        <x:f>(S48*IF(E48="G",F48,0))+(S48*IF(G48="G",H48,0))</x:f>
        <x:v>0</x:v>
      </x:c>
      <x:c r="Z48" s="6">
        <x:f>(S48*IF(E48="E",F48,0))+(S48*IF(G48="E",H48,0))</x:f>
        <x:v>0.3</x:v>
      </x:c>
      <x:c r="AA48" s="6">
        <x:f>(S48*IF(E48="T",F48,0))+(S48*IF(G48="T",H48,0))</x:f>
        <x:v>0</x:v>
      </x:c>
      <x:c r="AB48" s="6">
        <x:f>(S48*IF(E48="L",F48,0))+(S48*IF(G48="L",H48,0))</x:f>
        <x:v>0</x:v>
      </x:c>
      <x:c r="AC48" s="6">
        <x:f>(S48*IF(E48="H",F48,0))+(S48*IF(G48="H",H48,0))</x:f>
        <x:v>0</x:v>
      </x:c>
      <x:c r="AD48" s="6">
        <x:f>(S48*IF(E48="V",F48,0))+(S48*IF(G48="V",H48,0))</x:f>
        <x:v>0.7</x:v>
      </x:c>
      <x:c r="AE48" s="6">
        <x:f>(S48*IF(E48="R",F48,0))+(S48*IF(G48="R",H48,0))</x:f>
        <x:v>0</x:v>
      </x:c>
      <x:c r="AF48" s="6">
        <x:f>(S48*IF(E48="F",F48,0))+(S48*IF(G48="F",H48,0))</x:f>
        <x:v>0</x:v>
      </x:c>
      <x:c r="AG48" s="6">
        <x:f>(S48*IF(E48="W",F48,0))+(S48*IF(G48="W",H48,0))</x:f>
        <x:v>0</x:v>
      </x:c>
    </x:row>
    <x:row r="49">
      <x:c r="A49" s="3" t="inlineStr">
        <x:is>
          <x:t xml:space="preserve">Executive</x:t>
        </x:is>
      </x:c>
      <x:c r="B49" s="3" t="inlineStr">
        <x:is>
          <x:t xml:space="preserve">EXCO-D2-Q03</x:t>
        </x:is>
      </x:c>
      <x:c r="C49" s="3" t="inlineStr">
        <x:is>
          <x:t xml:space="preserve">T2</x:t>
        </x:is>
      </x:c>
      <x:c r="D49" s="3" t="inlineStr">
        <x:is>
          <x:t xml:space="preserve">2. Targeting &amp; Risk</x:t>
        </x:is>
      </x:c>
      <x:c r="E49" s="3" t="inlineStr">
        <x:is>
          <x:t xml:space="preserve">V</x:t>
        </x:is>
      </x:c>
      <x:c r="F49" s="3" t="n">
        <x:v>0.7</x:v>
      </x:c>
      <x:c r="G49" s="3" t="inlineStr">
        <x:is>
          <x:t xml:space="preserve">E</x:t>
        </x:is>
      </x:c>
      <x:c r="H49" s="3" t="n">
        <x:v>0.3</x:v>
      </x:c>
      <x:c r="I49" s="3" t="inlineStr">
        <x:is>
          <x:t xml:space="preserve">Do we know which roles (or individuals) have unusually high access to sensitive information?</x:t>
        </x:is>
      </x:c>
      <x:c r="J49" s="3" t="inlineStr">
        <x:is>
          <x:t xml:space="preserve">Examples: admins, finance controllers, HR payroll, R&amp;D leads, M&amp;A team. The question is about *concentration of access*.</x:t>
        </x:is>
      </x:c>
      <x:c r="K49" s="3" t="inlineStr">
        <x:is>
          <x:t xml:space="preserve">Drill-down; next=EXCO-D2-Q04</x:t>
        </x:is>
      </x:c>
      <x:c r="L49" s="3" t="inlineStr">
        <x:is>
          <x:t xml:space="preserve">RISK_STD</x:t>
        </x:is>
      </x:c>
      <x:c r="M49" s="3" t="n">
        <x:v>1</x:v>
      </x:c>
      <x:c r="N49" s="3" t="n"/>
      <x:c r="O49" s="3" t="n"/>
      <x:c r="P49" s="3" t="inlineStr">
        <x:is>
          <x:t xml:space="preserve">EXCO-D2-Q03-A3</x:t>
        </x:is>
      </x:c>
      <x:c r="Q49" s="3" t="n">
        <x:v>4</x:v>
      </x:c>
      <x:c r="R49" s="3" t="inlineStr">
        <x:is>
          <x:t xml:space="preserve">We can identify privileged roles in IT, but not high-access roles in the business.</x:t>
        </x:is>
      </x:c>
      <x:c r="S49" s="3" t="n">
        <x:v>2</x:v>
      </x:c>
      <x:c r="T49" s="3" t="inlineStr">
        <x:is>
          <x:t xml:space="preserve">partial_visibility</x:t>
        </x:is>
      </x:c>
      <x:c r="U49" s="3" t="inlineStr">
        <x:is>
          <x:t xml:space="preserve">Visibility Gap</x:t>
        </x:is>
      </x:c>
      <x:c r="V49" s="3" t="inlineStr">
        <x:is>
          <x:t xml:space="preserve">Expand_Role_Mapping</x:t>
        </x:is>
      </x:c>
      <x:c r="W49" s="3" t="inlineStr">
        <x:is>
          <x:t xml:space="preserve">N</x:t>
        </x:is>
      </x:c>
      <x:c r="X49" s="3" t="inlineStr">
        <x:is>
          <x:t xml:space="preserve"/>
        </x:is>
      </x:c>
      <x:c r="Y49" s="6">
        <x:f>(S49*IF(E49="G",F49,0))+(S49*IF(G49="G",H49,0))</x:f>
        <x:v>0</x:v>
      </x:c>
      <x:c r="Z49" s="6">
        <x:f>(S49*IF(E49="E",F49,0))+(S49*IF(G49="E",H49,0))</x:f>
        <x:v>0.6</x:v>
      </x:c>
      <x:c r="AA49" s="6">
        <x:f>(S49*IF(E49="T",F49,0))+(S49*IF(G49="T",H49,0))</x:f>
        <x:v>0</x:v>
      </x:c>
      <x:c r="AB49" s="6">
        <x:f>(S49*IF(E49="L",F49,0))+(S49*IF(G49="L",H49,0))</x:f>
        <x:v>0</x:v>
      </x:c>
      <x:c r="AC49" s="6">
        <x:f>(S49*IF(E49="H",F49,0))+(S49*IF(G49="H",H49,0))</x:f>
        <x:v>0</x:v>
      </x:c>
      <x:c r="AD49" s="6">
        <x:f>(S49*IF(E49="V",F49,0))+(S49*IF(G49="V",H49,0))</x:f>
        <x:v>1.4</x:v>
      </x:c>
      <x:c r="AE49" s="6">
        <x:f>(S49*IF(E49="R",F49,0))+(S49*IF(G49="R",H49,0))</x:f>
        <x:v>0</x:v>
      </x:c>
      <x:c r="AF49" s="6">
        <x:f>(S49*IF(E49="F",F49,0))+(S49*IF(G49="F",H49,0))</x:f>
        <x:v>0</x:v>
      </x:c>
      <x:c r="AG49" s="6">
        <x:f>(S49*IF(E49="W",F49,0))+(S49*IF(G49="W",H49,0))</x:f>
        <x:v>0</x:v>
      </x:c>
    </x:row>
    <x:row r="50">
      <x:c r="A50" s="3" t="inlineStr">
        <x:is>
          <x:t xml:space="preserve">Executive</x:t>
        </x:is>
      </x:c>
      <x:c r="B50" s="3" t="inlineStr">
        <x:is>
          <x:t xml:space="preserve">EXCO-D2-Q03</x:t>
        </x:is>
      </x:c>
      <x:c r="C50" s="3" t="inlineStr">
        <x:is>
          <x:t xml:space="preserve">T2</x:t>
        </x:is>
      </x:c>
      <x:c r="D50" s="3" t="inlineStr">
        <x:is>
          <x:t xml:space="preserve">2. Targeting &amp; Risk</x:t>
        </x:is>
      </x:c>
      <x:c r="E50" s="3" t="inlineStr">
        <x:is>
          <x:t xml:space="preserve">V</x:t>
        </x:is>
      </x:c>
      <x:c r="F50" s="3" t="n">
        <x:v>0.7</x:v>
      </x:c>
      <x:c r="G50" s="3" t="inlineStr">
        <x:is>
          <x:t xml:space="preserve">E</x:t>
        </x:is>
      </x:c>
      <x:c r="H50" s="3" t="n">
        <x:v>0.3</x:v>
      </x:c>
      <x:c r="I50" s="3" t="inlineStr">
        <x:is>
          <x:t xml:space="preserve">Do we know which roles (or individuals) have unusually high access to sensitive information?</x:t>
        </x:is>
      </x:c>
      <x:c r="J50" s="3" t="inlineStr">
        <x:is>
          <x:t xml:space="preserve">Examples: admins, finance controllers, HR payroll, R&amp;D leads, M&amp;A team. The question is about *concentration of access*.</x:t>
        </x:is>
      </x:c>
      <x:c r="K50" s="3" t="inlineStr">
        <x:is>
          <x:t xml:space="preserve">Drill-down; next=EXCO-D2-Q04</x:t>
        </x:is>
      </x:c>
      <x:c r="L50" s="3" t="inlineStr">
        <x:is>
          <x:t xml:space="preserve">RISK_STD</x:t>
        </x:is>
      </x:c>
      <x:c r="M50" s="3" t="n">
        <x:v>1</x:v>
      </x:c>
      <x:c r="N50" s="3" t="n"/>
      <x:c r="O50" s="3" t="n"/>
      <x:c r="P50" s="3" t="inlineStr">
        <x:is>
          <x:t xml:space="preserve">EXCO-D2-Q03-A4</x:t>
        </x:is>
      </x:c>
      <x:c r="Q50" s="3" t="n">
        <x:v>5</x:v>
      </x:c>
      <x:c r="R50" s="3" t="inlineStr">
        <x:is>
          <x:t xml:space="preserve">We regularly review high-access roles across IT and business functions.</x:t>
        </x:is>
      </x:c>
      <x:c r="S50" s="3" t="n">
        <x:v>3</x:v>
      </x:c>
      <x:c r="T50" s="3" t="inlineStr">
        <x:is>
          <x:t xml:space="preserve">good_practice</x:t>
        </x:is>
      </x:c>
      <x:c r="U50" s="3" t="inlineStr">
        <x:is>
          <x:t xml:space="preserve"/>
        </x:is>
      </x:c>
      <x:c r="V50" s="3" t="inlineStr">
        <x:is>
          <x:t xml:space="preserve">Request_Evidence</x:t>
        </x:is>
      </x:c>
      <x:c r="W50" s="3" t="inlineStr">
        <x:is>
          <x:t xml:space="preserve">Y</x:t>
        </x:is>
      </x:c>
      <x:c r="X50" s="3" t="inlineStr">
        <x:is>
          <x:t xml:space="preserve">Provide latest high-access roles review output.</x:t>
        </x:is>
      </x:c>
      <x:c r="Y50" s="6">
        <x:f>(S50*IF(E50="G",F50,0))+(S50*IF(G50="G",H50,0))</x:f>
        <x:v>0</x:v>
      </x:c>
      <x:c r="Z50" s="6">
        <x:f>(S50*IF(E50="E",F50,0))+(S50*IF(G50="E",H50,0))</x:f>
        <x:v>0.8999999999999999</x:v>
      </x:c>
      <x:c r="AA50" s="6">
        <x:f>(S50*IF(E50="T",F50,0))+(S50*IF(G50="T",H50,0))</x:f>
        <x:v>0</x:v>
      </x:c>
      <x:c r="AB50" s="6">
        <x:f>(S50*IF(E50="L",F50,0))+(S50*IF(G50="L",H50,0))</x:f>
        <x:v>0</x:v>
      </x:c>
      <x:c r="AC50" s="6">
        <x:f>(S50*IF(E50="H",F50,0))+(S50*IF(G50="H",H50,0))</x:f>
        <x:v>0</x:v>
      </x:c>
      <x:c r="AD50" s="6">
        <x:f>(S50*IF(E50="V",F50,0))+(S50*IF(G50="V",H50,0))</x:f>
        <x:v>2.0999999999999996</x:v>
      </x:c>
      <x:c r="AE50" s="6">
        <x:f>(S50*IF(E50="R",F50,0))+(S50*IF(G50="R",H50,0))</x:f>
        <x:v>0</x:v>
      </x:c>
      <x:c r="AF50" s="6">
        <x:f>(S50*IF(E50="F",F50,0))+(S50*IF(G50="F",H50,0))</x:f>
        <x:v>0</x:v>
      </x:c>
      <x:c r="AG50" s="6">
        <x:f>(S50*IF(E50="W",F50,0))+(S50*IF(G50="W",H50,0))</x:f>
        <x:v>0</x:v>
      </x:c>
    </x:row>
    <x:row r="51">
      <x:c r="A51" s="3" t="inlineStr">
        <x:is>
          <x:t xml:space="preserve">Executive</x:t>
        </x:is>
      </x:c>
      <x:c r="B51" s="3" t="inlineStr">
        <x:is>
          <x:t xml:space="preserve">EXCO-D2-Q03</x:t>
        </x:is>
      </x:c>
      <x:c r="C51" s="3" t="inlineStr">
        <x:is>
          <x:t xml:space="preserve">T2</x:t>
        </x:is>
      </x:c>
      <x:c r="D51" s="3" t="inlineStr">
        <x:is>
          <x:t xml:space="preserve">2. Targeting &amp; Risk</x:t>
        </x:is>
      </x:c>
      <x:c r="E51" s="3" t="inlineStr">
        <x:is>
          <x:t xml:space="preserve">V</x:t>
        </x:is>
      </x:c>
      <x:c r="F51" s="3" t="n">
        <x:v>0.7</x:v>
      </x:c>
      <x:c r="G51" s="3" t="inlineStr">
        <x:is>
          <x:t xml:space="preserve">E</x:t>
        </x:is>
      </x:c>
      <x:c r="H51" s="3" t="n">
        <x:v>0.3</x:v>
      </x:c>
      <x:c r="I51" s="3" t="inlineStr">
        <x:is>
          <x:t xml:space="preserve">Do we know which roles (or individuals) have unusually high access to sensitive information?</x:t>
        </x:is>
      </x:c>
      <x:c r="J51" s="3" t="inlineStr">
        <x:is>
          <x:t xml:space="preserve">Examples: admins, finance controllers, HR payroll, R&amp;D leads, M&amp;A team. The question is about *concentration of access*.</x:t>
        </x:is>
      </x:c>
      <x:c r="K51" s="3" t="inlineStr">
        <x:is>
          <x:t xml:space="preserve">Drill-down; next=EXCO-D2-Q04</x:t>
        </x:is>
      </x:c>
      <x:c r="L51" s="3" t="inlineStr">
        <x:is>
          <x:t xml:space="preserve">RISK_STD</x:t>
        </x:is>
      </x:c>
      <x:c r="M51" s="3" t="n">
        <x:v>1</x:v>
      </x:c>
      <x:c r="N51" s="3" t="n"/>
      <x:c r="O51" s="3" t="n"/>
      <x:c r="P51" s="3" t="inlineStr">
        <x:is>
          <x:t xml:space="preserve">EXCO-D2-Q03-A5</x:t>
        </x:is>
      </x:c>
      <x:c r="Q51" s="3" t="n">
        <x:v>6</x:v>
      </x:c>
      <x:c r="R51" s="3" t="inlineStr">
        <x:is>
          <x:t xml:space="preserve">High-access roles are continuously monitored with defined thresholds and exceptions tracked.</x:t>
        </x:is>
      </x:c>
      <x:c r="S51" s="3" t="n">
        <x:v>4</x:v>
      </x:c>
      <x:c r="T51" s="3" t="inlineStr">
        <x:is>
          <x:t xml:space="preserve">optimized</x:t>
        </x:is>
      </x:c>
      <x:c r="U51" s="3" t="inlineStr">
        <x:is>
          <x:t xml:space="preserve"/>
        </x:is>
      </x:c>
      <x:c r="V51" s="3" t="inlineStr">
        <x:is>
          <x:t xml:space="preserve">Request_Evidence</x:t>
        </x:is>
      </x:c>
      <x:c r="W51" s="3" t="inlineStr">
        <x:is>
          <x:t xml:space="preserve">Y</x:t>
        </x:is>
      </x:c>
      <x:c r="X51" s="3" t="inlineStr">
        <x:is>
          <x:t xml:space="preserve"/>
        </x:is>
      </x:c>
      <x:c r="Y51" s="6">
        <x:f>(S51*IF(E51="G",F51,0))+(S51*IF(G51="G",H51,0))</x:f>
      </x:c>
      <x:c r="Z51" s="6">
        <x:f>(S51*IF(E51="E",F51,0))+(S51*IF(G51="E",H51,0))</x:f>
      </x:c>
      <x:c r="AA51" s="6">
        <x:f>(S51*IF(E51="T",F51,0))+(S51*IF(G51="T",H51,0))</x:f>
      </x:c>
      <x:c r="AB51" s="6">
        <x:f>(S51*IF(E51="L",F51,0))+(S51*IF(G51="L",H51,0))</x:f>
      </x:c>
      <x:c r="AC51" s="6">
        <x:f>(S51*IF(E51="H",F51,0))+(S51*IF(G51="H",H51,0))</x:f>
      </x:c>
      <x:c r="AD51" s="6">
        <x:f>(S51*IF(E51="V",F51,0))+(S51*IF(G51="V",H51,0))</x:f>
      </x:c>
      <x:c r="AE51" s="6">
        <x:f>(S51*IF(E51="R",F51,0))+(S51*IF(G51="R",H51,0))</x:f>
      </x:c>
      <x:c r="AF51" s="6">
        <x:f>(S51*IF(E51="F",F51,0))+(S51*IF(G51="F",H51,0))</x:f>
      </x:c>
      <x:c r="AG51" s="6">
        <x:f>(S51*IF(E51="W",F51,0))+(S51*IF(G51="W",H51,0))</x:f>
      </x:c>
    </x:row>
    <x:row r="52">
      <x:c r="A52" s="3" t="inlineStr">
        <x:is>
          <x:t xml:space="preserve">Executive</x:t>
        </x:is>
      </x:c>
      <x:c r="B52" s="3" t="inlineStr">
        <x:is>
          <x:t xml:space="preserve">EXCO-D2-Q04</x:t>
        </x:is>
      </x:c>
      <x:c r="C52" s="3" t="inlineStr">
        <x:is>
          <x:t xml:space="preserve">T2</x:t>
        </x:is>
      </x:c>
      <x:c r="D52" s="3" t="inlineStr">
        <x:is>
          <x:t xml:space="preserve">2. Targeting &amp; Risk</x:t>
        </x:is>
      </x:c>
      <x:c r="E52" s="3" t="inlineStr">
        <x:is>
          <x:t xml:space="preserve">V</x:t>
        </x:is>
      </x:c>
      <x:c r="F52" s="3" t="n">
        <x:v>0.6</x:v>
      </x:c>
      <x:c r="G52" s="3" t="inlineStr">
        <x:is>
          <x:t xml:space="preserve">R</x:t>
        </x:is>
      </x:c>
      <x:c r="H52" s="3" t="n">
        <x:v>0.4</x:v>
      </x:c>
      <x:c r="I52" s="3" t="inlineStr">
        <x:is>
          <x:t xml:space="preserve">Do we have a short list of insider scenarios we care about (e.g., data theft, sabotage, fraud) and have we tested them?</x:t>
        </x:is>
      </x:c>
      <x:c r="J52" s="3" t="inlineStr">
        <x:is>
          <x:t xml:space="preserve">Plain examples: someone emailing customer list, deleting cloud backups, copying engineering files, abusing admin rights, misuse of payroll.</x:t>
        </x:is>
      </x:c>
      <x:c r="K52" s="3" t="inlineStr">
        <x:is>
          <x:t xml:space="preserve">Gatekeeper; if BaseScore&lt;2 -&gt; next=EXCO-D2-Q05; else next=EXCO-D2-Q06</x:t>
        </x:is>
      </x:c>
      <x:c r="L52" s="3" t="inlineStr">
        <x:is>
          <x:t xml:space="preserve">RISK_STD</x:t>
        </x:is>
      </x:c>
      <x:c r="M52" s="3" t="n">
        <x:v>1</x:v>
      </x:c>
      <x:c r="N52" s="3" t="n"/>
      <x:c r="O52" s="3" t="n"/>
      <x:c r="P52" s="3" t="inlineStr">
        <x:is>
          <x:t xml:space="preserve">EXCO-D2-Q04-A0</x:t>
        </x:is>
      </x:c>
      <x:c r="Q52" s="3" t="n">
        <x:v>1</x:v>
      </x:c>
      <x:c r="R52" s="3" t="inlineStr">
        <x:is>
          <x:t xml:space="preserve">I don’t know / not sure.</x:t>
        </x:is>
      </x:c>
      <x:c r="S52" s="3" t="n">
        <x:v>0</x:v>
      </x:c>
      <x:c r="T52" s="3" t="inlineStr">
        <x:is>
          <x:t xml:space="preserve">unknown</x:t>
        </x:is>
      </x:c>
      <x:c r="U52" s="3" t="inlineStr">
        <x:is>
          <x:t xml:space="preserve">Unknown</x:t>
        </x:is>
      </x:c>
      <x:c r="V52" s="3" t="inlineStr">
        <x:is>
          <x:t xml:space="preserve">Create_Scenarios</x:t>
        </x:is>
      </x:c>
      <x:c r="W52" s="3" t="inlineStr">
        <x:is>
          <x:t xml:space="preserve">N</x:t>
        </x:is>
      </x:c>
      <x:c r="X52" s="3" t="inlineStr">
        <x:is>
          <x:t xml:space="preserve"/>
        </x:is>
      </x:c>
      <x:c r="Y52" s="6">
        <x:f>(S52*IF(E52="G",F52,0))+(S52*IF(G52="G",H52,0))</x:f>
      </x:c>
      <x:c r="Z52" s="6">
        <x:f>(S52*IF(E52="E",F52,0))+(S52*IF(G52="E",H52,0))</x:f>
      </x:c>
      <x:c r="AA52" s="6">
        <x:f>(S52*IF(E52="T",F52,0))+(S52*IF(G52="T",H52,0))</x:f>
      </x:c>
      <x:c r="AB52" s="6">
        <x:f>(S52*IF(E52="L",F52,0))+(S52*IF(G52="L",H52,0))</x:f>
      </x:c>
      <x:c r="AC52" s="6">
        <x:f>(S52*IF(E52="H",F52,0))+(S52*IF(G52="H",H52,0))</x:f>
      </x:c>
      <x:c r="AD52" s="6">
        <x:f>(S52*IF(E52="V",F52,0))+(S52*IF(G52="V",H52,0))</x:f>
      </x:c>
      <x:c r="AE52" s="6">
        <x:f>(S52*IF(E52="R",F52,0))+(S52*IF(G52="R",H52,0))</x:f>
      </x:c>
      <x:c r="AF52" s="6">
        <x:f>(S52*IF(E52="F",F52,0))+(S52*IF(G52="F",H52,0))</x:f>
      </x:c>
      <x:c r="AG52" s="6">
        <x:f>(S52*IF(E52="W",F52,0))+(S52*IF(G52="W",H52,0))</x:f>
      </x:c>
    </x:row>
    <x:row r="53">
      <x:c r="A53" s="3" t="inlineStr">
        <x:is>
          <x:t xml:space="preserve">Executive</x:t>
        </x:is>
      </x:c>
      <x:c r="B53" s="3" t="inlineStr">
        <x:is>
          <x:t xml:space="preserve">EXCO-D2-Q04</x:t>
        </x:is>
      </x:c>
      <x:c r="C53" s="3" t="inlineStr">
        <x:is>
          <x:t xml:space="preserve">T2</x:t>
        </x:is>
      </x:c>
      <x:c r="D53" s="3" t="inlineStr">
        <x:is>
          <x:t xml:space="preserve">2. Targeting &amp; Risk</x:t>
        </x:is>
      </x:c>
      <x:c r="E53" s="3" t="inlineStr">
        <x:is>
          <x:t xml:space="preserve">V</x:t>
        </x:is>
      </x:c>
      <x:c r="F53" s="3" t="n">
        <x:v>0.6</x:v>
      </x:c>
      <x:c r="G53" s="3" t="inlineStr">
        <x:is>
          <x:t xml:space="preserve">R</x:t>
        </x:is>
      </x:c>
      <x:c r="H53" s="3" t="n">
        <x:v>0.4</x:v>
      </x:c>
      <x:c r="I53" s="3" t="inlineStr">
        <x:is>
          <x:t xml:space="preserve">Do we have a short list of insider scenarios we care about (e.g., data theft, sabotage, fraud) and have we tested them?</x:t>
        </x:is>
      </x:c>
      <x:c r="J53" s="3" t="inlineStr">
        <x:is>
          <x:t xml:space="preserve">Plain examples: someone emailing customer list, deleting cloud backups, copying engineering files, abusing admin rights, misuse of payroll.</x:t>
        </x:is>
      </x:c>
      <x:c r="K53" s="3" t="inlineStr">
        <x:is>
          <x:t xml:space="preserve">Gatekeeper; if BaseScore&lt;2 -&gt; next=EXCO-D2-Q05; else next=EXCO-D2-Q06</x:t>
        </x:is>
      </x:c>
      <x:c r="L53" s="3" t="inlineStr">
        <x:is>
          <x:t xml:space="preserve">RISK_STD</x:t>
        </x:is>
      </x:c>
      <x:c r="M53" s="3" t="n">
        <x:v>1</x:v>
      </x:c>
      <x:c r="N53" s="3" t="n"/>
      <x:c r="O53" s="3" t="n"/>
      <x:c r="P53" s="3" t="inlineStr">
        <x:is>
          <x:t xml:space="preserve">EXCO-D2-Q04-A1</x:t>
        </x:is>
      </x:c>
      <x:c r="Q53" s="3" t="n">
        <x:v>2</x:v>
      </x:c>
      <x:c r="R53" s="3" t="inlineStr">
        <x:is>
          <x:t xml:space="preserve">No—we don’t have scenario thinking for insider events.</x:t>
        </x:is>
      </x:c>
      <x:c r="S53" s="3" t="n">
        <x:v>0</x:v>
      </x:c>
      <x:c r="T53" s="3" t="inlineStr">
        <x:is>
          <x:t xml:space="preserve">foundational_gap</x:t>
        </x:is>
      </x:c>
      <x:c r="U53" s="3" t="inlineStr">
        <x:is>
          <x:t xml:space="preserve">Resilience Gap</x:t>
        </x:is>
      </x:c>
      <x:c r="V53" s="3" t="inlineStr">
        <x:is>
          <x:t xml:space="preserve">Create_Scenarios</x:t>
        </x:is>
      </x:c>
      <x:c r="W53" s="3" t="inlineStr">
        <x:is>
          <x:t xml:space="preserve">N</x:t>
        </x:is>
      </x:c>
      <x:c r="X53" s="3" t="inlineStr">
        <x:is>
          <x:t xml:space="preserve"/>
        </x:is>
      </x:c>
      <x:c r="Y53" s="6">
        <x:f>(S53*IF(E53="G",F53,0))+(S53*IF(G53="G",H53,0))</x:f>
      </x:c>
      <x:c r="Z53" s="6">
        <x:f>(S53*IF(E53="E",F53,0))+(S53*IF(G53="E",H53,0))</x:f>
      </x:c>
      <x:c r="AA53" s="6">
        <x:f>(S53*IF(E53="T",F53,0))+(S53*IF(G53="T",H53,0))</x:f>
      </x:c>
      <x:c r="AB53" s="6">
        <x:f>(S53*IF(E53="L",F53,0))+(S53*IF(G53="L",H53,0))</x:f>
      </x:c>
      <x:c r="AC53" s="6">
        <x:f>(S53*IF(E53="H",F53,0))+(S53*IF(G53="H",H53,0))</x:f>
      </x:c>
      <x:c r="AD53" s="6">
        <x:f>(S53*IF(E53="V",F53,0))+(S53*IF(G53="V",H53,0))</x:f>
      </x:c>
      <x:c r="AE53" s="6">
        <x:f>(S53*IF(E53="R",F53,0))+(S53*IF(G53="R",H53,0))</x:f>
      </x:c>
      <x:c r="AF53" s="6">
        <x:f>(S53*IF(E53="F",F53,0))+(S53*IF(G53="F",H53,0))</x:f>
      </x:c>
      <x:c r="AG53" s="6">
        <x:f>(S53*IF(E53="W",F53,0))+(S53*IF(G53="W",H53,0))</x:f>
      </x:c>
    </x:row>
    <x:row r="54">
      <x:c r="A54" s="3" t="inlineStr">
        <x:is>
          <x:t xml:space="preserve">Executive</x:t>
        </x:is>
      </x:c>
      <x:c r="B54" s="3" t="inlineStr">
        <x:is>
          <x:t xml:space="preserve">EXCO-D2-Q04</x:t>
        </x:is>
      </x:c>
      <x:c r="C54" s="3" t="inlineStr">
        <x:is>
          <x:t xml:space="preserve">T2</x:t>
        </x:is>
      </x:c>
      <x:c r="D54" s="3" t="inlineStr">
        <x:is>
          <x:t xml:space="preserve">2. Targeting &amp; Risk</x:t>
        </x:is>
      </x:c>
      <x:c r="E54" s="3" t="inlineStr">
        <x:is>
          <x:t xml:space="preserve">V</x:t>
        </x:is>
      </x:c>
      <x:c r="F54" s="3" t="n">
        <x:v>0.6</x:v>
      </x:c>
      <x:c r="G54" s="3" t="inlineStr">
        <x:is>
          <x:t xml:space="preserve">R</x:t>
        </x:is>
      </x:c>
      <x:c r="H54" s="3" t="n">
        <x:v>0.4</x:v>
      </x:c>
      <x:c r="I54" s="3" t="inlineStr">
        <x:is>
          <x:t xml:space="preserve">Do we have a short list of insider scenarios we care about (e.g., data theft, sabotage, fraud) and have we tested them?</x:t>
        </x:is>
      </x:c>
      <x:c r="J54" s="3" t="inlineStr">
        <x:is>
          <x:t xml:space="preserve">Plain examples: someone emailing customer list, deleting cloud backups, copying engineering files, abusing admin rights, misuse of payroll.</x:t>
        </x:is>
      </x:c>
      <x:c r="K54" s="3" t="inlineStr">
        <x:is>
          <x:t xml:space="preserve">Gatekeeper; if BaseScore&lt;2 -&gt; next=EXCO-D2-Q05; else next=EXCO-D2-Q06</x:t>
        </x:is>
      </x:c>
      <x:c r="L54" s="3" t="inlineStr">
        <x:is>
          <x:t xml:space="preserve">RISK_STD</x:t>
        </x:is>
      </x:c>
      <x:c r="M54" s="3" t="n">
        <x:v>1</x:v>
      </x:c>
      <x:c r="N54" s="3" t="n"/>
      <x:c r="O54" s="3" t="n"/>
      <x:c r="P54" s="3" t="inlineStr">
        <x:is>
          <x:t xml:space="preserve">EXCO-D2-Q04-A2</x:t>
        </x:is>
      </x:c>
      <x:c r="Q54" s="3" t="n">
        <x:v>3</x:v>
      </x:c>
      <x:c r="R54" s="3" t="inlineStr">
        <x:is>
          <x:t xml:space="preserve">People discuss ‘what-if’ risks informally, but nothing is documented or tested.</x:t>
        </x:is>
      </x:c>
      <x:c r="S54" s="3" t="n">
        <x:v>1</x:v>
      </x:c>
      <x:c r="T54" s="3" t="inlineStr">
        <x:is>
          <x:t xml:space="preserve">shadow_signal</x:t>
        </x:is>
      </x:c>
      <x:c r="U54" s="3" t="inlineStr">
        <x:is>
          <x:t xml:space="preserve">Shadow Mature</x:t>
        </x:is>
      </x:c>
      <x:c r="V54" s="3" t="inlineStr">
        <x:is>
          <x:t xml:space="preserve">Document_Scenarios</x:t>
        </x:is>
      </x:c>
      <x:c r="W54" s="3" t="inlineStr">
        <x:is>
          <x:t xml:space="preserve">N</x:t>
        </x:is>
      </x:c>
      <x:c r="X54" s="3" t="inlineStr">
        <x:is>
          <x:t xml:space="preserve"/>
        </x:is>
      </x:c>
      <x:c r="Y54" s="6">
        <x:f>(S54*IF(E54="G",F54,0))+(S54*IF(G54="G",H54,0))</x:f>
      </x:c>
      <x:c r="Z54" s="6">
        <x:f>(S54*IF(E54="E",F54,0))+(S54*IF(G54="E",H54,0))</x:f>
      </x:c>
      <x:c r="AA54" s="6">
        <x:f>(S54*IF(E54="T",F54,0))+(S54*IF(G54="T",H54,0))</x:f>
      </x:c>
      <x:c r="AB54" s="6">
        <x:f>(S54*IF(E54="L",F54,0))+(S54*IF(G54="L",H54,0))</x:f>
      </x:c>
      <x:c r="AC54" s="6">
        <x:f>(S54*IF(E54="H",F54,0))+(S54*IF(G54="H",H54,0))</x:f>
      </x:c>
      <x:c r="AD54" s="6">
        <x:f>(S54*IF(E54="V",F54,0))+(S54*IF(G54="V",H54,0))</x:f>
      </x:c>
      <x:c r="AE54" s="6">
        <x:f>(S54*IF(E54="R",F54,0))+(S54*IF(G54="R",H54,0))</x:f>
      </x:c>
      <x:c r="AF54" s="6">
        <x:f>(S54*IF(E54="F",F54,0))+(S54*IF(G54="F",H54,0))</x:f>
      </x:c>
      <x:c r="AG54" s="6">
        <x:f>(S54*IF(E54="W",F54,0))+(S54*IF(G54="W",H54,0))</x:f>
      </x:c>
    </x:row>
    <x:row r="55">
      <x:c r="A55" s="3" t="inlineStr">
        <x:is>
          <x:t xml:space="preserve">Executive</x:t>
        </x:is>
      </x:c>
      <x:c r="B55" s="3" t="inlineStr">
        <x:is>
          <x:t xml:space="preserve">EXCO-D2-Q04</x:t>
        </x:is>
      </x:c>
      <x:c r="C55" s="3" t="inlineStr">
        <x:is>
          <x:t xml:space="preserve">T2</x:t>
        </x:is>
      </x:c>
      <x:c r="D55" s="3" t="inlineStr">
        <x:is>
          <x:t xml:space="preserve">2. Targeting &amp; Risk</x:t>
        </x:is>
      </x:c>
      <x:c r="E55" s="3" t="inlineStr">
        <x:is>
          <x:t xml:space="preserve">V</x:t>
        </x:is>
      </x:c>
      <x:c r="F55" s="3" t="n">
        <x:v>0.6</x:v>
      </x:c>
      <x:c r="G55" s="3" t="inlineStr">
        <x:is>
          <x:t xml:space="preserve">R</x:t>
        </x:is>
      </x:c>
      <x:c r="H55" s="3" t="n">
        <x:v>0.4</x:v>
      </x:c>
      <x:c r="I55" s="3" t="inlineStr">
        <x:is>
          <x:t xml:space="preserve">Do we have a short list of insider scenarios we care about (e.g., data theft, sabotage, fraud) and have we tested them?</x:t>
        </x:is>
      </x:c>
      <x:c r="J55" s="3" t="inlineStr">
        <x:is>
          <x:t xml:space="preserve">Plain examples: someone emailing customer list, deleting cloud backups, copying engineering files, abusing admin rights, misuse of payroll.</x:t>
        </x:is>
      </x:c>
      <x:c r="K55" s="3" t="inlineStr">
        <x:is>
          <x:t xml:space="preserve">Gatekeeper; if BaseScore&lt;2 -&gt; next=EXCO-D2-Q05; else next=EXCO-D2-Q06</x:t>
        </x:is>
      </x:c>
      <x:c r="L55" s="3" t="inlineStr">
        <x:is>
          <x:t xml:space="preserve">RISK_STD</x:t>
        </x:is>
      </x:c>
      <x:c r="M55" s="3" t="n">
        <x:v>1</x:v>
      </x:c>
      <x:c r="N55" s="3" t="n"/>
      <x:c r="O55" s="3" t="n"/>
      <x:c r="P55" s="3" t="inlineStr">
        <x:is>
          <x:t xml:space="preserve">EXCO-D2-Q04-A3</x:t>
        </x:is>
      </x:c>
      <x:c r="Q55" s="3" t="n">
        <x:v>4</x:v>
      </x:c>
      <x:c r="R55" s="3" t="inlineStr">
        <x:is>
          <x:t xml:space="preserve">We have a documented scenario list, but it hasn’t influenced controls or been exercised.</x:t>
        </x:is>
      </x:c>
      <x:c r="S55" s="3" t="n">
        <x:v>2</x:v>
      </x:c>
      <x:c r="T55" s="3" t="inlineStr">
        <x:is>
          <x:t xml:space="preserve">paper_dragon_signal</x:t>
        </x:is>
      </x:c>
      <x:c r="U55" s="3" t="inlineStr">
        <x:is>
          <x:t xml:space="preserve">Paper Dragon</x:t>
        </x:is>
      </x:c>
      <x:c r="V55" s="3" t="inlineStr">
        <x:is>
          <x:t xml:space="preserve">Exercise_Scenarios</x:t>
        </x:is>
      </x:c>
      <x:c r="W55" s="3" t="inlineStr">
        <x:is>
          <x:t xml:space="preserve">N</x:t>
        </x:is>
      </x:c>
      <x:c r="X55" s="3" t="inlineStr">
        <x:is>
          <x:t xml:space="preserve"/>
        </x:is>
      </x:c>
      <x:c r="Y55" s="6">
        <x:f>(S55*IF(E55="G",F55,0))+(S55*IF(G55="G",H55,0))</x:f>
      </x:c>
      <x:c r="Z55" s="6">
        <x:f>(S55*IF(E55="E",F55,0))+(S55*IF(G55="E",H55,0))</x:f>
      </x:c>
      <x:c r="AA55" s="6">
        <x:f>(S55*IF(E55="T",F55,0))+(S55*IF(G55="T",H55,0))</x:f>
      </x:c>
      <x:c r="AB55" s="6">
        <x:f>(S55*IF(E55="L",F55,0))+(S55*IF(G55="L",H55,0))</x:f>
      </x:c>
      <x:c r="AC55" s="6">
        <x:f>(S55*IF(E55="H",F55,0))+(S55*IF(G55="H",H55,0))</x:f>
      </x:c>
      <x:c r="AD55" s="6">
        <x:f>(S55*IF(E55="V",F55,0))+(S55*IF(G55="V",H55,0))</x:f>
      </x:c>
      <x:c r="AE55" s="6">
        <x:f>(S55*IF(E55="R",F55,0))+(S55*IF(G55="R",H55,0))</x:f>
      </x:c>
      <x:c r="AF55" s="6">
        <x:f>(S55*IF(E55="F",F55,0))+(S55*IF(G55="F",H55,0))</x:f>
      </x:c>
      <x:c r="AG55" s="6">
        <x:f>(S55*IF(E55="W",F55,0))+(S55*IF(G55="W",H55,0))</x:f>
      </x:c>
    </x:row>
    <x:row r="56">
      <x:c r="A56" s="3" t="inlineStr">
        <x:is>
          <x:t xml:space="preserve">Executive</x:t>
        </x:is>
      </x:c>
      <x:c r="B56" s="3" t="inlineStr">
        <x:is>
          <x:t xml:space="preserve">EXCO-D2-Q04</x:t>
        </x:is>
      </x:c>
      <x:c r="C56" s="3" t="inlineStr">
        <x:is>
          <x:t xml:space="preserve">T2</x:t>
        </x:is>
      </x:c>
      <x:c r="D56" s="3" t="inlineStr">
        <x:is>
          <x:t xml:space="preserve">2. Targeting &amp; Risk</x:t>
        </x:is>
      </x:c>
      <x:c r="E56" s="3" t="inlineStr">
        <x:is>
          <x:t xml:space="preserve">V</x:t>
        </x:is>
      </x:c>
      <x:c r="F56" s="3" t="n">
        <x:v>0.6</x:v>
      </x:c>
      <x:c r="G56" s="3" t="inlineStr">
        <x:is>
          <x:t xml:space="preserve">R</x:t>
        </x:is>
      </x:c>
      <x:c r="H56" s="3" t="n">
        <x:v>0.4</x:v>
      </x:c>
      <x:c r="I56" s="3" t="inlineStr">
        <x:is>
          <x:t xml:space="preserve">Do we have a short list of insider scenarios we care about (e.g., data theft, sabotage, fraud) and have we tested them?</x:t>
        </x:is>
      </x:c>
      <x:c r="J56" s="3" t="inlineStr">
        <x:is>
          <x:t xml:space="preserve">Plain examples: someone emailing customer list, deleting cloud backups, copying engineering files, abusing admin rights, misuse of payroll.</x:t>
        </x:is>
      </x:c>
      <x:c r="K56" s="3" t="inlineStr">
        <x:is>
          <x:t xml:space="preserve">Gatekeeper; if BaseScore&lt;2 -&gt; next=EXCO-D2-Q05; else next=EXCO-D2-Q06</x:t>
        </x:is>
      </x:c>
      <x:c r="L56" s="3" t="inlineStr">
        <x:is>
          <x:t xml:space="preserve">RISK_STD</x:t>
        </x:is>
      </x:c>
      <x:c r="M56" s="3" t="n">
        <x:v>1</x:v>
      </x:c>
      <x:c r="N56" s="3" t="n"/>
      <x:c r="O56" s="3" t="n"/>
      <x:c r="P56" s="3" t="inlineStr">
        <x:is>
          <x:t xml:space="preserve">EXCO-D2-Q04-A4</x:t>
        </x:is>
      </x:c>
      <x:c r="Q56" s="3" t="n">
        <x:v>5</x:v>
      </x:c>
      <x:c r="R56" s="3" t="inlineStr">
        <x:is>
          <x:t xml:space="preserve">We have scenarios and we test at least one per year (tabletop or technical test).</x:t>
        </x:is>
      </x:c>
      <x:c r="S56" s="3" t="n">
        <x:v>3</x:v>
      </x:c>
      <x:c r="T56" s="3" t="inlineStr">
        <x:is>
          <x:t xml:space="preserve">good_practice</x:t>
        </x:is>
      </x:c>
      <x:c r="U56" s="3" t="inlineStr">
        <x:is>
          <x:t xml:space="preserve"/>
        </x:is>
      </x:c>
      <x:c r="V56" s="3" t="inlineStr">
        <x:is>
          <x:t xml:space="preserve">Request_Evidence</x:t>
        </x:is>
      </x:c>
      <x:c r="W56" s="3" t="inlineStr">
        <x:is>
          <x:t xml:space="preserve">Y</x:t>
        </x:is>
      </x:c>
      <x:c r="X56" s="3" t="inlineStr">
        <x:is>
          <x:t xml:space="preserve">Provide scenario list + last exercise summary.</x:t>
        </x:is>
      </x:c>
      <x:c r="Y56" s="6">
        <x:f>(S56*IF(E56="G",F56,0))+(S56*IF(G56="G",H56,0))</x:f>
      </x:c>
      <x:c r="Z56" s="6">
        <x:f>(S56*IF(E56="E",F56,0))+(S56*IF(G56="E",H56,0))</x:f>
      </x:c>
      <x:c r="AA56" s="6">
        <x:f>(S56*IF(E56="T",F56,0))+(S56*IF(G56="T",H56,0))</x:f>
      </x:c>
      <x:c r="AB56" s="6">
        <x:f>(S56*IF(E56="L",F56,0))+(S56*IF(G56="L",H56,0))</x:f>
      </x:c>
      <x:c r="AC56" s="6">
        <x:f>(S56*IF(E56="H",F56,0))+(S56*IF(G56="H",H56,0))</x:f>
      </x:c>
      <x:c r="AD56" s="6">
        <x:f>(S56*IF(E56="V",F56,0))+(S56*IF(G56="V",H56,0))</x:f>
      </x:c>
      <x:c r="AE56" s="6">
        <x:f>(S56*IF(E56="R",F56,0))+(S56*IF(G56="R",H56,0))</x:f>
      </x:c>
      <x:c r="AF56" s="6">
        <x:f>(S56*IF(E56="F",F56,0))+(S56*IF(G56="F",H56,0))</x:f>
      </x:c>
      <x:c r="AG56" s="6">
        <x:f>(S56*IF(E56="W",F56,0))+(S56*IF(G56="W",H56,0))</x:f>
      </x:c>
    </x:row>
    <x:row r="57">
      <x:c r="A57" s="3" t="inlineStr">
        <x:is>
          <x:t xml:space="preserve">Executive</x:t>
        </x:is>
      </x:c>
      <x:c r="B57" s="3" t="inlineStr">
        <x:is>
          <x:t xml:space="preserve">EXCO-D2-Q04</x:t>
        </x:is>
      </x:c>
      <x:c r="C57" s="3" t="inlineStr">
        <x:is>
          <x:t xml:space="preserve">T2</x:t>
        </x:is>
      </x:c>
      <x:c r="D57" s="3" t="inlineStr">
        <x:is>
          <x:t xml:space="preserve">2. Targeting &amp; Risk</x:t>
        </x:is>
      </x:c>
      <x:c r="E57" s="3" t="inlineStr">
        <x:is>
          <x:t xml:space="preserve">V</x:t>
        </x:is>
      </x:c>
      <x:c r="F57" s="3" t="n">
        <x:v>0.6</x:v>
      </x:c>
      <x:c r="G57" s="3" t="inlineStr">
        <x:is>
          <x:t xml:space="preserve">R</x:t>
        </x:is>
      </x:c>
      <x:c r="H57" s="3" t="n">
        <x:v>0.4</x:v>
      </x:c>
      <x:c r="I57" s="3" t="inlineStr">
        <x:is>
          <x:t xml:space="preserve">Do we have a short list of insider scenarios we care about (e.g., data theft, sabotage, fraud) and have we tested them?</x:t>
        </x:is>
      </x:c>
      <x:c r="J57" s="3" t="inlineStr">
        <x:is>
          <x:t xml:space="preserve">Plain examples: someone emailing customer list, deleting cloud backups, copying engineering files, abusing admin rights, misuse of payroll.</x:t>
        </x:is>
      </x:c>
      <x:c r="K57" s="3" t="inlineStr">
        <x:is>
          <x:t xml:space="preserve">Gatekeeper; if BaseScore&lt;2 -&gt; next=EXCO-D2-Q05; else next=EXCO-D2-Q06</x:t>
        </x:is>
      </x:c>
      <x:c r="L57" s="3" t="inlineStr">
        <x:is>
          <x:t xml:space="preserve">RISK_STD</x:t>
        </x:is>
      </x:c>
      <x:c r="M57" s="3" t="n">
        <x:v>1</x:v>
      </x:c>
      <x:c r="N57" s="3" t="n"/>
      <x:c r="O57" s="3" t="n"/>
      <x:c r="P57" s="3" t="inlineStr">
        <x:is>
          <x:t xml:space="preserve">EXCO-D2-Q04-A5</x:t>
        </x:is>
      </x:c>
      <x:c r="Q57" s="3" t="n">
        <x:v>6</x:v>
      </x:c>
      <x:c r="R57" s="3" t="inlineStr">
        <x:is>
          <x:t xml:space="preserve">Scenarios drive control improvements and detection engineering; tests are scheduled and lessons tracked.</x:t>
        </x:is>
      </x:c>
      <x:c r="S57" s="3" t="n">
        <x:v>4</x:v>
      </x:c>
      <x:c r="T57" s="3" t="inlineStr">
        <x:is>
          <x:t xml:space="preserve">optimized</x:t>
        </x:is>
      </x:c>
      <x:c r="U57" s="3" t="inlineStr">
        <x:is>
          <x:t xml:space="preserve"/>
        </x:is>
      </x:c>
      <x:c r="V57" s="3" t="inlineStr">
        <x:is>
          <x:t xml:space="preserve">Request_Evidence</x:t>
        </x:is>
      </x:c>
      <x:c r="W57" s="3" t="inlineStr">
        <x:is>
          <x:t xml:space="preserve">Y</x:t>
        </x:is>
      </x:c>
      <x:c r="X57" s="3" t="inlineStr">
        <x:is>
          <x:t xml:space="preserve"/>
        </x:is>
      </x:c>
      <x:c r="Y57" s="6">
        <x:f>(S57*IF(E57="G",F57,0))+(S57*IF(G57="G",H57,0))</x:f>
      </x:c>
      <x:c r="Z57" s="6">
        <x:f>(S57*IF(E57="E",F57,0))+(S57*IF(G57="E",H57,0))</x:f>
      </x:c>
      <x:c r="AA57" s="6">
        <x:f>(S57*IF(E57="T",F57,0))+(S57*IF(G57="T",H57,0))</x:f>
      </x:c>
      <x:c r="AB57" s="6">
        <x:f>(S57*IF(E57="L",F57,0))+(S57*IF(G57="L",H57,0))</x:f>
      </x:c>
      <x:c r="AC57" s="6">
        <x:f>(S57*IF(E57="H",F57,0))+(S57*IF(G57="H",H57,0))</x:f>
      </x:c>
      <x:c r="AD57" s="6">
        <x:f>(S57*IF(E57="V",F57,0))+(S57*IF(G57="V",H57,0))</x:f>
      </x:c>
      <x:c r="AE57" s="6">
        <x:f>(S57*IF(E57="R",F57,0))+(S57*IF(G57="R",H57,0))</x:f>
      </x:c>
      <x:c r="AF57" s="6">
        <x:f>(S57*IF(E57="F",F57,0))+(S57*IF(G57="F",H57,0))</x:f>
      </x:c>
      <x:c r="AG57" s="6">
        <x:f>(S57*IF(E57="W",F57,0))+(S57*IF(G57="W",H57,0))</x:f>
      </x:c>
    </x:row>
    <x:row r="58">
      <x:c r="A58" s="3" t="inlineStr">
        <x:is>
          <x:t xml:space="preserve">Executive</x:t>
        </x:is>
      </x:c>
      <x:c r="B58" s="3" t="inlineStr">
        <x:is>
          <x:t xml:space="preserve">EXCO-D2-Q05</x:t>
        </x:is>
      </x:c>
      <x:c r="C58" s="3" t="inlineStr">
        <x:is>
          <x:t xml:space="preserve">T2</x:t>
        </x:is>
      </x:c>
      <x:c r="D58" s="3" t="inlineStr">
        <x:is>
          <x:t xml:space="preserve">2. Targeting &amp; Risk</x:t>
        </x:is>
      </x:c>
      <x:c r="E58" s="3" t="inlineStr">
        <x:is>
          <x:t xml:space="preserve">V</x:t>
        </x:is>
      </x:c>
      <x:c r="F58" s="3" t="n">
        <x:v>0.5</x:v>
      </x:c>
      <x:c r="G58" s="3" t="inlineStr">
        <x:is>
          <x:t xml:space="preserve">R</x:t>
        </x:is>
      </x:c>
      <x:c r="H58" s="3" t="n">
        <x:v>0.5</x:v>
      </x:c>
      <x:c r="I58" s="3" t="inlineStr">
        <x:is>
          <x:t xml:space="preserve">(Shadow probe) If an insider incident happened tomorrow, do we have a pre-agreed view of the ‘top 3’ insider risks?</x:t>
        </x:is>
      </x:c>
      <x:c r="J58" s="3" t="inlineStr">
        <x:is>
          <x:t xml:space="preserve">This tests whether leadership alignment exists even without formal documentation.</x:t>
        </x:is>
      </x:c>
      <x:c r="K58" s="3" t="inlineStr">
        <x:is>
          <x:t xml:space="preserve">Shadow probe; next=EXCO-D2-Q06</x:t>
        </x:is>
      </x:c>
      <x:c r="L58" s="3" t="inlineStr">
        <x:is>
          <x:t xml:space="preserve">RISK_STD</x:t>
        </x:is>
      </x:c>
      <x:c r="M58" s="3" t="n">
        <x:v>1</x:v>
      </x:c>
      <x:c r="N58" s="3" t="n"/>
      <x:c r="O58" s="3" t="n"/>
      <x:c r="P58" s="3" t="inlineStr">
        <x:is>
          <x:t xml:space="preserve">EXCO-D2-Q05-A1</x:t>
        </x:is>
      </x:c>
      <x:c r="Q58" s="3" t="n">
        <x:v>1</x:v>
      </x:c>
      <x:c r="R58" s="3" t="inlineStr">
        <x:is>
          <x:t xml:space="preserve">No—there is no shared view; it would be decided during the incident.</x:t>
        </x:is>
      </x:c>
      <x:c r="S58" s="3" t="n">
        <x:v>0</x:v>
      </x:c>
      <x:c r="T58" s="3" t="inlineStr">
        <x:is>
          <x:t xml:space="preserve">misalignment_signal</x:t>
        </x:is>
      </x:c>
      <x:c r="U58" s="3" t="inlineStr">
        <x:is>
          <x:t xml:space="preserve">Operating Model Gap</x:t>
        </x:is>
      </x:c>
      <x:c r="V58" s="3" t="inlineStr">
        <x:is>
          <x:t xml:space="preserve">Align_On_Scenarios</x:t>
        </x:is>
      </x:c>
      <x:c r="W58" s="3" t="inlineStr">
        <x:is>
          <x:t xml:space="preserve">N</x:t>
        </x:is>
      </x:c>
      <x:c r="X58" s="3" t="inlineStr">
        <x:is>
          <x:t xml:space="preserve"/>
        </x:is>
      </x:c>
      <x:c r="Y58" s="6">
        <x:f>(S58*IF(E58="G",F58,0))+(S58*IF(G58="G",H58,0))</x:f>
      </x:c>
      <x:c r="Z58" s="6">
        <x:f>(S58*IF(E58="E",F58,0))+(S58*IF(G58="E",H58,0))</x:f>
      </x:c>
      <x:c r="AA58" s="6">
        <x:f>(S58*IF(E58="T",F58,0))+(S58*IF(G58="T",H58,0))</x:f>
      </x:c>
      <x:c r="AB58" s="6">
        <x:f>(S58*IF(E58="L",F58,0))+(S58*IF(G58="L",H58,0))</x:f>
      </x:c>
      <x:c r="AC58" s="6">
        <x:f>(S58*IF(E58="H",F58,0))+(S58*IF(G58="H",H58,0))</x:f>
      </x:c>
      <x:c r="AD58" s="6">
        <x:f>(S58*IF(E58="V",F58,0))+(S58*IF(G58="V",H58,0))</x:f>
      </x:c>
      <x:c r="AE58" s="6">
        <x:f>(S58*IF(E58="R",F58,0))+(S58*IF(G58="R",H58,0))</x:f>
      </x:c>
      <x:c r="AF58" s="6">
        <x:f>(S58*IF(E58="F",F58,0))+(S58*IF(G58="F",H58,0))</x:f>
      </x:c>
      <x:c r="AG58" s="6">
        <x:f>(S58*IF(E58="W",F58,0))+(S58*IF(G58="W",H58,0))</x:f>
      </x:c>
    </x:row>
    <x:row r="59">
      <x:c r="A59" s="3" t="inlineStr">
        <x:is>
          <x:t xml:space="preserve">Executive</x:t>
        </x:is>
      </x:c>
      <x:c r="B59" s="3" t="inlineStr">
        <x:is>
          <x:t xml:space="preserve">EXCO-D2-Q05</x:t>
        </x:is>
      </x:c>
      <x:c r="C59" s="3" t="inlineStr">
        <x:is>
          <x:t xml:space="preserve">T2</x:t>
        </x:is>
      </x:c>
      <x:c r="D59" s="3" t="inlineStr">
        <x:is>
          <x:t xml:space="preserve">2. Targeting &amp; Risk</x:t>
        </x:is>
      </x:c>
      <x:c r="E59" s="3" t="inlineStr">
        <x:is>
          <x:t xml:space="preserve">V</x:t>
        </x:is>
      </x:c>
      <x:c r="F59" s="3" t="n">
        <x:v>0.5</x:v>
      </x:c>
      <x:c r="G59" s="3" t="inlineStr">
        <x:is>
          <x:t xml:space="preserve">R</x:t>
        </x:is>
      </x:c>
      <x:c r="H59" s="3" t="n">
        <x:v>0.5</x:v>
      </x:c>
      <x:c r="I59" s="3" t="inlineStr">
        <x:is>
          <x:t xml:space="preserve">(Shadow probe) If an insider incident happened tomorrow, do we have a pre-agreed view of the ‘top 3’ insider risks?</x:t>
        </x:is>
      </x:c>
      <x:c r="J59" s="3" t="inlineStr">
        <x:is>
          <x:t xml:space="preserve">This tests whether leadership alignment exists even without formal documentation.</x:t>
        </x:is>
      </x:c>
      <x:c r="K59" s="3" t="inlineStr">
        <x:is>
          <x:t xml:space="preserve">Shadow probe; next=EXCO-D2-Q06</x:t>
        </x:is>
      </x:c>
      <x:c r="L59" s="3" t="inlineStr">
        <x:is>
          <x:t xml:space="preserve">RISK_STD</x:t>
        </x:is>
      </x:c>
      <x:c r="M59" s="3" t="n">
        <x:v>1</x:v>
      </x:c>
      <x:c r="N59" s="3" t="n"/>
      <x:c r="O59" s="3" t="n"/>
      <x:c r="P59" s="3" t="inlineStr">
        <x:is>
          <x:t xml:space="preserve">EXCO-D2-Q05-A2</x:t>
        </x:is>
      </x:c>
      <x:c r="Q59" s="3" t="n">
        <x:v>2</x:v>
      </x:c>
      <x:c r="R59" s="3" t="inlineStr">
        <x:is>
          <x:t xml:space="preserve">Some leaders have a view, but it’s not shared or consistent across the business.</x:t>
        </x:is>
      </x:c>
      <x:c r="S59" s="3" t="n">
        <x:v>1</x:v>
      </x:c>
      <x:c r="T59" s="3" t="inlineStr">
        <x:is>
          <x:t xml:space="preserve">misalignment_signal</x:t>
        </x:is>
      </x:c>
      <x:c r="U59" s="3" t="inlineStr">
        <x:is>
          <x:t xml:space="preserve">Operating Model Gap</x:t>
        </x:is>
      </x:c>
      <x:c r="V59" s="3" t="inlineStr">
        <x:is>
          <x:t xml:space="preserve">Align_On_Scenarios</x:t>
        </x:is>
      </x:c>
      <x:c r="W59" s="3" t="inlineStr">
        <x:is>
          <x:t xml:space="preserve">N</x:t>
        </x:is>
      </x:c>
      <x:c r="X59" s="3" t="inlineStr">
        <x:is>
          <x:t xml:space="preserve"/>
        </x:is>
      </x:c>
      <x:c r="Y59" s="6">
        <x:f>(S59*IF(E59="G",F59,0))+(S59*IF(G59="G",H59,0))</x:f>
      </x:c>
      <x:c r="Z59" s="6">
        <x:f>(S59*IF(E59="E",F59,0))+(S59*IF(G59="E",H59,0))</x:f>
      </x:c>
      <x:c r="AA59" s="6">
        <x:f>(S59*IF(E59="T",F59,0))+(S59*IF(G59="T",H59,0))</x:f>
      </x:c>
      <x:c r="AB59" s="6">
        <x:f>(S59*IF(E59="L",F59,0))+(S59*IF(G59="L",H59,0))</x:f>
      </x:c>
      <x:c r="AC59" s="6">
        <x:f>(S59*IF(E59="H",F59,0))+(S59*IF(G59="H",H59,0))</x:f>
      </x:c>
      <x:c r="AD59" s="6">
        <x:f>(S59*IF(E59="V",F59,0))+(S59*IF(G59="V",H59,0))</x:f>
      </x:c>
      <x:c r="AE59" s="6">
        <x:f>(S59*IF(E59="R",F59,0))+(S59*IF(G59="R",H59,0))</x:f>
      </x:c>
      <x:c r="AF59" s="6">
        <x:f>(S59*IF(E59="F",F59,0))+(S59*IF(G59="F",H59,0))</x:f>
      </x:c>
      <x:c r="AG59" s="6">
        <x:f>(S59*IF(E59="W",F59,0))+(S59*IF(G59="W",H59,0))</x:f>
      </x:c>
    </x:row>
    <x:row r="60">
      <x:c r="A60" s="3" t="inlineStr">
        <x:is>
          <x:t xml:space="preserve">Executive</x:t>
        </x:is>
      </x:c>
      <x:c r="B60" s="3" t="inlineStr">
        <x:is>
          <x:t xml:space="preserve">EXCO-D2-Q05</x:t>
        </x:is>
      </x:c>
      <x:c r="C60" s="3" t="inlineStr">
        <x:is>
          <x:t xml:space="preserve">T2</x:t>
        </x:is>
      </x:c>
      <x:c r="D60" s="3" t="inlineStr">
        <x:is>
          <x:t xml:space="preserve">2. Targeting &amp; Risk</x:t>
        </x:is>
      </x:c>
      <x:c r="E60" s="3" t="inlineStr">
        <x:is>
          <x:t xml:space="preserve">V</x:t>
        </x:is>
      </x:c>
      <x:c r="F60" s="3" t="n">
        <x:v>0.5</x:v>
      </x:c>
      <x:c r="G60" s="3" t="inlineStr">
        <x:is>
          <x:t xml:space="preserve">R</x:t>
        </x:is>
      </x:c>
      <x:c r="H60" s="3" t="n">
        <x:v>0.5</x:v>
      </x:c>
      <x:c r="I60" s="3" t="inlineStr">
        <x:is>
          <x:t xml:space="preserve">(Shadow probe) If an insider incident happened tomorrow, do we have a pre-agreed view of the ‘top 3’ insider risks?</x:t>
        </x:is>
      </x:c>
      <x:c r="J60" s="3" t="inlineStr">
        <x:is>
          <x:t xml:space="preserve">This tests whether leadership alignment exists even without formal documentation.</x:t>
        </x:is>
      </x:c>
      <x:c r="K60" s="3" t="inlineStr">
        <x:is>
          <x:t xml:space="preserve">Shadow probe; next=EXCO-D2-Q06</x:t>
        </x:is>
      </x:c>
      <x:c r="L60" s="3" t="inlineStr">
        <x:is>
          <x:t xml:space="preserve">RISK_STD</x:t>
        </x:is>
      </x:c>
      <x:c r="M60" s="3" t="n">
        <x:v>1</x:v>
      </x:c>
      <x:c r="N60" s="3" t="n"/>
      <x:c r="O60" s="3" t="n"/>
      <x:c r="P60" s="3" t="inlineStr">
        <x:is>
          <x:t xml:space="preserve">EXCO-D2-Q05-A3</x:t>
        </x:is>
      </x:c>
      <x:c r="Q60" s="3" t="n">
        <x:v>3</x:v>
      </x:c>
      <x:c r="R60" s="3" t="inlineStr">
        <x:is>
          <x:t xml:space="preserve">Yes—there is broad alignment, but we haven’t translated it into playbooks or tests.</x:t>
        </x:is>
      </x:c>
      <x:c r="S60" s="3" t="n">
        <x:v>2</x:v>
      </x:c>
      <x:c r="T60" s="3" t="inlineStr">
        <x:is>
          <x:t xml:space="preserve">shadow_signal</x:t>
        </x:is>
      </x:c>
      <x:c r="U60" s="3" t="inlineStr">
        <x:is>
          <x:t xml:space="preserve">Shadow Mature</x:t>
        </x:is>
      </x:c>
      <x:c r="V60" s="3" t="inlineStr">
        <x:is>
          <x:t xml:space="preserve">Convert_To_Playbooks</x:t>
        </x:is>
      </x:c>
      <x:c r="W60" s="3" t="inlineStr">
        <x:is>
          <x:t xml:space="preserve">N</x:t>
        </x:is>
      </x:c>
      <x:c r="X60" s="3" t="inlineStr">
        <x:is>
          <x:t xml:space="preserve"/>
        </x:is>
      </x:c>
      <x:c r="Y60" s="6">
        <x:f>(S60*IF(E60="G",F60,0))+(S60*IF(G60="G",H60,0))</x:f>
      </x:c>
      <x:c r="Z60" s="6">
        <x:f>(S60*IF(E60="E",F60,0))+(S60*IF(G60="E",H60,0))</x:f>
      </x:c>
      <x:c r="AA60" s="6">
        <x:f>(S60*IF(E60="T",F60,0))+(S60*IF(G60="T",H60,0))</x:f>
      </x:c>
      <x:c r="AB60" s="6">
        <x:f>(S60*IF(E60="L",F60,0))+(S60*IF(G60="L",H60,0))</x:f>
      </x:c>
      <x:c r="AC60" s="6">
        <x:f>(S60*IF(E60="H",F60,0))+(S60*IF(G60="H",H60,0))</x:f>
      </x:c>
      <x:c r="AD60" s="6">
        <x:f>(S60*IF(E60="V",F60,0))+(S60*IF(G60="V",H60,0))</x:f>
      </x:c>
      <x:c r="AE60" s="6">
        <x:f>(S60*IF(E60="R",F60,0))+(S60*IF(G60="R",H60,0))</x:f>
      </x:c>
      <x:c r="AF60" s="6">
        <x:f>(S60*IF(E60="F",F60,0))+(S60*IF(G60="F",H60,0))</x:f>
      </x:c>
      <x:c r="AG60" s="6">
        <x:f>(S60*IF(E60="W",F60,0))+(S60*IF(G60="W",H60,0))</x:f>
      </x:c>
    </x:row>
    <x:row r="61">
      <x:c r="A61" s="3" t="inlineStr">
        <x:is>
          <x:t xml:space="preserve">Executive</x:t>
        </x:is>
      </x:c>
      <x:c r="B61" s="3" t="inlineStr">
        <x:is>
          <x:t xml:space="preserve">EXCO-D2-Q06</x:t>
        </x:is>
      </x:c>
      <x:c r="C61" s="3" t="inlineStr">
        <x:is>
          <x:t xml:space="preserve">T2</x:t>
        </x:is>
      </x:c>
      <x:c r="D61" s="3" t="inlineStr">
        <x:is>
          <x:t xml:space="preserve">2. Targeting &amp; Risk</x:t>
        </x:is>
      </x:c>
      <x:c r="E61" s="3" t="inlineStr">
        <x:is>
          <x:t xml:space="preserve">W</x:t>
        </x:is>
      </x:c>
      <x:c r="F61" s="3" t="n">
        <x:v>1</x:v>
      </x:c>
      <x:c r="G61" s="3" t="inlineStr">
        <x:is>
          <x:t xml:space="preserve">-</x:t>
        </x:is>
      </x:c>
      <x:c r="H61" s="3" t="inlineStr">
        <x:is>
          <x:t xml:space="preserve"/>
        </x:is>
      </x:c>
      <x:c r="I61" s="3" t="inlineStr">
        <x:is>
          <x:t xml:space="preserve">During big changes (M&amp;A, layoffs, restructures), how quickly can we adjust access and monitoring to reduce risk?</x:t>
        </x:is>
      </x:c>
      <x:c r="J61" s="3" t="inlineStr">
        <x:is>
          <x:t xml:space="preserve">This is about ‘control lag’—how long it takes to tighten/adjust controls when the organisation changes.</x:t>
        </x:is>
      </x:c>
      <x:c r="K61" s="3" t="inlineStr">
        <x:is>
          <x:t xml:space="preserve">Gatekeeper; if BaseScore&lt;2 -&gt; next=EXCO-D2-Q07; else next=EXCO-D3-Q01</x:t>
        </x:is>
      </x:c>
      <x:c r="L61" s="3" t="inlineStr">
        <x:is>
          <x:t xml:space="preserve">OPS_STD</x:t>
        </x:is>
      </x:c>
      <x:c r="M61" s="3" t="n">
        <x:v>1</x:v>
      </x:c>
      <x:c r="N61" s="3" t="n"/>
      <x:c r="O61" s="3" t="n"/>
      <x:c r="P61" s="3" t="inlineStr">
        <x:is>
          <x:t xml:space="preserve">EXCO-D2-Q06-A0</x:t>
        </x:is>
      </x:c>
      <x:c r="Q61" s="3" t="n">
        <x:v>1</x:v>
      </x:c>
      <x:c r="R61" s="3" t="inlineStr">
        <x:is>
          <x:t xml:space="preserve">I don’t know / not sure.</x:t>
        </x:is>
      </x:c>
      <x:c r="S61" s="3" t="n">
        <x:v>0</x:v>
      </x:c>
      <x:c r="T61" s="3" t="inlineStr">
        <x:is>
          <x:t xml:space="preserve">unknown</x:t>
        </x:is>
      </x:c>
      <x:c r="U61" s="3" t="inlineStr">
        <x:is>
          <x:t xml:space="preserve">Unknown</x:t>
        </x:is>
      </x:c>
      <x:c r="V61" s="3" t="inlineStr">
        <x:is>
          <x:t xml:space="preserve">Assess_Control_Lag</x:t>
        </x:is>
      </x:c>
      <x:c r="W61" s="3" t="inlineStr">
        <x:is>
          <x:t xml:space="preserve">N</x:t>
        </x:is>
      </x:c>
      <x:c r="X61" s="3" t="inlineStr">
        <x:is>
          <x:t xml:space="preserve"/>
        </x:is>
      </x:c>
      <x:c r="Y61" s="6">
        <x:f>(S61*IF(E61="G",F61,0))+(S61*IF(G61="G",H61,0))</x:f>
      </x:c>
      <x:c r="Z61" s="6">
        <x:f>(S61*IF(E61="E",F61,0))+(S61*IF(G61="E",H61,0))</x:f>
      </x:c>
      <x:c r="AA61" s="6">
        <x:f>(S61*IF(E61="T",F61,0))+(S61*IF(G61="T",H61,0))</x:f>
      </x:c>
      <x:c r="AB61" s="6">
        <x:f>(S61*IF(E61="L",F61,0))+(S61*IF(G61="L",H61,0))</x:f>
      </x:c>
      <x:c r="AC61" s="6">
        <x:f>(S61*IF(E61="H",F61,0))+(S61*IF(G61="H",H61,0))</x:f>
      </x:c>
      <x:c r="AD61" s="6">
        <x:f>(S61*IF(E61="V",F61,0))+(S61*IF(G61="V",H61,0))</x:f>
      </x:c>
      <x:c r="AE61" s="6">
        <x:f>(S61*IF(E61="R",F61,0))+(S61*IF(G61="R",H61,0))</x:f>
      </x:c>
      <x:c r="AF61" s="6">
        <x:f>(S61*IF(E61="F",F61,0))+(S61*IF(G61="F",H61,0))</x:f>
      </x:c>
      <x:c r="AG61" s="6">
        <x:f>(S61*IF(E61="W",F61,0))+(S61*IF(G61="W",H61,0))</x:f>
      </x:c>
    </x:row>
    <x:row r="62">
      <x:c r="A62" s="3" t="inlineStr">
        <x:is>
          <x:t xml:space="preserve">Executive</x:t>
        </x:is>
      </x:c>
      <x:c r="B62" s="3" t="inlineStr">
        <x:is>
          <x:t xml:space="preserve">EXCO-D2-Q06</x:t>
        </x:is>
      </x:c>
      <x:c r="C62" s="3" t="inlineStr">
        <x:is>
          <x:t xml:space="preserve">T2</x:t>
        </x:is>
      </x:c>
      <x:c r="D62" s="3" t="inlineStr">
        <x:is>
          <x:t xml:space="preserve">2. Targeting &amp; Risk</x:t>
        </x:is>
      </x:c>
      <x:c r="E62" s="3" t="inlineStr">
        <x:is>
          <x:t xml:space="preserve">W</x:t>
        </x:is>
      </x:c>
      <x:c r="F62" s="3" t="n">
        <x:v>1</x:v>
      </x:c>
      <x:c r="G62" s="3" t="inlineStr">
        <x:is>
          <x:t xml:space="preserve">-</x:t>
        </x:is>
      </x:c>
      <x:c r="H62" s="3" t="inlineStr">
        <x:is>
          <x:t xml:space="preserve"/>
        </x:is>
      </x:c>
      <x:c r="I62" s="3" t="inlineStr">
        <x:is>
          <x:t xml:space="preserve">During big changes (M&amp;A, layoffs, restructures), how quickly can we adjust access and monitoring to reduce risk?</x:t>
        </x:is>
      </x:c>
      <x:c r="J62" s="3" t="inlineStr">
        <x:is>
          <x:t xml:space="preserve">This is about ‘control lag’—how long it takes to tighten/adjust controls when the organisation changes.</x:t>
        </x:is>
      </x:c>
      <x:c r="K62" s="3" t="inlineStr">
        <x:is>
          <x:t xml:space="preserve">Gatekeeper; if BaseScore&lt;2 -&gt; next=EXCO-D2-Q07; else next=EXCO-D3-Q01</x:t>
        </x:is>
      </x:c>
      <x:c r="L62" s="3" t="inlineStr">
        <x:is>
          <x:t xml:space="preserve">OPS_STD</x:t>
        </x:is>
      </x:c>
      <x:c r="M62" s="3" t="n">
        <x:v>1</x:v>
      </x:c>
      <x:c r="N62" s="3" t="n"/>
      <x:c r="O62" s="3" t="n"/>
      <x:c r="P62" s="3" t="inlineStr">
        <x:is>
          <x:t xml:space="preserve">EXCO-D2-Q06-A1</x:t>
        </x:is>
      </x:c>
      <x:c r="Q62" s="3" t="n">
        <x:v>2</x:v>
      </x:c>
      <x:c r="R62" s="3" t="inlineStr">
        <x:is>
          <x:t xml:space="preserve">We don’t adjust; we treat change events the same as normal operations.</x:t>
        </x:is>
      </x:c>
      <x:c r="S62" s="3" t="n">
        <x:v>0</x:v>
      </x:c>
      <x:c r="T62" s="3" t="inlineStr">
        <x:is>
          <x:t xml:space="preserve">control_lag_high</x:t>
        </x:is>
      </x:c>
      <x:c r="U62" s="3" t="inlineStr">
        <x:is>
          <x:t xml:space="preserve">Control Lag</x:t>
        </x:is>
      </x:c>
      <x:c r="V62" s="3" t="inlineStr">
        <x:is>
          <x:t xml:space="preserve">ControlLag_Sprint</x:t>
        </x:is>
      </x:c>
      <x:c r="W62" s="3" t="inlineStr">
        <x:is>
          <x:t xml:space="preserve">N</x:t>
        </x:is>
      </x:c>
      <x:c r="X62" s="3" t="inlineStr">
        <x:is>
          <x:t xml:space="preserve"/>
        </x:is>
      </x:c>
      <x:c r="Y62" s="6">
        <x:f>(S62*IF(E62="G",F62,0))+(S62*IF(G62="G",H62,0))</x:f>
      </x:c>
      <x:c r="Z62" s="6">
        <x:f>(S62*IF(E62="E",F62,0))+(S62*IF(G62="E",H62,0))</x:f>
      </x:c>
      <x:c r="AA62" s="6">
        <x:f>(S62*IF(E62="T",F62,0))+(S62*IF(G62="T",H62,0))</x:f>
      </x:c>
      <x:c r="AB62" s="6">
        <x:f>(S62*IF(E62="L",F62,0))+(S62*IF(G62="L",H62,0))</x:f>
      </x:c>
      <x:c r="AC62" s="6">
        <x:f>(S62*IF(E62="H",F62,0))+(S62*IF(G62="H",H62,0))</x:f>
      </x:c>
      <x:c r="AD62" s="6">
        <x:f>(S62*IF(E62="V",F62,0))+(S62*IF(G62="V",H62,0))</x:f>
      </x:c>
      <x:c r="AE62" s="6">
        <x:f>(S62*IF(E62="R",F62,0))+(S62*IF(G62="R",H62,0))</x:f>
      </x:c>
      <x:c r="AF62" s="6">
        <x:f>(S62*IF(E62="F",F62,0))+(S62*IF(G62="F",H62,0))</x:f>
      </x:c>
      <x:c r="AG62" s="6">
        <x:f>(S62*IF(E62="W",F62,0))+(S62*IF(G62="W",H62,0))</x:f>
      </x:c>
    </x:row>
    <x:row r="63">
      <x:c r="A63" s="3" t="inlineStr">
        <x:is>
          <x:t xml:space="preserve">Executive</x:t>
        </x:is>
      </x:c>
      <x:c r="B63" s="3" t="inlineStr">
        <x:is>
          <x:t xml:space="preserve">EXCO-D2-Q06</x:t>
        </x:is>
      </x:c>
      <x:c r="C63" s="3" t="inlineStr">
        <x:is>
          <x:t xml:space="preserve">T2</x:t>
        </x:is>
      </x:c>
      <x:c r="D63" s="3" t="inlineStr">
        <x:is>
          <x:t xml:space="preserve">2. Targeting &amp; Risk</x:t>
        </x:is>
      </x:c>
      <x:c r="E63" s="3" t="inlineStr">
        <x:is>
          <x:t xml:space="preserve">W</x:t>
        </x:is>
      </x:c>
      <x:c r="F63" s="3" t="n">
        <x:v>1</x:v>
      </x:c>
      <x:c r="G63" s="3" t="inlineStr">
        <x:is>
          <x:t xml:space="preserve">-</x:t>
        </x:is>
      </x:c>
      <x:c r="H63" s="3" t="inlineStr">
        <x:is>
          <x:t xml:space="preserve"/>
        </x:is>
      </x:c>
      <x:c r="I63" s="3" t="inlineStr">
        <x:is>
          <x:t xml:space="preserve">During big changes (M&amp;A, layoffs, restructures), how quickly can we adjust access and monitoring to reduce risk?</x:t>
        </x:is>
      </x:c>
      <x:c r="J63" s="3" t="inlineStr">
        <x:is>
          <x:t xml:space="preserve">This is about ‘control lag’—how long it takes to tighten/adjust controls when the organisation changes.</x:t>
        </x:is>
      </x:c>
      <x:c r="K63" s="3" t="inlineStr">
        <x:is>
          <x:t xml:space="preserve">Gatekeeper; if BaseScore&lt;2 -&gt; next=EXCO-D2-Q07; else next=EXCO-D3-Q01</x:t>
        </x:is>
      </x:c>
      <x:c r="L63" s="3" t="inlineStr">
        <x:is>
          <x:t xml:space="preserve">OPS_STD</x:t>
        </x:is>
      </x:c>
      <x:c r="M63" s="3" t="n">
        <x:v>1</x:v>
      </x:c>
      <x:c r="N63" s="3" t="n"/>
      <x:c r="O63" s="3" t="n"/>
      <x:c r="P63" s="3" t="inlineStr">
        <x:is>
          <x:t xml:space="preserve">EXCO-D2-Q06-A2</x:t>
        </x:is>
      </x:c>
      <x:c r="Q63" s="3" t="n">
        <x:v>3</x:v>
      </x:c>
      <x:c r="R63" s="3" t="inlineStr">
        <x:is>
          <x:t xml:space="preserve">Adjustments are manual and slow (weeks+), and depend on individuals noticing issues.</x:t>
        </x:is>
      </x:c>
      <x:c r="S63" s="3" t="n">
        <x:v>1</x:v>
      </x:c>
      <x:c r="T63" s="3" t="inlineStr">
        <x:is>
          <x:t xml:space="preserve">control_lag_high,key_person_dependency</x:t>
        </x:is>
      </x:c>
      <x:c r="U63" s="3" t="inlineStr">
        <x:is>
          <x:t xml:space="preserve">Control Lag</x:t>
        </x:is>
      </x:c>
      <x:c r="V63" s="3" t="inlineStr">
        <x:is>
          <x:t xml:space="preserve">ControlLag_Sprint</x:t>
        </x:is>
      </x:c>
      <x:c r="W63" s="3" t="inlineStr">
        <x:is>
          <x:t xml:space="preserve">N</x:t>
        </x:is>
      </x:c>
      <x:c r="X63" s="3" t="inlineStr">
        <x:is>
          <x:t xml:space="preserve"/>
        </x:is>
      </x:c>
      <x:c r="Y63" s="6">
        <x:f>(S63*IF(E63="G",F63,0))+(S63*IF(G63="G",H63,0))</x:f>
      </x:c>
      <x:c r="Z63" s="6">
        <x:f>(S63*IF(E63="E",F63,0))+(S63*IF(G63="E",H63,0))</x:f>
      </x:c>
      <x:c r="AA63" s="6">
        <x:f>(S63*IF(E63="T",F63,0))+(S63*IF(G63="T",H63,0))</x:f>
      </x:c>
      <x:c r="AB63" s="6">
        <x:f>(S63*IF(E63="L",F63,0))+(S63*IF(G63="L",H63,0))</x:f>
      </x:c>
      <x:c r="AC63" s="6">
        <x:f>(S63*IF(E63="H",F63,0))+(S63*IF(G63="H",H63,0))</x:f>
      </x:c>
      <x:c r="AD63" s="6">
        <x:f>(S63*IF(E63="V",F63,0))+(S63*IF(G63="V",H63,0))</x:f>
      </x:c>
      <x:c r="AE63" s="6">
        <x:f>(S63*IF(E63="R",F63,0))+(S63*IF(G63="R",H63,0))</x:f>
      </x:c>
      <x:c r="AF63" s="6">
        <x:f>(S63*IF(E63="F",F63,0))+(S63*IF(G63="F",H63,0))</x:f>
      </x:c>
      <x:c r="AG63" s="6">
        <x:f>(S63*IF(E63="W",F63,0))+(S63*IF(G63="W",H63,0))</x:f>
      </x:c>
    </x:row>
    <x:row r="64">
      <x:c r="A64" s="3" t="inlineStr">
        <x:is>
          <x:t xml:space="preserve">Executive</x:t>
        </x:is>
      </x:c>
      <x:c r="B64" s="3" t="inlineStr">
        <x:is>
          <x:t xml:space="preserve">EXCO-D2-Q06</x:t>
        </x:is>
      </x:c>
      <x:c r="C64" s="3" t="inlineStr">
        <x:is>
          <x:t xml:space="preserve">T2</x:t>
        </x:is>
      </x:c>
      <x:c r="D64" s="3" t="inlineStr">
        <x:is>
          <x:t xml:space="preserve">2. Targeting &amp; Risk</x:t>
        </x:is>
      </x:c>
      <x:c r="E64" s="3" t="inlineStr">
        <x:is>
          <x:t xml:space="preserve">W</x:t>
        </x:is>
      </x:c>
      <x:c r="F64" s="3" t="n">
        <x:v>1</x:v>
      </x:c>
      <x:c r="G64" s="3" t="inlineStr">
        <x:is>
          <x:t xml:space="preserve">-</x:t>
        </x:is>
      </x:c>
      <x:c r="H64" s="3" t="inlineStr">
        <x:is>
          <x:t xml:space="preserve"/>
        </x:is>
      </x:c>
      <x:c r="I64" s="3" t="inlineStr">
        <x:is>
          <x:t xml:space="preserve">During big changes (M&amp;A, layoffs, restructures), how quickly can we adjust access and monitoring to reduce risk?</x:t>
        </x:is>
      </x:c>
      <x:c r="J64" s="3" t="inlineStr">
        <x:is>
          <x:t xml:space="preserve">This is about ‘control lag’—how long it takes to tighten/adjust controls when the organisation changes.</x:t>
        </x:is>
      </x:c>
      <x:c r="K64" s="3" t="inlineStr">
        <x:is>
          <x:t xml:space="preserve">Gatekeeper; if BaseScore&lt;2 -&gt; next=EXCO-D2-Q07; else next=EXCO-D3-Q01</x:t>
        </x:is>
      </x:c>
      <x:c r="L64" s="3" t="inlineStr">
        <x:is>
          <x:t xml:space="preserve">OPS_STD</x:t>
        </x:is>
      </x:c>
      <x:c r="M64" s="3" t="n">
        <x:v>1</x:v>
      </x:c>
      <x:c r="N64" s="3" t="n"/>
      <x:c r="O64" s="3" t="n"/>
      <x:c r="P64" s="3" t="inlineStr">
        <x:is>
          <x:t xml:space="preserve">EXCO-D2-Q06-A3</x:t>
        </x:is>
      </x:c>
      <x:c r="Q64" s="3" t="n">
        <x:v>4</x:v>
      </x:c>
      <x:c r="R64" s="3" t="inlineStr">
        <x:is>
          <x:t xml:space="preserve">We have a defined approach, but it is not consistently applied or measured.</x:t>
        </x:is>
      </x:c>
      <x:c r="S64" s="3" t="n">
        <x:v>2</x:v>
      </x:c>
      <x:c r="T64" s="3" t="inlineStr">
        <x:is>
          <x:t xml:space="preserve">paper_process</x:t>
        </x:is>
      </x:c>
      <x:c r="U64" s="3" t="inlineStr">
        <x:is>
          <x:t xml:space="preserve">Paper Dragon</x:t>
        </x:is>
      </x:c>
      <x:c r="V64" s="3" t="inlineStr">
        <x:is>
          <x:t xml:space="preserve">Measure_Control_Lag</x:t>
        </x:is>
      </x:c>
      <x:c r="W64" s="3" t="inlineStr">
        <x:is>
          <x:t xml:space="preserve">N</x:t>
        </x:is>
      </x:c>
      <x:c r="X64" s="3" t="inlineStr">
        <x:is>
          <x:t xml:space="preserve"/>
        </x:is>
      </x:c>
      <x:c r="Y64" s="6">
        <x:f>(S64*IF(E64="G",F64,0))+(S64*IF(G64="G",H64,0))</x:f>
      </x:c>
      <x:c r="Z64" s="6">
        <x:f>(S64*IF(E64="E",F64,0))+(S64*IF(G64="E",H64,0))</x:f>
      </x:c>
      <x:c r="AA64" s="6">
        <x:f>(S64*IF(E64="T",F64,0))+(S64*IF(G64="T",H64,0))</x:f>
      </x:c>
      <x:c r="AB64" s="6">
        <x:f>(S64*IF(E64="L",F64,0))+(S64*IF(G64="L",H64,0))</x:f>
      </x:c>
      <x:c r="AC64" s="6">
        <x:f>(S64*IF(E64="H",F64,0))+(S64*IF(G64="H",H64,0))</x:f>
      </x:c>
      <x:c r="AD64" s="6">
        <x:f>(S64*IF(E64="V",F64,0))+(S64*IF(G64="V",H64,0))</x:f>
      </x:c>
      <x:c r="AE64" s="6">
        <x:f>(S64*IF(E64="R",F64,0))+(S64*IF(G64="R",H64,0))</x:f>
      </x:c>
      <x:c r="AF64" s="6">
        <x:f>(S64*IF(E64="F",F64,0))+(S64*IF(G64="F",H64,0))</x:f>
      </x:c>
      <x:c r="AG64" s="6">
        <x:f>(S64*IF(E64="W",F64,0))+(S64*IF(G64="W",H64,0))</x:f>
      </x:c>
    </x:row>
    <x:row r="65">
      <x:c r="A65" s="3" t="inlineStr">
        <x:is>
          <x:t xml:space="preserve">Executive</x:t>
        </x:is>
      </x:c>
      <x:c r="B65" s="3" t="inlineStr">
        <x:is>
          <x:t xml:space="preserve">EXCO-D2-Q06</x:t>
        </x:is>
      </x:c>
      <x:c r="C65" s="3" t="inlineStr">
        <x:is>
          <x:t xml:space="preserve">T2</x:t>
        </x:is>
      </x:c>
      <x:c r="D65" s="3" t="inlineStr">
        <x:is>
          <x:t xml:space="preserve">2. Targeting &amp; Risk</x:t>
        </x:is>
      </x:c>
      <x:c r="E65" s="3" t="inlineStr">
        <x:is>
          <x:t xml:space="preserve">W</x:t>
        </x:is>
      </x:c>
      <x:c r="F65" s="3" t="n">
        <x:v>1</x:v>
      </x:c>
      <x:c r="G65" s="3" t="inlineStr">
        <x:is>
          <x:t xml:space="preserve">-</x:t>
        </x:is>
      </x:c>
      <x:c r="H65" s="3" t="inlineStr">
        <x:is>
          <x:t xml:space="preserve"/>
        </x:is>
      </x:c>
      <x:c r="I65" s="3" t="inlineStr">
        <x:is>
          <x:t xml:space="preserve">During big changes (M&amp;A, layoffs, restructures), how quickly can we adjust access and monitoring to reduce risk?</x:t>
        </x:is>
      </x:c>
      <x:c r="J65" s="3" t="inlineStr">
        <x:is>
          <x:t xml:space="preserve">This is about ‘control lag’—how long it takes to tighten/adjust controls when the organisation changes.</x:t>
        </x:is>
      </x:c>
      <x:c r="K65" s="3" t="inlineStr">
        <x:is>
          <x:t xml:space="preserve">Gatekeeper; if BaseScore&lt;2 -&gt; next=EXCO-D2-Q07; else next=EXCO-D3-Q01</x:t>
        </x:is>
      </x:c>
      <x:c r="L65" s="3" t="inlineStr">
        <x:is>
          <x:t xml:space="preserve">OPS_STD</x:t>
        </x:is>
      </x:c>
      <x:c r="M65" s="3" t="n">
        <x:v>1</x:v>
      </x:c>
      <x:c r="N65" s="3" t="n"/>
      <x:c r="O65" s="3" t="n"/>
      <x:c r="P65" s="3" t="inlineStr">
        <x:is>
          <x:t xml:space="preserve">EXCO-D2-Q06-A4</x:t>
        </x:is>
      </x:c>
      <x:c r="Q65" s="3" t="n">
        <x:v>5</x:v>
      </x:c>
      <x:c r="R65" s="3" t="inlineStr">
        <x:is>
          <x:t xml:space="preserve">We adjust within days with clear triggers (e.g., leavers, role changes, sensitive projects).</x:t>
        </x:is>
      </x:c>
      <x:c r="S65" s="3" t="n">
        <x:v>3</x:v>
      </x:c>
      <x:c r="T65" s="3" t="inlineStr">
        <x:is>
          <x:t xml:space="preserve">good_practice</x:t>
        </x:is>
      </x:c>
      <x:c r="U65" s="3" t="inlineStr">
        <x:is>
          <x:t xml:space="preserve"/>
        </x:is>
      </x:c>
      <x:c r="V65" s="3" t="inlineStr">
        <x:is>
          <x:t xml:space="preserve">Request_Evidence</x:t>
        </x:is>
      </x:c>
      <x:c r="W65" s="3" t="inlineStr">
        <x:is>
          <x:t xml:space="preserve">Y</x:t>
        </x:is>
      </x:c>
      <x:c r="X65" s="3" t="inlineStr">
        <x:is>
          <x:t xml:space="preserve">Provide example of last change event and what changed.</x:t>
        </x:is>
      </x:c>
      <x:c r="Y65" s="6">
        <x:f>(S65*IF(E65="G",F65,0))+(S65*IF(G65="G",H65,0))</x:f>
      </x:c>
      <x:c r="Z65" s="6">
        <x:f>(S65*IF(E65="E",F65,0))+(S65*IF(G65="E",H65,0))</x:f>
      </x:c>
      <x:c r="AA65" s="6">
        <x:f>(S65*IF(E65="T",F65,0))+(S65*IF(G65="T",H65,0))</x:f>
      </x:c>
      <x:c r="AB65" s="6">
        <x:f>(S65*IF(E65="L",F65,0))+(S65*IF(G65="L",H65,0))</x:f>
      </x:c>
      <x:c r="AC65" s="6">
        <x:f>(S65*IF(E65="H",F65,0))+(S65*IF(G65="H",H65,0))</x:f>
      </x:c>
      <x:c r="AD65" s="6">
        <x:f>(S65*IF(E65="V",F65,0))+(S65*IF(G65="V",H65,0))</x:f>
      </x:c>
      <x:c r="AE65" s="6">
        <x:f>(S65*IF(E65="R",F65,0))+(S65*IF(G65="R",H65,0))</x:f>
      </x:c>
      <x:c r="AF65" s="6">
        <x:f>(S65*IF(E65="F",F65,0))+(S65*IF(G65="F",H65,0))</x:f>
      </x:c>
      <x:c r="AG65" s="6">
        <x:f>(S65*IF(E65="W",F65,0))+(S65*IF(G65="W",H65,0))</x:f>
      </x:c>
    </x:row>
    <x:row r="66">
      <x:c r="A66" s="3" t="inlineStr">
        <x:is>
          <x:t xml:space="preserve">Executive</x:t>
        </x:is>
      </x:c>
      <x:c r="B66" s="3" t="inlineStr">
        <x:is>
          <x:t xml:space="preserve">EXCO-D2-Q06</x:t>
        </x:is>
      </x:c>
      <x:c r="C66" s="3" t="inlineStr">
        <x:is>
          <x:t xml:space="preserve">T2</x:t>
        </x:is>
      </x:c>
      <x:c r="D66" s="3" t="inlineStr">
        <x:is>
          <x:t xml:space="preserve">2. Targeting &amp; Risk</x:t>
        </x:is>
      </x:c>
      <x:c r="E66" s="3" t="inlineStr">
        <x:is>
          <x:t xml:space="preserve">W</x:t>
        </x:is>
      </x:c>
      <x:c r="F66" s="3" t="n">
        <x:v>1</x:v>
      </x:c>
      <x:c r="G66" s="3" t="inlineStr">
        <x:is>
          <x:t xml:space="preserve">-</x:t>
        </x:is>
      </x:c>
      <x:c r="H66" s="3" t="inlineStr">
        <x:is>
          <x:t xml:space="preserve"/>
        </x:is>
      </x:c>
      <x:c r="I66" s="3" t="inlineStr">
        <x:is>
          <x:t xml:space="preserve">During big changes (M&amp;A, layoffs, restructures), how quickly can we adjust access and monitoring to reduce risk?</x:t>
        </x:is>
      </x:c>
      <x:c r="J66" s="3" t="inlineStr">
        <x:is>
          <x:t xml:space="preserve">This is about ‘control lag’—how long it takes to tighten/adjust controls when the organisation changes.</x:t>
        </x:is>
      </x:c>
      <x:c r="K66" s="3" t="inlineStr">
        <x:is>
          <x:t xml:space="preserve">Gatekeeper; if BaseScore&lt;2 -&gt; next=EXCO-D2-Q07; else next=EXCO-D3-Q01</x:t>
        </x:is>
      </x:c>
      <x:c r="L66" s="3" t="inlineStr">
        <x:is>
          <x:t xml:space="preserve">OPS_STD</x:t>
        </x:is>
      </x:c>
      <x:c r="M66" s="3" t="n">
        <x:v>1</x:v>
      </x:c>
      <x:c r="N66" s="3" t="n"/>
      <x:c r="O66" s="3" t="n"/>
      <x:c r="P66" s="3" t="inlineStr">
        <x:is>
          <x:t xml:space="preserve">EXCO-D2-Q06-A5</x:t>
        </x:is>
      </x:c>
      <x:c r="Q66" s="3" t="n">
        <x:v>6</x:v>
      </x:c>
      <x:c r="R66" s="3" t="inlineStr">
        <x:is>
          <x:t xml:space="preserve">We have automated or semi-automated playbooks and measure control lag; improvements are tracked.</x:t>
        </x:is>
      </x:c>
      <x:c r="S66" s="3" t="n">
        <x:v>4</x:v>
      </x:c>
      <x:c r="T66" s="3" t="inlineStr">
        <x:is>
          <x:t xml:space="preserve">optimized</x:t>
        </x:is>
      </x:c>
      <x:c r="U66" s="3" t="inlineStr">
        <x:is>
          <x:t xml:space="preserve"/>
        </x:is>
      </x:c>
      <x:c r="V66" s="3" t="inlineStr">
        <x:is>
          <x:t xml:space="preserve">Request_Evidence</x:t>
        </x:is>
      </x:c>
      <x:c r="W66" s="3" t="inlineStr">
        <x:is>
          <x:t xml:space="preserve">Y</x:t>
        </x:is>
      </x:c>
      <x:c r="X66" s="3" t="inlineStr">
        <x:is>
          <x:t xml:space="preserve"/>
        </x:is>
      </x:c>
      <x:c r="Y66" s="6">
        <x:f>(S66*IF(E66="G",F66,0))+(S66*IF(G66="G",H66,0))</x:f>
      </x:c>
      <x:c r="Z66" s="6">
        <x:f>(S66*IF(E66="E",F66,0))+(S66*IF(G66="E",H66,0))</x:f>
      </x:c>
      <x:c r="AA66" s="6">
        <x:f>(S66*IF(E66="T",F66,0))+(S66*IF(G66="T",H66,0))</x:f>
      </x:c>
      <x:c r="AB66" s="6">
        <x:f>(S66*IF(E66="L",F66,0))+(S66*IF(G66="L",H66,0))</x:f>
      </x:c>
      <x:c r="AC66" s="6">
        <x:f>(S66*IF(E66="H",F66,0))+(S66*IF(G66="H",H66,0))</x:f>
      </x:c>
      <x:c r="AD66" s="6">
        <x:f>(S66*IF(E66="V",F66,0))+(S66*IF(G66="V",H66,0))</x:f>
      </x:c>
      <x:c r="AE66" s="6">
        <x:f>(S66*IF(E66="R",F66,0))+(S66*IF(G66="R",H66,0))</x:f>
      </x:c>
      <x:c r="AF66" s="6">
        <x:f>(S66*IF(E66="F",F66,0))+(S66*IF(G66="F",H66,0))</x:f>
      </x:c>
      <x:c r="AG66" s="6">
        <x:f>(S66*IF(E66="W",F66,0))+(S66*IF(G66="W",H66,0))</x:f>
      </x:c>
    </x:row>
    <x:row r="67">
      <x:c r="A67" s="3" t="inlineStr">
        <x:is>
          <x:t xml:space="preserve">Executive</x:t>
        </x:is>
      </x:c>
      <x:c r="B67" s="3" t="inlineStr">
        <x:is>
          <x:t xml:space="preserve">EXCO-D2-Q07</x:t>
        </x:is>
      </x:c>
      <x:c r="C67" s="3" t="inlineStr">
        <x:is>
          <x:t xml:space="preserve">T2</x:t>
        </x:is>
      </x:c>
      <x:c r="D67" s="3" t="inlineStr">
        <x:is>
          <x:t xml:space="preserve">2. Targeting &amp; Risk</x:t>
        </x:is>
      </x:c>
      <x:c r="E67" s="3" t="inlineStr">
        <x:is>
          <x:t xml:space="preserve">W</x:t>
        </x:is>
      </x:c>
      <x:c r="F67" s="3" t="n">
        <x:v>1</x:v>
      </x:c>
      <x:c r="G67" s="3" t="inlineStr">
        <x:is>
          <x:t xml:space="preserve">-</x:t>
        </x:is>
      </x:c>
      <x:c r="H67" s="3" t="inlineStr">
        <x:is>
          <x:t xml:space="preserve"/>
        </x:is>
      </x:c>
      <x:c r="I67" s="3" t="inlineStr">
        <x:is>
          <x:t xml:space="preserve">(Shadow probe) In the last major change event, did we actually tighten controls (access, approvals, monitoring) in time?</x:t>
        </x:is>
      </x:c>
      <x:c r="J67" s="3" t="inlineStr">
        <x:is>
          <x:t xml:space="preserve">This asks for a real example to ‘business-proof’ the previous answer.</x:t>
        </x:is>
      </x:c>
      <x:c r="K67" s="3" t="inlineStr">
        <x:is>
          <x:t xml:space="preserve">Shadow probe; next=EXCO-D3-Q01</x:t>
        </x:is>
      </x:c>
      <x:c r="L67" s="3" t="inlineStr">
        <x:is>
          <x:t xml:space="preserve">OPS_STD</x:t>
        </x:is>
      </x:c>
      <x:c r="M67" s="3" t="n">
        <x:v>1</x:v>
      </x:c>
      <x:c r="N67" s="3" t="n"/>
      <x:c r="O67" s="3" t="n"/>
      <x:c r="P67" s="3" t="inlineStr">
        <x:is>
          <x:t xml:space="preserve">EXCO-D2-Q07-A1</x:t>
        </x:is>
      </x:c>
      <x:c r="Q67" s="3" t="n">
        <x:v>1</x:v>
      </x:c>
      <x:c r="R67" s="3" t="inlineStr">
        <x:is>
          <x:t xml:space="preserve">No—we didn’t change anything specific.</x:t>
        </x:is>
      </x:c>
      <x:c r="S67" s="3" t="n">
        <x:v>0</x:v>
      </x:c>
      <x:c r="T67" s="3" t="inlineStr">
        <x:is>
          <x:t xml:space="preserve">control_lag_high</x:t>
        </x:is>
      </x:c>
      <x:c r="U67" s="3" t="inlineStr">
        <x:is>
          <x:t xml:space="preserve">Control Lag</x:t>
        </x:is>
      </x:c>
      <x:c r="V67" s="3" t="inlineStr">
        <x:is>
          <x:t xml:space="preserve">ControlLag_Sprint</x:t>
        </x:is>
      </x:c>
      <x:c r="W67" s="3" t="inlineStr">
        <x:is>
          <x:t xml:space="preserve">N</x:t>
        </x:is>
      </x:c>
      <x:c r="X67" s="3" t="inlineStr">
        <x:is>
          <x:t xml:space="preserve"/>
        </x:is>
      </x:c>
      <x:c r="Y67" s="6">
        <x:f>(S67*IF(E67="G",F67,0))+(S67*IF(G67="G",H67,0))</x:f>
      </x:c>
      <x:c r="Z67" s="6">
        <x:f>(S67*IF(E67="E",F67,0))+(S67*IF(G67="E",H67,0))</x:f>
      </x:c>
      <x:c r="AA67" s="6">
        <x:f>(S67*IF(E67="T",F67,0))+(S67*IF(G67="T",H67,0))</x:f>
      </x:c>
      <x:c r="AB67" s="6">
        <x:f>(S67*IF(E67="L",F67,0))+(S67*IF(G67="L",H67,0))</x:f>
      </x:c>
      <x:c r="AC67" s="6">
        <x:f>(S67*IF(E67="H",F67,0))+(S67*IF(G67="H",H67,0))</x:f>
      </x:c>
      <x:c r="AD67" s="6">
        <x:f>(S67*IF(E67="V",F67,0))+(S67*IF(G67="V",H67,0))</x:f>
      </x:c>
      <x:c r="AE67" s="6">
        <x:f>(S67*IF(E67="R",F67,0))+(S67*IF(G67="R",H67,0))</x:f>
      </x:c>
      <x:c r="AF67" s="6">
        <x:f>(S67*IF(E67="F",F67,0))+(S67*IF(G67="F",H67,0))</x:f>
      </x:c>
      <x:c r="AG67" s="6">
        <x:f>(S67*IF(E67="W",F67,0))+(S67*IF(G67="W",H67,0))</x:f>
      </x:c>
    </x:row>
    <x:row r="68">
      <x:c r="A68" s="3" t="inlineStr">
        <x:is>
          <x:t xml:space="preserve">Executive</x:t>
        </x:is>
      </x:c>
      <x:c r="B68" s="3" t="inlineStr">
        <x:is>
          <x:t xml:space="preserve">EXCO-D2-Q07</x:t>
        </x:is>
      </x:c>
      <x:c r="C68" s="3" t="inlineStr">
        <x:is>
          <x:t xml:space="preserve">T2</x:t>
        </x:is>
      </x:c>
      <x:c r="D68" s="3" t="inlineStr">
        <x:is>
          <x:t xml:space="preserve">2. Targeting &amp; Risk</x:t>
        </x:is>
      </x:c>
      <x:c r="E68" s="3" t="inlineStr">
        <x:is>
          <x:t xml:space="preserve">W</x:t>
        </x:is>
      </x:c>
      <x:c r="F68" s="3" t="n">
        <x:v>1</x:v>
      </x:c>
      <x:c r="G68" s="3" t="inlineStr">
        <x:is>
          <x:t xml:space="preserve">-</x:t>
        </x:is>
      </x:c>
      <x:c r="H68" s="3" t="inlineStr">
        <x:is>
          <x:t xml:space="preserve"/>
        </x:is>
      </x:c>
      <x:c r="I68" s="3" t="inlineStr">
        <x:is>
          <x:t xml:space="preserve">(Shadow probe) In the last major change event, did we actually tighten controls (access, approvals, monitoring) in time?</x:t>
        </x:is>
      </x:c>
      <x:c r="J68" s="3" t="inlineStr">
        <x:is>
          <x:t xml:space="preserve">This asks for a real example to ‘business-proof’ the previous answer.</x:t>
        </x:is>
      </x:c>
      <x:c r="K68" s="3" t="inlineStr">
        <x:is>
          <x:t xml:space="preserve">Shadow probe; next=EXCO-D3-Q01</x:t>
        </x:is>
      </x:c>
      <x:c r="L68" s="3" t="inlineStr">
        <x:is>
          <x:t xml:space="preserve">OPS_STD</x:t>
        </x:is>
      </x:c>
      <x:c r="M68" s="3" t="n">
        <x:v>1</x:v>
      </x:c>
      <x:c r="N68" s="3" t="n"/>
      <x:c r="O68" s="3" t="n"/>
      <x:c r="P68" s="3" t="inlineStr">
        <x:is>
          <x:t xml:space="preserve">EXCO-D2-Q07-A2</x:t>
        </x:is>
      </x:c>
      <x:c r="Q68" s="3" t="n">
        <x:v>2</x:v>
      </x:c>
      <x:c r="R68" s="3" t="inlineStr">
        <x:is>
          <x:t xml:space="preserve">We tried, but changes were late or inconsistent.</x:t>
        </x:is>
      </x:c>
      <x:c r="S68" s="3" t="n">
        <x:v>1</x:v>
      </x:c>
      <x:c r="T68" s="3" t="inlineStr">
        <x:is>
          <x:t xml:space="preserve">control_lag_high</x:t>
        </x:is>
      </x:c>
      <x:c r="U68" s="3" t="inlineStr">
        <x:is>
          <x:t xml:space="preserve">Control Lag</x:t>
        </x:is>
      </x:c>
      <x:c r="V68" s="3" t="inlineStr">
        <x:is>
          <x:t xml:space="preserve">ControlLag_Sprint</x:t>
        </x:is>
      </x:c>
      <x:c r="W68" s="3" t="inlineStr">
        <x:is>
          <x:t xml:space="preserve">N</x:t>
        </x:is>
      </x:c>
      <x:c r="X68" s="3" t="inlineStr">
        <x:is>
          <x:t xml:space="preserve"/>
        </x:is>
      </x:c>
      <x:c r="Y68" s="6">
        <x:f>(S68*IF(E68="G",F68,0))+(S68*IF(G68="G",H68,0))</x:f>
      </x:c>
      <x:c r="Z68" s="6">
        <x:f>(S68*IF(E68="E",F68,0))+(S68*IF(G68="E",H68,0))</x:f>
      </x:c>
      <x:c r="AA68" s="6">
        <x:f>(S68*IF(E68="T",F68,0))+(S68*IF(G68="T",H68,0))</x:f>
      </x:c>
      <x:c r="AB68" s="6">
        <x:f>(S68*IF(E68="L",F68,0))+(S68*IF(G68="L",H68,0))</x:f>
      </x:c>
      <x:c r="AC68" s="6">
        <x:f>(S68*IF(E68="H",F68,0))+(S68*IF(G68="H",H68,0))</x:f>
      </x:c>
      <x:c r="AD68" s="6">
        <x:f>(S68*IF(E68="V",F68,0))+(S68*IF(G68="V",H68,0))</x:f>
      </x:c>
      <x:c r="AE68" s="6">
        <x:f>(S68*IF(E68="R",F68,0))+(S68*IF(G68="R",H68,0))</x:f>
      </x:c>
      <x:c r="AF68" s="6">
        <x:f>(S68*IF(E68="F",F68,0))+(S68*IF(G68="F",H68,0))</x:f>
      </x:c>
      <x:c r="AG68" s="6">
        <x:f>(S68*IF(E68="W",F68,0))+(S68*IF(G68="W",H68,0))</x:f>
      </x:c>
    </x:row>
    <x:row r="69">
      <x:c r="A69" s="3" t="inlineStr">
        <x:is>
          <x:t xml:space="preserve">Executive</x:t>
        </x:is>
      </x:c>
      <x:c r="B69" s="3" t="inlineStr">
        <x:is>
          <x:t xml:space="preserve">EXCO-D2-Q07</x:t>
        </x:is>
      </x:c>
      <x:c r="C69" s="3" t="inlineStr">
        <x:is>
          <x:t xml:space="preserve">T2</x:t>
        </x:is>
      </x:c>
      <x:c r="D69" s="3" t="inlineStr">
        <x:is>
          <x:t xml:space="preserve">2. Targeting &amp; Risk</x:t>
        </x:is>
      </x:c>
      <x:c r="E69" s="3" t="inlineStr">
        <x:is>
          <x:t xml:space="preserve">W</x:t>
        </x:is>
      </x:c>
      <x:c r="F69" s="3" t="n">
        <x:v>1</x:v>
      </x:c>
      <x:c r="G69" s="3" t="inlineStr">
        <x:is>
          <x:t xml:space="preserve">-</x:t>
        </x:is>
      </x:c>
      <x:c r="H69" s="3" t="inlineStr">
        <x:is>
          <x:t xml:space="preserve"/>
        </x:is>
      </x:c>
      <x:c r="I69" s="3" t="inlineStr">
        <x:is>
          <x:t xml:space="preserve">(Shadow probe) In the last major change event, did we actually tighten controls (access, approvals, monitoring) in time?</x:t>
        </x:is>
      </x:c>
      <x:c r="J69" s="3" t="inlineStr">
        <x:is>
          <x:t xml:space="preserve">This asks for a real example to ‘business-proof’ the previous answer.</x:t>
        </x:is>
      </x:c>
      <x:c r="K69" s="3" t="inlineStr">
        <x:is>
          <x:t xml:space="preserve">Shadow probe; next=EXCO-D3-Q01</x:t>
        </x:is>
      </x:c>
      <x:c r="L69" s="3" t="inlineStr">
        <x:is>
          <x:t xml:space="preserve">OPS_STD</x:t>
        </x:is>
      </x:c>
      <x:c r="M69" s="3" t="n">
        <x:v>1</x:v>
      </x:c>
      <x:c r="N69" s="3" t="n"/>
      <x:c r="O69" s="3" t="n"/>
      <x:c r="P69" s="3" t="inlineStr">
        <x:is>
          <x:t xml:space="preserve">EXCO-D2-Q07-A3</x:t>
        </x:is>
      </x:c>
      <x:c r="Q69" s="3" t="n">
        <x:v>3</x:v>
      </x:c>
      <x:c r="R69" s="3" t="inlineStr">
        <x:is>
          <x:t xml:space="preserve">Yes—we made some targeted changes, but we didn’t track timing or impact.</x:t>
        </x:is>
      </x:c>
      <x:c r="S69" s="3" t="n">
        <x:v>2</x:v>
      </x:c>
      <x:c r="T69" s="3" t="inlineStr">
        <x:is>
          <x:t xml:space="preserve">partial_maturity</x:t>
        </x:is>
      </x:c>
      <x:c r="U69" s="3" t="inlineStr">
        <x:is>
          <x:t xml:space="preserve"/>
        </x:is>
      </x:c>
      <x:c r="V69" s="3" t="inlineStr">
        <x:is>
          <x:t xml:space="preserve">Measure_Control_Lag</x:t>
        </x:is>
      </x:c>
      <x:c r="W69" s="3" t="inlineStr">
        <x:is>
          <x:t xml:space="preserve">N</x:t>
        </x:is>
      </x:c>
      <x:c r="X69" s="3" t="inlineStr">
        <x:is>
          <x:t xml:space="preserve"/>
        </x:is>
      </x:c>
      <x:c r="Y69" s="6">
        <x:f>(S69*IF(E69="G",F69,0))+(S69*IF(G69="G",H69,0))</x:f>
      </x:c>
      <x:c r="Z69" s="6">
        <x:f>(S69*IF(E69="E",F69,0))+(S69*IF(G69="E",H69,0))</x:f>
      </x:c>
      <x:c r="AA69" s="6">
        <x:f>(S69*IF(E69="T",F69,0))+(S69*IF(G69="T",H69,0))</x:f>
      </x:c>
      <x:c r="AB69" s="6">
        <x:f>(S69*IF(E69="L",F69,0))+(S69*IF(G69="L",H69,0))</x:f>
      </x:c>
      <x:c r="AC69" s="6">
        <x:f>(S69*IF(E69="H",F69,0))+(S69*IF(G69="H",H69,0))</x:f>
      </x:c>
      <x:c r="AD69" s="6">
        <x:f>(S69*IF(E69="V",F69,0))+(S69*IF(G69="V",H69,0))</x:f>
      </x:c>
      <x:c r="AE69" s="6">
        <x:f>(S69*IF(E69="R",F69,0))+(S69*IF(G69="R",H69,0))</x:f>
      </x:c>
      <x:c r="AF69" s="6">
        <x:f>(S69*IF(E69="F",F69,0))+(S69*IF(G69="F",H69,0))</x:f>
      </x:c>
      <x:c r="AG69" s="6">
        <x:f>(S69*IF(E69="W",F69,0))+(S69*IF(G69="W",H69,0))</x:f>
      </x:c>
    </x:row>
    <x:row r="70">
      <x:c r="A70" s="3" t="inlineStr">
        <x:is>
          <x:t xml:space="preserve">Executive</x:t>
        </x:is>
      </x:c>
      <x:c r="B70" s="3" t="inlineStr">
        <x:is>
          <x:t xml:space="preserve">EXCO-D2-Q07</x:t>
        </x:is>
      </x:c>
      <x:c r="C70" s="3" t="inlineStr">
        <x:is>
          <x:t xml:space="preserve">T2</x:t>
        </x:is>
      </x:c>
      <x:c r="D70" s="3" t="inlineStr">
        <x:is>
          <x:t xml:space="preserve">2. Targeting &amp; Risk</x:t>
        </x:is>
      </x:c>
      <x:c r="E70" s="3" t="inlineStr">
        <x:is>
          <x:t xml:space="preserve">W</x:t>
        </x:is>
      </x:c>
      <x:c r="F70" s="3" t="n">
        <x:v>1</x:v>
      </x:c>
      <x:c r="G70" s="3" t="inlineStr">
        <x:is>
          <x:t xml:space="preserve">-</x:t>
        </x:is>
      </x:c>
      <x:c r="H70" s="3" t="inlineStr">
        <x:is>
          <x:t xml:space="preserve"/>
        </x:is>
      </x:c>
      <x:c r="I70" s="3" t="inlineStr">
        <x:is>
          <x:t xml:space="preserve">(Shadow probe) In the last major change event, did we actually tighten controls (access, approvals, monitoring) in time?</x:t>
        </x:is>
      </x:c>
      <x:c r="J70" s="3" t="inlineStr">
        <x:is>
          <x:t xml:space="preserve">This asks for a real example to ‘business-proof’ the previous answer.</x:t>
        </x:is>
      </x:c>
      <x:c r="K70" s="3" t="inlineStr">
        <x:is>
          <x:t xml:space="preserve">Shadow probe; next=EXCO-D3-Q01</x:t>
        </x:is>
      </x:c>
      <x:c r="L70" s="3" t="inlineStr">
        <x:is>
          <x:t xml:space="preserve">OPS_STD</x:t>
        </x:is>
      </x:c>
      <x:c r="M70" s="3" t="n">
        <x:v>1</x:v>
      </x:c>
      <x:c r="N70" s="3" t="n"/>
      <x:c r="O70" s="3" t="n"/>
      <x:c r="P70" s="3" t="inlineStr">
        <x:is>
          <x:t xml:space="preserve">EXCO-D2-Q07-A4</x:t>
        </x:is>
      </x:c>
      <x:c r="Q70" s="3" t="n">
        <x:v>4</x:v>
      </x:c>
      <x:c r="R70" s="3" t="inlineStr">
        <x:is>
          <x:t xml:space="preserve">Yes—we can show what changed and when (e.g., within X days) and who approved it.</x:t>
        </x:is>
      </x:c>
      <x:c r="S70" s="3" t="n">
        <x:v>3</x:v>
      </x:c>
      <x:c r="T70" s="3" t="inlineStr">
        <x:is>
          <x:t xml:space="preserve">good_practice</x:t>
        </x:is>
      </x:c>
      <x:c r="U70" s="3" t="inlineStr">
        <x:is>
          <x:t xml:space="preserve"/>
        </x:is>
      </x:c>
      <x:c r="V70" s="3" t="inlineStr">
        <x:is>
          <x:t xml:space="preserve">Request_Evidence</x:t>
        </x:is>
      </x:c>
      <x:c r="W70" s="3" t="inlineStr">
        <x:is>
          <x:t xml:space="preserve">Y</x:t>
        </x:is>
      </x:c>
      <x:c r="X70" s="3" t="inlineStr">
        <x:is>
          <x:t xml:space="preserve">Provide example change log or approvals.</x:t>
        </x:is>
      </x:c>
      <x:c r="Y70" s="6">
        <x:f>(S70*IF(E70="G",F70,0))+(S70*IF(G70="G",H70,0))</x:f>
      </x:c>
      <x:c r="Z70" s="6">
        <x:f>(S70*IF(E70="E",F70,0))+(S70*IF(G70="E",H70,0))</x:f>
      </x:c>
      <x:c r="AA70" s="6">
        <x:f>(S70*IF(E70="T",F70,0))+(S70*IF(G70="T",H70,0))</x:f>
      </x:c>
      <x:c r="AB70" s="6">
        <x:f>(S70*IF(E70="L",F70,0))+(S70*IF(G70="L",H70,0))</x:f>
      </x:c>
      <x:c r="AC70" s="6">
        <x:f>(S70*IF(E70="H",F70,0))+(S70*IF(G70="H",H70,0))</x:f>
      </x:c>
      <x:c r="AD70" s="6">
        <x:f>(S70*IF(E70="V",F70,0))+(S70*IF(G70="V",H70,0))</x:f>
      </x:c>
      <x:c r="AE70" s="6">
        <x:f>(S70*IF(E70="R",F70,0))+(S70*IF(G70="R",H70,0))</x:f>
      </x:c>
      <x:c r="AF70" s="6">
        <x:f>(S70*IF(E70="F",F70,0))+(S70*IF(G70="F",H70,0))</x:f>
      </x:c>
      <x:c r="AG70" s="6">
        <x:f>(S70*IF(E70="W",F70,0))+(S70*IF(G70="W",H70,0))</x:f>
      </x:c>
    </x:row>
    <x:row r="71">
      <x:c r="A71" s="3" t="inlineStr">
        <x:is>
          <x:t xml:space="preserve">Executive</x:t>
        </x:is>
      </x:c>
      <x:c r="B71" s="3" t="inlineStr">
        <x:is>
          <x:t xml:space="preserve">EXCO-D2-Q08</x:t>
        </x:is>
      </x:c>
      <x:c r="C71" s="3" t="inlineStr">
        <x:is>
          <x:t xml:space="preserve">T2</x:t>
        </x:is>
      </x:c>
      <x:c r="D71" s="3" t="inlineStr">
        <x:is>
          <x:t xml:space="preserve">2. Targeting &amp; Risk</x:t>
        </x:is>
      </x:c>
      <x:c r="E71" s="3" t="inlineStr">
        <x:is>
          <x:t xml:space="preserve">V</x:t>
        </x:is>
      </x:c>
      <x:c r="F71" s="3" t="n">
        <x:v>0.6</x:v>
      </x:c>
      <x:c r="G71" s="3" t="inlineStr">
        <x:is>
          <x:t xml:space="preserve">G</x:t>
        </x:is>
      </x:c>
      <x:c r="H71" s="3" t="n">
        <x:v>0.4</x:v>
      </x:c>
      <x:c r="I71" s="3" t="inlineStr">
        <x:is>
          <x:t xml:space="preserve">Are contractors/third parties included in insider risk controls (access, monitoring, offboarding)?</x:t>
        </x:is>
      </x:c>
      <x:c r="J71" s="3" t="inlineStr">
        <x:is>
          <x:t xml:space="preserve">Plain examples: consultants, developers, outsourced IT, temporary staff, vendors with access to systems or data.</x:t>
        </x:is>
      </x:c>
      <x:c r="K71" s="3" t="inlineStr">
        <x:is>
          <x:t xml:space="preserve">Drill-down; next=EXCO-D3-Q01</x:t>
        </x:is>
      </x:c>
      <x:c r="L71" s="3" t="inlineStr">
        <x:is>
          <x:t xml:space="preserve">RISK_STD</x:t>
        </x:is>
      </x:c>
      <x:c r="M71" s="3" t="n">
        <x:v>1</x:v>
      </x:c>
      <x:c r="N71" s="3" t="n"/>
      <x:c r="O71" s="3" t="n"/>
      <x:c r="P71" s="3" t="inlineStr">
        <x:is>
          <x:t xml:space="preserve">EXCO-D2-Q08-A0</x:t>
        </x:is>
      </x:c>
      <x:c r="Q71" s="3" t="n">
        <x:v>1</x:v>
      </x:c>
      <x:c r="R71" s="3" t="inlineStr">
        <x:is>
          <x:t xml:space="preserve">I don’t know / not sure.</x:t>
        </x:is>
      </x:c>
      <x:c r="S71" s="3" t="n">
        <x:v>0</x:v>
      </x:c>
      <x:c r="T71" s="3" t="inlineStr">
        <x:is>
          <x:t xml:space="preserve">unknown</x:t>
        </x:is>
      </x:c>
      <x:c r="U71" s="3" t="inlineStr">
        <x:is>
          <x:t xml:space="preserve">Unknown</x:t>
        </x:is>
      </x:c>
      <x:c r="V71" s="3" t="inlineStr">
        <x:is>
          <x:t xml:space="preserve">Assess_ThirdParty</x:t>
        </x:is>
      </x:c>
      <x:c r="W71" s="3" t="inlineStr">
        <x:is>
          <x:t xml:space="preserve">N</x:t>
        </x:is>
      </x:c>
      <x:c r="X71" s="3" t="inlineStr">
        <x:is>
          <x:t xml:space="preserve"/>
        </x:is>
      </x:c>
      <x:c r="Y71" s="6">
        <x:f>(S71*IF(E71="G",F71,0))+(S71*IF(G71="G",H71,0))</x:f>
      </x:c>
      <x:c r="Z71" s="6">
        <x:f>(S71*IF(E71="E",F71,0))+(S71*IF(G71="E",H71,0))</x:f>
      </x:c>
      <x:c r="AA71" s="6">
        <x:f>(S71*IF(E71="T",F71,0))+(S71*IF(G71="T",H71,0))</x:f>
      </x:c>
      <x:c r="AB71" s="6">
        <x:f>(S71*IF(E71="L",F71,0))+(S71*IF(G71="L",H71,0))</x:f>
      </x:c>
      <x:c r="AC71" s="6">
        <x:f>(S71*IF(E71="H",F71,0))+(S71*IF(G71="H",H71,0))</x:f>
      </x:c>
      <x:c r="AD71" s="6">
        <x:f>(S71*IF(E71="V",F71,0))+(S71*IF(G71="V",H71,0))</x:f>
      </x:c>
      <x:c r="AE71" s="6">
        <x:f>(S71*IF(E71="R",F71,0))+(S71*IF(G71="R",H71,0))</x:f>
      </x:c>
      <x:c r="AF71" s="6">
        <x:f>(S71*IF(E71="F",F71,0))+(S71*IF(G71="F",H71,0))</x:f>
      </x:c>
      <x:c r="AG71" s="6">
        <x:f>(S71*IF(E71="W",F71,0))+(S71*IF(G71="W",H71,0))</x:f>
      </x:c>
    </x:row>
    <x:row r="72">
      <x:c r="A72" s="3" t="inlineStr">
        <x:is>
          <x:t xml:space="preserve">Executive</x:t>
        </x:is>
      </x:c>
      <x:c r="B72" s="3" t="inlineStr">
        <x:is>
          <x:t xml:space="preserve">EXCO-D2-Q08</x:t>
        </x:is>
      </x:c>
      <x:c r="C72" s="3" t="inlineStr">
        <x:is>
          <x:t xml:space="preserve">T2</x:t>
        </x:is>
      </x:c>
      <x:c r="D72" s="3" t="inlineStr">
        <x:is>
          <x:t xml:space="preserve">2. Targeting &amp; Risk</x:t>
        </x:is>
      </x:c>
      <x:c r="E72" s="3" t="inlineStr">
        <x:is>
          <x:t xml:space="preserve">V</x:t>
        </x:is>
      </x:c>
      <x:c r="F72" s="3" t="n">
        <x:v>0.6</x:v>
      </x:c>
      <x:c r="G72" s="3" t="inlineStr">
        <x:is>
          <x:t xml:space="preserve">G</x:t>
        </x:is>
      </x:c>
      <x:c r="H72" s="3" t="n">
        <x:v>0.4</x:v>
      </x:c>
      <x:c r="I72" s="3" t="inlineStr">
        <x:is>
          <x:t xml:space="preserve">Are contractors/third parties included in insider risk controls (access, monitoring, offboarding)?</x:t>
        </x:is>
      </x:c>
      <x:c r="J72" s="3" t="inlineStr">
        <x:is>
          <x:t xml:space="preserve">Plain examples: consultants, developers, outsourced IT, temporary staff, vendors with access to systems or data.</x:t>
        </x:is>
      </x:c>
      <x:c r="K72" s="3" t="inlineStr">
        <x:is>
          <x:t xml:space="preserve">Drill-down; next=EXCO-D3-Q01</x:t>
        </x:is>
      </x:c>
      <x:c r="L72" s="3" t="inlineStr">
        <x:is>
          <x:t xml:space="preserve">RISK_STD</x:t>
        </x:is>
      </x:c>
      <x:c r="M72" s="3" t="n">
        <x:v>1</x:v>
      </x:c>
      <x:c r="N72" s="3" t="n"/>
      <x:c r="O72" s="3" t="n"/>
      <x:c r="P72" s="3" t="inlineStr">
        <x:is>
          <x:t xml:space="preserve">EXCO-D2-Q08-A1</x:t>
        </x:is>
      </x:c>
      <x:c r="Q72" s="3" t="n">
        <x:v>2</x:v>
      </x:c>
      <x:c r="R72" s="3" t="inlineStr">
        <x:is>
          <x:t xml:space="preserve">No—third parties are treated differently; controls focus on employees only.</x:t>
        </x:is>
      </x:c>
      <x:c r="S72" s="3" t="n">
        <x:v>0</x:v>
      </x:c>
      <x:c r="T72" s="3" t="inlineStr">
        <x:is>
          <x:t xml:space="preserve">third_party_gap</x:t>
        </x:is>
      </x:c>
      <x:c r="U72" s="3" t="inlineStr">
        <x:is>
          <x:t xml:space="preserve">Visibility Gap</x:t>
        </x:is>
      </x:c>
      <x:c r="V72" s="3" t="inlineStr">
        <x:is>
          <x:t xml:space="preserve">Extend_To_ThirdParty</x:t>
        </x:is>
      </x:c>
      <x:c r="W72" s="3" t="inlineStr">
        <x:is>
          <x:t xml:space="preserve">N</x:t>
        </x:is>
      </x:c>
      <x:c r="X72" s="3" t="inlineStr">
        <x:is>
          <x:t xml:space="preserve"/>
        </x:is>
      </x:c>
      <x:c r="Y72" s="6">
        <x:f>(S72*IF(E72="G",F72,0))+(S72*IF(G72="G",H72,0))</x:f>
      </x:c>
      <x:c r="Z72" s="6">
        <x:f>(S72*IF(E72="E",F72,0))+(S72*IF(G72="E",H72,0))</x:f>
      </x:c>
      <x:c r="AA72" s="6">
        <x:f>(S72*IF(E72="T",F72,0))+(S72*IF(G72="T",H72,0))</x:f>
      </x:c>
      <x:c r="AB72" s="6">
        <x:f>(S72*IF(E72="L",F72,0))+(S72*IF(G72="L",H72,0))</x:f>
      </x:c>
      <x:c r="AC72" s="6">
        <x:f>(S72*IF(E72="H",F72,0))+(S72*IF(G72="H",H72,0))</x:f>
      </x:c>
      <x:c r="AD72" s="6">
        <x:f>(S72*IF(E72="V",F72,0))+(S72*IF(G72="V",H72,0))</x:f>
      </x:c>
      <x:c r="AE72" s="6">
        <x:f>(S72*IF(E72="R",F72,0))+(S72*IF(G72="R",H72,0))</x:f>
      </x:c>
      <x:c r="AF72" s="6">
        <x:f>(S72*IF(E72="F",F72,0))+(S72*IF(G72="F",H72,0))</x:f>
      </x:c>
      <x:c r="AG72" s="6">
        <x:f>(S72*IF(E72="W",F72,0))+(S72*IF(G72="W",H72,0))</x:f>
      </x:c>
    </x:row>
    <x:row r="73">
      <x:c r="A73" s="3" t="inlineStr">
        <x:is>
          <x:t xml:space="preserve">Executive</x:t>
        </x:is>
      </x:c>
      <x:c r="B73" s="3" t="inlineStr">
        <x:is>
          <x:t xml:space="preserve">EXCO-D2-Q08</x:t>
        </x:is>
      </x:c>
      <x:c r="C73" s="3" t="inlineStr">
        <x:is>
          <x:t xml:space="preserve">T2</x:t>
        </x:is>
      </x:c>
      <x:c r="D73" s="3" t="inlineStr">
        <x:is>
          <x:t xml:space="preserve">2. Targeting &amp; Risk</x:t>
        </x:is>
      </x:c>
      <x:c r="E73" s="3" t="inlineStr">
        <x:is>
          <x:t xml:space="preserve">V</x:t>
        </x:is>
      </x:c>
      <x:c r="F73" s="3" t="n">
        <x:v>0.6</x:v>
      </x:c>
      <x:c r="G73" s="3" t="inlineStr">
        <x:is>
          <x:t xml:space="preserve">G</x:t>
        </x:is>
      </x:c>
      <x:c r="H73" s="3" t="n">
        <x:v>0.4</x:v>
      </x:c>
      <x:c r="I73" s="3" t="inlineStr">
        <x:is>
          <x:t xml:space="preserve">Are contractors/third parties included in insider risk controls (access, monitoring, offboarding)?</x:t>
        </x:is>
      </x:c>
      <x:c r="J73" s="3" t="inlineStr">
        <x:is>
          <x:t xml:space="preserve">Plain examples: consultants, developers, outsourced IT, temporary staff, vendors with access to systems or data.</x:t>
        </x:is>
      </x:c>
      <x:c r="K73" s="3" t="inlineStr">
        <x:is>
          <x:t xml:space="preserve">Drill-down; next=EXCO-D3-Q01</x:t>
        </x:is>
      </x:c>
      <x:c r="L73" s="3" t="inlineStr">
        <x:is>
          <x:t xml:space="preserve">RISK_STD</x:t>
        </x:is>
      </x:c>
      <x:c r="M73" s="3" t="n">
        <x:v>1</x:v>
      </x:c>
      <x:c r="N73" s="3" t="n"/>
      <x:c r="O73" s="3" t="n"/>
      <x:c r="P73" s="3" t="inlineStr">
        <x:is>
          <x:t xml:space="preserve">EXCO-D2-Q08-A2</x:t>
        </x:is>
      </x:c>
      <x:c r="Q73" s="3" t="n">
        <x:v>3</x:v>
      </x:c>
      <x:c r="R73" s="3" t="inlineStr">
        <x:is>
          <x:t xml:space="preserve">Contracts say ‘follow security’, but we don’t verify it in practice.</x:t>
        </x:is>
      </x:c>
      <x:c r="S73" s="3" t="n">
        <x:v>1</x:v>
      </x:c>
      <x:c r="T73" s="3" t="inlineStr">
        <x:is>
          <x:t xml:space="preserve">paper_dragon_signal</x:t>
        </x:is>
      </x:c>
      <x:c r="U73" s="3" t="inlineStr">
        <x:is>
          <x:t xml:space="preserve">Paper Dragon</x:t>
        </x:is>
      </x:c>
      <x:c r="V73" s="3" t="inlineStr">
        <x:is>
          <x:t xml:space="preserve">Verify_ThirdParty</x:t>
        </x:is>
      </x:c>
      <x:c r="W73" s="3" t="inlineStr">
        <x:is>
          <x:t xml:space="preserve">N</x:t>
        </x:is>
      </x:c>
      <x:c r="X73" s="3" t="inlineStr">
        <x:is>
          <x:t xml:space="preserve"/>
        </x:is>
      </x:c>
      <x:c r="Y73" s="6">
        <x:f>(S73*IF(E73="G",F73,0))+(S73*IF(G73="G",H73,0))</x:f>
      </x:c>
      <x:c r="Z73" s="6">
        <x:f>(S73*IF(E73="E",F73,0))+(S73*IF(G73="E",H73,0))</x:f>
      </x:c>
      <x:c r="AA73" s="6">
        <x:f>(S73*IF(E73="T",F73,0))+(S73*IF(G73="T",H73,0))</x:f>
      </x:c>
      <x:c r="AB73" s="6">
        <x:f>(S73*IF(E73="L",F73,0))+(S73*IF(G73="L",H73,0))</x:f>
      </x:c>
      <x:c r="AC73" s="6">
        <x:f>(S73*IF(E73="H",F73,0))+(S73*IF(G73="H",H73,0))</x:f>
      </x:c>
      <x:c r="AD73" s="6">
        <x:f>(S73*IF(E73="V",F73,0))+(S73*IF(G73="V",H73,0))</x:f>
      </x:c>
      <x:c r="AE73" s="6">
        <x:f>(S73*IF(E73="R",F73,0))+(S73*IF(G73="R",H73,0))</x:f>
      </x:c>
      <x:c r="AF73" s="6">
        <x:f>(S73*IF(E73="F",F73,0))+(S73*IF(G73="F",H73,0))</x:f>
      </x:c>
      <x:c r="AG73" s="6">
        <x:f>(S73*IF(E73="W",F73,0))+(S73*IF(G73="W",H73,0))</x:f>
      </x:c>
    </x:row>
    <x:row r="74">
      <x:c r="A74" s="3" t="inlineStr">
        <x:is>
          <x:t xml:space="preserve">Executive</x:t>
        </x:is>
      </x:c>
      <x:c r="B74" s="3" t="inlineStr">
        <x:is>
          <x:t xml:space="preserve">EXCO-D2-Q08</x:t>
        </x:is>
      </x:c>
      <x:c r="C74" s="3" t="inlineStr">
        <x:is>
          <x:t xml:space="preserve">T2</x:t>
        </x:is>
      </x:c>
      <x:c r="D74" s="3" t="inlineStr">
        <x:is>
          <x:t xml:space="preserve">2. Targeting &amp; Risk</x:t>
        </x:is>
      </x:c>
      <x:c r="E74" s="3" t="inlineStr">
        <x:is>
          <x:t xml:space="preserve">V</x:t>
        </x:is>
      </x:c>
      <x:c r="F74" s="3" t="n">
        <x:v>0.6</x:v>
      </x:c>
      <x:c r="G74" s="3" t="inlineStr">
        <x:is>
          <x:t xml:space="preserve">G</x:t>
        </x:is>
      </x:c>
      <x:c r="H74" s="3" t="n">
        <x:v>0.4</x:v>
      </x:c>
      <x:c r="I74" s="3" t="inlineStr">
        <x:is>
          <x:t xml:space="preserve">Are contractors/third parties included in insider risk controls (access, monitoring, offboarding)?</x:t>
        </x:is>
      </x:c>
      <x:c r="J74" s="3" t="inlineStr">
        <x:is>
          <x:t xml:space="preserve">Plain examples: consultants, developers, outsourced IT, temporary staff, vendors with access to systems or data.</x:t>
        </x:is>
      </x:c>
      <x:c r="K74" s="3" t="inlineStr">
        <x:is>
          <x:t xml:space="preserve">Drill-down; next=EXCO-D3-Q01</x:t>
        </x:is>
      </x:c>
      <x:c r="L74" s="3" t="inlineStr">
        <x:is>
          <x:t xml:space="preserve">RISK_STD</x:t>
        </x:is>
      </x:c>
      <x:c r="M74" s="3" t="n">
        <x:v>1</x:v>
      </x:c>
      <x:c r="N74" s="3" t="n"/>
      <x:c r="O74" s="3" t="n"/>
      <x:c r="P74" s="3" t="inlineStr">
        <x:is>
          <x:t xml:space="preserve">EXCO-D2-Q08-A3</x:t>
        </x:is>
      </x:c>
      <x:c r="Q74" s="3" t="n">
        <x:v>4</x:v>
      </x:c>
      <x:c r="R74" s="3" t="inlineStr">
        <x:is>
          <x:t xml:space="preserve">We apply some controls (e.g., account expiry), but monitoring and offboarding is inconsistent.</x:t>
        </x:is>
      </x:c>
      <x:c r="S74" s="3" t="n">
        <x:v>2</x:v>
      </x:c>
      <x:c r="T74" s="3" t="inlineStr">
        <x:is>
          <x:t xml:space="preserve">inconsistent_execution</x:t>
        </x:is>
      </x:c>
      <x:c r="U74" s="3" t="inlineStr">
        <x:is>
          <x:t xml:space="preserve">Operating Model Gap</x:t>
        </x:is>
      </x:c>
      <x:c r="V74" s="3" t="inlineStr">
        <x:is>
          <x:t xml:space="preserve">Standardize_ThirdParty</x:t>
        </x:is>
      </x:c>
      <x:c r="W74" s="3" t="inlineStr">
        <x:is>
          <x:t xml:space="preserve">N</x:t>
        </x:is>
      </x:c>
      <x:c r="X74" s="3" t="inlineStr">
        <x:is>
          <x:t xml:space="preserve"/>
        </x:is>
      </x:c>
      <x:c r="Y74" s="6">
        <x:f>(S74*IF(E74="G",F74,0))+(S74*IF(G74="G",H74,0))</x:f>
      </x:c>
      <x:c r="Z74" s="6">
        <x:f>(S74*IF(E74="E",F74,0))+(S74*IF(G74="E",H74,0))</x:f>
      </x:c>
      <x:c r="AA74" s="6">
        <x:f>(S74*IF(E74="T",F74,0))+(S74*IF(G74="T",H74,0))</x:f>
      </x:c>
      <x:c r="AB74" s="6">
        <x:f>(S74*IF(E74="L",F74,0))+(S74*IF(G74="L",H74,0))</x:f>
      </x:c>
      <x:c r="AC74" s="6">
        <x:f>(S74*IF(E74="H",F74,0))+(S74*IF(G74="H",H74,0))</x:f>
      </x:c>
      <x:c r="AD74" s="6">
        <x:f>(S74*IF(E74="V",F74,0))+(S74*IF(G74="V",H74,0))</x:f>
      </x:c>
      <x:c r="AE74" s="6">
        <x:f>(S74*IF(E74="R",F74,0))+(S74*IF(G74="R",H74,0))</x:f>
      </x:c>
      <x:c r="AF74" s="6">
        <x:f>(S74*IF(E74="F",F74,0))+(S74*IF(G74="F",H74,0))</x:f>
      </x:c>
      <x:c r="AG74" s="6">
        <x:f>(S74*IF(E74="W",F74,0))+(S74*IF(G74="W",H74,0))</x:f>
      </x:c>
    </x:row>
    <x:row r="75">
      <x:c r="A75" s="3" t="inlineStr">
        <x:is>
          <x:t xml:space="preserve">Executive</x:t>
        </x:is>
      </x:c>
      <x:c r="B75" s="3" t="inlineStr">
        <x:is>
          <x:t xml:space="preserve">EXCO-D2-Q08</x:t>
        </x:is>
      </x:c>
      <x:c r="C75" s="3" t="inlineStr">
        <x:is>
          <x:t xml:space="preserve">T2</x:t>
        </x:is>
      </x:c>
      <x:c r="D75" s="3" t="inlineStr">
        <x:is>
          <x:t xml:space="preserve">2. Targeting &amp; Risk</x:t>
        </x:is>
      </x:c>
      <x:c r="E75" s="3" t="inlineStr">
        <x:is>
          <x:t xml:space="preserve">V</x:t>
        </x:is>
      </x:c>
      <x:c r="F75" s="3" t="n">
        <x:v>0.6</x:v>
      </x:c>
      <x:c r="G75" s="3" t="inlineStr">
        <x:is>
          <x:t xml:space="preserve">G</x:t>
        </x:is>
      </x:c>
      <x:c r="H75" s="3" t="n">
        <x:v>0.4</x:v>
      </x:c>
      <x:c r="I75" s="3" t="inlineStr">
        <x:is>
          <x:t xml:space="preserve">Are contractors/third parties included in insider risk controls (access, monitoring, offboarding)?</x:t>
        </x:is>
      </x:c>
      <x:c r="J75" s="3" t="inlineStr">
        <x:is>
          <x:t xml:space="preserve">Plain examples: consultants, developers, outsourced IT, temporary staff, vendors with access to systems or data.</x:t>
        </x:is>
      </x:c>
      <x:c r="K75" s="3" t="inlineStr">
        <x:is>
          <x:t xml:space="preserve">Drill-down; next=EXCO-D3-Q01</x:t>
        </x:is>
      </x:c>
      <x:c r="L75" s="3" t="inlineStr">
        <x:is>
          <x:t xml:space="preserve">RISK_STD</x:t>
        </x:is>
      </x:c>
      <x:c r="M75" s="3" t="n">
        <x:v>1</x:v>
      </x:c>
      <x:c r="N75" s="3" t="n"/>
      <x:c r="O75" s="3" t="n"/>
      <x:c r="P75" s="3" t="inlineStr">
        <x:is>
          <x:t xml:space="preserve">EXCO-D2-Q08-A4</x:t>
        </x:is>
      </x:c>
      <x:c r="Q75" s="3" t="n">
        <x:v>5</x:v>
      </x:c>
      <x:c r="R75" s="3" t="inlineStr">
        <x:is>
          <x:t xml:space="preserve">Third parties are included similarly to employees for access and offboarding; exceptions are tracked.</x:t>
        </x:is>
      </x:c>
      <x:c r="S75" s="3" t="n">
        <x:v>3</x:v>
      </x:c>
      <x:c r="T75" s="3" t="inlineStr">
        <x:is>
          <x:t xml:space="preserve">good_practice</x:t>
        </x:is>
      </x:c>
      <x:c r="U75" s="3" t="inlineStr">
        <x:is>
          <x:t xml:space="preserve"/>
        </x:is>
      </x:c>
      <x:c r="V75" s="3" t="inlineStr">
        <x:is>
          <x:t xml:space="preserve">Request_Evidence</x:t>
        </x:is>
      </x:c>
      <x:c r="W75" s="3" t="inlineStr">
        <x:is>
          <x:t xml:space="preserve">Y</x:t>
        </x:is>
      </x:c>
      <x:c r="X75" s="3" t="inlineStr">
        <x:is>
          <x:t xml:space="preserve"/>
        </x:is>
      </x:c>
      <x:c r="Y75" s="6">
        <x:f>(S75*IF(E75="G",F75,0))+(S75*IF(G75="G",H75,0))</x:f>
      </x:c>
      <x:c r="Z75" s="6">
        <x:f>(S75*IF(E75="E",F75,0))+(S75*IF(G75="E",H75,0))</x:f>
      </x:c>
      <x:c r="AA75" s="6">
        <x:f>(S75*IF(E75="T",F75,0))+(S75*IF(G75="T",H75,0))</x:f>
      </x:c>
      <x:c r="AB75" s="6">
        <x:f>(S75*IF(E75="L",F75,0))+(S75*IF(G75="L",H75,0))</x:f>
      </x:c>
      <x:c r="AC75" s="6">
        <x:f>(S75*IF(E75="H",F75,0))+(S75*IF(G75="H",H75,0))</x:f>
      </x:c>
      <x:c r="AD75" s="6">
        <x:f>(S75*IF(E75="V",F75,0))+(S75*IF(G75="V",H75,0))</x:f>
      </x:c>
      <x:c r="AE75" s="6">
        <x:f>(S75*IF(E75="R",F75,0))+(S75*IF(G75="R",H75,0))</x:f>
      </x:c>
      <x:c r="AF75" s="6">
        <x:f>(S75*IF(E75="F",F75,0))+(S75*IF(G75="F",H75,0))</x:f>
      </x:c>
      <x:c r="AG75" s="6">
        <x:f>(S75*IF(E75="W",F75,0))+(S75*IF(G75="W",H75,0))</x:f>
      </x:c>
    </x:row>
    <x:row r="76">
      <x:c r="A76" s="3" t="inlineStr">
        <x:is>
          <x:t xml:space="preserve">Executive</x:t>
        </x:is>
      </x:c>
      <x:c r="B76" s="3" t="inlineStr">
        <x:is>
          <x:t xml:space="preserve">EXCO-D2-Q08</x:t>
        </x:is>
      </x:c>
      <x:c r="C76" s="3" t="inlineStr">
        <x:is>
          <x:t xml:space="preserve">T2</x:t>
        </x:is>
      </x:c>
      <x:c r="D76" s="3" t="inlineStr">
        <x:is>
          <x:t xml:space="preserve">2. Targeting &amp; Risk</x:t>
        </x:is>
      </x:c>
      <x:c r="E76" s="3" t="inlineStr">
        <x:is>
          <x:t xml:space="preserve">V</x:t>
        </x:is>
      </x:c>
      <x:c r="F76" s="3" t="n">
        <x:v>0.6</x:v>
      </x:c>
      <x:c r="G76" s="3" t="inlineStr">
        <x:is>
          <x:t xml:space="preserve">G</x:t>
        </x:is>
      </x:c>
      <x:c r="H76" s="3" t="n">
        <x:v>0.4</x:v>
      </x:c>
      <x:c r="I76" s="3" t="inlineStr">
        <x:is>
          <x:t xml:space="preserve">Are contractors/third parties included in insider risk controls (access, monitoring, offboarding)?</x:t>
        </x:is>
      </x:c>
      <x:c r="J76" s="3" t="inlineStr">
        <x:is>
          <x:t xml:space="preserve">Plain examples: consultants, developers, outsourced IT, temporary staff, vendors with access to systems or data.</x:t>
        </x:is>
      </x:c>
      <x:c r="K76" s="3" t="inlineStr">
        <x:is>
          <x:t xml:space="preserve">Drill-down; next=EXCO-D3-Q01</x:t>
        </x:is>
      </x:c>
      <x:c r="L76" s="3" t="inlineStr">
        <x:is>
          <x:t xml:space="preserve">RISK_STD</x:t>
        </x:is>
      </x:c>
      <x:c r="M76" s="3" t="n">
        <x:v>1</x:v>
      </x:c>
      <x:c r="N76" s="3" t="n"/>
      <x:c r="O76" s="3" t="n"/>
      <x:c r="P76" s="3" t="inlineStr">
        <x:is>
          <x:t xml:space="preserve">EXCO-D2-Q08-A5</x:t>
        </x:is>
      </x:c>
      <x:c r="Q76" s="3" t="n">
        <x:v>6</x:v>
      </x:c>
      <x:c r="R76" s="3" t="inlineStr">
        <x:is>
          <x:t xml:space="preserve">Third-party access is risk-scored and monitored; onboarding/offboarding is automated with auditing.</x:t>
        </x:is>
      </x:c>
      <x:c r="S76" s="3" t="n">
        <x:v>4</x:v>
      </x:c>
      <x:c r="T76" s="3" t="inlineStr">
        <x:is>
          <x:t xml:space="preserve">optimized</x:t>
        </x:is>
      </x:c>
      <x:c r="U76" s="3" t="inlineStr">
        <x:is>
          <x:t xml:space="preserve"/>
        </x:is>
      </x:c>
      <x:c r="V76" s="3" t="inlineStr">
        <x:is>
          <x:t xml:space="preserve">Request_Evidence</x:t>
        </x:is>
      </x:c>
      <x:c r="W76" s="3" t="inlineStr">
        <x:is>
          <x:t xml:space="preserve">Y</x:t>
        </x:is>
      </x:c>
      <x:c r="X76" s="3" t="inlineStr">
        <x:is>
          <x:t xml:space="preserve"/>
        </x:is>
      </x:c>
      <x:c r="Y76" s="6">
        <x:f>(S76*IF(E76="G",F76,0))+(S76*IF(G76="G",H76,0))</x:f>
      </x:c>
      <x:c r="Z76" s="6">
        <x:f>(S76*IF(E76="E",F76,0))+(S76*IF(G76="E",H76,0))</x:f>
      </x:c>
      <x:c r="AA76" s="6">
        <x:f>(S76*IF(E76="T",F76,0))+(S76*IF(G76="T",H76,0))</x:f>
      </x:c>
      <x:c r="AB76" s="6">
        <x:f>(S76*IF(E76="L",F76,0))+(S76*IF(G76="L",H76,0))</x:f>
      </x:c>
      <x:c r="AC76" s="6">
        <x:f>(S76*IF(E76="H",F76,0))+(S76*IF(G76="H",H76,0))</x:f>
      </x:c>
      <x:c r="AD76" s="6">
        <x:f>(S76*IF(E76="V",F76,0))+(S76*IF(G76="V",H76,0))</x:f>
      </x:c>
      <x:c r="AE76" s="6">
        <x:f>(S76*IF(E76="R",F76,0))+(S76*IF(G76="R",H76,0))</x:f>
      </x:c>
      <x:c r="AF76" s="6">
        <x:f>(S76*IF(E76="F",F76,0))+(S76*IF(G76="F",H76,0))</x:f>
      </x:c>
      <x:c r="AG76" s="6">
        <x:f>(S76*IF(E76="W",F76,0))+(S76*IF(G76="W",H76,0))</x:f>
      </x:c>
    </x:row>
    <x:row r="77">
      <x:c r="A77" s="3" t="inlineStr">
        <x:is>
          <x:t xml:space="preserve">Executive</x:t>
        </x:is>
      </x:c>
      <x:c r="B77" s="3" t="inlineStr">
        <x:is>
          <x:t xml:space="preserve">EXCO-D3-Q01</x:t>
        </x:is>
      </x:c>
      <x:c r="C77" s="3" t="inlineStr">
        <x:is>
          <x:t xml:space="preserve">T1</x:t>
        </x:is>
      </x:c>
      <x:c r="D77" s="3" t="inlineStr">
        <x:is>
          <x:t xml:space="preserve">3. Legal &amp; Ethics</x:t>
        </x:is>
      </x:c>
      <x:c r="E77" s="3" t="inlineStr">
        <x:is>
          <x:t xml:space="preserve">L</x:t>
        </x:is>
      </x:c>
      <x:c r="F77" s="3" t="n">
        <x:v>0.8</x:v>
      </x:c>
      <x:c r="G77" s="3" t="inlineStr">
        <x:is>
          <x:t xml:space="preserve">G</x:t>
        </x:is>
      </x:c>
      <x:c r="H77" s="3" t="n">
        <x:v>0.2</x:v>
      </x:c>
      <x:c r="I77" s="3" t="inlineStr">
        <x:is>
          <x:t xml:space="preserve">Is there a clear, approved framework for monitoring employee/contractor activity (what, why, and who approves)?</x:t>
        </x:is>
      </x:c>
      <x:c r="J77" s="3" t="inlineStr">
        <x:is>
          <x:t xml:space="preserve">Aim for plain language: what data is monitored, why, legal basis, who can access it, and oversight.</x:t>
        </x:is>
      </x:c>
      <x:c r="K77" s="3" t="inlineStr">
        <x:is>
          <x:t xml:space="preserve">Gatekeeper; if BaseScore&lt;2 -&gt; next=EXCO-D3-Q02; else next=EXCO-D3-Q03</x:t>
        </x:is>
      </x:c>
      <x:c r="L77" s="3" t="inlineStr">
        <x:is>
          <x:t xml:space="preserve">LEG_STRICT</x:t>
        </x:is>
      </x:c>
      <x:c r="M77" s="3" t="n">
        <x:v>1</x:v>
      </x:c>
      <x:c r="N77" s="3" t="n"/>
      <x:c r="O77" s="3" t="n"/>
      <x:c r="P77" s="3" t="inlineStr">
        <x:is>
          <x:t xml:space="preserve">EXCO-D3-Q01-A0</x:t>
        </x:is>
      </x:c>
      <x:c r="Q77" s="3" t="n">
        <x:v>1</x:v>
      </x:c>
      <x:c r="R77" s="3" t="inlineStr">
        <x:is>
          <x:t xml:space="preserve">I don’t know / not sure.</x:t>
        </x:is>
      </x:c>
      <x:c r="S77" s="3" t="n">
        <x:v>0</x:v>
      </x:c>
      <x:c r="T77" s="3" t="inlineStr">
        <x:is>
          <x:t xml:space="preserve">unknown</x:t>
        </x:is>
      </x:c>
      <x:c r="U77" s="3" t="inlineStr">
        <x:is>
          <x:t xml:space="preserve">Unknown</x:t>
        </x:is>
      </x:c>
      <x:c r="V77" s="3" t="inlineStr">
        <x:is>
          <x:t xml:space="preserve">Legal_Clarification</x:t>
        </x:is>
      </x:c>
      <x:c r="W77" s="3" t="inlineStr">
        <x:is>
          <x:t xml:space="preserve">N</x:t>
        </x:is>
      </x:c>
      <x:c r="X77" s="3" t="inlineStr">
        <x:is>
          <x:t xml:space="preserve"/>
        </x:is>
      </x:c>
      <x:c r="Y77" s="6">
        <x:f>(S77*IF(E77="G",F77,0))+(S77*IF(G77="G",H77,0))</x:f>
      </x:c>
      <x:c r="Z77" s="6">
        <x:f>(S77*IF(E77="E",F77,0))+(S77*IF(G77="E",H77,0))</x:f>
      </x:c>
      <x:c r="AA77" s="6">
        <x:f>(S77*IF(E77="T",F77,0))+(S77*IF(G77="T",H77,0))</x:f>
      </x:c>
      <x:c r="AB77" s="6">
        <x:f>(S77*IF(E77="L",F77,0))+(S77*IF(G77="L",H77,0))</x:f>
      </x:c>
      <x:c r="AC77" s="6">
        <x:f>(S77*IF(E77="H",F77,0))+(S77*IF(G77="H",H77,0))</x:f>
      </x:c>
      <x:c r="AD77" s="6">
        <x:f>(S77*IF(E77="V",F77,0))+(S77*IF(G77="V",H77,0))</x:f>
      </x:c>
      <x:c r="AE77" s="6">
        <x:f>(S77*IF(E77="R",F77,0))+(S77*IF(G77="R",H77,0))</x:f>
      </x:c>
      <x:c r="AF77" s="6">
        <x:f>(S77*IF(E77="F",F77,0))+(S77*IF(G77="F",H77,0))</x:f>
      </x:c>
      <x:c r="AG77" s="6">
        <x:f>(S77*IF(E77="W",F77,0))+(S77*IF(G77="W",H77,0))</x:f>
      </x:c>
    </x:row>
    <x:row r="78">
      <x:c r="A78" s="3" t="inlineStr">
        <x:is>
          <x:t xml:space="preserve">Executive</x:t>
        </x:is>
      </x:c>
      <x:c r="B78" s="3" t="inlineStr">
        <x:is>
          <x:t xml:space="preserve">EXCO-D3-Q01</x:t>
        </x:is>
      </x:c>
      <x:c r="C78" s="3" t="inlineStr">
        <x:is>
          <x:t xml:space="preserve">T1</x:t>
        </x:is>
      </x:c>
      <x:c r="D78" s="3" t="inlineStr">
        <x:is>
          <x:t xml:space="preserve">3. Legal &amp; Ethics</x:t>
        </x:is>
      </x:c>
      <x:c r="E78" s="3" t="inlineStr">
        <x:is>
          <x:t xml:space="preserve">L</x:t>
        </x:is>
      </x:c>
      <x:c r="F78" s="3" t="n">
        <x:v>0.8</x:v>
      </x:c>
      <x:c r="G78" s="3" t="inlineStr">
        <x:is>
          <x:t xml:space="preserve">G</x:t>
        </x:is>
      </x:c>
      <x:c r="H78" s="3" t="n">
        <x:v>0.2</x:v>
      </x:c>
      <x:c r="I78" s="3" t="inlineStr">
        <x:is>
          <x:t xml:space="preserve">Is there a clear, approved framework for monitoring employee/contractor activity (what, why, and who approves)?</x:t>
        </x:is>
      </x:c>
      <x:c r="J78" s="3" t="inlineStr">
        <x:is>
          <x:t xml:space="preserve">Aim for plain language: what data is monitored, why, legal basis, who can access it, and oversight.</x:t>
        </x:is>
      </x:c>
      <x:c r="K78" s="3" t="inlineStr">
        <x:is>
          <x:t xml:space="preserve">Gatekeeper; if BaseScore&lt;2 -&gt; next=EXCO-D3-Q02; else next=EXCO-D3-Q03</x:t>
        </x:is>
      </x:c>
      <x:c r="L78" s="3" t="inlineStr">
        <x:is>
          <x:t xml:space="preserve">LEG_STRICT</x:t>
        </x:is>
      </x:c>
      <x:c r="M78" s="3" t="n">
        <x:v>1</x:v>
      </x:c>
      <x:c r="N78" s="3" t="n"/>
      <x:c r="O78" s="3" t="n"/>
      <x:c r="P78" s="3" t="inlineStr">
        <x:is>
          <x:t xml:space="preserve">EXCO-D3-Q01-A1</x:t>
        </x:is>
      </x:c>
      <x:c r="Q78" s="3" t="n">
        <x:v>2</x:v>
      </x:c>
      <x:c r="R78" s="3" t="inlineStr">
        <x:is>
          <x:t xml:space="preserve">No—monitoring is driven by what tools can do; approvals are unclear.</x:t>
        </x:is>
      </x:c>
      <x:c r="S78" s="3" t="n">
        <x:v>0</x:v>
      </x:c>
      <x:c r="T78" s="3" t="inlineStr">
        <x:is>
          <x:t xml:space="preserve">legal_red_flag</x:t>
        </x:is>
      </x:c>
      <x:c r="U78" s="3" t="inlineStr">
        <x:is>
          <x:t xml:space="preserve">Legal Exposure</x:t>
        </x:is>
      </x:c>
      <x:c r="V78" s="3" t="inlineStr">
        <x:is>
          <x:t xml:space="preserve">Legal_Defensibility_Audit</x:t>
        </x:is>
      </x:c>
      <x:c r="W78" s="3" t="inlineStr">
        <x:is>
          <x:t xml:space="preserve">N</x:t>
        </x:is>
      </x:c>
      <x:c r="X78" s="3" t="inlineStr">
        <x:is>
          <x:t xml:space="preserve"/>
        </x:is>
      </x:c>
      <x:c r="Y78" s="6">
        <x:f>(S78*IF(E78="G",F78,0))+(S78*IF(G78="G",H78,0))</x:f>
      </x:c>
      <x:c r="Z78" s="6">
        <x:f>(S78*IF(E78="E",F78,0))+(S78*IF(G78="E",H78,0))</x:f>
      </x:c>
      <x:c r="AA78" s="6">
        <x:f>(S78*IF(E78="T",F78,0))+(S78*IF(G78="T",H78,0))</x:f>
      </x:c>
      <x:c r="AB78" s="6">
        <x:f>(S78*IF(E78="L",F78,0))+(S78*IF(G78="L",H78,0))</x:f>
      </x:c>
      <x:c r="AC78" s="6">
        <x:f>(S78*IF(E78="H",F78,0))+(S78*IF(G78="H",H78,0))</x:f>
      </x:c>
      <x:c r="AD78" s="6">
        <x:f>(S78*IF(E78="V",F78,0))+(S78*IF(G78="V",H78,0))</x:f>
      </x:c>
      <x:c r="AE78" s="6">
        <x:f>(S78*IF(E78="R",F78,0))+(S78*IF(G78="R",H78,0))</x:f>
      </x:c>
      <x:c r="AF78" s="6">
        <x:f>(S78*IF(E78="F",F78,0))+(S78*IF(G78="F",H78,0))</x:f>
      </x:c>
      <x:c r="AG78" s="6">
        <x:f>(S78*IF(E78="W",F78,0))+(S78*IF(G78="W",H78,0))</x:f>
      </x:c>
    </x:row>
    <x:row r="79">
      <x:c r="A79" s="3" t="inlineStr">
        <x:is>
          <x:t xml:space="preserve">Executive</x:t>
        </x:is>
      </x:c>
      <x:c r="B79" s="3" t="inlineStr">
        <x:is>
          <x:t xml:space="preserve">EXCO-D3-Q01</x:t>
        </x:is>
      </x:c>
      <x:c r="C79" s="3" t="inlineStr">
        <x:is>
          <x:t xml:space="preserve">T1</x:t>
        </x:is>
      </x:c>
      <x:c r="D79" s="3" t="inlineStr">
        <x:is>
          <x:t xml:space="preserve">3. Legal &amp; Ethics</x:t>
        </x:is>
      </x:c>
      <x:c r="E79" s="3" t="inlineStr">
        <x:is>
          <x:t xml:space="preserve">L</x:t>
        </x:is>
      </x:c>
      <x:c r="F79" s="3" t="n">
        <x:v>0.8</x:v>
      </x:c>
      <x:c r="G79" s="3" t="inlineStr">
        <x:is>
          <x:t xml:space="preserve">G</x:t>
        </x:is>
      </x:c>
      <x:c r="H79" s="3" t="n">
        <x:v>0.2</x:v>
      </x:c>
      <x:c r="I79" s="3" t="inlineStr">
        <x:is>
          <x:t xml:space="preserve">Is there a clear, approved framework for monitoring employee/contractor activity (what, why, and who approves)?</x:t>
        </x:is>
      </x:c>
      <x:c r="J79" s="3" t="inlineStr">
        <x:is>
          <x:t xml:space="preserve">Aim for plain language: what data is monitored, why, legal basis, who can access it, and oversight.</x:t>
        </x:is>
      </x:c>
      <x:c r="K79" s="3" t="inlineStr">
        <x:is>
          <x:t xml:space="preserve">Gatekeeper; if BaseScore&lt;2 -&gt; next=EXCO-D3-Q02; else next=EXCO-D3-Q03</x:t>
        </x:is>
      </x:c>
      <x:c r="L79" s="3" t="inlineStr">
        <x:is>
          <x:t xml:space="preserve">LEG_STRICT</x:t>
        </x:is>
      </x:c>
      <x:c r="M79" s="3" t="n">
        <x:v>1</x:v>
      </x:c>
      <x:c r="N79" s="3" t="n"/>
      <x:c r="O79" s="3" t="n"/>
      <x:c r="P79" s="3" t="inlineStr">
        <x:is>
          <x:t xml:space="preserve">EXCO-D3-Q01-A2</x:t>
        </x:is>
      </x:c>
      <x:c r="Q79" s="3" t="n">
        <x:v>3</x:v>
      </x:c>
      <x:c r="R79" s="3" t="inlineStr">
        <x:is>
          <x:t xml:space="preserve">Some informal approvals exist (verbal / ad-hoc), but not documented.</x:t>
        </x:is>
      </x:c>
      <x:c r="S79" s="3" t="n">
        <x:v>1</x:v>
      </x:c>
      <x:c r="T79" s="3" t="inlineStr">
        <x:is>
          <x:t xml:space="preserve">legal_red_flag,shadow_signal</x:t>
        </x:is>
      </x:c>
      <x:c r="U79" s="3" t="inlineStr">
        <x:is>
          <x:t xml:space="preserve">Legal Exposure</x:t>
        </x:is>
      </x:c>
      <x:c r="V79" s="3" t="inlineStr">
        <x:is>
          <x:t xml:space="preserve">Legal_Defensibility_Audit</x:t>
        </x:is>
      </x:c>
      <x:c r="W79" s="3" t="inlineStr">
        <x:is>
          <x:t xml:space="preserve">N</x:t>
        </x:is>
      </x:c>
      <x:c r="X79" s="3" t="inlineStr">
        <x:is>
          <x:t xml:space="preserve"/>
        </x:is>
      </x:c>
      <x:c r="Y79" s="6">
        <x:f>(S79*IF(E79="G",F79,0))+(S79*IF(G79="G",H79,0))</x:f>
      </x:c>
      <x:c r="Z79" s="6">
        <x:f>(S79*IF(E79="E",F79,0))+(S79*IF(G79="E",H79,0))</x:f>
      </x:c>
      <x:c r="AA79" s="6">
        <x:f>(S79*IF(E79="T",F79,0))+(S79*IF(G79="T",H79,0))</x:f>
      </x:c>
      <x:c r="AB79" s="6">
        <x:f>(S79*IF(E79="L",F79,0))+(S79*IF(G79="L",H79,0))</x:f>
      </x:c>
      <x:c r="AC79" s="6">
        <x:f>(S79*IF(E79="H",F79,0))+(S79*IF(G79="H",H79,0))</x:f>
      </x:c>
      <x:c r="AD79" s="6">
        <x:f>(S79*IF(E79="V",F79,0))+(S79*IF(G79="V",H79,0))</x:f>
      </x:c>
      <x:c r="AE79" s="6">
        <x:f>(S79*IF(E79="R",F79,0))+(S79*IF(G79="R",H79,0))</x:f>
      </x:c>
      <x:c r="AF79" s="6">
        <x:f>(S79*IF(E79="F",F79,0))+(S79*IF(G79="F",H79,0))</x:f>
      </x:c>
      <x:c r="AG79" s="6">
        <x:f>(S79*IF(E79="W",F79,0))+(S79*IF(G79="W",H79,0))</x:f>
      </x:c>
    </x:row>
    <x:row r="80">
      <x:c r="A80" s="3" t="inlineStr">
        <x:is>
          <x:t xml:space="preserve">Executive</x:t>
        </x:is>
      </x:c>
      <x:c r="B80" s="3" t="inlineStr">
        <x:is>
          <x:t xml:space="preserve">EXCO-D3-Q01</x:t>
        </x:is>
      </x:c>
      <x:c r="C80" s="3" t="inlineStr">
        <x:is>
          <x:t xml:space="preserve">T1</x:t>
        </x:is>
      </x:c>
      <x:c r="D80" s="3" t="inlineStr">
        <x:is>
          <x:t xml:space="preserve">3. Legal &amp; Ethics</x:t>
        </x:is>
      </x:c>
      <x:c r="E80" s="3" t="inlineStr">
        <x:is>
          <x:t xml:space="preserve">L</x:t>
        </x:is>
      </x:c>
      <x:c r="F80" s="3" t="n">
        <x:v>0.8</x:v>
      </x:c>
      <x:c r="G80" s="3" t="inlineStr">
        <x:is>
          <x:t xml:space="preserve">G</x:t>
        </x:is>
      </x:c>
      <x:c r="H80" s="3" t="n">
        <x:v>0.2</x:v>
      </x:c>
      <x:c r="I80" s="3" t="inlineStr">
        <x:is>
          <x:t xml:space="preserve">Is there a clear, approved framework for monitoring employee/contractor activity (what, why, and who approves)?</x:t>
        </x:is>
      </x:c>
      <x:c r="J80" s="3" t="inlineStr">
        <x:is>
          <x:t xml:space="preserve">Aim for plain language: what data is monitored, why, legal basis, who can access it, and oversight.</x:t>
        </x:is>
      </x:c>
      <x:c r="K80" s="3" t="inlineStr">
        <x:is>
          <x:t xml:space="preserve">Gatekeeper; if BaseScore&lt;2 -&gt; next=EXCO-D3-Q02; else next=EXCO-D3-Q03</x:t>
        </x:is>
      </x:c>
      <x:c r="L80" s="3" t="inlineStr">
        <x:is>
          <x:t xml:space="preserve">LEG_STRICT</x:t>
        </x:is>
      </x:c>
      <x:c r="M80" s="3" t="n">
        <x:v>1</x:v>
      </x:c>
      <x:c r="N80" s="3" t="n"/>
      <x:c r="O80" s="3" t="n"/>
      <x:c r="P80" s="3" t="inlineStr">
        <x:is>
          <x:t xml:space="preserve">EXCO-D3-Q01-A3</x:t>
        </x:is>
      </x:c>
      <x:c r="Q80" s="3" t="n">
        <x:v>4</x:v>
      </x:c>
      <x:c r="R80" s="3" t="inlineStr">
        <x:is>
          <x:t xml:space="preserve">Policy exists, but it’s generic and not aligned to how monitoring works in practice.</x:t>
        </x:is>
      </x:c>
      <x:c r="S80" s="3" t="n">
        <x:v>2</x:v>
      </x:c>
      <x:c r="T80" s="3" t="inlineStr">
        <x:is>
          <x:t xml:space="preserve">paper_dragon_signal</x:t>
        </x:is>
      </x:c>
      <x:c r="U80" s="3" t="inlineStr">
        <x:is>
          <x:t xml:space="preserve">Paper Dragon</x:t>
        </x:is>
      </x:c>
      <x:c r="V80" s="3" t="inlineStr">
        <x:is>
          <x:t xml:space="preserve">Align_Policy_To_Reality</x:t>
        </x:is>
      </x:c>
      <x:c r="W80" s="3" t="inlineStr">
        <x:is>
          <x:t xml:space="preserve">Y</x:t>
        </x:is>
      </x:c>
      <x:c r="X80" s="3" t="inlineStr">
        <x:is>
          <x:t xml:space="preserve"/>
        </x:is>
      </x:c>
      <x:c r="Y80" s="6">
        <x:f>(S80*IF(E80="G",F80,0))+(S80*IF(G80="G",H80,0))</x:f>
      </x:c>
      <x:c r="Z80" s="6">
        <x:f>(S80*IF(E80="E",F80,0))+(S80*IF(G80="E",H80,0))</x:f>
      </x:c>
      <x:c r="AA80" s="6">
        <x:f>(S80*IF(E80="T",F80,0))+(S80*IF(G80="T",H80,0))</x:f>
      </x:c>
      <x:c r="AB80" s="6">
        <x:f>(S80*IF(E80="L",F80,0))+(S80*IF(G80="L",H80,0))</x:f>
      </x:c>
      <x:c r="AC80" s="6">
        <x:f>(S80*IF(E80="H",F80,0))+(S80*IF(G80="H",H80,0))</x:f>
      </x:c>
      <x:c r="AD80" s="6">
        <x:f>(S80*IF(E80="V",F80,0))+(S80*IF(G80="V",H80,0))</x:f>
      </x:c>
      <x:c r="AE80" s="6">
        <x:f>(S80*IF(E80="R",F80,0))+(S80*IF(G80="R",H80,0))</x:f>
      </x:c>
      <x:c r="AF80" s="6">
        <x:f>(S80*IF(E80="F",F80,0))+(S80*IF(G80="F",H80,0))</x:f>
      </x:c>
      <x:c r="AG80" s="6">
        <x:f>(S80*IF(E80="W",F80,0))+(S80*IF(G80="W",H80,0))</x:f>
      </x:c>
    </x:row>
    <x:row r="81">
      <x:c r="A81" s="3" t="inlineStr">
        <x:is>
          <x:t xml:space="preserve">Executive</x:t>
        </x:is>
      </x:c>
      <x:c r="B81" s="3" t="inlineStr">
        <x:is>
          <x:t xml:space="preserve">EXCO-D3-Q01</x:t>
        </x:is>
      </x:c>
      <x:c r="C81" s="3" t="inlineStr">
        <x:is>
          <x:t xml:space="preserve">T1</x:t>
        </x:is>
      </x:c>
      <x:c r="D81" s="3" t="inlineStr">
        <x:is>
          <x:t xml:space="preserve">3. Legal &amp; Ethics</x:t>
        </x:is>
      </x:c>
      <x:c r="E81" s="3" t="inlineStr">
        <x:is>
          <x:t xml:space="preserve">L</x:t>
        </x:is>
      </x:c>
      <x:c r="F81" s="3" t="n">
        <x:v>0.8</x:v>
      </x:c>
      <x:c r="G81" s="3" t="inlineStr">
        <x:is>
          <x:t xml:space="preserve">G</x:t>
        </x:is>
      </x:c>
      <x:c r="H81" s="3" t="n">
        <x:v>0.2</x:v>
      </x:c>
      <x:c r="I81" s="3" t="inlineStr">
        <x:is>
          <x:t xml:space="preserve">Is there a clear, approved framework for monitoring employee/contractor activity (what, why, and who approves)?</x:t>
        </x:is>
      </x:c>
      <x:c r="J81" s="3" t="inlineStr">
        <x:is>
          <x:t xml:space="preserve">Aim for plain language: what data is monitored, why, legal basis, who can access it, and oversight.</x:t>
        </x:is>
      </x:c>
      <x:c r="K81" s="3" t="inlineStr">
        <x:is>
          <x:t xml:space="preserve">Gatekeeper; if BaseScore&lt;2 -&gt; next=EXCO-D3-Q02; else next=EXCO-D3-Q03</x:t>
        </x:is>
      </x:c>
      <x:c r="L81" s="3" t="inlineStr">
        <x:is>
          <x:t xml:space="preserve">LEG_STRICT</x:t>
        </x:is>
      </x:c>
      <x:c r="M81" s="3" t="n">
        <x:v>1</x:v>
      </x:c>
      <x:c r="N81" s="3" t="n"/>
      <x:c r="O81" s="3" t="n"/>
      <x:c r="P81" s="3" t="inlineStr">
        <x:is>
          <x:t xml:space="preserve">EXCO-D3-Q01-A4</x:t>
        </x:is>
      </x:c>
      <x:c r="Q81" s="3" t="n">
        <x:v>5</x:v>
      </x:c>
      <x:c r="R81" s="3" t="inlineStr">
        <x:is>
          <x:t xml:space="preserve">Approved framework exists; monitoring is risk-based and approvals/oversight are defined.</x:t>
        </x:is>
      </x:c>
      <x:c r="S81" s="3" t="n">
        <x:v>3</x:v>
      </x:c>
      <x:c r="T81" s="3" t="inlineStr">
        <x:is>
          <x:t xml:space="preserve">good_practice</x:t>
        </x:is>
      </x:c>
      <x:c r="U81" s="3" t="inlineStr">
        <x:is>
          <x:t xml:space="preserve"/>
        </x:is>
      </x:c>
      <x:c r="V81" s="3" t="inlineStr">
        <x:is>
          <x:t xml:space="preserve">Request_Evidence</x:t>
        </x:is>
      </x:c>
      <x:c r="W81" s="3" t="inlineStr">
        <x:is>
          <x:t xml:space="preserve">Y</x:t>
        </x:is>
      </x:c>
      <x:c r="X81" s="3" t="inlineStr">
        <x:is>
          <x:t xml:space="preserve">Provide monitoring policy/DPIA/LIA summary and access controls.</x:t>
        </x:is>
      </x:c>
      <x:c r="Y81" s="6">
        <x:f>(S81*IF(E81="G",F81,0))+(S81*IF(G81="G",H81,0))</x:f>
      </x:c>
      <x:c r="Z81" s="6">
        <x:f>(S81*IF(E81="E",F81,0))+(S81*IF(G81="E",H81,0))</x:f>
      </x:c>
      <x:c r="AA81" s="6">
        <x:f>(S81*IF(E81="T",F81,0))+(S81*IF(G81="T",H81,0))</x:f>
      </x:c>
      <x:c r="AB81" s="6">
        <x:f>(S81*IF(E81="L",F81,0))+(S81*IF(G81="L",H81,0))</x:f>
      </x:c>
      <x:c r="AC81" s="6">
        <x:f>(S81*IF(E81="H",F81,0))+(S81*IF(G81="H",H81,0))</x:f>
      </x:c>
      <x:c r="AD81" s="6">
        <x:f>(S81*IF(E81="V",F81,0))+(S81*IF(G81="V",H81,0))</x:f>
      </x:c>
      <x:c r="AE81" s="6">
        <x:f>(S81*IF(E81="R",F81,0))+(S81*IF(G81="R",H81,0))</x:f>
      </x:c>
      <x:c r="AF81" s="6">
        <x:f>(S81*IF(E81="F",F81,0))+(S81*IF(G81="F",H81,0))</x:f>
      </x:c>
      <x:c r="AG81" s="6">
        <x:f>(S81*IF(E81="W",F81,0))+(S81*IF(G81="W",H81,0))</x:f>
      </x:c>
    </x:row>
    <x:row r="82">
      <x:c r="A82" s="3" t="inlineStr">
        <x:is>
          <x:t xml:space="preserve">Executive</x:t>
        </x:is>
      </x:c>
      <x:c r="B82" s="3" t="inlineStr">
        <x:is>
          <x:t xml:space="preserve">EXCO-D3-Q01</x:t>
        </x:is>
      </x:c>
      <x:c r="C82" s="3" t="inlineStr">
        <x:is>
          <x:t xml:space="preserve">T1</x:t>
        </x:is>
      </x:c>
      <x:c r="D82" s="3" t="inlineStr">
        <x:is>
          <x:t xml:space="preserve">3. Legal &amp; Ethics</x:t>
        </x:is>
      </x:c>
      <x:c r="E82" s="3" t="inlineStr">
        <x:is>
          <x:t xml:space="preserve">L</x:t>
        </x:is>
      </x:c>
      <x:c r="F82" s="3" t="n">
        <x:v>0.8</x:v>
      </x:c>
      <x:c r="G82" s="3" t="inlineStr">
        <x:is>
          <x:t xml:space="preserve">G</x:t>
        </x:is>
      </x:c>
      <x:c r="H82" s="3" t="n">
        <x:v>0.2</x:v>
      </x:c>
      <x:c r="I82" s="3" t="inlineStr">
        <x:is>
          <x:t xml:space="preserve">Is there a clear, approved framework for monitoring employee/contractor activity (what, why, and who approves)?</x:t>
        </x:is>
      </x:c>
      <x:c r="J82" s="3" t="inlineStr">
        <x:is>
          <x:t xml:space="preserve">Aim for plain language: what data is monitored, why, legal basis, who can access it, and oversight.</x:t>
        </x:is>
      </x:c>
      <x:c r="K82" s="3" t="inlineStr">
        <x:is>
          <x:t xml:space="preserve">Gatekeeper; if BaseScore&lt;2 -&gt; next=EXCO-D3-Q02; else next=EXCO-D3-Q03</x:t>
        </x:is>
      </x:c>
      <x:c r="L82" s="3" t="inlineStr">
        <x:is>
          <x:t xml:space="preserve">LEG_STRICT</x:t>
        </x:is>
      </x:c>
      <x:c r="M82" s="3" t="n">
        <x:v>1</x:v>
      </x:c>
      <x:c r="N82" s="3" t="n"/>
      <x:c r="O82" s="3" t="n"/>
      <x:c r="P82" s="3" t="inlineStr">
        <x:is>
          <x:t xml:space="preserve">EXCO-D3-Q01-A5</x:t>
        </x:is>
      </x:c>
      <x:c r="Q82" s="3" t="n">
        <x:v>6</x:v>
      </x:c>
      <x:c r="R82" s="3" t="inlineStr">
        <x:is>
          <x:t xml:space="preserve">Framework is co-designed with Legal/Privacy and relevant employee representation; audited periodically.</x:t>
        </x:is>
      </x:c>
      <x:c r="S82" s="3" t="n">
        <x:v>4</x:v>
      </x:c>
      <x:c r="T82" s="3" t="inlineStr">
        <x:is>
          <x:t xml:space="preserve">optimized</x:t>
        </x:is>
      </x:c>
      <x:c r="U82" s="3" t="inlineStr">
        <x:is>
          <x:t xml:space="preserve"/>
        </x:is>
      </x:c>
      <x:c r="V82" s="3" t="inlineStr">
        <x:is>
          <x:t xml:space="preserve">Request_Evidence</x:t>
        </x:is>
      </x:c>
      <x:c r="W82" s="3" t="inlineStr">
        <x:is>
          <x:t xml:space="preserve">Y</x:t>
        </x:is>
      </x:c>
      <x:c r="X82" s="3" t="inlineStr">
        <x:is>
          <x:t xml:space="preserve"/>
        </x:is>
      </x:c>
      <x:c r="Y82" s="6">
        <x:f>(S82*IF(E82="G",F82,0))+(S82*IF(G82="G",H82,0))</x:f>
      </x:c>
      <x:c r="Z82" s="6">
        <x:f>(S82*IF(E82="E",F82,0))+(S82*IF(G82="E",H82,0))</x:f>
      </x:c>
      <x:c r="AA82" s="6">
        <x:f>(S82*IF(E82="T",F82,0))+(S82*IF(G82="T",H82,0))</x:f>
      </x:c>
      <x:c r="AB82" s="6">
        <x:f>(S82*IF(E82="L",F82,0))+(S82*IF(G82="L",H82,0))</x:f>
      </x:c>
      <x:c r="AC82" s="6">
        <x:f>(S82*IF(E82="H",F82,0))+(S82*IF(G82="H",H82,0))</x:f>
      </x:c>
      <x:c r="AD82" s="6">
        <x:f>(S82*IF(E82="V",F82,0))+(S82*IF(G82="V",H82,0))</x:f>
      </x:c>
      <x:c r="AE82" s="6">
        <x:f>(S82*IF(E82="R",F82,0))+(S82*IF(G82="R",H82,0))</x:f>
      </x:c>
      <x:c r="AF82" s="6">
        <x:f>(S82*IF(E82="F",F82,0))+(S82*IF(G82="F",H82,0))</x:f>
      </x:c>
      <x:c r="AG82" s="6">
        <x:f>(S82*IF(E82="W",F82,0))+(S82*IF(G82="W",H82,0))</x:f>
      </x:c>
    </x:row>
    <x:row r="83">
      <x:c r="A83" s="3" t="inlineStr">
        <x:is>
          <x:t xml:space="preserve">Executive</x:t>
        </x:is>
      </x:c>
      <x:c r="B83" s="3" t="inlineStr">
        <x:is>
          <x:t xml:space="preserve">EXCO-D3-Q02</x:t>
        </x:is>
      </x:c>
      <x:c r="C83" s="3" t="inlineStr">
        <x:is>
          <x:t xml:space="preserve">T2</x:t>
        </x:is>
      </x:c>
      <x:c r="D83" s="3" t="inlineStr">
        <x:is>
          <x:t xml:space="preserve">3. Legal &amp; Ethics</x:t>
        </x:is>
      </x:c>
      <x:c r="E83" s="3" t="inlineStr">
        <x:is>
          <x:t xml:space="preserve">L</x:t>
        </x:is>
      </x:c>
      <x:c r="F83" s="3" t="n">
        <x:v>0.5</x:v>
      </x:c>
      <x:c r="G83" s="3" t="inlineStr">
        <x:is>
          <x:t xml:space="preserve">H</x:t>
        </x:is>
      </x:c>
      <x:c r="H83" s="3" t="n">
        <x:v>0.5</x:v>
      </x:c>
      <x:c r="I83" s="3" t="inlineStr">
        <x:is>
          <x:t xml:space="preserve">(Shadow probe) Do people understand that monitoring exists and what it is used for?</x:t>
        </x:is>
      </x:c>
      <x:c r="J83" s="3" t="inlineStr">
        <x:is>
          <x:t xml:space="preserve">This checks practical transparency, not just contracts.</x:t>
        </x:is>
      </x:c>
      <x:c r="K83" s="3" t="inlineStr">
        <x:is>
          <x:t xml:space="preserve">Shadow probe; next=EXCO-D3-Q03</x:t>
        </x:is>
      </x:c>
      <x:c r="L83" s="3" t="inlineStr">
        <x:is>
          <x:t xml:space="preserve">LEG_STRICT</x:t>
        </x:is>
      </x:c>
      <x:c r="M83" s="3" t="n">
        <x:v>1</x:v>
      </x:c>
      <x:c r="N83" s="3" t="n"/>
      <x:c r="O83" s="3" t="n"/>
      <x:c r="P83" s="3" t="inlineStr">
        <x:is>
          <x:t xml:space="preserve">EXCO-D3-Q02-A1</x:t>
        </x:is>
      </x:c>
      <x:c r="Q83" s="3" t="n">
        <x:v>1</x:v>
      </x:c>
      <x:c r="R83" s="3" t="inlineStr">
        <x:is>
          <x:t xml:space="preserve">No—monitoring is treated as secret; ‘the less they know the better’.</x:t>
        </x:is>
      </x:c>
      <x:c r="S83" s="3" t="n">
        <x:v>0</x:v>
      </x:c>
      <x:c r="T83" s="3" t="inlineStr">
        <x:is>
          <x:t xml:space="preserve">toxic_enforcer_signal,legal_red_flag</x:t>
        </x:is>
      </x:c>
      <x:c r="U83" s="3" t="inlineStr">
        <x:is>
          <x:t xml:space="preserve">Toxic Enforcer</x:t>
        </x:is>
      </x:c>
      <x:c r="V83" s="3" t="inlineStr">
        <x:is>
          <x:t xml:space="preserve">Transparency_Remediation</x:t>
        </x:is>
      </x:c>
      <x:c r="W83" s="3" t="inlineStr">
        <x:is>
          <x:t xml:space="preserve">N</x:t>
        </x:is>
      </x:c>
      <x:c r="X83" s="3" t="inlineStr">
        <x:is>
          <x:t xml:space="preserve"/>
        </x:is>
      </x:c>
      <x:c r="Y83" s="6">
        <x:f>(S83*IF(E83="G",F83,0))+(S83*IF(G83="G",H83,0))</x:f>
      </x:c>
      <x:c r="Z83" s="6">
        <x:f>(S83*IF(E83="E",F83,0))+(S83*IF(G83="E",H83,0))</x:f>
      </x:c>
      <x:c r="AA83" s="6">
        <x:f>(S83*IF(E83="T",F83,0))+(S83*IF(G83="T",H83,0))</x:f>
      </x:c>
      <x:c r="AB83" s="6">
        <x:f>(S83*IF(E83="L",F83,0))+(S83*IF(G83="L",H83,0))</x:f>
      </x:c>
      <x:c r="AC83" s="6">
        <x:f>(S83*IF(E83="H",F83,0))+(S83*IF(G83="H",H83,0))</x:f>
      </x:c>
      <x:c r="AD83" s="6">
        <x:f>(S83*IF(E83="V",F83,0))+(S83*IF(G83="V",H83,0))</x:f>
      </x:c>
      <x:c r="AE83" s="6">
        <x:f>(S83*IF(E83="R",F83,0))+(S83*IF(G83="R",H83,0))</x:f>
      </x:c>
      <x:c r="AF83" s="6">
        <x:f>(S83*IF(E83="F",F83,0))+(S83*IF(G83="F",H83,0))</x:f>
      </x:c>
      <x:c r="AG83" s="6">
        <x:f>(S83*IF(E83="W",F83,0))+(S83*IF(G83="W",H83,0))</x:f>
      </x:c>
    </x:row>
    <x:row r="84">
      <x:c r="A84" s="3" t="inlineStr">
        <x:is>
          <x:t xml:space="preserve">Executive</x:t>
        </x:is>
      </x:c>
      <x:c r="B84" s="3" t="inlineStr">
        <x:is>
          <x:t xml:space="preserve">EXCO-D3-Q02</x:t>
        </x:is>
      </x:c>
      <x:c r="C84" s="3" t="inlineStr">
        <x:is>
          <x:t xml:space="preserve">T2</x:t>
        </x:is>
      </x:c>
      <x:c r="D84" s="3" t="inlineStr">
        <x:is>
          <x:t xml:space="preserve">3. Legal &amp; Ethics</x:t>
        </x:is>
      </x:c>
      <x:c r="E84" s="3" t="inlineStr">
        <x:is>
          <x:t xml:space="preserve">L</x:t>
        </x:is>
      </x:c>
      <x:c r="F84" s="3" t="n">
        <x:v>0.5</x:v>
      </x:c>
      <x:c r="G84" s="3" t="inlineStr">
        <x:is>
          <x:t xml:space="preserve">H</x:t>
        </x:is>
      </x:c>
      <x:c r="H84" s="3" t="n">
        <x:v>0.5</x:v>
      </x:c>
      <x:c r="I84" s="3" t="inlineStr">
        <x:is>
          <x:t xml:space="preserve">(Shadow probe) Do people understand that monitoring exists and what it is used for?</x:t>
        </x:is>
      </x:c>
      <x:c r="J84" s="3" t="inlineStr">
        <x:is>
          <x:t xml:space="preserve">This checks practical transparency, not just contracts.</x:t>
        </x:is>
      </x:c>
      <x:c r="K84" s="3" t="inlineStr">
        <x:is>
          <x:t xml:space="preserve">Shadow probe; next=EXCO-D3-Q03</x:t>
        </x:is>
      </x:c>
      <x:c r="L84" s="3" t="inlineStr">
        <x:is>
          <x:t xml:space="preserve">LEG_STRICT</x:t>
        </x:is>
      </x:c>
      <x:c r="M84" s="3" t="n">
        <x:v>1</x:v>
      </x:c>
      <x:c r="N84" s="3" t="n"/>
      <x:c r="O84" s="3" t="n"/>
      <x:c r="P84" s="3" t="inlineStr">
        <x:is>
          <x:t xml:space="preserve">EXCO-D3-Q02-A2</x:t>
        </x:is>
      </x:c>
      <x:c r="Q84" s="3" t="n">
        <x:v>2</x:v>
      </x:c>
      <x:c r="R84" s="3" t="inlineStr">
        <x:is>
          <x:t xml:space="preserve">Only managers warn people informally; there is no consistent communication.</x:t>
        </x:is>
      </x:c>
      <x:c r="S84" s="3" t="n">
        <x:v>1</x:v>
      </x:c>
      <x:c r="T84" s="3" t="inlineStr">
        <x:is>
          <x:t xml:space="preserve">legal_red_flag</x:t>
        </x:is>
      </x:c>
      <x:c r="U84" s="3" t="inlineStr">
        <x:is>
          <x:t xml:space="preserve">Legal Exposure</x:t>
        </x:is>
      </x:c>
      <x:c r="V84" s="3" t="inlineStr">
        <x:is>
          <x:t xml:space="preserve">Transparency_Remediation</x:t>
        </x:is>
      </x:c>
      <x:c r="W84" s="3" t="inlineStr">
        <x:is>
          <x:t xml:space="preserve">N</x:t>
        </x:is>
      </x:c>
      <x:c r="X84" s="3" t="inlineStr">
        <x:is>
          <x:t xml:space="preserve"/>
        </x:is>
      </x:c>
      <x:c r="Y84" s="6">
        <x:f>(S84*IF(E84="G",F84,0))+(S84*IF(G84="G",H84,0))</x:f>
      </x:c>
      <x:c r="Z84" s="6">
        <x:f>(S84*IF(E84="E",F84,0))+(S84*IF(G84="E",H84,0))</x:f>
      </x:c>
      <x:c r="AA84" s="6">
        <x:f>(S84*IF(E84="T",F84,0))+(S84*IF(G84="T",H84,0))</x:f>
      </x:c>
      <x:c r="AB84" s="6">
        <x:f>(S84*IF(E84="L",F84,0))+(S84*IF(G84="L",H84,0))</x:f>
      </x:c>
      <x:c r="AC84" s="6">
        <x:f>(S84*IF(E84="H",F84,0))+(S84*IF(G84="H",H84,0))</x:f>
      </x:c>
      <x:c r="AD84" s="6">
        <x:f>(S84*IF(E84="V",F84,0))+(S84*IF(G84="V",H84,0))</x:f>
      </x:c>
      <x:c r="AE84" s="6">
        <x:f>(S84*IF(E84="R",F84,0))+(S84*IF(G84="R",H84,0))</x:f>
      </x:c>
      <x:c r="AF84" s="6">
        <x:f>(S84*IF(E84="F",F84,0))+(S84*IF(G84="F",H84,0))</x:f>
      </x:c>
      <x:c r="AG84" s="6">
        <x:f>(S84*IF(E84="W",F84,0))+(S84*IF(G84="W",H84,0))</x:f>
      </x:c>
    </x:row>
    <x:row r="85">
      <x:c r="A85" s="3" t="inlineStr">
        <x:is>
          <x:t xml:space="preserve">Executive</x:t>
        </x:is>
      </x:c>
      <x:c r="B85" s="3" t="inlineStr">
        <x:is>
          <x:t xml:space="preserve">EXCO-D3-Q02</x:t>
        </x:is>
      </x:c>
      <x:c r="C85" s="3" t="inlineStr">
        <x:is>
          <x:t xml:space="preserve">T2</x:t>
        </x:is>
      </x:c>
      <x:c r="D85" s="3" t="inlineStr">
        <x:is>
          <x:t xml:space="preserve">3. Legal &amp; Ethics</x:t>
        </x:is>
      </x:c>
      <x:c r="E85" s="3" t="inlineStr">
        <x:is>
          <x:t xml:space="preserve">L</x:t>
        </x:is>
      </x:c>
      <x:c r="F85" s="3" t="n">
        <x:v>0.5</x:v>
      </x:c>
      <x:c r="G85" s="3" t="inlineStr">
        <x:is>
          <x:t xml:space="preserve">H</x:t>
        </x:is>
      </x:c>
      <x:c r="H85" s="3" t="n">
        <x:v>0.5</x:v>
      </x:c>
      <x:c r="I85" s="3" t="inlineStr">
        <x:is>
          <x:t xml:space="preserve">(Shadow probe) Do people understand that monitoring exists and what it is used for?</x:t>
        </x:is>
      </x:c>
      <x:c r="J85" s="3" t="inlineStr">
        <x:is>
          <x:t xml:space="preserve">This checks practical transparency, not just contracts.</x:t>
        </x:is>
      </x:c>
      <x:c r="K85" s="3" t="inlineStr">
        <x:is>
          <x:t xml:space="preserve">Shadow probe; next=EXCO-D3-Q03</x:t>
        </x:is>
      </x:c>
      <x:c r="L85" s="3" t="inlineStr">
        <x:is>
          <x:t xml:space="preserve">LEG_STRICT</x:t>
        </x:is>
      </x:c>
      <x:c r="M85" s="3" t="n">
        <x:v>1</x:v>
      </x:c>
      <x:c r="N85" s="3" t="n"/>
      <x:c r="O85" s="3" t="n"/>
      <x:c r="P85" s="3" t="inlineStr">
        <x:is>
          <x:t xml:space="preserve">EXCO-D3-Q02-A3</x:t>
        </x:is>
      </x:c>
      <x:c r="Q85" s="3" t="n">
        <x:v>3</x:v>
      </x:c>
      <x:c r="R85" s="3" t="inlineStr">
        <x:is>
          <x:t xml:space="preserve">There is some communication (e.g., acceptable use), but it’s hard to understand or easy to miss.</x:t>
        </x:is>
      </x:c>
      <x:c r="S85" s="3" t="n">
        <x:v>2</x:v>
      </x:c>
      <x:c r="T85" s="3" t="inlineStr">
        <x:is>
          <x:t xml:space="preserve">paper_process</x:t>
        </x:is>
      </x:c>
      <x:c r="U85" s="3" t="inlineStr">
        <x:is>
          <x:t xml:space="preserve">Paper Dragon</x:t>
        </x:is>
      </x:c>
      <x:c r="V85" s="3" t="inlineStr">
        <x:is>
          <x:t xml:space="preserve">Improve_Transparency</x:t>
        </x:is>
      </x:c>
      <x:c r="W85" s="3" t="inlineStr">
        <x:is>
          <x:t xml:space="preserve">N</x:t>
        </x:is>
      </x:c>
      <x:c r="X85" s="3" t="inlineStr">
        <x:is>
          <x:t xml:space="preserve"/>
        </x:is>
      </x:c>
      <x:c r="Y85" s="6">
        <x:f>(S85*IF(E85="G",F85,0))+(S85*IF(G85="G",H85,0))</x:f>
      </x:c>
      <x:c r="Z85" s="6">
        <x:f>(S85*IF(E85="E",F85,0))+(S85*IF(G85="E",H85,0))</x:f>
      </x:c>
      <x:c r="AA85" s="6">
        <x:f>(S85*IF(E85="T",F85,0))+(S85*IF(G85="T",H85,0))</x:f>
      </x:c>
      <x:c r="AB85" s="6">
        <x:f>(S85*IF(E85="L",F85,0))+(S85*IF(G85="L",H85,0))</x:f>
      </x:c>
      <x:c r="AC85" s="6">
        <x:f>(S85*IF(E85="H",F85,0))+(S85*IF(G85="H",H85,0))</x:f>
      </x:c>
      <x:c r="AD85" s="6">
        <x:f>(S85*IF(E85="V",F85,0))+(S85*IF(G85="V",H85,0))</x:f>
      </x:c>
      <x:c r="AE85" s="6">
        <x:f>(S85*IF(E85="R",F85,0))+(S85*IF(G85="R",H85,0))</x:f>
      </x:c>
      <x:c r="AF85" s="6">
        <x:f>(S85*IF(E85="F",F85,0))+(S85*IF(G85="F",H85,0))</x:f>
      </x:c>
      <x:c r="AG85" s="6">
        <x:f>(S85*IF(E85="W",F85,0))+(S85*IF(G85="W",H85,0))</x:f>
      </x:c>
    </x:row>
    <x:row r="86">
      <x:c r="A86" s="3" t="inlineStr">
        <x:is>
          <x:t xml:space="preserve">Executive</x:t>
        </x:is>
      </x:c>
      <x:c r="B86" s="3" t="inlineStr">
        <x:is>
          <x:t xml:space="preserve">EXCO-D3-Q02</x:t>
        </x:is>
      </x:c>
      <x:c r="C86" s="3" t="inlineStr">
        <x:is>
          <x:t xml:space="preserve">T2</x:t>
        </x:is>
      </x:c>
      <x:c r="D86" s="3" t="inlineStr">
        <x:is>
          <x:t xml:space="preserve">3. Legal &amp; Ethics</x:t>
        </x:is>
      </x:c>
      <x:c r="E86" s="3" t="inlineStr">
        <x:is>
          <x:t xml:space="preserve">L</x:t>
        </x:is>
      </x:c>
      <x:c r="F86" s="3" t="n">
        <x:v>0.5</x:v>
      </x:c>
      <x:c r="G86" s="3" t="inlineStr">
        <x:is>
          <x:t xml:space="preserve">H</x:t>
        </x:is>
      </x:c>
      <x:c r="H86" s="3" t="n">
        <x:v>0.5</x:v>
      </x:c>
      <x:c r="I86" s="3" t="inlineStr">
        <x:is>
          <x:t xml:space="preserve">(Shadow probe) Do people understand that monitoring exists and what it is used for?</x:t>
        </x:is>
      </x:c>
      <x:c r="J86" s="3" t="inlineStr">
        <x:is>
          <x:t xml:space="preserve">This checks practical transparency, not just contracts.</x:t>
        </x:is>
      </x:c>
      <x:c r="K86" s="3" t="inlineStr">
        <x:is>
          <x:t xml:space="preserve">Shadow probe; next=EXCO-D3-Q03</x:t>
        </x:is>
      </x:c>
      <x:c r="L86" s="3" t="inlineStr">
        <x:is>
          <x:t xml:space="preserve">LEG_STRICT</x:t>
        </x:is>
      </x:c>
      <x:c r="M86" s="3" t="n">
        <x:v>1</x:v>
      </x:c>
      <x:c r="N86" s="3" t="n"/>
      <x:c r="O86" s="3" t="n"/>
      <x:c r="P86" s="3" t="inlineStr">
        <x:is>
          <x:t xml:space="preserve">EXCO-D3-Q02-A4</x:t>
        </x:is>
      </x:c>
      <x:c r="Q86" s="3" t="n">
        <x:v>4</x:v>
      </x:c>
      <x:c r="R86" s="3" t="inlineStr">
        <x:is>
          <x:t xml:space="preserve">Yes—there is clear communication and training explaining monitoring and privacy safeguards.</x:t>
        </x:is>
      </x:c>
      <x:c r="S86" s="3" t="n">
        <x:v>3</x:v>
      </x:c>
      <x:c r="T86" s="3" t="inlineStr">
        <x:is>
          <x:t xml:space="preserve">good_practice</x:t>
        </x:is>
      </x:c>
      <x:c r="U86" s="3" t="inlineStr">
        <x:is>
          <x:t xml:space="preserve"/>
        </x:is>
      </x:c>
      <x:c r="V86" s="3" t="inlineStr">
        <x:is>
          <x:t xml:space="preserve">Request_Evidence</x:t>
        </x:is>
      </x:c>
      <x:c r="W86" s="3" t="inlineStr">
        <x:is>
          <x:t xml:space="preserve">Y</x:t>
        </x:is>
      </x:c>
      <x:c r="X86" s="3" t="inlineStr">
        <x:is>
          <x:t xml:space="preserve"/>
        </x:is>
      </x:c>
      <x:c r="Y86" s="6">
        <x:f>(S86*IF(E86="G",F86,0))+(S86*IF(G86="G",H86,0))</x:f>
      </x:c>
      <x:c r="Z86" s="6">
        <x:f>(S86*IF(E86="E",F86,0))+(S86*IF(G86="E",H86,0))</x:f>
      </x:c>
      <x:c r="AA86" s="6">
        <x:f>(S86*IF(E86="T",F86,0))+(S86*IF(G86="T",H86,0))</x:f>
      </x:c>
      <x:c r="AB86" s="6">
        <x:f>(S86*IF(E86="L",F86,0))+(S86*IF(G86="L",H86,0))</x:f>
      </x:c>
      <x:c r="AC86" s="6">
        <x:f>(S86*IF(E86="H",F86,0))+(S86*IF(G86="H",H86,0))</x:f>
      </x:c>
      <x:c r="AD86" s="6">
        <x:f>(S86*IF(E86="V",F86,0))+(S86*IF(G86="V",H86,0))</x:f>
      </x:c>
      <x:c r="AE86" s="6">
        <x:f>(S86*IF(E86="R",F86,0))+(S86*IF(G86="R",H86,0))</x:f>
      </x:c>
      <x:c r="AF86" s="6">
        <x:f>(S86*IF(E86="F",F86,0))+(S86*IF(G86="F",H86,0))</x:f>
      </x:c>
      <x:c r="AG86" s="6">
        <x:f>(S86*IF(E86="W",F86,0))+(S86*IF(G86="W",H86,0))</x:f>
      </x:c>
    </x:row>
    <x:row r="87">
      <x:c r="A87" s="3" t="inlineStr">
        <x:is>
          <x:t xml:space="preserve">Executive</x:t>
        </x:is>
      </x:c>
      <x:c r="B87" s="3" t="inlineStr">
        <x:is>
          <x:t xml:space="preserve">EXCO-D3-Q03</x:t>
        </x:is>
      </x:c>
      <x:c r="C87" s="3" t="inlineStr">
        <x:is>
          <x:t xml:space="preserve">T2</x:t>
        </x:is>
      </x:c>
      <x:c r="D87" s="3" t="inlineStr">
        <x:is>
          <x:t xml:space="preserve">3. Legal &amp; Ethics</x:t>
        </x:is>
      </x:c>
      <x:c r="E87" s="3" t="inlineStr">
        <x:is>
          <x:t xml:space="preserve">L</x:t>
        </x:is>
      </x:c>
      <x:c r="F87" s="3" t="n">
        <x:v>0.5</x:v>
      </x:c>
      <x:c r="G87" s="3" t="inlineStr">
        <x:is>
          <x:t xml:space="preserve">H</x:t>
        </x:is>
      </x:c>
      <x:c r="H87" s="3" t="n">
        <x:v>0.5</x:v>
      </x:c>
      <x:c r="I87" s="3" t="inlineStr">
        <x:is>
          <x:t xml:space="preserve">How is transparency maintained in practice (not only in contracts)?</x:t>
        </x:is>
      </x:c>
      <x:c r="J87" s="3" t="inlineStr">
        <x:is>
          <x:t xml:space="preserve">Examples: onboarding training, pop-up banners, clear FAQs, where to ask questions, and what safeguards exist.</x:t>
        </x:is>
      </x:c>
      <x:c r="K87" s="3" t="inlineStr">
        <x:is>
          <x:t xml:space="preserve">Drill-down; next=EXCO-D3-Q04</x:t>
        </x:is>
      </x:c>
      <x:c r="L87" s="3" t="inlineStr">
        <x:is>
          <x:t xml:space="preserve">LEG_STRICT</x:t>
        </x:is>
      </x:c>
      <x:c r="M87" s="3" t="n">
        <x:v>1</x:v>
      </x:c>
      <x:c r="N87" s="3" t="n"/>
      <x:c r="O87" s="3" t="n"/>
      <x:c r="P87" s="3" t="inlineStr">
        <x:is>
          <x:t xml:space="preserve">EXCO-D3-Q03-A1</x:t>
        </x:is>
      </x:c>
      <x:c r="Q87" s="3" t="n">
        <x:v>1</x:v>
      </x:c>
      <x:c r="R87" s="3" t="inlineStr">
        <x:is>
          <x:t xml:space="preserve">Only buried in contracts/policies; most people wouldn’t know the details.</x:t>
        </x:is>
      </x:c>
      <x:c r="S87" s="3" t="n">
        <x:v>1</x:v>
      </x:c>
      <x:c r="T87" s="3" t="inlineStr">
        <x:is>
          <x:t xml:space="preserve">paper_dragon_signal</x:t>
        </x:is>
      </x:c>
      <x:c r="U87" s="3" t="inlineStr">
        <x:is>
          <x:t xml:space="preserve">Paper Dragon</x:t>
        </x:is>
      </x:c>
      <x:c r="V87" s="3" t="inlineStr">
        <x:is>
          <x:t xml:space="preserve">Improve_Transparency</x:t>
        </x:is>
      </x:c>
      <x:c r="W87" s="3" t="inlineStr">
        <x:is>
          <x:t xml:space="preserve">N</x:t>
        </x:is>
      </x:c>
      <x:c r="X87" s="3" t="inlineStr">
        <x:is>
          <x:t xml:space="preserve"/>
        </x:is>
      </x:c>
      <x:c r="Y87" s="6">
        <x:f>(S87*IF(E87="G",F87,0))+(S87*IF(G87="G",H87,0))</x:f>
      </x:c>
      <x:c r="Z87" s="6">
        <x:f>(S87*IF(E87="E",F87,0))+(S87*IF(G87="E",H87,0))</x:f>
      </x:c>
      <x:c r="AA87" s="6">
        <x:f>(S87*IF(E87="T",F87,0))+(S87*IF(G87="T",H87,0))</x:f>
      </x:c>
      <x:c r="AB87" s="6">
        <x:f>(S87*IF(E87="L",F87,0))+(S87*IF(G87="L",H87,0))</x:f>
      </x:c>
      <x:c r="AC87" s="6">
        <x:f>(S87*IF(E87="H",F87,0))+(S87*IF(G87="H",H87,0))</x:f>
      </x:c>
      <x:c r="AD87" s="6">
        <x:f>(S87*IF(E87="V",F87,0))+(S87*IF(G87="V",H87,0))</x:f>
      </x:c>
      <x:c r="AE87" s="6">
        <x:f>(S87*IF(E87="R",F87,0))+(S87*IF(G87="R",H87,0))</x:f>
      </x:c>
      <x:c r="AF87" s="6">
        <x:f>(S87*IF(E87="F",F87,0))+(S87*IF(G87="F",H87,0))</x:f>
      </x:c>
      <x:c r="AG87" s="6">
        <x:f>(S87*IF(E87="W",F87,0))+(S87*IF(G87="W",H87,0))</x:f>
      </x:c>
    </x:row>
    <x:row r="88">
      <x:c r="A88" s="3" t="inlineStr">
        <x:is>
          <x:t xml:space="preserve">Executive</x:t>
        </x:is>
      </x:c>
      <x:c r="B88" s="3" t="inlineStr">
        <x:is>
          <x:t xml:space="preserve">EXCO-D3-Q03</x:t>
        </x:is>
      </x:c>
      <x:c r="C88" s="3" t="inlineStr">
        <x:is>
          <x:t xml:space="preserve">T2</x:t>
        </x:is>
      </x:c>
      <x:c r="D88" s="3" t="inlineStr">
        <x:is>
          <x:t xml:space="preserve">3. Legal &amp; Ethics</x:t>
        </x:is>
      </x:c>
      <x:c r="E88" s="3" t="inlineStr">
        <x:is>
          <x:t xml:space="preserve">L</x:t>
        </x:is>
      </x:c>
      <x:c r="F88" s="3" t="n">
        <x:v>0.5</x:v>
      </x:c>
      <x:c r="G88" s="3" t="inlineStr">
        <x:is>
          <x:t xml:space="preserve">H</x:t>
        </x:is>
      </x:c>
      <x:c r="H88" s="3" t="n">
        <x:v>0.5</x:v>
      </x:c>
      <x:c r="I88" s="3" t="inlineStr">
        <x:is>
          <x:t xml:space="preserve">How is transparency maintained in practice (not only in contracts)?</x:t>
        </x:is>
      </x:c>
      <x:c r="J88" s="3" t="inlineStr">
        <x:is>
          <x:t xml:space="preserve">Examples: onboarding training, pop-up banners, clear FAQs, where to ask questions, and what safeguards exist.</x:t>
        </x:is>
      </x:c>
      <x:c r="K88" s="3" t="inlineStr">
        <x:is>
          <x:t xml:space="preserve">Drill-down; next=EXCO-D3-Q04</x:t>
        </x:is>
      </x:c>
      <x:c r="L88" s="3" t="inlineStr">
        <x:is>
          <x:t xml:space="preserve">LEG_STRICT</x:t>
        </x:is>
      </x:c>
      <x:c r="M88" s="3" t="n">
        <x:v>1</x:v>
      </x:c>
      <x:c r="N88" s="3" t="n"/>
      <x:c r="O88" s="3" t="n"/>
      <x:c r="P88" s="3" t="inlineStr">
        <x:is>
          <x:t xml:space="preserve">EXCO-D3-Q03-A2</x:t>
        </x:is>
      </x:c>
      <x:c r="Q88" s="3" t="n">
        <x:v>2</x:v>
      </x:c>
      <x:c r="R88" s="3" t="inlineStr">
        <x:is>
          <x:t xml:space="preserve">Basic acceptable-use statement exists, but does not explain monitoring scope or safeguards.</x:t>
        </x:is>
      </x:c>
      <x:c r="S88" s="3" t="n">
        <x:v>2</x:v>
      </x:c>
      <x:c r="T88" s="3" t="inlineStr">
        <x:is>
          <x:t xml:space="preserve">paper_process</x:t>
        </x:is>
      </x:c>
      <x:c r="U88" s="3" t="inlineStr">
        <x:is>
          <x:t xml:space="preserve">Paper Dragon</x:t>
        </x:is>
      </x:c>
      <x:c r="V88" s="3" t="inlineStr">
        <x:is>
          <x:t xml:space="preserve">Improve_Transparency</x:t>
        </x:is>
      </x:c>
      <x:c r="W88" s="3" t="inlineStr">
        <x:is>
          <x:t xml:space="preserve">N</x:t>
        </x:is>
      </x:c>
      <x:c r="X88" s="3" t="inlineStr">
        <x:is>
          <x:t xml:space="preserve"/>
        </x:is>
      </x:c>
      <x:c r="Y88" s="6">
        <x:f>(S88*IF(E88="G",F88,0))+(S88*IF(G88="G",H88,0))</x:f>
      </x:c>
      <x:c r="Z88" s="6">
        <x:f>(S88*IF(E88="E",F88,0))+(S88*IF(G88="E",H88,0))</x:f>
      </x:c>
      <x:c r="AA88" s="6">
        <x:f>(S88*IF(E88="T",F88,0))+(S88*IF(G88="T",H88,0))</x:f>
      </x:c>
      <x:c r="AB88" s="6">
        <x:f>(S88*IF(E88="L",F88,0))+(S88*IF(G88="L",H88,0))</x:f>
      </x:c>
      <x:c r="AC88" s="6">
        <x:f>(S88*IF(E88="H",F88,0))+(S88*IF(G88="H",H88,0))</x:f>
      </x:c>
      <x:c r="AD88" s="6">
        <x:f>(S88*IF(E88="V",F88,0))+(S88*IF(G88="V",H88,0))</x:f>
      </x:c>
      <x:c r="AE88" s="6">
        <x:f>(S88*IF(E88="R",F88,0))+(S88*IF(G88="R",H88,0))</x:f>
      </x:c>
      <x:c r="AF88" s="6">
        <x:f>(S88*IF(E88="F",F88,0))+(S88*IF(G88="F",H88,0))</x:f>
      </x:c>
      <x:c r="AG88" s="6">
        <x:f>(S88*IF(E88="W",F88,0))+(S88*IF(G88="W",H88,0))</x:f>
      </x:c>
    </x:row>
    <x:row r="89">
      <x:c r="A89" s="3" t="inlineStr">
        <x:is>
          <x:t xml:space="preserve">Executive</x:t>
        </x:is>
      </x:c>
      <x:c r="B89" s="3" t="inlineStr">
        <x:is>
          <x:t xml:space="preserve">EXCO-D3-Q03</x:t>
        </x:is>
      </x:c>
      <x:c r="C89" s="3" t="inlineStr">
        <x:is>
          <x:t xml:space="preserve">T2</x:t>
        </x:is>
      </x:c>
      <x:c r="D89" s="3" t="inlineStr">
        <x:is>
          <x:t xml:space="preserve">3. Legal &amp; Ethics</x:t>
        </x:is>
      </x:c>
      <x:c r="E89" s="3" t="inlineStr">
        <x:is>
          <x:t xml:space="preserve">L</x:t>
        </x:is>
      </x:c>
      <x:c r="F89" s="3" t="n">
        <x:v>0.5</x:v>
      </x:c>
      <x:c r="G89" s="3" t="inlineStr">
        <x:is>
          <x:t xml:space="preserve">H</x:t>
        </x:is>
      </x:c>
      <x:c r="H89" s="3" t="n">
        <x:v>0.5</x:v>
      </x:c>
      <x:c r="I89" s="3" t="inlineStr">
        <x:is>
          <x:t xml:space="preserve">How is transparency maintained in practice (not only in contracts)?</x:t>
        </x:is>
      </x:c>
      <x:c r="J89" s="3" t="inlineStr">
        <x:is>
          <x:t xml:space="preserve">Examples: onboarding training, pop-up banners, clear FAQs, where to ask questions, and what safeguards exist.</x:t>
        </x:is>
      </x:c>
      <x:c r="K89" s="3" t="inlineStr">
        <x:is>
          <x:t xml:space="preserve">Drill-down; next=EXCO-D3-Q04</x:t>
        </x:is>
      </x:c>
      <x:c r="L89" s="3" t="inlineStr">
        <x:is>
          <x:t xml:space="preserve">LEG_STRICT</x:t>
        </x:is>
      </x:c>
      <x:c r="M89" s="3" t="n">
        <x:v>1</x:v>
      </x:c>
      <x:c r="N89" s="3" t="n"/>
      <x:c r="O89" s="3" t="n"/>
      <x:c r="P89" s="3" t="inlineStr">
        <x:is>
          <x:t xml:space="preserve">EXCO-D3-Q03-A3</x:t>
        </x:is>
      </x:c>
      <x:c r="Q89" s="3" t="n">
        <x:v>3</x:v>
      </x:c>
      <x:c r="R89" s="3" t="inlineStr">
        <x:is>
          <x:t xml:space="preserve">Clear guidance exists and is communicated to staff at least annually.</x:t>
        </x:is>
      </x:c>
      <x:c r="S89" s="3" t="n">
        <x:v>3</x:v>
      </x:c>
      <x:c r="T89" s="3" t="inlineStr">
        <x:is>
          <x:t xml:space="preserve">good_practice</x:t>
        </x:is>
      </x:c>
      <x:c r="U89" s="3" t="inlineStr">
        <x:is>
          <x:t xml:space="preserve"/>
        </x:is>
      </x:c>
      <x:c r="V89" s="3" t="inlineStr">
        <x:is>
          <x:t xml:space="preserve">Request_Evidence</x:t>
        </x:is>
      </x:c>
      <x:c r="W89" s="3" t="inlineStr">
        <x:is>
          <x:t xml:space="preserve">Y</x:t>
        </x:is>
      </x:c>
      <x:c r="X89" s="3" t="inlineStr">
        <x:is>
          <x:t xml:space="preserve"/>
        </x:is>
      </x:c>
      <x:c r="Y89" s="6">
        <x:f>(S89*IF(E89="G",F89,0))+(S89*IF(G89="G",H89,0))</x:f>
      </x:c>
      <x:c r="Z89" s="6">
        <x:f>(S89*IF(E89="E",F89,0))+(S89*IF(G89="E",H89,0))</x:f>
      </x:c>
      <x:c r="AA89" s="6">
        <x:f>(S89*IF(E89="T",F89,0))+(S89*IF(G89="T",H89,0))</x:f>
      </x:c>
      <x:c r="AB89" s="6">
        <x:f>(S89*IF(E89="L",F89,0))+(S89*IF(G89="L",H89,0))</x:f>
      </x:c>
      <x:c r="AC89" s="6">
        <x:f>(S89*IF(E89="H",F89,0))+(S89*IF(G89="H",H89,0))</x:f>
      </x:c>
      <x:c r="AD89" s="6">
        <x:f>(S89*IF(E89="V",F89,0))+(S89*IF(G89="V",H89,0))</x:f>
      </x:c>
      <x:c r="AE89" s="6">
        <x:f>(S89*IF(E89="R",F89,0))+(S89*IF(G89="R",H89,0))</x:f>
      </x:c>
      <x:c r="AF89" s="6">
        <x:f>(S89*IF(E89="F",F89,0))+(S89*IF(G89="F",H89,0))</x:f>
      </x:c>
      <x:c r="AG89" s="6">
        <x:f>(S89*IF(E89="W",F89,0))+(S89*IF(G89="W",H89,0))</x:f>
      </x:c>
    </x:row>
    <x:row r="90">
      <x:c r="A90" s="3" t="inlineStr">
        <x:is>
          <x:t xml:space="preserve">Executive</x:t>
        </x:is>
      </x:c>
      <x:c r="B90" s="3" t="inlineStr">
        <x:is>
          <x:t xml:space="preserve">EXCO-D3-Q03</x:t>
        </x:is>
      </x:c>
      <x:c r="C90" s="3" t="inlineStr">
        <x:is>
          <x:t xml:space="preserve">T2</x:t>
        </x:is>
      </x:c>
      <x:c r="D90" s="3" t="inlineStr">
        <x:is>
          <x:t xml:space="preserve">3. Legal &amp; Ethics</x:t>
        </x:is>
      </x:c>
      <x:c r="E90" s="3" t="inlineStr">
        <x:is>
          <x:t xml:space="preserve">L</x:t>
        </x:is>
      </x:c>
      <x:c r="F90" s="3" t="n">
        <x:v>0.5</x:v>
      </x:c>
      <x:c r="G90" s="3" t="inlineStr">
        <x:is>
          <x:t xml:space="preserve">H</x:t>
        </x:is>
      </x:c>
      <x:c r="H90" s="3" t="n">
        <x:v>0.5</x:v>
      </x:c>
      <x:c r="I90" s="3" t="inlineStr">
        <x:is>
          <x:t xml:space="preserve">How is transparency maintained in practice (not only in contracts)?</x:t>
        </x:is>
      </x:c>
      <x:c r="J90" s="3" t="inlineStr">
        <x:is>
          <x:t xml:space="preserve">Examples: onboarding training, pop-up banners, clear FAQs, where to ask questions, and what safeguards exist.</x:t>
        </x:is>
      </x:c>
      <x:c r="K90" s="3" t="inlineStr">
        <x:is>
          <x:t xml:space="preserve">Drill-down; next=EXCO-D3-Q04</x:t>
        </x:is>
      </x:c>
      <x:c r="L90" s="3" t="inlineStr">
        <x:is>
          <x:t xml:space="preserve">LEG_STRICT</x:t>
        </x:is>
      </x:c>
      <x:c r="M90" s="3" t="n">
        <x:v>1</x:v>
      </x:c>
      <x:c r="N90" s="3" t="n"/>
      <x:c r="O90" s="3" t="n"/>
      <x:c r="P90" s="3" t="inlineStr">
        <x:is>
          <x:t xml:space="preserve">EXCO-D3-Q03-A4</x:t>
        </x:is>
      </x:c>
      <x:c r="Q90" s="3" t="n">
        <x:v>4</x:v>
      </x:c>
      <x:c r="R90" s="3" t="inlineStr">
        <x:is>
          <x:t xml:space="preserve">Full transparency with clear safeguards, escalation paths, and periodic review with stakeholders.</x:t>
        </x:is>
      </x:c>
      <x:c r="S90" s="3" t="n">
        <x:v>4</x:v>
      </x:c>
      <x:c r="T90" s="3" t="inlineStr">
        <x:is>
          <x:t xml:space="preserve">optimized</x:t>
        </x:is>
      </x:c>
      <x:c r="U90" s="3" t="inlineStr">
        <x:is>
          <x:t xml:space="preserve"/>
        </x:is>
      </x:c>
      <x:c r="V90" s="3" t="inlineStr">
        <x:is>
          <x:t xml:space="preserve">Request_Evidence</x:t>
        </x:is>
      </x:c>
      <x:c r="W90" s="3" t="inlineStr">
        <x:is>
          <x:t xml:space="preserve">Y</x:t>
        </x:is>
      </x:c>
      <x:c r="X90" s="3" t="inlineStr">
        <x:is>
          <x:t xml:space="preserve"/>
        </x:is>
      </x:c>
      <x:c r="Y90" s="6">
        <x:f>(S90*IF(E90="G",F90,0))+(S90*IF(G90="G",H90,0))</x:f>
      </x:c>
      <x:c r="Z90" s="6">
        <x:f>(S90*IF(E90="E",F90,0))+(S90*IF(G90="E",H90,0))</x:f>
      </x:c>
      <x:c r="AA90" s="6">
        <x:f>(S90*IF(E90="T",F90,0))+(S90*IF(G90="T",H90,0))</x:f>
      </x:c>
      <x:c r="AB90" s="6">
        <x:f>(S90*IF(E90="L",F90,0))+(S90*IF(G90="L",H90,0))</x:f>
      </x:c>
      <x:c r="AC90" s="6">
        <x:f>(S90*IF(E90="H",F90,0))+(S90*IF(G90="H",H90,0))</x:f>
      </x:c>
      <x:c r="AD90" s="6">
        <x:f>(S90*IF(E90="V",F90,0))+(S90*IF(G90="V",H90,0))</x:f>
      </x:c>
      <x:c r="AE90" s="6">
        <x:f>(S90*IF(E90="R",F90,0))+(S90*IF(G90="R",H90,0))</x:f>
      </x:c>
      <x:c r="AF90" s="6">
        <x:f>(S90*IF(E90="F",F90,0))+(S90*IF(G90="F",H90,0))</x:f>
      </x:c>
      <x:c r="AG90" s="6">
        <x:f>(S90*IF(E90="W",F90,0))+(S90*IF(G90="W",H90,0))</x:f>
      </x:c>
    </x:row>
    <x:row r="91">
      <x:c r="A91" s="3" t="inlineStr">
        <x:is>
          <x:t xml:space="preserve">Executive</x:t>
        </x:is>
      </x:c>
      <x:c r="B91" s="3" t="inlineStr">
        <x:is>
          <x:t xml:space="preserve">EXCO-D3-Q04</x:t>
        </x:is>
      </x:c>
      <x:c r="C91" s="3" t="inlineStr">
        <x:is>
          <x:t xml:space="preserve">T2</x:t>
        </x:is>
      </x:c>
      <x:c r="D91" s="3" t="inlineStr">
        <x:is>
          <x:t xml:space="preserve">3. Legal &amp; Ethics</x:t>
        </x:is>
      </x:c>
      <x:c r="E91" s="3" t="inlineStr">
        <x:is>
          <x:t xml:space="preserve">L</x:t>
        </x:is>
      </x:c>
      <x:c r="F91" s="3" t="n">
        <x:v>0.7</x:v>
      </x:c>
      <x:c r="G91" s="3" t="inlineStr">
        <x:is>
          <x:t xml:space="preserve">H</x:t>
        </x:is>
      </x:c>
      <x:c r="H91" s="3" t="n">
        <x:v>0.3</x:v>
      </x:c>
      <x:c r="I91" s="3" t="inlineStr">
        <x:is>
          <x:t xml:space="preserve">Where required, how are employee representatives / works councils engaged on monitoring and privacy topics?</x:t>
        </x:is>
      </x:c>
      <x:c r="J91" s="3" t="inlineStr">
        <x:is>
          <x:t xml:space="preserve">If not applicable, answer that and explain why.</x:t>
        </x:is>
      </x:c>
      <x:c r="K91" s="3" t="inlineStr">
        <x:is>
          <x:t xml:space="preserve">Drill-down; next=EXCO-D3-Q05</x:t>
        </x:is>
      </x:c>
      <x:c r="L91" s="3" t="inlineStr">
        <x:is>
          <x:t xml:space="preserve">LEG_STRICT</x:t>
        </x:is>
      </x:c>
      <x:c r="M91" s="3" t="n">
        <x:v>1</x:v>
      </x:c>
      <x:c r="N91" s="3" t="n"/>
      <x:c r="O91" s="3" t="n"/>
      <x:c r="P91" s="3" t="inlineStr">
        <x:is>
          <x:t xml:space="preserve">EXCO-D3-Q04-A0</x:t>
        </x:is>
      </x:c>
      <x:c r="Q91" s="3" t="n">
        <x:v>1</x:v>
      </x:c>
      <x:c r="R91" s="3" t="inlineStr">
        <x:is>
          <x:t xml:space="preserve">Not applicable / we don’t have employee representation in relevant jurisdictions.</x:t>
        </x:is>
      </x:c>
      <x:c r="S91" s="3" t="n">
        <x:v>2</x:v>
      </x:c>
      <x:c r="T91" s="3" t="inlineStr">
        <x:is>
          <x:t xml:space="preserve">n_a</x:t>
        </x:is>
      </x:c>
      <x:c r="U91" s="3" t="inlineStr">
        <x:is>
          <x:t xml:space="preserve"/>
        </x:is>
      </x:c>
      <x:c r="V91" s="3" t="inlineStr">
        <x:is>
          <x:t xml:space="preserve">Document_NA</x:t>
        </x:is>
      </x:c>
      <x:c r="W91" s="3" t="inlineStr">
        <x:is>
          <x:t xml:space="preserve">N</x:t>
        </x:is>
      </x:c>
      <x:c r="X91" s="3" t="inlineStr">
        <x:is>
          <x:t xml:space="preserve"/>
        </x:is>
      </x:c>
      <x:c r="Y91" s="6">
        <x:f>(S91*IF(E91="G",F91,0))+(S91*IF(G91="G",H91,0))</x:f>
      </x:c>
      <x:c r="Z91" s="6">
        <x:f>(S91*IF(E91="E",F91,0))+(S91*IF(G91="E",H91,0))</x:f>
      </x:c>
      <x:c r="AA91" s="6">
        <x:f>(S91*IF(E91="T",F91,0))+(S91*IF(G91="T",H91,0))</x:f>
      </x:c>
      <x:c r="AB91" s="6">
        <x:f>(S91*IF(E91="L",F91,0))+(S91*IF(G91="L",H91,0))</x:f>
      </x:c>
      <x:c r="AC91" s="6">
        <x:f>(S91*IF(E91="H",F91,0))+(S91*IF(G91="H",H91,0))</x:f>
      </x:c>
      <x:c r="AD91" s="6">
        <x:f>(S91*IF(E91="V",F91,0))+(S91*IF(G91="V",H91,0))</x:f>
      </x:c>
      <x:c r="AE91" s="6">
        <x:f>(S91*IF(E91="R",F91,0))+(S91*IF(G91="R",H91,0))</x:f>
      </x:c>
      <x:c r="AF91" s="6">
        <x:f>(S91*IF(E91="F",F91,0))+(S91*IF(G91="F",H91,0))</x:f>
      </x:c>
      <x:c r="AG91" s="6">
        <x:f>(S91*IF(E91="W",F91,0))+(S91*IF(G91="W",H91,0))</x:f>
      </x:c>
    </x:row>
    <x:row r="92">
      <x:c r="A92" s="3" t="inlineStr">
        <x:is>
          <x:t xml:space="preserve">Executive</x:t>
        </x:is>
      </x:c>
      <x:c r="B92" s="3" t="inlineStr">
        <x:is>
          <x:t xml:space="preserve">EXCO-D3-Q04</x:t>
        </x:is>
      </x:c>
      <x:c r="C92" s="3" t="inlineStr">
        <x:is>
          <x:t xml:space="preserve">T2</x:t>
        </x:is>
      </x:c>
      <x:c r="D92" s="3" t="inlineStr">
        <x:is>
          <x:t xml:space="preserve">3. Legal &amp; Ethics</x:t>
        </x:is>
      </x:c>
      <x:c r="E92" s="3" t="inlineStr">
        <x:is>
          <x:t xml:space="preserve">L</x:t>
        </x:is>
      </x:c>
      <x:c r="F92" s="3" t="n">
        <x:v>0.7</x:v>
      </x:c>
      <x:c r="G92" s="3" t="inlineStr">
        <x:is>
          <x:t xml:space="preserve">H</x:t>
        </x:is>
      </x:c>
      <x:c r="H92" s="3" t="n">
        <x:v>0.3</x:v>
      </x:c>
      <x:c r="I92" s="3" t="inlineStr">
        <x:is>
          <x:t xml:space="preserve">Where required, how are employee representatives / works councils engaged on monitoring and privacy topics?</x:t>
        </x:is>
      </x:c>
      <x:c r="J92" s="3" t="inlineStr">
        <x:is>
          <x:t xml:space="preserve">If not applicable, answer that and explain why.</x:t>
        </x:is>
      </x:c>
      <x:c r="K92" s="3" t="inlineStr">
        <x:is>
          <x:t xml:space="preserve">Drill-down; next=EXCO-D3-Q05</x:t>
        </x:is>
      </x:c>
      <x:c r="L92" s="3" t="inlineStr">
        <x:is>
          <x:t xml:space="preserve">LEG_STRICT</x:t>
        </x:is>
      </x:c>
      <x:c r="M92" s="3" t="n">
        <x:v>1</x:v>
      </x:c>
      <x:c r="N92" s="3" t="n"/>
      <x:c r="O92" s="3" t="n"/>
      <x:c r="P92" s="3" t="inlineStr">
        <x:is>
          <x:t xml:space="preserve">EXCO-D3-Q04-A1</x:t>
        </x:is>
      </x:c>
      <x:c r="Q92" s="3" t="n">
        <x:v>2</x:v>
      </x:c>
      <x:c r="R92" s="3" t="inlineStr">
        <x:is>
          <x:t xml:space="preserve">We avoid engagement; decisions are made unilaterally.</x:t>
        </x:is>
      </x:c>
      <x:c r="S92" s="3" t="n">
        <x:v>0</x:v>
      </x:c>
      <x:c r="T92" s="3" t="inlineStr">
        <x:is>
          <x:t xml:space="preserve">legal_red_flag</x:t>
        </x:is>
      </x:c>
      <x:c r="U92" s="3" t="inlineStr">
        <x:is>
          <x:t xml:space="preserve">Legal Exposure</x:t>
        </x:is>
      </x:c>
      <x:c r="V92" s="3" t="inlineStr">
        <x:is>
          <x:t xml:space="preserve">Stakeholder_Engagement</x:t>
        </x:is>
      </x:c>
      <x:c r="W92" s="3" t="inlineStr">
        <x:is>
          <x:t xml:space="preserve">N</x:t>
        </x:is>
      </x:c>
      <x:c r="X92" s="3" t="inlineStr">
        <x:is>
          <x:t xml:space="preserve"/>
        </x:is>
      </x:c>
      <x:c r="Y92" s="6">
        <x:f>(S92*IF(E92="G",F92,0))+(S92*IF(G92="G",H92,0))</x:f>
      </x:c>
      <x:c r="Z92" s="6">
        <x:f>(S92*IF(E92="E",F92,0))+(S92*IF(G92="E",H92,0))</x:f>
      </x:c>
      <x:c r="AA92" s="6">
        <x:f>(S92*IF(E92="T",F92,0))+(S92*IF(G92="T",H92,0))</x:f>
      </x:c>
      <x:c r="AB92" s="6">
        <x:f>(S92*IF(E92="L",F92,0))+(S92*IF(G92="L",H92,0))</x:f>
      </x:c>
      <x:c r="AC92" s="6">
        <x:f>(S92*IF(E92="H",F92,0))+(S92*IF(G92="H",H92,0))</x:f>
      </x:c>
      <x:c r="AD92" s="6">
        <x:f>(S92*IF(E92="V",F92,0))+(S92*IF(G92="V",H92,0))</x:f>
      </x:c>
      <x:c r="AE92" s="6">
        <x:f>(S92*IF(E92="R",F92,0))+(S92*IF(G92="R",H92,0))</x:f>
      </x:c>
      <x:c r="AF92" s="6">
        <x:f>(S92*IF(E92="F",F92,0))+(S92*IF(G92="F",H92,0))</x:f>
      </x:c>
      <x:c r="AG92" s="6">
        <x:f>(S92*IF(E92="W",F92,0))+(S92*IF(G92="W",H92,0))</x:f>
      </x:c>
    </x:row>
    <x:row r="93">
      <x:c r="A93" s="3" t="inlineStr">
        <x:is>
          <x:t xml:space="preserve">Executive</x:t>
        </x:is>
      </x:c>
      <x:c r="B93" s="3" t="inlineStr">
        <x:is>
          <x:t xml:space="preserve">EXCO-D3-Q04</x:t>
        </x:is>
      </x:c>
      <x:c r="C93" s="3" t="inlineStr">
        <x:is>
          <x:t xml:space="preserve">T2</x:t>
        </x:is>
      </x:c>
      <x:c r="D93" s="3" t="inlineStr">
        <x:is>
          <x:t xml:space="preserve">3. Legal &amp; Ethics</x:t>
        </x:is>
      </x:c>
      <x:c r="E93" s="3" t="inlineStr">
        <x:is>
          <x:t xml:space="preserve">L</x:t>
        </x:is>
      </x:c>
      <x:c r="F93" s="3" t="n">
        <x:v>0.7</x:v>
      </x:c>
      <x:c r="G93" s="3" t="inlineStr">
        <x:is>
          <x:t xml:space="preserve">H</x:t>
        </x:is>
      </x:c>
      <x:c r="H93" s="3" t="n">
        <x:v>0.3</x:v>
      </x:c>
      <x:c r="I93" s="3" t="inlineStr">
        <x:is>
          <x:t xml:space="preserve">Where required, how are employee representatives / works councils engaged on monitoring and privacy topics?</x:t>
        </x:is>
      </x:c>
      <x:c r="J93" s="3" t="inlineStr">
        <x:is>
          <x:t xml:space="preserve">If not applicable, answer that and explain why.</x:t>
        </x:is>
      </x:c>
      <x:c r="K93" s="3" t="inlineStr">
        <x:is>
          <x:t xml:space="preserve">Drill-down; next=EXCO-D3-Q05</x:t>
        </x:is>
      </x:c>
      <x:c r="L93" s="3" t="inlineStr">
        <x:is>
          <x:t xml:space="preserve">LEG_STRICT</x:t>
        </x:is>
      </x:c>
      <x:c r="M93" s="3" t="n">
        <x:v>1</x:v>
      </x:c>
      <x:c r="N93" s="3" t="n"/>
      <x:c r="O93" s="3" t="n"/>
      <x:c r="P93" s="3" t="inlineStr">
        <x:is>
          <x:t xml:space="preserve">EXCO-D3-Q04-A2</x:t>
        </x:is>
      </x:c>
      <x:c r="Q93" s="3" t="n">
        <x:v>3</x:v>
      </x:c>
      <x:c r="R93" s="3" t="inlineStr">
        <x:is>
          <x:t xml:space="preserve">Engagement happens late (after decisions), mainly to ‘inform’.</x:t>
        </x:is>
      </x:c>
      <x:c r="S93" s="3" t="n">
        <x:v>1</x:v>
      </x:c>
      <x:c r="T93" s="3" t="inlineStr">
        <x:is>
          <x:t xml:space="preserve">legal_red_flag</x:t>
        </x:is>
      </x:c>
      <x:c r="U93" s="3" t="inlineStr">
        <x:is>
          <x:t xml:space="preserve">Legal Exposure</x:t>
        </x:is>
      </x:c>
      <x:c r="V93" s="3" t="inlineStr">
        <x:is>
          <x:t xml:space="preserve">Stakeholder_Engagement</x:t>
        </x:is>
      </x:c>
      <x:c r="W93" s="3" t="inlineStr">
        <x:is>
          <x:t xml:space="preserve">N</x:t>
        </x:is>
      </x:c>
      <x:c r="X93" s="3" t="inlineStr">
        <x:is>
          <x:t xml:space="preserve"/>
        </x:is>
      </x:c>
      <x:c r="Y93" s="6">
        <x:f>(S93*IF(E93="G",F93,0))+(S93*IF(G93="G",H93,0))</x:f>
      </x:c>
      <x:c r="Z93" s="6">
        <x:f>(S93*IF(E93="E",F93,0))+(S93*IF(G93="E",H93,0))</x:f>
      </x:c>
      <x:c r="AA93" s="6">
        <x:f>(S93*IF(E93="T",F93,0))+(S93*IF(G93="T",H93,0))</x:f>
      </x:c>
      <x:c r="AB93" s="6">
        <x:f>(S93*IF(E93="L",F93,0))+(S93*IF(G93="L",H93,0))</x:f>
      </x:c>
      <x:c r="AC93" s="6">
        <x:f>(S93*IF(E93="H",F93,0))+(S93*IF(G93="H",H93,0))</x:f>
      </x:c>
      <x:c r="AD93" s="6">
        <x:f>(S93*IF(E93="V",F93,0))+(S93*IF(G93="V",H93,0))</x:f>
      </x:c>
      <x:c r="AE93" s="6">
        <x:f>(S93*IF(E93="R",F93,0))+(S93*IF(G93="R",H93,0))</x:f>
      </x:c>
      <x:c r="AF93" s="6">
        <x:f>(S93*IF(E93="F",F93,0))+(S93*IF(G93="F",H93,0))</x:f>
      </x:c>
      <x:c r="AG93" s="6">
        <x:f>(S93*IF(E93="W",F93,0))+(S93*IF(G93="W",H93,0))</x:f>
      </x:c>
    </x:row>
    <x:row r="94">
      <x:c r="A94" s="3" t="inlineStr">
        <x:is>
          <x:t xml:space="preserve">Executive</x:t>
        </x:is>
      </x:c>
      <x:c r="B94" s="3" t="inlineStr">
        <x:is>
          <x:t xml:space="preserve">EXCO-D3-Q04</x:t>
        </x:is>
      </x:c>
      <x:c r="C94" s="3" t="inlineStr">
        <x:is>
          <x:t xml:space="preserve">T2</x:t>
        </x:is>
      </x:c>
      <x:c r="D94" s="3" t="inlineStr">
        <x:is>
          <x:t xml:space="preserve">3. Legal &amp; Ethics</x:t>
        </x:is>
      </x:c>
      <x:c r="E94" s="3" t="inlineStr">
        <x:is>
          <x:t xml:space="preserve">L</x:t>
        </x:is>
      </x:c>
      <x:c r="F94" s="3" t="n">
        <x:v>0.7</x:v>
      </x:c>
      <x:c r="G94" s="3" t="inlineStr">
        <x:is>
          <x:t xml:space="preserve">H</x:t>
        </x:is>
      </x:c>
      <x:c r="H94" s="3" t="n">
        <x:v>0.3</x:v>
      </x:c>
      <x:c r="I94" s="3" t="inlineStr">
        <x:is>
          <x:t xml:space="preserve">Where required, how are employee representatives / works councils engaged on monitoring and privacy topics?</x:t>
        </x:is>
      </x:c>
      <x:c r="J94" s="3" t="inlineStr">
        <x:is>
          <x:t xml:space="preserve">If not applicable, answer that and explain why.</x:t>
        </x:is>
      </x:c>
      <x:c r="K94" s="3" t="inlineStr">
        <x:is>
          <x:t xml:space="preserve">Drill-down; next=EXCO-D3-Q05</x:t>
        </x:is>
      </x:c>
      <x:c r="L94" s="3" t="inlineStr">
        <x:is>
          <x:t xml:space="preserve">LEG_STRICT</x:t>
        </x:is>
      </x:c>
      <x:c r="M94" s="3" t="n">
        <x:v>1</x:v>
      </x:c>
      <x:c r="N94" s="3" t="n"/>
      <x:c r="O94" s="3" t="n"/>
      <x:c r="P94" s="3" t="inlineStr">
        <x:is>
          <x:t xml:space="preserve">EXCO-D3-Q04-A3</x:t>
        </x:is>
      </x:c>
      <x:c r="Q94" s="3" t="n">
        <x:v>4</x:v>
      </x:c>
      <x:c r="R94" s="3" t="inlineStr">
        <x:is>
          <x:t xml:space="preserve">Engagement is planned and happens before major monitoring changes.</x:t>
        </x:is>
      </x:c>
      <x:c r="S94" s="3" t="n">
        <x:v>3</x:v>
      </x:c>
      <x:c r="T94" s="3" t="inlineStr">
        <x:is>
          <x:t xml:space="preserve">good_practice</x:t>
        </x:is>
      </x:c>
      <x:c r="U94" s="3" t="inlineStr">
        <x:is>
          <x:t xml:space="preserve"/>
        </x:is>
      </x:c>
      <x:c r="V94" s="3" t="inlineStr">
        <x:is>
          <x:t xml:space="preserve">Request_Evidence</x:t>
        </x:is>
      </x:c>
      <x:c r="W94" s="3" t="inlineStr">
        <x:is>
          <x:t xml:space="preserve">Y</x:t>
        </x:is>
      </x:c>
      <x:c r="X94" s="3" t="inlineStr">
        <x:is>
          <x:t xml:space="preserve"/>
        </x:is>
      </x:c>
      <x:c r="Y94" s="6">
        <x:f>(S94*IF(E94="G",F94,0))+(S94*IF(G94="G",H94,0))</x:f>
      </x:c>
      <x:c r="Z94" s="6">
        <x:f>(S94*IF(E94="E",F94,0))+(S94*IF(G94="E",H94,0))</x:f>
      </x:c>
      <x:c r="AA94" s="6">
        <x:f>(S94*IF(E94="T",F94,0))+(S94*IF(G94="T",H94,0))</x:f>
      </x:c>
      <x:c r="AB94" s="6">
        <x:f>(S94*IF(E94="L",F94,0))+(S94*IF(G94="L",H94,0))</x:f>
      </x:c>
      <x:c r="AC94" s="6">
        <x:f>(S94*IF(E94="H",F94,0))+(S94*IF(G94="H",H94,0))</x:f>
      </x:c>
      <x:c r="AD94" s="6">
        <x:f>(S94*IF(E94="V",F94,0))+(S94*IF(G94="V",H94,0))</x:f>
      </x:c>
      <x:c r="AE94" s="6">
        <x:f>(S94*IF(E94="R",F94,0))+(S94*IF(G94="R",H94,0))</x:f>
      </x:c>
      <x:c r="AF94" s="6">
        <x:f>(S94*IF(E94="F",F94,0))+(S94*IF(G94="F",H94,0))</x:f>
      </x:c>
      <x:c r="AG94" s="6">
        <x:f>(S94*IF(E94="W",F94,0))+(S94*IF(G94="W",H94,0))</x:f>
      </x:c>
    </x:row>
    <x:row r="95">
      <x:c r="A95" s="3" t="inlineStr">
        <x:is>
          <x:t xml:space="preserve">Executive</x:t>
        </x:is>
      </x:c>
      <x:c r="B95" s="3" t="inlineStr">
        <x:is>
          <x:t xml:space="preserve">EXCO-D3-Q04</x:t>
        </x:is>
      </x:c>
      <x:c r="C95" s="3" t="inlineStr">
        <x:is>
          <x:t xml:space="preserve">T2</x:t>
        </x:is>
      </x:c>
      <x:c r="D95" s="3" t="inlineStr">
        <x:is>
          <x:t xml:space="preserve">3. Legal &amp; Ethics</x:t>
        </x:is>
      </x:c>
      <x:c r="E95" s="3" t="inlineStr">
        <x:is>
          <x:t xml:space="preserve">L</x:t>
        </x:is>
      </x:c>
      <x:c r="F95" s="3" t="n">
        <x:v>0.7</x:v>
      </x:c>
      <x:c r="G95" s="3" t="inlineStr">
        <x:is>
          <x:t xml:space="preserve">H</x:t>
        </x:is>
      </x:c>
      <x:c r="H95" s="3" t="n">
        <x:v>0.3</x:v>
      </x:c>
      <x:c r="I95" s="3" t="inlineStr">
        <x:is>
          <x:t xml:space="preserve">Where required, how are employee representatives / works councils engaged on monitoring and privacy topics?</x:t>
        </x:is>
      </x:c>
      <x:c r="J95" s="3" t="inlineStr">
        <x:is>
          <x:t xml:space="preserve">If not applicable, answer that and explain why.</x:t>
        </x:is>
      </x:c>
      <x:c r="K95" s="3" t="inlineStr">
        <x:is>
          <x:t xml:space="preserve">Drill-down; next=EXCO-D3-Q05</x:t>
        </x:is>
      </x:c>
      <x:c r="L95" s="3" t="inlineStr">
        <x:is>
          <x:t xml:space="preserve">LEG_STRICT</x:t>
        </x:is>
      </x:c>
      <x:c r="M95" s="3" t="n">
        <x:v>1</x:v>
      </x:c>
      <x:c r="N95" s="3" t="n"/>
      <x:c r="O95" s="3" t="n"/>
      <x:c r="P95" s="3" t="inlineStr">
        <x:is>
          <x:t xml:space="preserve">EXCO-D3-Q04-A4</x:t>
        </x:is>
      </x:c>
      <x:c r="Q95" s="3" t="n">
        <x:v>5</x:v>
      </x:c>
      <x:c r="R95" s="3" t="inlineStr">
        <x:is>
          <x:t xml:space="preserve">Monitoring design is co-developed; decisions and safeguards are documented and reviewed.</x:t>
        </x:is>
      </x:c>
      <x:c r="S95" s="3" t="n">
        <x:v>4</x:v>
      </x:c>
      <x:c r="T95" s="3" t="inlineStr">
        <x:is>
          <x:t xml:space="preserve">optimized</x:t>
        </x:is>
      </x:c>
      <x:c r="U95" s="3" t="inlineStr">
        <x:is>
          <x:t xml:space="preserve"/>
        </x:is>
      </x:c>
      <x:c r="V95" s="3" t="inlineStr">
        <x:is>
          <x:t xml:space="preserve">Request_Evidence</x:t>
        </x:is>
      </x:c>
      <x:c r="W95" s="3" t="inlineStr">
        <x:is>
          <x:t xml:space="preserve">Y</x:t>
        </x:is>
      </x:c>
      <x:c r="X95" s="3" t="inlineStr">
        <x:is>
          <x:t xml:space="preserve"/>
        </x:is>
      </x:c>
      <x:c r="Y95" s="6">
        <x:f>(S95*IF(E95="G",F95,0))+(S95*IF(G95="G",H95,0))</x:f>
      </x:c>
      <x:c r="Z95" s="6">
        <x:f>(S95*IF(E95="E",F95,0))+(S95*IF(G95="E",H95,0))</x:f>
      </x:c>
      <x:c r="AA95" s="6">
        <x:f>(S95*IF(E95="T",F95,0))+(S95*IF(G95="T",H95,0))</x:f>
      </x:c>
      <x:c r="AB95" s="6">
        <x:f>(S95*IF(E95="L",F95,0))+(S95*IF(G95="L",H95,0))</x:f>
      </x:c>
      <x:c r="AC95" s="6">
        <x:f>(S95*IF(E95="H",F95,0))+(S95*IF(G95="H",H95,0))</x:f>
      </x:c>
      <x:c r="AD95" s="6">
        <x:f>(S95*IF(E95="V",F95,0))+(S95*IF(G95="V",H95,0))</x:f>
      </x:c>
      <x:c r="AE95" s="6">
        <x:f>(S95*IF(E95="R",F95,0))+(S95*IF(G95="R",H95,0))</x:f>
      </x:c>
      <x:c r="AF95" s="6">
        <x:f>(S95*IF(E95="F",F95,0))+(S95*IF(G95="F",H95,0))</x:f>
      </x:c>
      <x:c r="AG95" s="6">
        <x:f>(S95*IF(E95="W",F95,0))+(S95*IF(G95="W",H95,0))</x:f>
      </x:c>
    </x:row>
    <x:row r="96">
      <x:c r="A96" s="3" t="inlineStr">
        <x:is>
          <x:t xml:space="preserve">Executive</x:t>
        </x:is>
      </x:c>
      <x:c r="B96" s="3" t="inlineStr">
        <x:is>
          <x:t xml:space="preserve">EXCO-D3-Q05</x:t>
        </x:is>
      </x:c>
      <x:c r="C96" s="3" t="inlineStr">
        <x:is>
          <x:t xml:space="preserve">T3</x:t>
        </x:is>
      </x:c>
      <x:c r="D96" s="3" t="inlineStr">
        <x:is>
          <x:t xml:space="preserve">3. Legal &amp; Ethics</x:t>
        </x:is>
      </x:c>
      <x:c r="E96" s="3" t="inlineStr">
        <x:is>
          <x:t xml:space="preserve">L</x:t>
        </x:is>
      </x:c>
      <x:c r="F96" s="3" t="n">
        <x:v>0.5</x:v>
      </x:c>
      <x:c r="G96" s="3" t="inlineStr">
        <x:is>
          <x:t xml:space="preserve">R</x:t>
        </x:is>
      </x:c>
      <x:c r="H96" s="3" t="n">
        <x:v>0.5</x:v>
      </x:c>
      <x:c r="I96" s="3" t="inlineStr">
        <x:is>
          <x:t xml:space="preserve">If we needed to use monitoring evidence in HR action or court, how strong is our evidence handling (traceability, integrity)?</x:t>
        </x:is>
      </x:c>
      <x:c r="J96" s="3" t="inlineStr">
        <x:is>
          <x:t xml:space="preserve">Plain terms: can we prove ‘who collected what, when, and that it wasn’t tampered with’?</x:t>
        </x:is>
      </x:c>
      <x:c r="K96" s="3" t="inlineStr">
        <x:is>
          <x:t xml:space="preserve">Drill-down; next=EXCO-D3-Q06</x:t>
        </x:is>
      </x:c>
      <x:c r="L96" s="3" t="inlineStr">
        <x:is>
          <x:t xml:space="preserve">LEG_STRICT</x:t>
        </x:is>
      </x:c>
      <x:c r="M96" s="3" t="n">
        <x:v>1</x:v>
      </x:c>
      <x:c r="N96" s="3" t="n"/>
      <x:c r="O96" s="3" t="n"/>
      <x:c r="P96" s="3" t="inlineStr">
        <x:is>
          <x:t xml:space="preserve">EXCO-D3-Q05-A0</x:t>
        </x:is>
      </x:c>
      <x:c r="Q96" s="3" t="n">
        <x:v>1</x:v>
      </x:c>
      <x:c r="R96" s="3" t="inlineStr">
        <x:is>
          <x:t xml:space="preserve">I don’t know / not sure.</x:t>
        </x:is>
      </x:c>
      <x:c r="S96" s="3" t="n">
        <x:v>0</x:v>
      </x:c>
      <x:c r="T96" s="3" t="inlineStr">
        <x:is>
          <x:t xml:space="preserve">unknown</x:t>
        </x:is>
      </x:c>
      <x:c r="U96" s="3" t="inlineStr">
        <x:is>
          <x:t xml:space="preserve">Unknown</x:t>
        </x:is>
      </x:c>
      <x:c r="V96" s="3" t="inlineStr">
        <x:is>
          <x:t xml:space="preserve">Assess_Evidence_Handling</x:t>
        </x:is>
      </x:c>
      <x:c r="W96" s="3" t="inlineStr">
        <x:is>
          <x:t xml:space="preserve">N</x:t>
        </x:is>
      </x:c>
      <x:c r="X96" s="3" t="inlineStr">
        <x:is>
          <x:t xml:space="preserve"/>
        </x:is>
      </x:c>
      <x:c r="Y96" s="6">
        <x:f>(S96*IF(E96="G",F96,0))+(S96*IF(G96="G",H96,0))</x:f>
      </x:c>
      <x:c r="Z96" s="6">
        <x:f>(S96*IF(E96="E",F96,0))+(S96*IF(G96="E",H96,0))</x:f>
      </x:c>
      <x:c r="AA96" s="6">
        <x:f>(S96*IF(E96="T",F96,0))+(S96*IF(G96="T",H96,0))</x:f>
      </x:c>
      <x:c r="AB96" s="6">
        <x:f>(S96*IF(E96="L",F96,0))+(S96*IF(G96="L",H96,0))</x:f>
      </x:c>
      <x:c r="AC96" s="6">
        <x:f>(S96*IF(E96="H",F96,0))+(S96*IF(G96="H",H96,0))</x:f>
      </x:c>
      <x:c r="AD96" s="6">
        <x:f>(S96*IF(E96="V",F96,0))+(S96*IF(G96="V",H96,0))</x:f>
      </x:c>
      <x:c r="AE96" s="6">
        <x:f>(S96*IF(E96="R",F96,0))+(S96*IF(G96="R",H96,0))</x:f>
      </x:c>
      <x:c r="AF96" s="6">
        <x:f>(S96*IF(E96="F",F96,0))+(S96*IF(G96="F",H96,0))</x:f>
      </x:c>
      <x:c r="AG96" s="6">
        <x:f>(S96*IF(E96="W",F96,0))+(S96*IF(G96="W",H96,0))</x:f>
      </x:c>
    </x:row>
    <x:row r="97">
      <x:c r="A97" s="3" t="inlineStr">
        <x:is>
          <x:t xml:space="preserve">Executive</x:t>
        </x:is>
      </x:c>
      <x:c r="B97" s="3" t="inlineStr">
        <x:is>
          <x:t xml:space="preserve">EXCO-D3-Q05</x:t>
        </x:is>
      </x:c>
      <x:c r="C97" s="3" t="inlineStr">
        <x:is>
          <x:t xml:space="preserve">T3</x:t>
        </x:is>
      </x:c>
      <x:c r="D97" s="3" t="inlineStr">
        <x:is>
          <x:t xml:space="preserve">3. Legal &amp; Ethics</x:t>
        </x:is>
      </x:c>
      <x:c r="E97" s="3" t="inlineStr">
        <x:is>
          <x:t xml:space="preserve">L</x:t>
        </x:is>
      </x:c>
      <x:c r="F97" s="3" t="n">
        <x:v>0.5</x:v>
      </x:c>
      <x:c r="G97" s="3" t="inlineStr">
        <x:is>
          <x:t xml:space="preserve">R</x:t>
        </x:is>
      </x:c>
      <x:c r="H97" s="3" t="n">
        <x:v>0.5</x:v>
      </x:c>
      <x:c r="I97" s="3" t="inlineStr">
        <x:is>
          <x:t xml:space="preserve">If we needed to use monitoring evidence in HR action or court, how strong is our evidence handling (traceability, integrity)?</x:t>
        </x:is>
      </x:c>
      <x:c r="J97" s="3" t="inlineStr">
        <x:is>
          <x:t xml:space="preserve">Plain terms: can we prove ‘who collected what, when, and that it wasn’t tampered with’?</x:t>
        </x:is>
      </x:c>
      <x:c r="K97" s="3" t="inlineStr">
        <x:is>
          <x:t xml:space="preserve">Drill-down; next=EXCO-D3-Q06</x:t>
        </x:is>
      </x:c>
      <x:c r="L97" s="3" t="inlineStr">
        <x:is>
          <x:t xml:space="preserve">LEG_STRICT</x:t>
        </x:is>
      </x:c>
      <x:c r="M97" s="3" t="n">
        <x:v>1</x:v>
      </x:c>
      <x:c r="N97" s="3" t="n"/>
      <x:c r="O97" s="3" t="n"/>
      <x:c r="P97" s="3" t="inlineStr">
        <x:is>
          <x:t xml:space="preserve">EXCO-D3-Q05-A1</x:t>
        </x:is>
      </x:c>
      <x:c r="Q97" s="3" t="n">
        <x:v>2</x:v>
      </x:c>
      <x:c r="R97" s="3" t="inlineStr">
        <x:is>
          <x:t xml:space="preserve">Weak—people take screenshots or export logs with little documentation.</x:t>
        </x:is>
      </x:c>
      <x:c r="S97" s="3" t="n">
        <x:v>0</x:v>
      </x:c>
      <x:c r="T97" s="3" t="inlineStr">
        <x:is>
          <x:t xml:space="preserve">forensic_gap</x:t>
        </x:is>
      </x:c>
      <x:c r="U97" s="3" t="inlineStr">
        <x:is>
          <x:t xml:space="preserve">Legal Exposure</x:t>
        </x:is>
      </x:c>
      <x:c r="V97" s="3" t="inlineStr">
        <x:is>
          <x:t xml:space="preserve">Evidence_Upgrade</x:t>
        </x:is>
      </x:c>
      <x:c r="W97" s="3" t="inlineStr">
        <x:is>
          <x:t xml:space="preserve">N</x:t>
        </x:is>
      </x:c>
      <x:c r="X97" s="3" t="inlineStr">
        <x:is>
          <x:t xml:space="preserve"/>
        </x:is>
      </x:c>
      <x:c r="Y97" s="6">
        <x:f>(S97*IF(E97="G",F97,0))+(S97*IF(G97="G",H97,0))</x:f>
      </x:c>
      <x:c r="Z97" s="6">
        <x:f>(S97*IF(E97="E",F97,0))+(S97*IF(G97="E",H97,0))</x:f>
      </x:c>
      <x:c r="AA97" s="6">
        <x:f>(S97*IF(E97="T",F97,0))+(S97*IF(G97="T",H97,0))</x:f>
      </x:c>
      <x:c r="AB97" s="6">
        <x:f>(S97*IF(E97="L",F97,0))+(S97*IF(G97="L",H97,0))</x:f>
      </x:c>
      <x:c r="AC97" s="6">
        <x:f>(S97*IF(E97="H",F97,0))+(S97*IF(G97="H",H97,0))</x:f>
      </x:c>
      <x:c r="AD97" s="6">
        <x:f>(S97*IF(E97="V",F97,0))+(S97*IF(G97="V",H97,0))</x:f>
      </x:c>
      <x:c r="AE97" s="6">
        <x:f>(S97*IF(E97="R",F97,0))+(S97*IF(G97="R",H97,0))</x:f>
      </x:c>
      <x:c r="AF97" s="6">
        <x:f>(S97*IF(E97="F",F97,0))+(S97*IF(G97="F",H97,0))</x:f>
      </x:c>
      <x:c r="AG97" s="6">
        <x:f>(S97*IF(E97="W",F97,0))+(S97*IF(G97="W",H97,0))</x:f>
      </x:c>
    </x:row>
    <x:row r="98">
      <x:c r="A98" s="3" t="inlineStr">
        <x:is>
          <x:t xml:space="preserve">Executive</x:t>
        </x:is>
      </x:c>
      <x:c r="B98" s="3" t="inlineStr">
        <x:is>
          <x:t xml:space="preserve">EXCO-D3-Q05</x:t>
        </x:is>
      </x:c>
      <x:c r="C98" s="3" t="inlineStr">
        <x:is>
          <x:t xml:space="preserve">T3</x:t>
        </x:is>
      </x:c>
      <x:c r="D98" s="3" t="inlineStr">
        <x:is>
          <x:t xml:space="preserve">3. Legal &amp; Ethics</x:t>
        </x:is>
      </x:c>
      <x:c r="E98" s="3" t="inlineStr">
        <x:is>
          <x:t xml:space="preserve">L</x:t>
        </x:is>
      </x:c>
      <x:c r="F98" s="3" t="n">
        <x:v>0.5</x:v>
      </x:c>
      <x:c r="G98" s="3" t="inlineStr">
        <x:is>
          <x:t xml:space="preserve">R</x:t>
        </x:is>
      </x:c>
      <x:c r="H98" s="3" t="n">
        <x:v>0.5</x:v>
      </x:c>
      <x:c r="I98" s="3" t="inlineStr">
        <x:is>
          <x:t xml:space="preserve">If we needed to use monitoring evidence in HR action or court, how strong is our evidence handling (traceability, integrity)?</x:t>
        </x:is>
      </x:c>
      <x:c r="J98" s="3" t="inlineStr">
        <x:is>
          <x:t xml:space="preserve">Plain terms: can we prove ‘who collected what, when, and that it wasn’t tampered with’?</x:t>
        </x:is>
      </x:c>
      <x:c r="K98" s="3" t="inlineStr">
        <x:is>
          <x:t xml:space="preserve">Drill-down; next=EXCO-D3-Q06</x:t>
        </x:is>
      </x:c>
      <x:c r="L98" s="3" t="inlineStr">
        <x:is>
          <x:t xml:space="preserve">LEG_STRICT</x:t>
        </x:is>
      </x:c>
      <x:c r="M98" s="3" t="n">
        <x:v>1</x:v>
      </x:c>
      <x:c r="N98" s="3" t="n"/>
      <x:c r="O98" s="3" t="n"/>
      <x:c r="P98" s="3" t="inlineStr">
        <x:is>
          <x:t xml:space="preserve">EXCO-D3-Q05-A2</x:t>
        </x:is>
      </x:c>
      <x:c r="Q98" s="3" t="n">
        <x:v>3</x:v>
      </x:c>
      <x:c r="R98" s="3" t="inlineStr">
        <x:is>
          <x:t xml:space="preserve">Ad-hoc—IT can pull logs, but process is inconsistent and not audited.</x:t>
        </x:is>
      </x:c>
      <x:c r="S98" s="3" t="n">
        <x:v>1</x:v>
      </x:c>
      <x:c r="T98" s="3" t="inlineStr">
        <x:is>
          <x:t xml:space="preserve">forensic_gap</x:t>
        </x:is>
      </x:c>
      <x:c r="U98" s="3" t="inlineStr">
        <x:is>
          <x:t xml:space="preserve">Resilience Gap</x:t>
        </x:is>
      </x:c>
      <x:c r="V98" s="3" t="inlineStr">
        <x:is>
          <x:t xml:space="preserve">Evidence_Upgrade</x:t>
        </x:is>
      </x:c>
      <x:c r="W98" s="3" t="inlineStr">
        <x:is>
          <x:t xml:space="preserve">N</x:t>
        </x:is>
      </x:c>
      <x:c r="X98" s="3" t="inlineStr">
        <x:is>
          <x:t xml:space="preserve"/>
        </x:is>
      </x:c>
      <x:c r="Y98" s="6">
        <x:f>(S98*IF(E98="G",F98,0))+(S98*IF(G98="G",H98,0))</x:f>
      </x:c>
      <x:c r="Z98" s="6">
        <x:f>(S98*IF(E98="E",F98,0))+(S98*IF(G98="E",H98,0))</x:f>
      </x:c>
      <x:c r="AA98" s="6">
        <x:f>(S98*IF(E98="T",F98,0))+(S98*IF(G98="T",H98,0))</x:f>
      </x:c>
      <x:c r="AB98" s="6">
        <x:f>(S98*IF(E98="L",F98,0))+(S98*IF(G98="L",H98,0))</x:f>
      </x:c>
      <x:c r="AC98" s="6">
        <x:f>(S98*IF(E98="H",F98,0))+(S98*IF(G98="H",H98,0))</x:f>
      </x:c>
      <x:c r="AD98" s="6">
        <x:f>(S98*IF(E98="V",F98,0))+(S98*IF(G98="V",H98,0))</x:f>
      </x:c>
      <x:c r="AE98" s="6">
        <x:f>(S98*IF(E98="R",F98,0))+(S98*IF(G98="R",H98,0))</x:f>
      </x:c>
      <x:c r="AF98" s="6">
        <x:f>(S98*IF(E98="F",F98,0))+(S98*IF(G98="F",H98,0))</x:f>
      </x:c>
      <x:c r="AG98" s="6">
        <x:f>(S98*IF(E98="W",F98,0))+(S98*IF(G98="W",H98,0))</x:f>
      </x:c>
    </x:row>
    <x:row r="99">
      <x:c r="A99" s="3" t="inlineStr">
        <x:is>
          <x:t xml:space="preserve">Executive</x:t>
        </x:is>
      </x:c>
      <x:c r="B99" s="3" t="inlineStr">
        <x:is>
          <x:t xml:space="preserve">EXCO-D3-Q05</x:t>
        </x:is>
      </x:c>
      <x:c r="C99" s="3" t="inlineStr">
        <x:is>
          <x:t xml:space="preserve">T3</x:t>
        </x:is>
      </x:c>
      <x:c r="D99" s="3" t="inlineStr">
        <x:is>
          <x:t xml:space="preserve">3. Legal &amp; Ethics</x:t>
        </x:is>
      </x:c>
      <x:c r="E99" s="3" t="inlineStr">
        <x:is>
          <x:t xml:space="preserve">L</x:t>
        </x:is>
      </x:c>
      <x:c r="F99" s="3" t="n">
        <x:v>0.5</x:v>
      </x:c>
      <x:c r="G99" s="3" t="inlineStr">
        <x:is>
          <x:t xml:space="preserve">R</x:t>
        </x:is>
      </x:c>
      <x:c r="H99" s="3" t="n">
        <x:v>0.5</x:v>
      </x:c>
      <x:c r="I99" s="3" t="inlineStr">
        <x:is>
          <x:t xml:space="preserve">If we needed to use monitoring evidence in HR action or court, how strong is our evidence handling (traceability, integrity)?</x:t>
        </x:is>
      </x:c>
      <x:c r="J99" s="3" t="inlineStr">
        <x:is>
          <x:t xml:space="preserve">Plain terms: can we prove ‘who collected what, when, and that it wasn’t tampered with’?</x:t>
        </x:is>
      </x:c>
      <x:c r="K99" s="3" t="inlineStr">
        <x:is>
          <x:t xml:space="preserve">Drill-down; next=EXCO-D3-Q06</x:t>
        </x:is>
      </x:c>
      <x:c r="L99" s="3" t="inlineStr">
        <x:is>
          <x:t xml:space="preserve">LEG_STRICT</x:t>
        </x:is>
      </x:c>
      <x:c r="M99" s="3" t="n">
        <x:v>1</x:v>
      </x:c>
      <x:c r="N99" s="3" t="n"/>
      <x:c r="O99" s="3" t="n"/>
      <x:c r="P99" s="3" t="inlineStr">
        <x:is>
          <x:t xml:space="preserve">EXCO-D3-Q05-A3</x:t>
        </x:is>
      </x:c>
      <x:c r="Q99" s="3" t="n">
        <x:v>4</x:v>
      </x:c>
      <x:c r="R99" s="3" t="inlineStr">
        <x:is>
          <x:t xml:space="preserve">Documented chain-of-custody exists, but it’s not consistently used.</x:t>
        </x:is>
      </x:c>
      <x:c r="S99" s="3" t="n">
        <x:v>2</x:v>
      </x:c>
      <x:c r="T99" s="3" t="inlineStr">
        <x:is>
          <x:t xml:space="preserve">paper_dragon_signal</x:t>
        </x:is>
      </x:c>
      <x:c r="U99" s="3" t="inlineStr">
        <x:is>
          <x:t xml:space="preserve">Paper Dragon</x:t>
        </x:is>
      </x:c>
      <x:c r="V99" s="3" t="inlineStr">
        <x:is>
          <x:t xml:space="preserve">Enforce_Custody_Process</x:t>
        </x:is>
      </x:c>
      <x:c r="W99" s="3" t="inlineStr">
        <x:is>
          <x:t xml:space="preserve">N</x:t>
        </x:is>
      </x:c>
      <x:c r="X99" s="3" t="inlineStr">
        <x:is>
          <x:t xml:space="preserve"/>
        </x:is>
      </x:c>
      <x:c r="Y99" s="6">
        <x:f>(S99*IF(E99="G",F99,0))+(S99*IF(G99="G",H99,0))</x:f>
      </x:c>
      <x:c r="Z99" s="6">
        <x:f>(S99*IF(E99="E",F99,0))+(S99*IF(G99="E",H99,0))</x:f>
      </x:c>
      <x:c r="AA99" s="6">
        <x:f>(S99*IF(E99="T",F99,0))+(S99*IF(G99="T",H99,0))</x:f>
      </x:c>
      <x:c r="AB99" s="6">
        <x:f>(S99*IF(E99="L",F99,0))+(S99*IF(G99="L",H99,0))</x:f>
      </x:c>
      <x:c r="AC99" s="6">
        <x:f>(S99*IF(E99="H",F99,0))+(S99*IF(G99="H",H99,0))</x:f>
      </x:c>
      <x:c r="AD99" s="6">
        <x:f>(S99*IF(E99="V",F99,0))+(S99*IF(G99="V",H99,0))</x:f>
      </x:c>
      <x:c r="AE99" s="6">
        <x:f>(S99*IF(E99="R",F99,0))+(S99*IF(G99="R",H99,0))</x:f>
      </x:c>
      <x:c r="AF99" s="6">
        <x:f>(S99*IF(E99="F",F99,0))+(S99*IF(G99="F",H99,0))</x:f>
      </x:c>
      <x:c r="AG99" s="6">
        <x:f>(S99*IF(E99="W",F99,0))+(S99*IF(G99="W",H99,0))</x:f>
      </x:c>
    </x:row>
    <x:row r="100">
      <x:c r="A100" s="3" t="inlineStr">
        <x:is>
          <x:t xml:space="preserve">Executive</x:t>
        </x:is>
      </x:c>
      <x:c r="B100" s="3" t="inlineStr">
        <x:is>
          <x:t xml:space="preserve">EXCO-D3-Q05</x:t>
        </x:is>
      </x:c>
      <x:c r="C100" s="3" t="inlineStr">
        <x:is>
          <x:t xml:space="preserve">T3</x:t>
        </x:is>
      </x:c>
      <x:c r="D100" s="3" t="inlineStr">
        <x:is>
          <x:t xml:space="preserve">3. Legal &amp; Ethics</x:t>
        </x:is>
      </x:c>
      <x:c r="E100" s="3" t="inlineStr">
        <x:is>
          <x:t xml:space="preserve">L</x:t>
        </x:is>
      </x:c>
      <x:c r="F100" s="3" t="n">
        <x:v>0.5</x:v>
      </x:c>
      <x:c r="G100" s="3" t="inlineStr">
        <x:is>
          <x:t xml:space="preserve">R</x:t>
        </x:is>
      </x:c>
      <x:c r="H100" s="3" t="n">
        <x:v>0.5</x:v>
      </x:c>
      <x:c r="I100" s="3" t="inlineStr">
        <x:is>
          <x:t xml:space="preserve">If we needed to use monitoring evidence in HR action or court, how strong is our evidence handling (traceability, integrity)?</x:t>
        </x:is>
      </x:c>
      <x:c r="J100" s="3" t="inlineStr">
        <x:is>
          <x:t xml:space="preserve">Plain terms: can we prove ‘who collected what, when, and that it wasn’t tampered with’?</x:t>
        </x:is>
      </x:c>
      <x:c r="K100" s="3" t="inlineStr">
        <x:is>
          <x:t xml:space="preserve">Drill-down; next=EXCO-D3-Q06</x:t>
        </x:is>
      </x:c>
      <x:c r="L100" s="3" t="inlineStr">
        <x:is>
          <x:t xml:space="preserve">LEG_STRICT</x:t>
        </x:is>
      </x:c>
      <x:c r="M100" s="3" t="n">
        <x:v>1</x:v>
      </x:c>
      <x:c r="N100" s="3" t="n"/>
      <x:c r="O100" s="3" t="n"/>
      <x:c r="P100" s="3" t="inlineStr">
        <x:is>
          <x:t xml:space="preserve">EXCO-D3-Q05-A4</x:t>
        </x:is>
      </x:c>
      <x:c r="Q100" s="3" t="n">
        <x:v>5</x:v>
      </x:c>
      <x:c r="R100" s="3" t="inlineStr">
        <x:is>
          <x:t xml:space="preserve">Evidence handling is standardised and used for every case; access and retention are controlled.</x:t>
        </x:is>
      </x:c>
      <x:c r="S100" s="3" t="n">
        <x:v>3</x:v>
      </x:c>
      <x:c r="T100" s="3" t="inlineStr">
        <x:is>
          <x:t xml:space="preserve">good_practice</x:t>
        </x:is>
      </x:c>
      <x:c r="U100" s="3" t="inlineStr">
        <x:is>
          <x:t xml:space="preserve"/>
        </x:is>
      </x:c>
      <x:c r="V100" s="3" t="inlineStr">
        <x:is>
          <x:t xml:space="preserve">Request_Evidence</x:t>
        </x:is>
      </x:c>
      <x:c r="W100" s="3" t="inlineStr">
        <x:is>
          <x:t xml:space="preserve">Y</x:t>
        </x:is>
      </x:c>
      <x:c r="X100" s="3" t="inlineStr">
        <x:is>
          <x:t xml:space="preserve"/>
        </x:is>
      </x:c>
      <x:c r="Y100" s="6">
        <x:f>(S100*IF(E100="G",F100,0))+(S100*IF(G100="G",H100,0))</x:f>
      </x:c>
      <x:c r="Z100" s="6">
        <x:f>(S100*IF(E100="E",F100,0))+(S100*IF(G100="E",H100,0))</x:f>
      </x:c>
      <x:c r="AA100" s="6">
        <x:f>(S100*IF(E100="T",F100,0))+(S100*IF(G100="T",H100,0))</x:f>
      </x:c>
      <x:c r="AB100" s="6">
        <x:f>(S100*IF(E100="L",F100,0))+(S100*IF(G100="L",H100,0))</x:f>
      </x:c>
      <x:c r="AC100" s="6">
        <x:f>(S100*IF(E100="H",F100,0))+(S100*IF(G100="H",H100,0))</x:f>
      </x:c>
      <x:c r="AD100" s="6">
        <x:f>(S100*IF(E100="V",F100,0))+(S100*IF(G100="V",H100,0))</x:f>
      </x:c>
      <x:c r="AE100" s="6">
        <x:f>(S100*IF(E100="R",F100,0))+(S100*IF(G100="R",H100,0))</x:f>
      </x:c>
      <x:c r="AF100" s="6">
        <x:f>(S100*IF(E100="F",F100,0))+(S100*IF(G100="F",H100,0))</x:f>
      </x:c>
      <x:c r="AG100" s="6">
        <x:f>(S100*IF(E100="W",F100,0))+(S100*IF(G100="W",H100,0))</x:f>
      </x:c>
    </x:row>
    <x:row r="101">
      <x:c r="A101" s="3" t="inlineStr">
        <x:is>
          <x:t xml:space="preserve">Executive</x:t>
        </x:is>
      </x:c>
      <x:c r="B101" s="3" t="inlineStr">
        <x:is>
          <x:t xml:space="preserve">EXCO-D3-Q05</x:t>
        </x:is>
      </x:c>
      <x:c r="C101" s="3" t="inlineStr">
        <x:is>
          <x:t xml:space="preserve">T3</x:t>
        </x:is>
      </x:c>
      <x:c r="D101" s="3" t="inlineStr">
        <x:is>
          <x:t xml:space="preserve">3. Legal &amp; Ethics</x:t>
        </x:is>
      </x:c>
      <x:c r="E101" s="3" t="inlineStr">
        <x:is>
          <x:t xml:space="preserve">L</x:t>
        </x:is>
      </x:c>
      <x:c r="F101" s="3" t="n">
        <x:v>0.5</x:v>
      </x:c>
      <x:c r="G101" s="3" t="inlineStr">
        <x:is>
          <x:t xml:space="preserve">R</x:t>
        </x:is>
      </x:c>
      <x:c r="H101" s="3" t="n">
        <x:v>0.5</x:v>
      </x:c>
      <x:c r="I101" s="3" t="inlineStr">
        <x:is>
          <x:t xml:space="preserve">If we needed to use monitoring evidence in HR action or court, how strong is our evidence handling (traceability, integrity)?</x:t>
        </x:is>
      </x:c>
      <x:c r="J101" s="3" t="inlineStr">
        <x:is>
          <x:t xml:space="preserve">Plain terms: can we prove ‘who collected what, when, and that it wasn’t tampered with’?</x:t>
        </x:is>
      </x:c>
      <x:c r="K101" s="3" t="inlineStr">
        <x:is>
          <x:t xml:space="preserve">Drill-down; next=EXCO-D3-Q06</x:t>
        </x:is>
      </x:c>
      <x:c r="L101" s="3" t="inlineStr">
        <x:is>
          <x:t xml:space="preserve">LEG_STRICT</x:t>
        </x:is>
      </x:c>
      <x:c r="M101" s="3" t="n">
        <x:v>1</x:v>
      </x:c>
      <x:c r="N101" s="3" t="n"/>
      <x:c r="O101" s="3" t="n"/>
      <x:c r="P101" s="3" t="inlineStr">
        <x:is>
          <x:t xml:space="preserve">EXCO-D3-Q05-A5</x:t>
        </x:is>
      </x:c>
      <x:c r="Q101" s="3" t="n">
        <x:v>6</x:v>
      </x:c>
      <x:c r="R101" s="3" t="inlineStr">
        <x:is>
          <x:t xml:space="preserve">Tamper-evident logs and regular independent checks/audits of the evidence process.</x:t>
        </x:is>
      </x:c>
      <x:c r="S101" s="3" t="n">
        <x:v>4</x:v>
      </x:c>
      <x:c r="T101" s="3" t="inlineStr">
        <x:is>
          <x:t xml:space="preserve">optimized</x:t>
        </x:is>
      </x:c>
      <x:c r="U101" s="3" t="inlineStr">
        <x:is>
          <x:t xml:space="preserve"/>
        </x:is>
      </x:c>
      <x:c r="V101" s="3" t="inlineStr">
        <x:is>
          <x:t xml:space="preserve">Request_Evidence</x:t>
        </x:is>
      </x:c>
      <x:c r="W101" s="3" t="inlineStr">
        <x:is>
          <x:t xml:space="preserve">Y</x:t>
        </x:is>
      </x:c>
      <x:c r="X101" s="3" t="inlineStr">
        <x:is>
          <x:t xml:space="preserve"/>
        </x:is>
      </x:c>
      <x:c r="Y101" s="6">
        <x:f>(S101*IF(E101="G",F101,0))+(S101*IF(G101="G",H101,0))</x:f>
      </x:c>
      <x:c r="Z101" s="6">
        <x:f>(S101*IF(E101="E",F101,0))+(S101*IF(G101="E",H101,0))</x:f>
      </x:c>
      <x:c r="AA101" s="6">
        <x:f>(S101*IF(E101="T",F101,0))+(S101*IF(G101="T",H101,0))</x:f>
      </x:c>
      <x:c r="AB101" s="6">
        <x:f>(S101*IF(E101="L",F101,0))+(S101*IF(G101="L",H101,0))</x:f>
      </x:c>
      <x:c r="AC101" s="6">
        <x:f>(S101*IF(E101="H",F101,0))+(S101*IF(G101="H",H101,0))</x:f>
      </x:c>
      <x:c r="AD101" s="6">
        <x:f>(S101*IF(E101="V",F101,0))+(S101*IF(G101="V",H101,0))</x:f>
      </x:c>
      <x:c r="AE101" s="6">
        <x:f>(S101*IF(E101="R",F101,0))+(S101*IF(G101="R",H101,0))</x:f>
      </x:c>
      <x:c r="AF101" s="6">
        <x:f>(S101*IF(E101="F",F101,0))+(S101*IF(G101="F",H101,0))</x:f>
      </x:c>
      <x:c r="AG101" s="6">
        <x:f>(S101*IF(E101="W",F101,0))+(S101*IF(G101="W",H101,0))</x:f>
      </x:c>
    </x:row>
    <x:row r="102">
      <x:c r="A102" s="3" t="inlineStr">
        <x:is>
          <x:t xml:space="preserve">Executive</x:t>
        </x:is>
      </x:c>
      <x:c r="B102" s="3" t="inlineStr">
        <x:is>
          <x:t xml:space="preserve">EXCO-D3-Q06</x:t>
        </x:is>
      </x:c>
      <x:c r="C102" s="3" t="inlineStr">
        <x:is>
          <x:t xml:space="preserve">T2</x:t>
        </x:is>
      </x:c>
      <x:c r="D102" s="3" t="inlineStr">
        <x:is>
          <x:t xml:space="preserve">3. Legal &amp; Ethics</x:t>
        </x:is>
      </x:c>
      <x:c r="E102" s="3" t="inlineStr">
        <x:is>
          <x:t xml:space="preserve">L</x:t>
        </x:is>
      </x:c>
      <x:c r="F102" s="3" t="n">
        <x:v>1</x:v>
      </x:c>
      <x:c r="G102" s="3" t="inlineStr">
        <x:is>
          <x:t xml:space="preserve">-</x:t>
        </x:is>
      </x:c>
      <x:c r="H102" s="3" t="inlineStr">
        <x:is>
          <x:t xml:space="preserve"/>
        </x:is>
      </x:c>
      <x:c r="I102" s="3" t="inlineStr">
        <x:is>
          <x:t xml:space="preserve">Do we control where monitoring data is stored and how long it is kept (including cross-border restrictions where relevant)?</x:t>
        </x:is>
      </x:c>
      <x:c r="J102" s="3" t="inlineStr">
        <x:is>
          <x:t xml:space="preserve">This is about data residency/sovereignty, retention schedules, and access auditing.</x:t>
        </x:is>
      </x:c>
      <x:c r="K102" s="3" t="inlineStr">
        <x:is>
          <x:t xml:space="preserve">Drill-down; next=EXCO-D4-Q01</x:t>
        </x:is>
      </x:c>
      <x:c r="L102" s="3" t="inlineStr">
        <x:is>
          <x:t xml:space="preserve">LEG_STRICT</x:t>
        </x:is>
      </x:c>
      <x:c r="M102" s="3" t="n">
        <x:v>1</x:v>
      </x:c>
      <x:c r="N102" s="3" t="n"/>
      <x:c r="O102" s="3" t="n"/>
      <x:c r="P102" s="3" t="inlineStr">
        <x:is>
          <x:t xml:space="preserve">EXCO-D3-Q06-A0</x:t>
        </x:is>
      </x:c>
      <x:c r="Q102" s="3" t="n">
        <x:v>1</x:v>
      </x:c>
      <x:c r="R102" s="3" t="inlineStr">
        <x:is>
          <x:t xml:space="preserve">I don’t know / not sure.</x:t>
        </x:is>
      </x:c>
      <x:c r="S102" s="3" t="n">
        <x:v>0</x:v>
      </x:c>
      <x:c r="T102" s="3" t="inlineStr">
        <x:is>
          <x:t xml:space="preserve">unknown</x:t>
        </x:is>
      </x:c>
      <x:c r="U102" s="3" t="inlineStr">
        <x:is>
          <x:t xml:space="preserve">Unknown</x:t>
        </x:is>
      </x:c>
      <x:c r="V102" s="3" t="inlineStr">
        <x:is>
          <x:t xml:space="preserve">Assess_Data_Residency</x:t>
        </x:is>
      </x:c>
      <x:c r="W102" s="3" t="inlineStr">
        <x:is>
          <x:t xml:space="preserve">N</x:t>
        </x:is>
      </x:c>
      <x:c r="X102" s="3" t="inlineStr">
        <x:is>
          <x:t xml:space="preserve"/>
        </x:is>
      </x:c>
      <x:c r="Y102" s="6">
        <x:f>(S102*IF(E102="G",F102,0))+(S102*IF(G102="G",H102,0))</x:f>
      </x:c>
      <x:c r="Z102" s="6">
        <x:f>(S102*IF(E102="E",F102,0))+(S102*IF(G102="E",H102,0))</x:f>
      </x:c>
      <x:c r="AA102" s="6">
        <x:f>(S102*IF(E102="T",F102,0))+(S102*IF(G102="T",H102,0))</x:f>
      </x:c>
      <x:c r="AB102" s="6">
        <x:f>(S102*IF(E102="L",F102,0))+(S102*IF(G102="L",H102,0))</x:f>
      </x:c>
      <x:c r="AC102" s="6">
        <x:f>(S102*IF(E102="H",F102,0))+(S102*IF(G102="H",H102,0))</x:f>
      </x:c>
      <x:c r="AD102" s="6">
        <x:f>(S102*IF(E102="V",F102,0))+(S102*IF(G102="V",H102,0))</x:f>
      </x:c>
      <x:c r="AE102" s="6">
        <x:f>(S102*IF(E102="R",F102,0))+(S102*IF(G102="R",H102,0))</x:f>
      </x:c>
      <x:c r="AF102" s="6">
        <x:f>(S102*IF(E102="F",F102,0))+(S102*IF(G102="F",H102,0))</x:f>
      </x:c>
      <x:c r="AG102" s="6">
        <x:f>(S102*IF(E102="W",F102,0))+(S102*IF(G102="W",H102,0))</x:f>
      </x:c>
    </x:row>
    <x:row r="103">
      <x:c r="A103" s="3" t="inlineStr">
        <x:is>
          <x:t xml:space="preserve">Executive</x:t>
        </x:is>
      </x:c>
      <x:c r="B103" s="3" t="inlineStr">
        <x:is>
          <x:t xml:space="preserve">EXCO-D3-Q06</x:t>
        </x:is>
      </x:c>
      <x:c r="C103" s="3" t="inlineStr">
        <x:is>
          <x:t xml:space="preserve">T2</x:t>
        </x:is>
      </x:c>
      <x:c r="D103" s="3" t="inlineStr">
        <x:is>
          <x:t xml:space="preserve">3. Legal &amp; Ethics</x:t>
        </x:is>
      </x:c>
      <x:c r="E103" s="3" t="inlineStr">
        <x:is>
          <x:t xml:space="preserve">L</x:t>
        </x:is>
      </x:c>
      <x:c r="F103" s="3" t="n">
        <x:v>1</x:v>
      </x:c>
      <x:c r="G103" s="3" t="inlineStr">
        <x:is>
          <x:t xml:space="preserve">-</x:t>
        </x:is>
      </x:c>
      <x:c r="H103" s="3" t="inlineStr">
        <x:is>
          <x:t xml:space="preserve"/>
        </x:is>
      </x:c>
      <x:c r="I103" s="3" t="inlineStr">
        <x:is>
          <x:t xml:space="preserve">Do we control where monitoring data is stored and how long it is kept (including cross-border restrictions where relevant)?</x:t>
        </x:is>
      </x:c>
      <x:c r="J103" s="3" t="inlineStr">
        <x:is>
          <x:t xml:space="preserve">This is about data residency/sovereignty, retention schedules, and access auditing.</x:t>
        </x:is>
      </x:c>
      <x:c r="K103" s="3" t="inlineStr">
        <x:is>
          <x:t xml:space="preserve">Drill-down; next=EXCO-D4-Q01</x:t>
        </x:is>
      </x:c>
      <x:c r="L103" s="3" t="inlineStr">
        <x:is>
          <x:t xml:space="preserve">LEG_STRICT</x:t>
        </x:is>
      </x:c>
      <x:c r="M103" s="3" t="n">
        <x:v>1</x:v>
      </x:c>
      <x:c r="N103" s="3" t="n"/>
      <x:c r="O103" s="3" t="n"/>
      <x:c r="P103" s="3" t="inlineStr">
        <x:is>
          <x:t xml:space="preserve">EXCO-D3-Q06-A1</x:t>
        </x:is>
      </x:c>
      <x:c r="Q103" s="3" t="n">
        <x:v>2</x:v>
      </x:c>
      <x:c r="R103" s="3" t="inlineStr">
        <x:is>
          <x:t xml:space="preserve">No—storage locations and retention are not tracked or controlled.</x:t>
        </x:is>
      </x:c>
      <x:c r="S103" s="3" t="n">
        <x:v>0</x:v>
      </x:c>
      <x:c r="T103" s="3" t="inlineStr">
        <x:is>
          <x:t xml:space="preserve">legal_red_flag</x:t>
        </x:is>
      </x:c>
      <x:c r="U103" s="3" t="inlineStr">
        <x:is>
          <x:t xml:space="preserve">Legal Exposure</x:t>
        </x:is>
      </x:c>
      <x:c r="V103" s="3" t="inlineStr">
        <x:is>
          <x:t xml:space="preserve">Residency_Retention_Remediation</x:t>
        </x:is>
      </x:c>
      <x:c r="W103" s="3" t="inlineStr">
        <x:is>
          <x:t xml:space="preserve">N</x:t>
        </x:is>
      </x:c>
      <x:c r="X103" s="3" t="inlineStr">
        <x:is>
          <x:t xml:space="preserve"/>
        </x:is>
      </x:c>
      <x:c r="Y103" s="6">
        <x:f>(S103*IF(E103="G",F103,0))+(S103*IF(G103="G",H103,0))</x:f>
      </x:c>
      <x:c r="Z103" s="6">
        <x:f>(S103*IF(E103="E",F103,0))+(S103*IF(G103="E",H103,0))</x:f>
      </x:c>
      <x:c r="AA103" s="6">
        <x:f>(S103*IF(E103="T",F103,0))+(S103*IF(G103="T",H103,0))</x:f>
      </x:c>
      <x:c r="AB103" s="6">
        <x:f>(S103*IF(E103="L",F103,0))+(S103*IF(G103="L",H103,0))</x:f>
      </x:c>
      <x:c r="AC103" s="6">
        <x:f>(S103*IF(E103="H",F103,0))+(S103*IF(G103="H",H103,0))</x:f>
      </x:c>
      <x:c r="AD103" s="6">
        <x:f>(S103*IF(E103="V",F103,0))+(S103*IF(G103="V",H103,0))</x:f>
      </x:c>
      <x:c r="AE103" s="6">
        <x:f>(S103*IF(E103="R",F103,0))+(S103*IF(G103="R",H103,0))</x:f>
      </x:c>
      <x:c r="AF103" s="6">
        <x:f>(S103*IF(E103="F",F103,0))+(S103*IF(G103="F",H103,0))</x:f>
      </x:c>
      <x:c r="AG103" s="6">
        <x:f>(S103*IF(E103="W",F103,0))+(S103*IF(G103="W",H103,0))</x:f>
      </x:c>
    </x:row>
    <x:row r="104">
      <x:c r="A104" s="3" t="inlineStr">
        <x:is>
          <x:t xml:space="preserve">Executive</x:t>
        </x:is>
      </x:c>
      <x:c r="B104" s="3" t="inlineStr">
        <x:is>
          <x:t xml:space="preserve">EXCO-D3-Q06</x:t>
        </x:is>
      </x:c>
      <x:c r="C104" s="3" t="inlineStr">
        <x:is>
          <x:t xml:space="preserve">T2</x:t>
        </x:is>
      </x:c>
      <x:c r="D104" s="3" t="inlineStr">
        <x:is>
          <x:t xml:space="preserve">3. Legal &amp; Ethics</x:t>
        </x:is>
      </x:c>
      <x:c r="E104" s="3" t="inlineStr">
        <x:is>
          <x:t xml:space="preserve">L</x:t>
        </x:is>
      </x:c>
      <x:c r="F104" s="3" t="n">
        <x:v>1</x:v>
      </x:c>
      <x:c r="G104" s="3" t="inlineStr">
        <x:is>
          <x:t xml:space="preserve">-</x:t>
        </x:is>
      </x:c>
      <x:c r="H104" s="3" t="inlineStr">
        <x:is>
          <x:t xml:space="preserve"/>
        </x:is>
      </x:c>
      <x:c r="I104" s="3" t="inlineStr">
        <x:is>
          <x:t xml:space="preserve">Do we control where monitoring data is stored and how long it is kept (including cross-border restrictions where relevant)?</x:t>
        </x:is>
      </x:c>
      <x:c r="J104" s="3" t="inlineStr">
        <x:is>
          <x:t xml:space="preserve">This is about data residency/sovereignty, retention schedules, and access auditing.</x:t>
        </x:is>
      </x:c>
      <x:c r="K104" s="3" t="inlineStr">
        <x:is>
          <x:t xml:space="preserve">Drill-down; next=EXCO-D4-Q01</x:t>
        </x:is>
      </x:c>
      <x:c r="L104" s="3" t="inlineStr">
        <x:is>
          <x:t xml:space="preserve">LEG_STRICT</x:t>
        </x:is>
      </x:c>
      <x:c r="M104" s="3" t="n">
        <x:v>1</x:v>
      </x:c>
      <x:c r="N104" s="3" t="n"/>
      <x:c r="O104" s="3" t="n"/>
      <x:c r="P104" s="3" t="inlineStr">
        <x:is>
          <x:t xml:space="preserve">EXCO-D3-Q06-A2</x:t>
        </x:is>
      </x:c>
      <x:c r="Q104" s="3" t="n">
        <x:v>3</x:v>
      </x:c>
      <x:c r="R104" s="3" t="inlineStr">
        <x:is>
          <x:t xml:space="preserve">Policy says ‘keep it local/limited’, but the technical reality varies by tool/region.</x:t>
        </x:is>
      </x:c>
      <x:c r="S104" s="3" t="n">
        <x:v>1</x:v>
      </x:c>
      <x:c r="T104" s="3" t="inlineStr">
        <x:is>
          <x:t xml:space="preserve">paper_dragon_signal</x:t>
        </x:is>
      </x:c>
      <x:c r="U104" s="3" t="inlineStr">
        <x:is>
          <x:t xml:space="preserve">Paper Dragon</x:t>
        </x:is>
      </x:c>
      <x:c r="V104" s="3" t="inlineStr">
        <x:is>
          <x:t xml:space="preserve">Validate_Tech_Reality</x:t>
        </x:is>
      </x:c>
      <x:c r="W104" s="3" t="inlineStr">
        <x:is>
          <x:t xml:space="preserve">N</x:t>
        </x:is>
      </x:c>
      <x:c r="X104" s="3" t="inlineStr">
        <x:is>
          <x:t xml:space="preserve"/>
        </x:is>
      </x:c>
      <x:c r="Y104" s="6">
        <x:f>(S104*IF(E104="G",F104,0))+(S104*IF(G104="G",H104,0))</x:f>
      </x:c>
      <x:c r="Z104" s="6">
        <x:f>(S104*IF(E104="E",F104,0))+(S104*IF(G104="E",H104,0))</x:f>
      </x:c>
      <x:c r="AA104" s="6">
        <x:f>(S104*IF(E104="T",F104,0))+(S104*IF(G104="T",H104,0))</x:f>
      </x:c>
      <x:c r="AB104" s="6">
        <x:f>(S104*IF(E104="L",F104,0))+(S104*IF(G104="L",H104,0))</x:f>
      </x:c>
      <x:c r="AC104" s="6">
        <x:f>(S104*IF(E104="H",F104,0))+(S104*IF(G104="H",H104,0))</x:f>
      </x:c>
      <x:c r="AD104" s="6">
        <x:f>(S104*IF(E104="V",F104,0))+(S104*IF(G104="V",H104,0))</x:f>
      </x:c>
      <x:c r="AE104" s="6">
        <x:f>(S104*IF(E104="R",F104,0))+(S104*IF(G104="R",H104,0))</x:f>
      </x:c>
      <x:c r="AF104" s="6">
        <x:f>(S104*IF(E104="F",F104,0))+(S104*IF(G104="F",H104,0))</x:f>
      </x:c>
      <x:c r="AG104" s="6">
        <x:f>(S104*IF(E104="W",F104,0))+(S104*IF(G104="W",H104,0))</x:f>
      </x:c>
    </x:row>
    <x:row r="105">
      <x:c r="A105" s="3" t="inlineStr">
        <x:is>
          <x:t xml:space="preserve">Executive</x:t>
        </x:is>
      </x:c>
      <x:c r="B105" s="3" t="inlineStr">
        <x:is>
          <x:t xml:space="preserve">EXCO-D3-Q06</x:t>
        </x:is>
      </x:c>
      <x:c r="C105" s="3" t="inlineStr">
        <x:is>
          <x:t xml:space="preserve">T2</x:t>
        </x:is>
      </x:c>
      <x:c r="D105" s="3" t="inlineStr">
        <x:is>
          <x:t xml:space="preserve">3. Legal &amp; Ethics</x:t>
        </x:is>
      </x:c>
      <x:c r="E105" s="3" t="inlineStr">
        <x:is>
          <x:t xml:space="preserve">L</x:t>
        </x:is>
      </x:c>
      <x:c r="F105" s="3" t="n">
        <x:v>1</x:v>
      </x:c>
      <x:c r="G105" s="3" t="inlineStr">
        <x:is>
          <x:t xml:space="preserve">-</x:t>
        </x:is>
      </x:c>
      <x:c r="H105" s="3" t="inlineStr">
        <x:is>
          <x:t xml:space="preserve"/>
        </x:is>
      </x:c>
      <x:c r="I105" s="3" t="inlineStr">
        <x:is>
          <x:t xml:space="preserve">Do we control where monitoring data is stored and how long it is kept (including cross-border restrictions where relevant)?</x:t>
        </x:is>
      </x:c>
      <x:c r="J105" s="3" t="inlineStr">
        <x:is>
          <x:t xml:space="preserve">This is about data residency/sovereignty, retention schedules, and access auditing.</x:t>
        </x:is>
      </x:c>
      <x:c r="K105" s="3" t="inlineStr">
        <x:is>
          <x:t xml:space="preserve">Drill-down; next=EXCO-D4-Q01</x:t>
        </x:is>
      </x:c>
      <x:c r="L105" s="3" t="inlineStr">
        <x:is>
          <x:t xml:space="preserve">LEG_STRICT</x:t>
        </x:is>
      </x:c>
      <x:c r="M105" s="3" t="n">
        <x:v>1</x:v>
      </x:c>
      <x:c r="N105" s="3" t="n"/>
      <x:c r="O105" s="3" t="n"/>
      <x:c r="P105" s="3" t="inlineStr">
        <x:is>
          <x:t xml:space="preserve">EXCO-D3-Q06-A3</x:t>
        </x:is>
      </x:c>
      <x:c r="Q105" s="3" t="n">
        <x:v>4</x:v>
      </x:c>
      <x:c r="R105" s="3" t="inlineStr">
        <x:is>
          <x:t xml:space="preserve">We have defined retention and know primary storage regions, but auditing is limited.</x:t>
        </x:is>
      </x:c>
      <x:c r="S105" s="3" t="n">
        <x:v>2</x:v>
      </x:c>
      <x:c r="T105" s="3" t="inlineStr">
        <x:is>
          <x:t xml:space="preserve">partial_maturity</x:t>
        </x:is>
      </x:c>
      <x:c r="U105" s="3" t="inlineStr">
        <x:is>
          <x:t xml:space="preserve"/>
        </x:is>
      </x:c>
      <x:c r="V105" s="3" t="inlineStr">
        <x:is>
          <x:t xml:space="preserve">Improve_Auditability</x:t>
        </x:is>
      </x:c>
      <x:c r="W105" s="3" t="inlineStr">
        <x:is>
          <x:t xml:space="preserve">N</x:t>
        </x:is>
      </x:c>
      <x:c r="X105" s="3" t="inlineStr">
        <x:is>
          <x:t xml:space="preserve"/>
        </x:is>
      </x:c>
      <x:c r="Y105" s="6">
        <x:f>(S105*IF(E105="G",F105,0))+(S105*IF(G105="G",H105,0))</x:f>
      </x:c>
      <x:c r="Z105" s="6">
        <x:f>(S105*IF(E105="E",F105,0))+(S105*IF(G105="E",H105,0))</x:f>
      </x:c>
      <x:c r="AA105" s="6">
        <x:f>(S105*IF(E105="T",F105,0))+(S105*IF(G105="T",H105,0))</x:f>
      </x:c>
      <x:c r="AB105" s="6">
        <x:f>(S105*IF(E105="L",F105,0))+(S105*IF(G105="L",H105,0))</x:f>
      </x:c>
      <x:c r="AC105" s="6">
        <x:f>(S105*IF(E105="H",F105,0))+(S105*IF(G105="H",H105,0))</x:f>
      </x:c>
      <x:c r="AD105" s="6">
        <x:f>(S105*IF(E105="V",F105,0))+(S105*IF(G105="V",H105,0))</x:f>
      </x:c>
      <x:c r="AE105" s="6">
        <x:f>(S105*IF(E105="R",F105,0))+(S105*IF(G105="R",H105,0))</x:f>
      </x:c>
      <x:c r="AF105" s="6">
        <x:f>(S105*IF(E105="F",F105,0))+(S105*IF(G105="F",H105,0))</x:f>
      </x:c>
      <x:c r="AG105" s="6">
        <x:f>(S105*IF(E105="W",F105,0))+(S105*IF(G105="W",H105,0))</x:f>
      </x:c>
    </x:row>
    <x:row r="106">
      <x:c r="A106" s="3" t="inlineStr">
        <x:is>
          <x:t xml:space="preserve">Executive</x:t>
        </x:is>
      </x:c>
      <x:c r="B106" s="3" t="inlineStr">
        <x:is>
          <x:t xml:space="preserve">EXCO-D3-Q06</x:t>
        </x:is>
      </x:c>
      <x:c r="C106" s="3" t="inlineStr">
        <x:is>
          <x:t xml:space="preserve">T2</x:t>
        </x:is>
      </x:c>
      <x:c r="D106" s="3" t="inlineStr">
        <x:is>
          <x:t xml:space="preserve">3. Legal &amp; Ethics</x:t>
        </x:is>
      </x:c>
      <x:c r="E106" s="3" t="inlineStr">
        <x:is>
          <x:t xml:space="preserve">L</x:t>
        </x:is>
      </x:c>
      <x:c r="F106" s="3" t="n">
        <x:v>1</x:v>
      </x:c>
      <x:c r="G106" s="3" t="inlineStr">
        <x:is>
          <x:t xml:space="preserve">-</x:t>
        </x:is>
      </x:c>
      <x:c r="H106" s="3" t="inlineStr">
        <x:is>
          <x:t xml:space="preserve"/>
        </x:is>
      </x:c>
      <x:c r="I106" s="3" t="inlineStr">
        <x:is>
          <x:t xml:space="preserve">Do we control where monitoring data is stored and how long it is kept (including cross-border restrictions where relevant)?</x:t>
        </x:is>
      </x:c>
      <x:c r="J106" s="3" t="inlineStr">
        <x:is>
          <x:t xml:space="preserve">This is about data residency/sovereignty, retention schedules, and access auditing.</x:t>
        </x:is>
      </x:c>
      <x:c r="K106" s="3" t="inlineStr">
        <x:is>
          <x:t xml:space="preserve">Drill-down; next=EXCO-D4-Q01</x:t>
        </x:is>
      </x:c>
      <x:c r="L106" s="3" t="inlineStr">
        <x:is>
          <x:t xml:space="preserve">LEG_STRICT</x:t>
        </x:is>
      </x:c>
      <x:c r="M106" s="3" t="n">
        <x:v>1</x:v>
      </x:c>
      <x:c r="N106" s="3" t="n"/>
      <x:c r="O106" s="3" t="n"/>
      <x:c r="P106" s="3" t="inlineStr">
        <x:is>
          <x:t xml:space="preserve">EXCO-D3-Q06-A4</x:t>
        </x:is>
      </x:c>
      <x:c r="Q106" s="3" t="n">
        <x:v>5</x:v>
      </x:c>
      <x:c r="R106" s="3" t="inlineStr">
        <x:is>
          <x:t xml:space="preserve">Retention, access, and storage locations are controlled and reviewed; exceptions are approved.</x:t>
        </x:is>
      </x:c>
      <x:c r="S106" s="3" t="n">
        <x:v>3</x:v>
      </x:c>
      <x:c r="T106" s="3" t="inlineStr">
        <x:is>
          <x:t xml:space="preserve">good_practice</x:t>
        </x:is>
      </x:c>
      <x:c r="U106" s="3" t="inlineStr">
        <x:is>
          <x:t xml:space="preserve"/>
        </x:is>
      </x:c>
      <x:c r="V106" s="3" t="inlineStr">
        <x:is>
          <x:t xml:space="preserve">Request_Evidence</x:t>
        </x:is>
      </x:c>
      <x:c r="W106" s="3" t="inlineStr">
        <x:is>
          <x:t xml:space="preserve">Y</x:t>
        </x:is>
      </x:c>
      <x:c r="X106" s="3" t="inlineStr">
        <x:is>
          <x:t xml:space="preserve"/>
        </x:is>
      </x:c>
      <x:c r="Y106" s="6">
        <x:f>(S106*IF(E106="G",F106,0))+(S106*IF(G106="G",H106,0))</x:f>
      </x:c>
      <x:c r="Z106" s="6">
        <x:f>(S106*IF(E106="E",F106,0))+(S106*IF(G106="E",H106,0))</x:f>
      </x:c>
      <x:c r="AA106" s="6">
        <x:f>(S106*IF(E106="T",F106,0))+(S106*IF(G106="T",H106,0))</x:f>
      </x:c>
      <x:c r="AB106" s="6">
        <x:f>(S106*IF(E106="L",F106,0))+(S106*IF(G106="L",H106,0))</x:f>
      </x:c>
      <x:c r="AC106" s="6">
        <x:f>(S106*IF(E106="H",F106,0))+(S106*IF(G106="H",H106,0))</x:f>
      </x:c>
      <x:c r="AD106" s="6">
        <x:f>(S106*IF(E106="V",F106,0))+(S106*IF(G106="V",H106,0))</x:f>
      </x:c>
      <x:c r="AE106" s="6">
        <x:f>(S106*IF(E106="R",F106,0))+(S106*IF(G106="R",H106,0))</x:f>
      </x:c>
      <x:c r="AF106" s="6">
        <x:f>(S106*IF(E106="F",F106,0))+(S106*IF(G106="F",H106,0))</x:f>
      </x:c>
      <x:c r="AG106" s="6">
        <x:f>(S106*IF(E106="W",F106,0))+(S106*IF(G106="W",H106,0))</x:f>
      </x:c>
    </x:row>
    <x:row r="107">
      <x:c r="A107" s="3" t="inlineStr">
        <x:is>
          <x:t xml:space="preserve">Executive</x:t>
        </x:is>
      </x:c>
      <x:c r="B107" s="3" t="inlineStr">
        <x:is>
          <x:t xml:space="preserve">EXCO-D3-Q06</x:t>
        </x:is>
      </x:c>
      <x:c r="C107" s="3" t="inlineStr">
        <x:is>
          <x:t xml:space="preserve">T2</x:t>
        </x:is>
      </x:c>
      <x:c r="D107" s="3" t="inlineStr">
        <x:is>
          <x:t xml:space="preserve">3. Legal &amp; Ethics</x:t>
        </x:is>
      </x:c>
      <x:c r="E107" s="3" t="inlineStr">
        <x:is>
          <x:t xml:space="preserve">L</x:t>
        </x:is>
      </x:c>
      <x:c r="F107" s="3" t="n">
        <x:v>1</x:v>
      </x:c>
      <x:c r="G107" s="3" t="inlineStr">
        <x:is>
          <x:t xml:space="preserve">-</x:t>
        </x:is>
      </x:c>
      <x:c r="H107" s="3" t="inlineStr">
        <x:is>
          <x:t xml:space="preserve"/>
        </x:is>
      </x:c>
      <x:c r="I107" s="3" t="inlineStr">
        <x:is>
          <x:t xml:space="preserve">Do we control where monitoring data is stored and how long it is kept (including cross-border restrictions where relevant)?</x:t>
        </x:is>
      </x:c>
      <x:c r="J107" s="3" t="inlineStr">
        <x:is>
          <x:t xml:space="preserve">This is about data residency/sovereignty, retention schedules, and access auditing.</x:t>
        </x:is>
      </x:c>
      <x:c r="K107" s="3" t="inlineStr">
        <x:is>
          <x:t xml:space="preserve">Drill-down; next=EXCO-D4-Q01</x:t>
        </x:is>
      </x:c>
      <x:c r="L107" s="3" t="inlineStr">
        <x:is>
          <x:t xml:space="preserve">LEG_STRICT</x:t>
        </x:is>
      </x:c>
      <x:c r="M107" s="3" t="n">
        <x:v>1</x:v>
      </x:c>
      <x:c r="N107" s="3" t="n"/>
      <x:c r="O107" s="3" t="n"/>
      <x:c r="P107" s="3" t="inlineStr">
        <x:is>
          <x:t xml:space="preserve">EXCO-D3-Q06-A5</x:t>
        </x:is>
      </x:c>
      <x:c r="Q107" s="3" t="n">
        <x:v>6</x:v>
      </x:c>
      <x:c r="R107" s="3" t="inlineStr">
        <x:is>
          <x:t xml:space="preserve">Automated controls (geo-fencing/region controls) with audits and reporting.</x:t>
        </x:is>
      </x:c>
      <x:c r="S107" s="3" t="n">
        <x:v>4</x:v>
      </x:c>
      <x:c r="T107" s="3" t="inlineStr">
        <x:is>
          <x:t xml:space="preserve">optimized</x:t>
        </x:is>
      </x:c>
      <x:c r="U107" s="3" t="inlineStr">
        <x:is>
          <x:t xml:space="preserve"/>
        </x:is>
      </x:c>
      <x:c r="V107" s="3" t="inlineStr">
        <x:is>
          <x:t xml:space="preserve">Request_Evidence</x:t>
        </x:is>
      </x:c>
      <x:c r="W107" s="3" t="inlineStr">
        <x:is>
          <x:t xml:space="preserve">Y</x:t>
        </x:is>
      </x:c>
      <x:c r="X107" s="3" t="inlineStr">
        <x:is>
          <x:t xml:space="preserve"/>
        </x:is>
      </x:c>
      <x:c r="Y107" s="6">
        <x:f>(S107*IF(E107="G",F107,0))+(S107*IF(G107="G",H107,0))</x:f>
      </x:c>
      <x:c r="Z107" s="6">
        <x:f>(S107*IF(E107="E",F107,0))+(S107*IF(G107="E",H107,0))</x:f>
      </x:c>
      <x:c r="AA107" s="6">
        <x:f>(S107*IF(E107="T",F107,0))+(S107*IF(G107="T",H107,0))</x:f>
      </x:c>
      <x:c r="AB107" s="6">
        <x:f>(S107*IF(E107="L",F107,0))+(S107*IF(G107="L",H107,0))</x:f>
      </x:c>
      <x:c r="AC107" s="6">
        <x:f>(S107*IF(E107="H",F107,0))+(S107*IF(G107="H",H107,0))</x:f>
      </x:c>
      <x:c r="AD107" s="6">
        <x:f>(S107*IF(E107="V",F107,0))+(S107*IF(G107="V",H107,0))</x:f>
      </x:c>
      <x:c r="AE107" s="6">
        <x:f>(S107*IF(E107="R",F107,0))+(S107*IF(G107="R",H107,0))</x:f>
      </x:c>
      <x:c r="AF107" s="6">
        <x:f>(S107*IF(E107="F",F107,0))+(S107*IF(G107="F",H107,0))</x:f>
      </x:c>
      <x:c r="AG107" s="6">
        <x:f>(S107*IF(E107="W",F107,0))+(S107*IF(G107="W",H107,0))</x:f>
      </x:c>
    </x:row>
    <x:row r="108">
      <x:c r="A108" s="3" t="inlineStr">
        <x:is>
          <x:t xml:space="preserve">Executive</x:t>
        </x:is>
      </x:c>
      <x:c r="B108" s="3" t="inlineStr">
        <x:is>
          <x:t xml:space="preserve">EXCO-D4-Q01</x:t>
        </x:is>
      </x:c>
      <x:c r="C108" s="3" t="inlineStr">
        <x:is>
          <x:t xml:space="preserve">T1</x:t>
        </x:is>
      </x:c>
      <x:c r="D108" s="3" t="inlineStr">
        <x:is>
          <x:t xml:space="preserve">4. People &amp; Culture</x:t>
        </x:is>
      </x:c>
      <x:c r="E108" s="3" t="inlineStr">
        <x:is>
          <x:t xml:space="preserve">H</x:t>
        </x:is>
      </x:c>
      <x:c r="F108" s="3" t="n">
        <x:v>1</x:v>
      </x:c>
      <x:c r="G108" s="3" t="inlineStr">
        <x:is>
          <x:t xml:space="preserve">-</x:t>
        </x:is>
      </x:c>
      <x:c r="H108" s="3" t="inlineStr">
        <x:is>
          <x:t xml:space="preserve"/>
        </x:is>
      </x:c>
      <x:c r="I108" s="3" t="inlineStr">
        <x:is>
          <x:t xml:space="preserve">How safe do people feel to raise concerns about risky behaviour (including reporting a peer or manager)?</x:t>
        </x:is>
      </x:c>
      <x:c r="J108" s="3" t="inlineStr">
        <x:is>
          <x:t xml:space="preserve">Consider retaliation risk, confidentiality, and whether reports are handled fairly and consistently.</x:t>
        </x:is>
      </x:c>
      <x:c r="K108" s="3" t="inlineStr">
        <x:is>
          <x:t xml:space="preserve">Gatekeeper; if BaseScore&lt;2 -&gt; next=EXCO-D4-Q02; else next=EXCO-D4-Q03</x:t>
        </x:is>
      </x:c>
      <x:c r="L108" s="3" t="inlineStr">
        <x:is>
          <x:t xml:space="preserve">CULT_SOFT</x:t>
        </x:is>
      </x:c>
      <x:c r="M108" s="3" t="n">
        <x:v>1</x:v>
      </x:c>
      <x:c r="N108" s="3" t="n"/>
      <x:c r="O108" s="3" t="n"/>
      <x:c r="P108" s="3" t="inlineStr">
        <x:is>
          <x:t xml:space="preserve">EXCO-D4-Q01-A0</x:t>
        </x:is>
      </x:c>
      <x:c r="Q108" s="3" t="n">
        <x:v>1</x:v>
      </x:c>
      <x:c r="R108" s="3" t="inlineStr">
        <x:is>
          <x:t xml:space="preserve">I don’t know / not sure.</x:t>
        </x:is>
      </x:c>
      <x:c r="S108" s="3" t="n">
        <x:v>0</x:v>
      </x:c>
      <x:c r="T108" s="3" t="inlineStr">
        <x:is>
          <x:t xml:space="preserve">unknown</x:t>
        </x:is>
      </x:c>
      <x:c r="U108" s="3" t="inlineStr">
        <x:is>
          <x:t xml:space="preserve">Unknown</x:t>
        </x:is>
      </x:c>
      <x:c r="V108" s="3" t="inlineStr">
        <x:is>
          <x:t xml:space="preserve">Culture_Diagnostics</x:t>
        </x:is>
      </x:c>
      <x:c r="W108" s="3" t="inlineStr">
        <x:is>
          <x:t xml:space="preserve">N</x:t>
        </x:is>
      </x:c>
      <x:c r="X108" s="3" t="inlineStr">
        <x:is>
          <x:t xml:space="preserve"/>
        </x:is>
      </x:c>
      <x:c r="Y108" s="6">
        <x:f>(S108*IF(E108="G",F108,0))+(S108*IF(G108="G",H108,0))</x:f>
      </x:c>
      <x:c r="Z108" s="6">
        <x:f>(S108*IF(E108="E",F108,0))+(S108*IF(G108="E",H108,0))</x:f>
      </x:c>
      <x:c r="AA108" s="6">
        <x:f>(S108*IF(E108="T",F108,0))+(S108*IF(G108="T",H108,0))</x:f>
      </x:c>
      <x:c r="AB108" s="6">
        <x:f>(S108*IF(E108="L",F108,0))+(S108*IF(G108="L",H108,0))</x:f>
      </x:c>
      <x:c r="AC108" s="6">
        <x:f>(S108*IF(E108="H",F108,0))+(S108*IF(G108="H",H108,0))</x:f>
      </x:c>
      <x:c r="AD108" s="6">
        <x:f>(S108*IF(E108="V",F108,0))+(S108*IF(G108="V",H108,0))</x:f>
      </x:c>
      <x:c r="AE108" s="6">
        <x:f>(S108*IF(E108="R",F108,0))+(S108*IF(G108="R",H108,0))</x:f>
      </x:c>
      <x:c r="AF108" s="6">
        <x:f>(S108*IF(E108="F",F108,0))+(S108*IF(G108="F",H108,0))</x:f>
      </x:c>
      <x:c r="AG108" s="6">
        <x:f>(S108*IF(E108="W",F108,0))+(S108*IF(G108="W",H108,0))</x:f>
      </x:c>
    </x:row>
    <x:row r="109">
      <x:c r="A109" s="3" t="inlineStr">
        <x:is>
          <x:t xml:space="preserve">Executive</x:t>
        </x:is>
      </x:c>
      <x:c r="B109" s="3" t="inlineStr">
        <x:is>
          <x:t xml:space="preserve">EXCO-D4-Q01</x:t>
        </x:is>
      </x:c>
      <x:c r="C109" s="3" t="inlineStr">
        <x:is>
          <x:t xml:space="preserve">T1</x:t>
        </x:is>
      </x:c>
      <x:c r="D109" s="3" t="inlineStr">
        <x:is>
          <x:t xml:space="preserve">4. People &amp; Culture</x:t>
        </x:is>
      </x:c>
      <x:c r="E109" s="3" t="inlineStr">
        <x:is>
          <x:t xml:space="preserve">H</x:t>
        </x:is>
      </x:c>
      <x:c r="F109" s="3" t="n">
        <x:v>1</x:v>
      </x:c>
      <x:c r="G109" s="3" t="inlineStr">
        <x:is>
          <x:t xml:space="preserve">-</x:t>
        </x:is>
      </x:c>
      <x:c r="H109" s="3" t="inlineStr">
        <x:is>
          <x:t xml:space="preserve"/>
        </x:is>
      </x:c>
      <x:c r="I109" s="3" t="inlineStr">
        <x:is>
          <x:t xml:space="preserve">How safe do people feel to raise concerns about risky behaviour (including reporting a peer or manager)?</x:t>
        </x:is>
      </x:c>
      <x:c r="J109" s="3" t="inlineStr">
        <x:is>
          <x:t xml:space="preserve">Consider retaliation risk, confidentiality, and whether reports are handled fairly and consistently.</x:t>
        </x:is>
      </x:c>
      <x:c r="K109" s="3" t="inlineStr">
        <x:is>
          <x:t xml:space="preserve">Gatekeeper; if BaseScore&lt;2 -&gt; next=EXCO-D4-Q02; else next=EXCO-D4-Q03</x:t>
        </x:is>
      </x:c>
      <x:c r="L109" s="3" t="inlineStr">
        <x:is>
          <x:t xml:space="preserve">CULT_SOFT</x:t>
        </x:is>
      </x:c>
      <x:c r="M109" s="3" t="n">
        <x:v>1</x:v>
      </x:c>
      <x:c r="N109" s="3" t="n"/>
      <x:c r="O109" s="3" t="n"/>
      <x:c r="P109" s="3" t="inlineStr">
        <x:is>
          <x:t xml:space="preserve">EXCO-D4-Q01-A1</x:t>
        </x:is>
      </x:c>
      <x:c r="Q109" s="3" t="n">
        <x:v>2</x:v>
      </x:c>
      <x:c r="R109" s="3" t="inlineStr">
        <x:is>
          <x:t xml:space="preserve">Unsafe—people fear retaliation or being labelled a troublemaker.</x:t>
        </x:is>
      </x:c>
      <x:c r="S109" s="3" t="n">
        <x:v>0</x:v>
      </x:c>
      <x:c r="T109" s="3" t="inlineStr">
        <x:is>
          <x:t xml:space="preserve">culture_risk,toxic_enforcer_signal</x:t>
        </x:is>
      </x:c>
      <x:c r="U109" s="3" t="inlineStr">
        <x:is>
          <x:t xml:space="preserve">Culture Risk</x:t>
        </x:is>
      </x:c>
      <x:c r="V109" s="3" t="inlineStr">
        <x:is>
          <x:t xml:space="preserve">Culture_Workshop</x:t>
        </x:is>
      </x:c>
      <x:c r="W109" s="3" t="inlineStr">
        <x:is>
          <x:t xml:space="preserve">N</x:t>
        </x:is>
      </x:c>
      <x:c r="X109" s="3" t="inlineStr">
        <x:is>
          <x:t xml:space="preserve"/>
        </x:is>
      </x:c>
      <x:c r="Y109" s="6">
        <x:f>(S109*IF(E109="G",F109,0))+(S109*IF(G109="G",H109,0))</x:f>
      </x:c>
      <x:c r="Z109" s="6">
        <x:f>(S109*IF(E109="E",F109,0))+(S109*IF(G109="E",H109,0))</x:f>
      </x:c>
      <x:c r="AA109" s="6">
        <x:f>(S109*IF(E109="T",F109,0))+(S109*IF(G109="T",H109,0))</x:f>
      </x:c>
      <x:c r="AB109" s="6">
        <x:f>(S109*IF(E109="L",F109,0))+(S109*IF(G109="L",H109,0))</x:f>
      </x:c>
      <x:c r="AC109" s="6">
        <x:f>(S109*IF(E109="H",F109,0))+(S109*IF(G109="H",H109,0))</x:f>
      </x:c>
      <x:c r="AD109" s="6">
        <x:f>(S109*IF(E109="V",F109,0))+(S109*IF(G109="V",H109,0))</x:f>
      </x:c>
      <x:c r="AE109" s="6">
        <x:f>(S109*IF(E109="R",F109,0))+(S109*IF(G109="R",H109,0))</x:f>
      </x:c>
      <x:c r="AF109" s="6">
        <x:f>(S109*IF(E109="F",F109,0))+(S109*IF(G109="F",H109,0))</x:f>
      </x:c>
      <x:c r="AG109" s="6">
        <x:f>(S109*IF(E109="W",F109,0))+(S109*IF(G109="W",H109,0))</x:f>
      </x:c>
    </x:row>
    <x:row r="110">
      <x:c r="A110" s="3" t="inlineStr">
        <x:is>
          <x:t xml:space="preserve">Executive</x:t>
        </x:is>
      </x:c>
      <x:c r="B110" s="3" t="inlineStr">
        <x:is>
          <x:t xml:space="preserve">EXCO-D4-Q01</x:t>
        </x:is>
      </x:c>
      <x:c r="C110" s="3" t="inlineStr">
        <x:is>
          <x:t xml:space="preserve">T1</x:t>
        </x:is>
      </x:c>
      <x:c r="D110" s="3" t="inlineStr">
        <x:is>
          <x:t xml:space="preserve">4. People &amp; Culture</x:t>
        </x:is>
      </x:c>
      <x:c r="E110" s="3" t="inlineStr">
        <x:is>
          <x:t xml:space="preserve">H</x:t>
        </x:is>
      </x:c>
      <x:c r="F110" s="3" t="n">
        <x:v>1</x:v>
      </x:c>
      <x:c r="G110" s="3" t="inlineStr">
        <x:is>
          <x:t xml:space="preserve">-</x:t>
        </x:is>
      </x:c>
      <x:c r="H110" s="3" t="inlineStr">
        <x:is>
          <x:t xml:space="preserve"/>
        </x:is>
      </x:c>
      <x:c r="I110" s="3" t="inlineStr">
        <x:is>
          <x:t xml:space="preserve">How safe do people feel to raise concerns about risky behaviour (including reporting a peer or manager)?</x:t>
        </x:is>
      </x:c>
      <x:c r="J110" s="3" t="inlineStr">
        <x:is>
          <x:t xml:space="preserve">Consider retaliation risk, confidentiality, and whether reports are handled fairly and consistently.</x:t>
        </x:is>
      </x:c>
      <x:c r="K110" s="3" t="inlineStr">
        <x:is>
          <x:t xml:space="preserve">Gatekeeper; if BaseScore&lt;2 -&gt; next=EXCO-D4-Q02; else next=EXCO-D4-Q03</x:t>
        </x:is>
      </x:c>
      <x:c r="L110" s="3" t="inlineStr">
        <x:is>
          <x:t xml:space="preserve">CULT_SOFT</x:t>
        </x:is>
      </x:c>
      <x:c r="M110" s="3" t="n">
        <x:v>1</x:v>
      </x:c>
      <x:c r="N110" s="3" t="n"/>
      <x:c r="O110" s="3" t="n"/>
      <x:c r="P110" s="3" t="inlineStr">
        <x:is>
          <x:t xml:space="preserve">EXCO-D4-Q01-A2</x:t>
        </x:is>
      </x:c>
      <x:c r="Q110" s="3" t="n">
        <x:v>3</x:v>
      </x:c>
      <x:c r="R110" s="3" t="inlineStr">
        <x:is>
          <x:t xml:space="preserve">Some people report issues informally to trusted managers; outcomes depend on who you are.</x:t>
        </x:is>
      </x:c>
      <x:c r="S110" s="3" t="n">
        <x:v>1</x:v>
      </x:c>
      <x:c r="T110" s="3" t="inlineStr">
        <x:is>
          <x:t xml:space="preserve">informal_only</x:t>
        </x:is>
      </x:c>
      <x:c r="U110" s="3" t="inlineStr">
        <x:is>
          <x:t xml:space="preserve">Operating Model Gap</x:t>
        </x:is>
      </x:c>
      <x:c r="V110" s="3" t="inlineStr">
        <x:is>
          <x:t xml:space="preserve">Strengthen_SpeakUp</x:t>
        </x:is>
      </x:c>
      <x:c r="W110" s="3" t="inlineStr">
        <x:is>
          <x:t xml:space="preserve">N</x:t>
        </x:is>
      </x:c>
      <x:c r="X110" s="3" t="inlineStr">
        <x:is>
          <x:t xml:space="preserve"/>
        </x:is>
      </x:c>
      <x:c r="Y110" s="6">
        <x:f>(S110*IF(E110="G",F110,0))+(S110*IF(G110="G",H110,0))</x:f>
      </x:c>
      <x:c r="Z110" s="6">
        <x:f>(S110*IF(E110="E",F110,0))+(S110*IF(G110="E",H110,0))</x:f>
      </x:c>
      <x:c r="AA110" s="6">
        <x:f>(S110*IF(E110="T",F110,0))+(S110*IF(G110="T",H110,0))</x:f>
      </x:c>
      <x:c r="AB110" s="6">
        <x:f>(S110*IF(E110="L",F110,0))+(S110*IF(G110="L",H110,0))</x:f>
      </x:c>
      <x:c r="AC110" s="6">
        <x:f>(S110*IF(E110="H",F110,0))+(S110*IF(G110="H",H110,0))</x:f>
      </x:c>
      <x:c r="AD110" s="6">
        <x:f>(S110*IF(E110="V",F110,0))+(S110*IF(G110="V",H110,0))</x:f>
      </x:c>
      <x:c r="AE110" s="6">
        <x:f>(S110*IF(E110="R",F110,0))+(S110*IF(G110="R",H110,0))</x:f>
      </x:c>
      <x:c r="AF110" s="6">
        <x:f>(S110*IF(E110="F",F110,0))+(S110*IF(G110="F",H110,0))</x:f>
      </x:c>
      <x:c r="AG110" s="6">
        <x:f>(S110*IF(E110="W",F110,0))+(S110*IF(G110="W",H110,0))</x:f>
      </x:c>
    </x:row>
    <x:row r="111">
      <x:c r="A111" s="3" t="inlineStr">
        <x:is>
          <x:t xml:space="preserve">Executive</x:t>
        </x:is>
      </x:c>
      <x:c r="B111" s="3" t="inlineStr">
        <x:is>
          <x:t xml:space="preserve">EXCO-D4-Q01</x:t>
        </x:is>
      </x:c>
      <x:c r="C111" s="3" t="inlineStr">
        <x:is>
          <x:t xml:space="preserve">T1</x:t>
        </x:is>
      </x:c>
      <x:c r="D111" s="3" t="inlineStr">
        <x:is>
          <x:t xml:space="preserve">4. People &amp; Culture</x:t>
        </x:is>
      </x:c>
      <x:c r="E111" s="3" t="inlineStr">
        <x:is>
          <x:t xml:space="preserve">H</x:t>
        </x:is>
      </x:c>
      <x:c r="F111" s="3" t="n">
        <x:v>1</x:v>
      </x:c>
      <x:c r="G111" s="3" t="inlineStr">
        <x:is>
          <x:t xml:space="preserve">-</x:t>
        </x:is>
      </x:c>
      <x:c r="H111" s="3" t="inlineStr">
        <x:is>
          <x:t xml:space="preserve"/>
        </x:is>
      </x:c>
      <x:c r="I111" s="3" t="inlineStr">
        <x:is>
          <x:t xml:space="preserve">How safe do people feel to raise concerns about risky behaviour (including reporting a peer or manager)?</x:t>
        </x:is>
      </x:c>
      <x:c r="J111" s="3" t="inlineStr">
        <x:is>
          <x:t xml:space="preserve">Consider retaliation risk, confidentiality, and whether reports are handled fairly and consistently.</x:t>
        </x:is>
      </x:c>
      <x:c r="K111" s="3" t="inlineStr">
        <x:is>
          <x:t xml:space="preserve">Gatekeeper; if BaseScore&lt;2 -&gt; next=EXCO-D4-Q02; else next=EXCO-D4-Q03</x:t>
        </x:is>
      </x:c>
      <x:c r="L111" s="3" t="inlineStr">
        <x:is>
          <x:t xml:space="preserve">CULT_SOFT</x:t>
        </x:is>
      </x:c>
      <x:c r="M111" s="3" t="n">
        <x:v>1</x:v>
      </x:c>
      <x:c r="N111" s="3" t="n"/>
      <x:c r="O111" s="3" t="n"/>
      <x:c r="P111" s="3" t="inlineStr">
        <x:is>
          <x:t xml:space="preserve">EXCO-D4-Q01-A3</x:t>
        </x:is>
      </x:c>
      <x:c r="Q111" s="3" t="n">
        <x:v>4</x:v>
      </x:c>
      <x:c r="R111" s="3" t="inlineStr">
        <x:is>
          <x:t xml:space="preserve">We have formal channels (hotline/HR), but people don’t trust them or rarely use them.</x:t>
        </x:is>
      </x:c>
      <x:c r="S111" s="3" t="n">
        <x:v>2</x:v>
      </x:c>
      <x:c r="T111" s="3" t="inlineStr">
        <x:is>
          <x:t xml:space="preserve">paper_process</x:t>
        </x:is>
      </x:c>
      <x:c r="U111" s="3" t="inlineStr">
        <x:is>
          <x:t xml:space="preserve">Paper Dragon</x:t>
        </x:is>
      </x:c>
      <x:c r="V111" s="3" t="inlineStr">
        <x:is>
          <x:t xml:space="preserve">Improve_SpeakUp_System</x:t>
        </x:is>
      </x:c>
      <x:c r="W111" s="3" t="inlineStr">
        <x:is>
          <x:t xml:space="preserve">N</x:t>
        </x:is>
      </x:c>
      <x:c r="X111" s="3" t="inlineStr">
        <x:is>
          <x:t xml:space="preserve"/>
        </x:is>
      </x:c>
      <x:c r="Y111" s="6">
        <x:f>(S111*IF(E111="G",F111,0))+(S111*IF(G111="G",H111,0))</x:f>
      </x:c>
      <x:c r="Z111" s="6">
        <x:f>(S111*IF(E111="E",F111,0))+(S111*IF(G111="E",H111,0))</x:f>
      </x:c>
      <x:c r="AA111" s="6">
        <x:f>(S111*IF(E111="T",F111,0))+(S111*IF(G111="T",H111,0))</x:f>
      </x:c>
      <x:c r="AB111" s="6">
        <x:f>(S111*IF(E111="L",F111,0))+(S111*IF(G111="L",H111,0))</x:f>
      </x:c>
      <x:c r="AC111" s="6">
        <x:f>(S111*IF(E111="H",F111,0))+(S111*IF(G111="H",H111,0))</x:f>
      </x:c>
      <x:c r="AD111" s="6">
        <x:f>(S111*IF(E111="V",F111,0))+(S111*IF(G111="V",H111,0))</x:f>
      </x:c>
      <x:c r="AE111" s="6">
        <x:f>(S111*IF(E111="R",F111,0))+(S111*IF(G111="R",H111,0))</x:f>
      </x:c>
      <x:c r="AF111" s="6">
        <x:f>(S111*IF(E111="F",F111,0))+(S111*IF(G111="F",H111,0))</x:f>
      </x:c>
      <x:c r="AG111" s="6">
        <x:f>(S111*IF(E111="W",F111,0))+(S111*IF(G111="W",H111,0))</x:f>
      </x:c>
    </x:row>
    <x:row r="112">
      <x:c r="A112" s="3" t="inlineStr">
        <x:is>
          <x:t xml:space="preserve">Executive</x:t>
        </x:is>
      </x:c>
      <x:c r="B112" s="3" t="inlineStr">
        <x:is>
          <x:t xml:space="preserve">EXCO-D4-Q01</x:t>
        </x:is>
      </x:c>
      <x:c r="C112" s="3" t="inlineStr">
        <x:is>
          <x:t xml:space="preserve">T1</x:t>
        </x:is>
      </x:c>
      <x:c r="D112" s="3" t="inlineStr">
        <x:is>
          <x:t xml:space="preserve">4. People &amp; Culture</x:t>
        </x:is>
      </x:c>
      <x:c r="E112" s="3" t="inlineStr">
        <x:is>
          <x:t xml:space="preserve">H</x:t>
        </x:is>
      </x:c>
      <x:c r="F112" s="3" t="n">
        <x:v>1</x:v>
      </x:c>
      <x:c r="G112" s="3" t="inlineStr">
        <x:is>
          <x:t xml:space="preserve">-</x:t>
        </x:is>
      </x:c>
      <x:c r="H112" s="3" t="inlineStr">
        <x:is>
          <x:t xml:space="preserve"/>
        </x:is>
      </x:c>
      <x:c r="I112" s="3" t="inlineStr">
        <x:is>
          <x:t xml:space="preserve">How safe do people feel to raise concerns about risky behaviour (including reporting a peer or manager)?</x:t>
        </x:is>
      </x:c>
      <x:c r="J112" s="3" t="inlineStr">
        <x:is>
          <x:t xml:space="preserve">Consider retaliation risk, confidentiality, and whether reports are handled fairly and consistently.</x:t>
        </x:is>
      </x:c>
      <x:c r="K112" s="3" t="inlineStr">
        <x:is>
          <x:t xml:space="preserve">Gatekeeper; if BaseScore&lt;2 -&gt; next=EXCO-D4-Q02; else next=EXCO-D4-Q03</x:t>
        </x:is>
      </x:c>
      <x:c r="L112" s="3" t="inlineStr">
        <x:is>
          <x:t xml:space="preserve">CULT_SOFT</x:t>
        </x:is>
      </x:c>
      <x:c r="M112" s="3" t="n">
        <x:v>1</x:v>
      </x:c>
      <x:c r="N112" s="3" t="n"/>
      <x:c r="O112" s="3" t="n"/>
      <x:c r="P112" s="3" t="inlineStr">
        <x:is>
          <x:t xml:space="preserve">EXCO-D4-Q01-A4</x:t>
        </x:is>
      </x:c>
      <x:c r="Q112" s="3" t="n">
        <x:v>5</x:v>
      </x:c>
      <x:c r="R112" s="3" t="inlineStr">
        <x:is>
          <x:t xml:space="preserve">People generally trust reporting channels; retaliation is actively prevented and investigated.</x:t>
        </x:is>
      </x:c>
      <x:c r="S112" s="3" t="n">
        <x:v>3</x:v>
      </x:c>
      <x:c r="T112" s="3" t="inlineStr">
        <x:is>
          <x:t xml:space="preserve">good_practice</x:t>
        </x:is>
      </x:c>
      <x:c r="U112" s="3" t="inlineStr">
        <x:is>
          <x:t xml:space="preserve"/>
        </x:is>
      </x:c>
      <x:c r="V112" s="3" t="inlineStr">
        <x:is>
          <x:t xml:space="preserve">Request_Evidence</x:t>
        </x:is>
      </x:c>
      <x:c r="W112" s="3" t="inlineStr">
        <x:is>
          <x:t xml:space="preserve">Y</x:t>
        </x:is>
      </x:c>
      <x:c r="X112" s="3" t="inlineStr">
        <x:is>
          <x:t xml:space="preserve">Provide policy/metrics: number of reports, time to respond, retaliation cases.</x:t>
        </x:is>
      </x:c>
      <x:c r="Y112" s="6">
        <x:f>(S112*IF(E112="G",F112,0))+(S112*IF(G112="G",H112,0))</x:f>
      </x:c>
      <x:c r="Z112" s="6">
        <x:f>(S112*IF(E112="E",F112,0))+(S112*IF(G112="E",H112,0))</x:f>
      </x:c>
      <x:c r="AA112" s="6">
        <x:f>(S112*IF(E112="T",F112,0))+(S112*IF(G112="T",H112,0))</x:f>
      </x:c>
      <x:c r="AB112" s="6">
        <x:f>(S112*IF(E112="L",F112,0))+(S112*IF(G112="L",H112,0))</x:f>
      </x:c>
      <x:c r="AC112" s="6">
        <x:f>(S112*IF(E112="H",F112,0))+(S112*IF(G112="H",H112,0))</x:f>
      </x:c>
      <x:c r="AD112" s="6">
        <x:f>(S112*IF(E112="V",F112,0))+(S112*IF(G112="V",H112,0))</x:f>
      </x:c>
      <x:c r="AE112" s="6">
        <x:f>(S112*IF(E112="R",F112,0))+(S112*IF(G112="R",H112,0))</x:f>
      </x:c>
      <x:c r="AF112" s="6">
        <x:f>(S112*IF(E112="F",F112,0))+(S112*IF(G112="F",H112,0))</x:f>
      </x:c>
      <x:c r="AG112" s="6">
        <x:f>(S112*IF(E112="W",F112,0))+(S112*IF(G112="W",H112,0))</x:f>
      </x:c>
    </x:row>
    <x:row r="113">
      <x:c r="A113" s="3" t="inlineStr">
        <x:is>
          <x:t xml:space="preserve">Executive</x:t>
        </x:is>
      </x:c>
      <x:c r="B113" s="3" t="inlineStr">
        <x:is>
          <x:t xml:space="preserve">EXCO-D4-Q01</x:t>
        </x:is>
      </x:c>
      <x:c r="C113" s="3" t="inlineStr">
        <x:is>
          <x:t xml:space="preserve">T1</x:t>
        </x:is>
      </x:c>
      <x:c r="D113" s="3" t="inlineStr">
        <x:is>
          <x:t xml:space="preserve">4. People &amp; Culture</x:t>
        </x:is>
      </x:c>
      <x:c r="E113" s="3" t="inlineStr">
        <x:is>
          <x:t xml:space="preserve">H</x:t>
        </x:is>
      </x:c>
      <x:c r="F113" s="3" t="n">
        <x:v>1</x:v>
      </x:c>
      <x:c r="G113" s="3" t="inlineStr">
        <x:is>
          <x:t xml:space="preserve">-</x:t>
        </x:is>
      </x:c>
      <x:c r="H113" s="3" t="inlineStr">
        <x:is>
          <x:t xml:space="preserve"/>
        </x:is>
      </x:c>
      <x:c r="I113" s="3" t="inlineStr">
        <x:is>
          <x:t xml:space="preserve">How safe do people feel to raise concerns about risky behaviour (including reporting a peer or manager)?</x:t>
        </x:is>
      </x:c>
      <x:c r="J113" s="3" t="inlineStr">
        <x:is>
          <x:t xml:space="preserve">Consider retaliation risk, confidentiality, and whether reports are handled fairly and consistently.</x:t>
        </x:is>
      </x:c>
      <x:c r="K113" s="3" t="inlineStr">
        <x:is>
          <x:t xml:space="preserve">Gatekeeper; if BaseScore&lt;2 -&gt; next=EXCO-D4-Q02; else next=EXCO-D4-Q03</x:t>
        </x:is>
      </x:c>
      <x:c r="L113" s="3" t="inlineStr">
        <x:is>
          <x:t xml:space="preserve">CULT_SOFT</x:t>
        </x:is>
      </x:c>
      <x:c r="M113" s="3" t="n">
        <x:v>1</x:v>
      </x:c>
      <x:c r="N113" s="3" t="n"/>
      <x:c r="O113" s="3" t="n"/>
      <x:c r="P113" s="3" t="inlineStr">
        <x:is>
          <x:t xml:space="preserve">EXCO-D4-Q01-A5</x:t>
        </x:is>
      </x:c>
      <x:c r="Q113" s="3" t="n">
        <x:v>6</x:v>
      </x:c>
      <x:c r="R113" s="3" t="inlineStr">
        <x:is>
          <x:t xml:space="preserve">Speak-up is normalised; feedback loops exist and positive reporting is recognised.</x:t>
        </x:is>
      </x:c>
      <x:c r="S113" s="3" t="n">
        <x:v>4</x:v>
      </x:c>
      <x:c r="T113" s="3" t="inlineStr">
        <x:is>
          <x:t xml:space="preserve">optimized</x:t>
        </x:is>
      </x:c>
      <x:c r="U113" s="3" t="inlineStr">
        <x:is>
          <x:t xml:space="preserve"/>
        </x:is>
      </x:c>
      <x:c r="V113" s="3" t="inlineStr">
        <x:is>
          <x:t xml:space="preserve">Request_Evidence</x:t>
        </x:is>
      </x:c>
      <x:c r="W113" s="3" t="inlineStr">
        <x:is>
          <x:t xml:space="preserve">Y</x:t>
        </x:is>
      </x:c>
      <x:c r="X113" s="3" t="inlineStr">
        <x:is>
          <x:t xml:space="preserve"/>
        </x:is>
      </x:c>
      <x:c r="Y113" s="6">
        <x:f>(S113*IF(E113="G",F113,0))+(S113*IF(G113="G",H113,0))</x:f>
      </x:c>
      <x:c r="Z113" s="6">
        <x:f>(S113*IF(E113="E",F113,0))+(S113*IF(G113="E",H113,0))</x:f>
      </x:c>
      <x:c r="AA113" s="6">
        <x:f>(S113*IF(E113="T",F113,0))+(S113*IF(G113="T",H113,0))</x:f>
      </x:c>
      <x:c r="AB113" s="6">
        <x:f>(S113*IF(E113="L",F113,0))+(S113*IF(G113="L",H113,0))</x:f>
      </x:c>
      <x:c r="AC113" s="6">
        <x:f>(S113*IF(E113="H",F113,0))+(S113*IF(G113="H",H113,0))</x:f>
      </x:c>
      <x:c r="AD113" s="6">
        <x:f>(S113*IF(E113="V",F113,0))+(S113*IF(G113="V",H113,0))</x:f>
      </x:c>
      <x:c r="AE113" s="6">
        <x:f>(S113*IF(E113="R",F113,0))+(S113*IF(G113="R",H113,0))</x:f>
      </x:c>
      <x:c r="AF113" s="6">
        <x:f>(S113*IF(E113="F",F113,0))+(S113*IF(G113="F",H113,0))</x:f>
      </x:c>
      <x:c r="AG113" s="6">
        <x:f>(S113*IF(E113="W",F113,0))+(S113*IF(G113="W",H113,0))</x:f>
      </x:c>
    </x:row>
    <x:row r="114">
      <x:c r="A114" s="3" t="inlineStr">
        <x:is>
          <x:t xml:space="preserve">Executive</x:t>
        </x:is>
      </x:c>
      <x:c r="B114" s="3" t="inlineStr">
        <x:is>
          <x:t xml:space="preserve">EXCO-D4-Q02</x:t>
        </x:is>
      </x:c>
      <x:c r="C114" s="3" t="inlineStr">
        <x:is>
          <x:t xml:space="preserve">T2</x:t>
        </x:is>
      </x:c>
      <x:c r="D114" s="3" t="inlineStr">
        <x:is>
          <x:t xml:space="preserve">4. People &amp; Culture</x:t>
        </x:is>
      </x:c>
      <x:c r="E114" s="3" t="inlineStr">
        <x:is>
          <x:t xml:space="preserve">H</x:t>
        </x:is>
      </x:c>
      <x:c r="F114" s="3" t="n">
        <x:v>0.5</x:v>
      </x:c>
      <x:c r="G114" s="3" t="inlineStr">
        <x:is>
          <x:t xml:space="preserve">L</x:t>
        </x:is>
      </x:c>
      <x:c r="H114" s="3" t="n">
        <x:v>0.5</x:v>
      </x:c>
      <x:c r="I114" s="3" t="inlineStr">
        <x:is>
          <x:t xml:space="preserve">(Shadow probe) If someone feels unfairly targeted by monitoring or investigation, is there a clear appeal/review process?</x:t>
        </x:is>
      </x:c>
      <x:c r="J114" s="3" t="inlineStr">
        <x:is>
          <x:t xml:space="preserve">This checks fairness and safeguards (important for trust and legal defensibility).</x:t>
        </x:is>
      </x:c>
      <x:c r="K114" s="3" t="inlineStr">
        <x:is>
          <x:t xml:space="preserve">Shadow probe; next=EXCO-D4-Q03</x:t>
        </x:is>
      </x:c>
      <x:c r="L114" s="3" t="inlineStr">
        <x:is>
          <x:t xml:space="preserve">CULT_SOFT</x:t>
        </x:is>
      </x:c>
      <x:c r="M114" s="3" t="n">
        <x:v>1</x:v>
      </x:c>
      <x:c r="N114" s="3" t="n"/>
      <x:c r="O114" s="3" t="n"/>
      <x:c r="P114" s="3" t="inlineStr">
        <x:is>
          <x:t xml:space="preserve">EXCO-D4-Q02-A1</x:t>
        </x:is>
      </x:c>
      <x:c r="Q114" s="3" t="n">
        <x:v>1</x:v>
      </x:c>
      <x:c r="R114" s="3" t="inlineStr">
        <x:is>
          <x:t xml:space="preserve">No—security decisions are final; there is no independent review.</x:t>
        </x:is>
      </x:c>
      <x:c r="S114" s="3" t="n">
        <x:v>0</x:v>
      </x:c>
      <x:c r="T114" s="3" t="inlineStr">
        <x:is>
          <x:t xml:space="preserve">toxic_enforcer_signal,legal_red_flag</x:t>
        </x:is>
      </x:c>
      <x:c r="U114" s="3" t="inlineStr">
        <x:is>
          <x:t xml:space="preserve">Toxic Enforcer</x:t>
        </x:is>
      </x:c>
      <x:c r="V114" s="3" t="inlineStr">
        <x:is>
          <x:t xml:space="preserve">Add_Appeals_Process</x:t>
        </x:is>
      </x:c>
      <x:c r="W114" s="3" t="inlineStr">
        <x:is>
          <x:t xml:space="preserve">N</x:t>
        </x:is>
      </x:c>
      <x:c r="X114" s="3" t="inlineStr">
        <x:is>
          <x:t xml:space="preserve"/>
        </x:is>
      </x:c>
      <x:c r="Y114" s="6">
        <x:f>(S114*IF(E114="G",F114,0))+(S114*IF(G114="G",H114,0))</x:f>
      </x:c>
      <x:c r="Z114" s="6">
        <x:f>(S114*IF(E114="E",F114,0))+(S114*IF(G114="E",H114,0))</x:f>
      </x:c>
      <x:c r="AA114" s="6">
        <x:f>(S114*IF(E114="T",F114,0))+(S114*IF(G114="T",H114,0))</x:f>
      </x:c>
      <x:c r="AB114" s="6">
        <x:f>(S114*IF(E114="L",F114,0))+(S114*IF(G114="L",H114,0))</x:f>
      </x:c>
      <x:c r="AC114" s="6">
        <x:f>(S114*IF(E114="H",F114,0))+(S114*IF(G114="H",H114,0))</x:f>
      </x:c>
      <x:c r="AD114" s="6">
        <x:f>(S114*IF(E114="V",F114,0))+(S114*IF(G114="V",H114,0))</x:f>
      </x:c>
      <x:c r="AE114" s="6">
        <x:f>(S114*IF(E114="R",F114,0))+(S114*IF(G114="R",H114,0))</x:f>
      </x:c>
      <x:c r="AF114" s="6">
        <x:f>(S114*IF(E114="F",F114,0))+(S114*IF(G114="F",H114,0))</x:f>
      </x:c>
      <x:c r="AG114" s="6">
        <x:f>(S114*IF(E114="W",F114,0))+(S114*IF(G114="W",H114,0))</x:f>
      </x:c>
    </x:row>
    <x:row r="115">
      <x:c r="A115" s="3" t="inlineStr">
        <x:is>
          <x:t xml:space="preserve">Executive</x:t>
        </x:is>
      </x:c>
      <x:c r="B115" s="3" t="inlineStr">
        <x:is>
          <x:t xml:space="preserve">EXCO-D4-Q02</x:t>
        </x:is>
      </x:c>
      <x:c r="C115" s="3" t="inlineStr">
        <x:is>
          <x:t xml:space="preserve">T2</x:t>
        </x:is>
      </x:c>
      <x:c r="D115" s="3" t="inlineStr">
        <x:is>
          <x:t xml:space="preserve">4. People &amp; Culture</x:t>
        </x:is>
      </x:c>
      <x:c r="E115" s="3" t="inlineStr">
        <x:is>
          <x:t xml:space="preserve">H</x:t>
        </x:is>
      </x:c>
      <x:c r="F115" s="3" t="n">
        <x:v>0.5</x:v>
      </x:c>
      <x:c r="G115" s="3" t="inlineStr">
        <x:is>
          <x:t xml:space="preserve">L</x:t>
        </x:is>
      </x:c>
      <x:c r="H115" s="3" t="n">
        <x:v>0.5</x:v>
      </x:c>
      <x:c r="I115" s="3" t="inlineStr">
        <x:is>
          <x:t xml:space="preserve">(Shadow probe) If someone feels unfairly targeted by monitoring or investigation, is there a clear appeal/review process?</x:t>
        </x:is>
      </x:c>
      <x:c r="J115" s="3" t="inlineStr">
        <x:is>
          <x:t xml:space="preserve">This checks fairness and safeguards (important for trust and legal defensibility).</x:t>
        </x:is>
      </x:c>
      <x:c r="K115" s="3" t="inlineStr">
        <x:is>
          <x:t xml:space="preserve">Shadow probe; next=EXCO-D4-Q03</x:t>
        </x:is>
      </x:c>
      <x:c r="L115" s="3" t="inlineStr">
        <x:is>
          <x:t xml:space="preserve">CULT_SOFT</x:t>
        </x:is>
      </x:c>
      <x:c r="M115" s="3" t="n">
        <x:v>1</x:v>
      </x:c>
      <x:c r="N115" s="3" t="n"/>
      <x:c r="O115" s="3" t="n"/>
      <x:c r="P115" s="3" t="inlineStr">
        <x:is>
          <x:t xml:space="preserve">EXCO-D4-Q02-A2</x:t>
        </x:is>
      </x:c>
      <x:c r="Q115" s="3" t="n">
        <x:v>2</x:v>
      </x:c>
      <x:c r="R115" s="3" t="inlineStr">
        <x:is>
          <x:t xml:space="preserve">Only informal complaints to managers; outcomes vary.</x:t>
        </x:is>
      </x:c>
      <x:c r="S115" s="3" t="n">
        <x:v>1</x:v>
      </x:c>
      <x:c r="T115" s="3" t="inlineStr">
        <x:is>
          <x:t xml:space="preserve">inconsistent_execution</x:t>
        </x:is>
      </x:c>
      <x:c r="U115" s="3" t="inlineStr">
        <x:is>
          <x:t xml:space="preserve">Culture Risk</x:t>
        </x:is>
      </x:c>
      <x:c r="V115" s="3" t="inlineStr">
        <x:is>
          <x:t xml:space="preserve">Add_Appeals_Process</x:t>
        </x:is>
      </x:c>
      <x:c r="W115" s="3" t="inlineStr">
        <x:is>
          <x:t xml:space="preserve">N</x:t>
        </x:is>
      </x:c>
      <x:c r="X115" s="3" t="inlineStr">
        <x:is>
          <x:t xml:space="preserve"/>
        </x:is>
      </x:c>
      <x:c r="Y115" s="6">
        <x:f>(S115*IF(E115="G",F115,0))+(S115*IF(G115="G",H115,0))</x:f>
      </x:c>
      <x:c r="Z115" s="6">
        <x:f>(S115*IF(E115="E",F115,0))+(S115*IF(G115="E",H115,0))</x:f>
      </x:c>
      <x:c r="AA115" s="6">
        <x:f>(S115*IF(E115="T",F115,0))+(S115*IF(G115="T",H115,0))</x:f>
      </x:c>
      <x:c r="AB115" s="6">
        <x:f>(S115*IF(E115="L",F115,0))+(S115*IF(G115="L",H115,0))</x:f>
      </x:c>
      <x:c r="AC115" s="6">
        <x:f>(S115*IF(E115="H",F115,0))+(S115*IF(G115="H",H115,0))</x:f>
      </x:c>
      <x:c r="AD115" s="6">
        <x:f>(S115*IF(E115="V",F115,0))+(S115*IF(G115="V",H115,0))</x:f>
      </x:c>
      <x:c r="AE115" s="6">
        <x:f>(S115*IF(E115="R",F115,0))+(S115*IF(G115="R",H115,0))</x:f>
      </x:c>
      <x:c r="AF115" s="6">
        <x:f>(S115*IF(E115="F",F115,0))+(S115*IF(G115="F",H115,0))</x:f>
      </x:c>
      <x:c r="AG115" s="6">
        <x:f>(S115*IF(E115="W",F115,0))+(S115*IF(G115="W",H115,0))</x:f>
      </x:c>
    </x:row>
    <x:row r="116">
      <x:c r="A116" s="3" t="inlineStr">
        <x:is>
          <x:t xml:space="preserve">Executive</x:t>
        </x:is>
      </x:c>
      <x:c r="B116" s="3" t="inlineStr">
        <x:is>
          <x:t xml:space="preserve">EXCO-D4-Q02</x:t>
        </x:is>
      </x:c>
      <x:c r="C116" s="3" t="inlineStr">
        <x:is>
          <x:t xml:space="preserve">T2</x:t>
        </x:is>
      </x:c>
      <x:c r="D116" s="3" t="inlineStr">
        <x:is>
          <x:t xml:space="preserve">4. People &amp; Culture</x:t>
        </x:is>
      </x:c>
      <x:c r="E116" s="3" t="inlineStr">
        <x:is>
          <x:t xml:space="preserve">H</x:t>
        </x:is>
      </x:c>
      <x:c r="F116" s="3" t="n">
        <x:v>0.5</x:v>
      </x:c>
      <x:c r="G116" s="3" t="inlineStr">
        <x:is>
          <x:t xml:space="preserve">L</x:t>
        </x:is>
      </x:c>
      <x:c r="H116" s="3" t="n">
        <x:v>0.5</x:v>
      </x:c>
      <x:c r="I116" s="3" t="inlineStr">
        <x:is>
          <x:t xml:space="preserve">(Shadow probe) If someone feels unfairly targeted by monitoring or investigation, is there a clear appeal/review process?</x:t>
        </x:is>
      </x:c>
      <x:c r="J116" s="3" t="inlineStr">
        <x:is>
          <x:t xml:space="preserve">This checks fairness and safeguards (important for trust and legal defensibility).</x:t>
        </x:is>
      </x:c>
      <x:c r="K116" s="3" t="inlineStr">
        <x:is>
          <x:t xml:space="preserve">Shadow probe; next=EXCO-D4-Q03</x:t>
        </x:is>
      </x:c>
      <x:c r="L116" s="3" t="inlineStr">
        <x:is>
          <x:t xml:space="preserve">CULT_SOFT</x:t>
        </x:is>
      </x:c>
      <x:c r="M116" s="3" t="n">
        <x:v>1</x:v>
      </x:c>
      <x:c r="N116" s="3" t="n"/>
      <x:c r="O116" s="3" t="n"/>
      <x:c r="P116" s="3" t="inlineStr">
        <x:is>
          <x:t xml:space="preserve">EXCO-D4-Q02-A3</x:t>
        </x:is>
      </x:c>
      <x:c r="Q116" s="3" t="n">
        <x:v>3</x:v>
      </x:c>
      <x:c r="R116" s="3" t="inlineStr">
        <x:is>
          <x:t xml:space="preserve">There is a general HR grievance route, but it’s not designed for monitoring/investigation fairness.</x:t>
        </x:is>
      </x:c>
      <x:c r="S116" s="3" t="n">
        <x:v>2</x:v>
      </x:c>
      <x:c r="T116" s="3" t="inlineStr">
        <x:is>
          <x:t xml:space="preserve">paper_process</x:t>
        </x:is>
      </x:c>
      <x:c r="U116" s="3" t="inlineStr">
        <x:is>
          <x:t xml:space="preserve">Paper Dragon</x:t>
        </x:is>
      </x:c>
      <x:c r="V116" s="3" t="inlineStr">
        <x:is>
          <x:t xml:space="preserve">Design_Fairness_Process</x:t>
        </x:is>
      </x:c>
      <x:c r="W116" s="3" t="inlineStr">
        <x:is>
          <x:t xml:space="preserve">N</x:t>
        </x:is>
      </x:c>
      <x:c r="X116" s="3" t="inlineStr">
        <x:is>
          <x:t xml:space="preserve"/>
        </x:is>
      </x:c>
      <x:c r="Y116" s="6">
        <x:f>(S116*IF(E116="G",F116,0))+(S116*IF(G116="G",H116,0))</x:f>
      </x:c>
      <x:c r="Z116" s="6">
        <x:f>(S116*IF(E116="E",F116,0))+(S116*IF(G116="E",H116,0))</x:f>
      </x:c>
      <x:c r="AA116" s="6">
        <x:f>(S116*IF(E116="T",F116,0))+(S116*IF(G116="T",H116,0))</x:f>
      </x:c>
      <x:c r="AB116" s="6">
        <x:f>(S116*IF(E116="L",F116,0))+(S116*IF(G116="L",H116,0))</x:f>
      </x:c>
      <x:c r="AC116" s="6">
        <x:f>(S116*IF(E116="H",F116,0))+(S116*IF(G116="H",H116,0))</x:f>
      </x:c>
      <x:c r="AD116" s="6">
        <x:f>(S116*IF(E116="V",F116,0))+(S116*IF(G116="V",H116,0))</x:f>
      </x:c>
      <x:c r="AE116" s="6">
        <x:f>(S116*IF(E116="R",F116,0))+(S116*IF(G116="R",H116,0))</x:f>
      </x:c>
      <x:c r="AF116" s="6">
        <x:f>(S116*IF(E116="F",F116,0))+(S116*IF(G116="F",H116,0))</x:f>
      </x:c>
      <x:c r="AG116" s="6">
        <x:f>(S116*IF(E116="W",F116,0))+(S116*IF(G116="W",H116,0))</x:f>
      </x:c>
    </x:row>
    <x:row r="117">
      <x:c r="A117" s="3" t="inlineStr">
        <x:is>
          <x:t xml:space="preserve">Executive</x:t>
        </x:is>
      </x:c>
      <x:c r="B117" s="3" t="inlineStr">
        <x:is>
          <x:t xml:space="preserve">EXCO-D4-Q02</x:t>
        </x:is>
      </x:c>
      <x:c r="C117" s="3" t="inlineStr">
        <x:is>
          <x:t xml:space="preserve">T2</x:t>
        </x:is>
      </x:c>
      <x:c r="D117" s="3" t="inlineStr">
        <x:is>
          <x:t xml:space="preserve">4. People &amp; Culture</x:t>
        </x:is>
      </x:c>
      <x:c r="E117" s="3" t="inlineStr">
        <x:is>
          <x:t xml:space="preserve">H</x:t>
        </x:is>
      </x:c>
      <x:c r="F117" s="3" t="n">
        <x:v>0.5</x:v>
      </x:c>
      <x:c r="G117" s="3" t="inlineStr">
        <x:is>
          <x:t xml:space="preserve">L</x:t>
        </x:is>
      </x:c>
      <x:c r="H117" s="3" t="n">
        <x:v>0.5</x:v>
      </x:c>
      <x:c r="I117" s="3" t="inlineStr">
        <x:is>
          <x:t xml:space="preserve">(Shadow probe) If someone feels unfairly targeted by monitoring or investigation, is there a clear appeal/review process?</x:t>
        </x:is>
      </x:c>
      <x:c r="J117" s="3" t="inlineStr">
        <x:is>
          <x:t xml:space="preserve">This checks fairness and safeguards (important for trust and legal defensibility).</x:t>
        </x:is>
      </x:c>
      <x:c r="K117" s="3" t="inlineStr">
        <x:is>
          <x:t xml:space="preserve">Shadow probe; next=EXCO-D4-Q03</x:t>
        </x:is>
      </x:c>
      <x:c r="L117" s="3" t="inlineStr">
        <x:is>
          <x:t xml:space="preserve">CULT_SOFT</x:t>
        </x:is>
      </x:c>
      <x:c r="M117" s="3" t="n">
        <x:v>1</x:v>
      </x:c>
      <x:c r="N117" s="3" t="n"/>
      <x:c r="O117" s="3" t="n"/>
      <x:c r="P117" s="3" t="inlineStr">
        <x:is>
          <x:t xml:space="preserve">EXCO-D4-Q02-A4</x:t>
        </x:is>
      </x:c>
      <x:c r="Q117" s="3" t="n">
        <x:v>4</x:v>
      </x:c>
      <x:c r="R117" s="3" t="inlineStr">
        <x:is>
          <x:t xml:space="preserve">Independent review exists (privacy/ombuds); outcomes are documented.</x:t>
        </x:is>
      </x:c>
      <x:c r="S117" s="3" t="n">
        <x:v>3</x:v>
      </x:c>
      <x:c r="T117" s="3" t="inlineStr">
        <x:is>
          <x:t xml:space="preserve">good_practice</x:t>
        </x:is>
      </x:c>
      <x:c r="U117" s="3" t="inlineStr">
        <x:is>
          <x:t xml:space="preserve"/>
        </x:is>
      </x:c>
      <x:c r="V117" s="3" t="inlineStr">
        <x:is>
          <x:t xml:space="preserve">Request_Evidence</x:t>
        </x:is>
      </x:c>
      <x:c r="W117" s="3" t="inlineStr">
        <x:is>
          <x:t xml:space="preserve">Y</x:t>
        </x:is>
      </x:c>
      <x:c r="X117" s="3" t="inlineStr">
        <x:is>
          <x:t xml:space="preserve"/>
        </x:is>
      </x:c>
      <x:c r="Y117" s="6">
        <x:f>(S117*IF(E117="G",F117,0))+(S117*IF(G117="G",H117,0))</x:f>
      </x:c>
      <x:c r="Z117" s="6">
        <x:f>(S117*IF(E117="E",F117,0))+(S117*IF(G117="E",H117,0))</x:f>
      </x:c>
      <x:c r="AA117" s="6">
        <x:f>(S117*IF(E117="T",F117,0))+(S117*IF(G117="T",H117,0))</x:f>
      </x:c>
      <x:c r="AB117" s="6">
        <x:f>(S117*IF(E117="L",F117,0))+(S117*IF(G117="L",H117,0))</x:f>
      </x:c>
      <x:c r="AC117" s="6">
        <x:f>(S117*IF(E117="H",F117,0))+(S117*IF(G117="H",H117,0))</x:f>
      </x:c>
      <x:c r="AD117" s="6">
        <x:f>(S117*IF(E117="V",F117,0))+(S117*IF(G117="V",H117,0))</x:f>
      </x:c>
      <x:c r="AE117" s="6">
        <x:f>(S117*IF(E117="R",F117,0))+(S117*IF(G117="R",H117,0))</x:f>
      </x:c>
      <x:c r="AF117" s="6">
        <x:f>(S117*IF(E117="F",F117,0))+(S117*IF(G117="F",H117,0))</x:f>
      </x:c>
      <x:c r="AG117" s="6">
        <x:f>(S117*IF(E117="W",F117,0))+(S117*IF(G117="W",H117,0))</x:f>
      </x:c>
    </x:row>
    <x:row r="118">
      <x:c r="A118" s="3" t="inlineStr">
        <x:is>
          <x:t xml:space="preserve">Executive</x:t>
        </x:is>
      </x:c>
      <x:c r="B118" s="3" t="inlineStr">
        <x:is>
          <x:t xml:space="preserve">EXCO-D4-Q02</x:t>
        </x:is>
      </x:c>
      <x:c r="C118" s="3" t="inlineStr">
        <x:is>
          <x:t xml:space="preserve">T2</x:t>
        </x:is>
      </x:c>
      <x:c r="D118" s="3" t="inlineStr">
        <x:is>
          <x:t xml:space="preserve">4. People &amp; Culture</x:t>
        </x:is>
      </x:c>
      <x:c r="E118" s="3" t="inlineStr">
        <x:is>
          <x:t xml:space="preserve">H</x:t>
        </x:is>
      </x:c>
      <x:c r="F118" s="3" t="n">
        <x:v>0.5</x:v>
      </x:c>
      <x:c r="G118" s="3" t="inlineStr">
        <x:is>
          <x:t xml:space="preserve">L</x:t>
        </x:is>
      </x:c>
      <x:c r="H118" s="3" t="n">
        <x:v>0.5</x:v>
      </x:c>
      <x:c r="I118" s="3" t="inlineStr">
        <x:is>
          <x:t xml:space="preserve">(Shadow probe) If someone feels unfairly targeted by monitoring or investigation, is there a clear appeal/review process?</x:t>
        </x:is>
      </x:c>
      <x:c r="J118" s="3" t="inlineStr">
        <x:is>
          <x:t xml:space="preserve">This checks fairness and safeguards (important for trust and legal defensibility).</x:t>
        </x:is>
      </x:c>
      <x:c r="K118" s="3" t="inlineStr">
        <x:is>
          <x:t xml:space="preserve">Shadow probe; next=EXCO-D4-Q03</x:t>
        </x:is>
      </x:c>
      <x:c r="L118" s="3" t="inlineStr">
        <x:is>
          <x:t xml:space="preserve">CULT_SOFT</x:t>
        </x:is>
      </x:c>
      <x:c r="M118" s="3" t="n">
        <x:v>1</x:v>
      </x:c>
      <x:c r="N118" s="3" t="n"/>
      <x:c r="O118" s="3" t="n"/>
      <x:c r="P118" s="3" t="inlineStr">
        <x:is>
          <x:t xml:space="preserve">EXCO-D4-Q02-A5</x:t>
        </x:is>
      </x:c>
      <x:c r="Q118" s="3" t="n">
        <x:v>5</x:v>
      </x:c>
      <x:c r="R118" s="3" t="inlineStr">
        <x:is>
          <x:t xml:space="preserve">Transparent multi-department appeal with audit trail and periodic review.</x:t>
        </x:is>
      </x:c>
      <x:c r="S118" s="3" t="n">
        <x:v>4</x:v>
      </x:c>
      <x:c r="T118" s="3" t="inlineStr">
        <x:is>
          <x:t xml:space="preserve">optimized</x:t>
        </x:is>
      </x:c>
      <x:c r="U118" s="3" t="inlineStr">
        <x:is>
          <x:t xml:space="preserve"/>
        </x:is>
      </x:c>
      <x:c r="V118" s="3" t="inlineStr">
        <x:is>
          <x:t xml:space="preserve">Request_Evidence</x:t>
        </x:is>
      </x:c>
      <x:c r="W118" s="3" t="inlineStr">
        <x:is>
          <x:t xml:space="preserve">Y</x:t>
        </x:is>
      </x:c>
      <x:c r="X118" s="3" t="inlineStr">
        <x:is>
          <x:t xml:space="preserve"/>
        </x:is>
      </x:c>
      <x:c r="Y118" s="6">
        <x:f>(S118*IF(E118="G",F118,0))+(S118*IF(G118="G",H118,0))</x:f>
      </x:c>
      <x:c r="Z118" s="6">
        <x:f>(S118*IF(E118="E",F118,0))+(S118*IF(G118="E",H118,0))</x:f>
      </x:c>
      <x:c r="AA118" s="6">
        <x:f>(S118*IF(E118="T",F118,0))+(S118*IF(G118="T",H118,0))</x:f>
      </x:c>
      <x:c r="AB118" s="6">
        <x:f>(S118*IF(E118="L",F118,0))+(S118*IF(G118="L",H118,0))</x:f>
      </x:c>
      <x:c r="AC118" s="6">
        <x:f>(S118*IF(E118="H",F118,0))+(S118*IF(G118="H",H118,0))</x:f>
      </x:c>
      <x:c r="AD118" s="6">
        <x:f>(S118*IF(E118="V",F118,0))+(S118*IF(G118="V",H118,0))</x:f>
      </x:c>
      <x:c r="AE118" s="6">
        <x:f>(S118*IF(E118="R",F118,0))+(S118*IF(G118="R",H118,0))</x:f>
      </x:c>
      <x:c r="AF118" s="6">
        <x:f>(S118*IF(E118="F",F118,0))+(S118*IF(G118="F",H118,0))</x:f>
      </x:c>
      <x:c r="AG118" s="6">
        <x:f>(S118*IF(E118="W",F118,0))+(S118*IF(G118="W",H118,0))</x:f>
      </x:c>
    </x:row>
    <x:row r="119">
      <x:c r="A119" s="3" t="inlineStr">
        <x:is>
          <x:t xml:space="preserve">Executive</x:t>
        </x:is>
      </x:c>
      <x:c r="B119" s="3" t="inlineStr">
        <x:is>
          <x:t xml:space="preserve">EXCO-D4-Q03</x:t>
        </x:is>
      </x:c>
      <x:c r="C119" s="3" t="inlineStr">
        <x:is>
          <x:t xml:space="preserve">T2</x:t>
        </x:is>
      </x:c>
      <x:c r="D119" s="3" t="inlineStr">
        <x:is>
          <x:t xml:space="preserve">4. People &amp; Culture</x:t>
        </x:is>
      </x:c>
      <x:c r="E119" s="3" t="inlineStr">
        <x:is>
          <x:t xml:space="preserve">H</x:t>
        </x:is>
      </x:c>
      <x:c r="F119" s="3" t="n">
        <x:v>0.5</x:v>
      </x:c>
      <x:c r="G119" s="3" t="inlineStr">
        <x:is>
          <x:t xml:space="preserve">E</x:t>
        </x:is>
      </x:c>
      <x:c r="H119" s="3" t="n">
        <x:v>0.5</x:v>
      </x:c>
      <x:c r="I119" s="3" t="inlineStr">
        <x:is>
          <x:t xml:space="preserve">How do managers handle early signs of disgruntlement or policy-bending before it becomes an incident?</x:t>
        </x:is>
      </x:c>
      <x:c r="J119" s="3" t="inlineStr">
        <x:is>
          <x:t xml:space="preserve">Plain examples: performance issues, conflicts, rule-bending, sudden disengagement. Focus on early intervention, not punishment.</x:t>
        </x:is>
      </x:c>
      <x:c r="K119" s="3" t="inlineStr">
        <x:is>
          <x:t xml:space="preserve">Drill-down; next=EXCO-D4-Q04</x:t>
        </x:is>
      </x:c>
      <x:c r="L119" s="3" t="inlineStr">
        <x:is>
          <x:t xml:space="preserve">CULT_SOFT</x:t>
        </x:is>
      </x:c>
      <x:c r="M119" s="3" t="n">
        <x:v>1</x:v>
      </x:c>
      <x:c r="N119" s="3" t="n"/>
      <x:c r="O119" s="3" t="n"/>
      <x:c r="P119" s="3" t="inlineStr">
        <x:is>
          <x:t xml:space="preserve">EXCO-D4-Q03-A0</x:t>
        </x:is>
      </x:c>
      <x:c r="Q119" s="3" t="n">
        <x:v>1</x:v>
      </x:c>
      <x:c r="R119" s="3" t="inlineStr">
        <x:is>
          <x:t xml:space="preserve">I don’t know / not sure.</x:t>
        </x:is>
      </x:c>
      <x:c r="S119" s="3" t="n">
        <x:v>0</x:v>
      </x:c>
      <x:c r="T119" s="3" t="inlineStr">
        <x:is>
          <x:t xml:space="preserve">unknown</x:t>
        </x:is>
      </x:c>
      <x:c r="U119" s="3" t="inlineStr">
        <x:is>
          <x:t xml:space="preserve">Unknown</x:t>
        </x:is>
      </x:c>
      <x:c r="V119" s="3" t="inlineStr">
        <x:is>
          <x:t xml:space="preserve">Manager_Enablement</x:t>
        </x:is>
      </x:c>
      <x:c r="W119" s="3" t="inlineStr">
        <x:is>
          <x:t xml:space="preserve">N</x:t>
        </x:is>
      </x:c>
      <x:c r="X119" s="3" t="inlineStr">
        <x:is>
          <x:t xml:space="preserve"/>
        </x:is>
      </x:c>
      <x:c r="Y119" s="6">
        <x:f>(S119*IF(E119="G",F119,0))+(S119*IF(G119="G",H119,0))</x:f>
      </x:c>
      <x:c r="Z119" s="6">
        <x:f>(S119*IF(E119="E",F119,0))+(S119*IF(G119="E",H119,0))</x:f>
      </x:c>
      <x:c r="AA119" s="6">
        <x:f>(S119*IF(E119="T",F119,0))+(S119*IF(G119="T",H119,0))</x:f>
      </x:c>
      <x:c r="AB119" s="6">
        <x:f>(S119*IF(E119="L",F119,0))+(S119*IF(G119="L",H119,0))</x:f>
      </x:c>
      <x:c r="AC119" s="6">
        <x:f>(S119*IF(E119="H",F119,0))+(S119*IF(G119="H",H119,0))</x:f>
      </x:c>
      <x:c r="AD119" s="6">
        <x:f>(S119*IF(E119="V",F119,0))+(S119*IF(G119="V",H119,0))</x:f>
      </x:c>
      <x:c r="AE119" s="6">
        <x:f>(S119*IF(E119="R",F119,0))+(S119*IF(G119="R",H119,0))</x:f>
      </x:c>
      <x:c r="AF119" s="6">
        <x:f>(S119*IF(E119="F",F119,0))+(S119*IF(G119="F",H119,0))</x:f>
      </x:c>
      <x:c r="AG119" s="6">
        <x:f>(S119*IF(E119="W",F119,0))+(S119*IF(G119="W",H119,0))</x:f>
      </x:c>
    </x:row>
    <x:row r="120">
      <x:c r="A120" s="3" t="inlineStr">
        <x:is>
          <x:t xml:space="preserve">Executive</x:t>
        </x:is>
      </x:c>
      <x:c r="B120" s="3" t="inlineStr">
        <x:is>
          <x:t xml:space="preserve">EXCO-D4-Q03</x:t>
        </x:is>
      </x:c>
      <x:c r="C120" s="3" t="inlineStr">
        <x:is>
          <x:t xml:space="preserve">T2</x:t>
        </x:is>
      </x:c>
      <x:c r="D120" s="3" t="inlineStr">
        <x:is>
          <x:t xml:space="preserve">4. People &amp; Culture</x:t>
        </x:is>
      </x:c>
      <x:c r="E120" s="3" t="inlineStr">
        <x:is>
          <x:t xml:space="preserve">H</x:t>
        </x:is>
      </x:c>
      <x:c r="F120" s="3" t="n">
        <x:v>0.5</x:v>
      </x:c>
      <x:c r="G120" s="3" t="inlineStr">
        <x:is>
          <x:t xml:space="preserve">E</x:t>
        </x:is>
      </x:c>
      <x:c r="H120" s="3" t="n">
        <x:v>0.5</x:v>
      </x:c>
      <x:c r="I120" s="3" t="inlineStr">
        <x:is>
          <x:t xml:space="preserve">How do managers handle early signs of disgruntlement or policy-bending before it becomes an incident?</x:t>
        </x:is>
      </x:c>
      <x:c r="J120" s="3" t="inlineStr">
        <x:is>
          <x:t xml:space="preserve">Plain examples: performance issues, conflicts, rule-bending, sudden disengagement. Focus on early intervention, not punishment.</x:t>
        </x:is>
      </x:c>
      <x:c r="K120" s="3" t="inlineStr">
        <x:is>
          <x:t xml:space="preserve">Drill-down; next=EXCO-D4-Q04</x:t>
        </x:is>
      </x:c>
      <x:c r="L120" s="3" t="inlineStr">
        <x:is>
          <x:t xml:space="preserve">CULT_SOFT</x:t>
        </x:is>
      </x:c>
      <x:c r="M120" s="3" t="n">
        <x:v>1</x:v>
      </x:c>
      <x:c r="N120" s="3" t="n"/>
      <x:c r="O120" s="3" t="n"/>
      <x:c r="P120" s="3" t="inlineStr">
        <x:is>
          <x:t xml:space="preserve">EXCO-D4-Q03-A1</x:t>
        </x:is>
      </x:c>
      <x:c r="Q120" s="3" t="n">
        <x:v>2</x:v>
      </x:c>
      <x:c r="R120" s="3" t="inlineStr">
        <x:is>
          <x:t xml:space="preserve">There is no structured approach; issues are dealt with only after a serious event.</x:t>
        </x:is>
      </x:c>
      <x:c r="S120" s="3" t="n">
        <x:v>0</x:v>
      </x:c>
      <x:c r="T120" s="3" t="inlineStr">
        <x:is>
          <x:t xml:space="preserve">foundational_gap</x:t>
        </x:is>
      </x:c>
      <x:c r="U120" s="3" t="inlineStr">
        <x:is>
          <x:t xml:space="preserve">Culture Risk</x:t>
        </x:is>
      </x:c>
      <x:c r="V120" s="3" t="inlineStr">
        <x:is>
          <x:t xml:space="preserve">Manager_Enablement</x:t>
        </x:is>
      </x:c>
      <x:c r="W120" s="3" t="inlineStr">
        <x:is>
          <x:t xml:space="preserve">N</x:t>
        </x:is>
      </x:c>
      <x:c r="X120" s="3" t="inlineStr">
        <x:is>
          <x:t xml:space="preserve"/>
        </x:is>
      </x:c>
      <x:c r="Y120" s="6">
        <x:f>(S120*IF(E120="G",F120,0))+(S120*IF(G120="G",H120,0))</x:f>
      </x:c>
      <x:c r="Z120" s="6">
        <x:f>(S120*IF(E120="E",F120,0))+(S120*IF(G120="E",H120,0))</x:f>
      </x:c>
      <x:c r="AA120" s="6">
        <x:f>(S120*IF(E120="T",F120,0))+(S120*IF(G120="T",H120,0))</x:f>
      </x:c>
      <x:c r="AB120" s="6">
        <x:f>(S120*IF(E120="L",F120,0))+(S120*IF(G120="L",H120,0))</x:f>
      </x:c>
      <x:c r="AC120" s="6">
        <x:f>(S120*IF(E120="H",F120,0))+(S120*IF(G120="H",H120,0))</x:f>
      </x:c>
      <x:c r="AD120" s="6">
        <x:f>(S120*IF(E120="V",F120,0))+(S120*IF(G120="V",H120,0))</x:f>
      </x:c>
      <x:c r="AE120" s="6">
        <x:f>(S120*IF(E120="R",F120,0))+(S120*IF(G120="R",H120,0))</x:f>
      </x:c>
      <x:c r="AF120" s="6">
        <x:f>(S120*IF(E120="F",F120,0))+(S120*IF(G120="F",H120,0))</x:f>
      </x:c>
      <x:c r="AG120" s="6">
        <x:f>(S120*IF(E120="W",F120,0))+(S120*IF(G120="W",H120,0))</x:f>
      </x:c>
    </x:row>
    <x:row r="121">
      <x:c r="A121" s="3" t="inlineStr">
        <x:is>
          <x:t xml:space="preserve">Executive</x:t>
        </x:is>
      </x:c>
      <x:c r="B121" s="3" t="inlineStr">
        <x:is>
          <x:t xml:space="preserve">EXCO-D4-Q03</x:t>
        </x:is>
      </x:c>
      <x:c r="C121" s="3" t="inlineStr">
        <x:is>
          <x:t xml:space="preserve">T2</x:t>
        </x:is>
      </x:c>
      <x:c r="D121" s="3" t="inlineStr">
        <x:is>
          <x:t xml:space="preserve">4. People &amp; Culture</x:t>
        </x:is>
      </x:c>
      <x:c r="E121" s="3" t="inlineStr">
        <x:is>
          <x:t xml:space="preserve">H</x:t>
        </x:is>
      </x:c>
      <x:c r="F121" s="3" t="n">
        <x:v>0.5</x:v>
      </x:c>
      <x:c r="G121" s="3" t="inlineStr">
        <x:is>
          <x:t xml:space="preserve">E</x:t>
        </x:is>
      </x:c>
      <x:c r="H121" s="3" t="n">
        <x:v>0.5</x:v>
      </x:c>
      <x:c r="I121" s="3" t="inlineStr">
        <x:is>
          <x:t xml:space="preserve">How do managers handle early signs of disgruntlement or policy-bending before it becomes an incident?</x:t>
        </x:is>
      </x:c>
      <x:c r="J121" s="3" t="inlineStr">
        <x:is>
          <x:t xml:space="preserve">Plain examples: performance issues, conflicts, rule-bending, sudden disengagement. Focus on early intervention, not punishment.</x:t>
        </x:is>
      </x:c>
      <x:c r="K121" s="3" t="inlineStr">
        <x:is>
          <x:t xml:space="preserve">Drill-down; next=EXCO-D4-Q04</x:t>
        </x:is>
      </x:c>
      <x:c r="L121" s="3" t="inlineStr">
        <x:is>
          <x:t xml:space="preserve">CULT_SOFT</x:t>
        </x:is>
      </x:c>
      <x:c r="M121" s="3" t="n">
        <x:v>1</x:v>
      </x:c>
      <x:c r="N121" s="3" t="n"/>
      <x:c r="O121" s="3" t="n"/>
      <x:c r="P121" s="3" t="inlineStr">
        <x:is>
          <x:t xml:space="preserve">EXCO-D4-Q03-A2</x:t>
        </x:is>
      </x:c>
      <x:c r="Q121" s="3" t="n">
        <x:v>3</x:v>
      </x:c>
      <x:c r="R121" s="3" t="inlineStr">
        <x:is>
          <x:t xml:space="preserve">Depends on the manager; some intervene well, others avoid it.</x:t>
        </x:is>
      </x:c>
      <x:c r="S121" s="3" t="n">
        <x:v>1</x:v>
      </x:c>
      <x:c r="T121" s="3" t="inlineStr">
        <x:is>
          <x:t xml:space="preserve">inconsistent_execution</x:t>
        </x:is>
      </x:c>
      <x:c r="U121" s="3" t="inlineStr">
        <x:is>
          <x:t xml:space="preserve">Operating Model Gap</x:t>
        </x:is>
      </x:c>
      <x:c r="V121" s="3" t="inlineStr">
        <x:is>
          <x:t xml:space="preserve">Manager_Training</x:t>
        </x:is>
      </x:c>
      <x:c r="W121" s="3" t="inlineStr">
        <x:is>
          <x:t xml:space="preserve">N</x:t>
        </x:is>
      </x:c>
      <x:c r="X121" s="3" t="inlineStr">
        <x:is>
          <x:t xml:space="preserve"/>
        </x:is>
      </x:c>
      <x:c r="Y121" s="6">
        <x:f>(S121*IF(E121="G",F121,0))+(S121*IF(G121="G",H121,0))</x:f>
      </x:c>
      <x:c r="Z121" s="6">
        <x:f>(S121*IF(E121="E",F121,0))+(S121*IF(G121="E",H121,0))</x:f>
      </x:c>
      <x:c r="AA121" s="6">
        <x:f>(S121*IF(E121="T",F121,0))+(S121*IF(G121="T",H121,0))</x:f>
      </x:c>
      <x:c r="AB121" s="6">
        <x:f>(S121*IF(E121="L",F121,0))+(S121*IF(G121="L",H121,0))</x:f>
      </x:c>
      <x:c r="AC121" s="6">
        <x:f>(S121*IF(E121="H",F121,0))+(S121*IF(G121="H",H121,0))</x:f>
      </x:c>
      <x:c r="AD121" s="6">
        <x:f>(S121*IF(E121="V",F121,0))+(S121*IF(G121="V",H121,0))</x:f>
      </x:c>
      <x:c r="AE121" s="6">
        <x:f>(S121*IF(E121="R",F121,0))+(S121*IF(G121="R",H121,0))</x:f>
      </x:c>
      <x:c r="AF121" s="6">
        <x:f>(S121*IF(E121="F",F121,0))+(S121*IF(G121="F",H121,0))</x:f>
      </x:c>
      <x:c r="AG121" s="6">
        <x:f>(S121*IF(E121="W",F121,0))+(S121*IF(G121="W",H121,0))</x:f>
      </x:c>
    </x:row>
    <x:row r="122">
      <x:c r="A122" s="3" t="inlineStr">
        <x:is>
          <x:t xml:space="preserve">Executive</x:t>
        </x:is>
      </x:c>
      <x:c r="B122" s="3" t="inlineStr">
        <x:is>
          <x:t xml:space="preserve">EXCO-D4-Q03</x:t>
        </x:is>
      </x:c>
      <x:c r="C122" s="3" t="inlineStr">
        <x:is>
          <x:t xml:space="preserve">T2</x:t>
        </x:is>
      </x:c>
      <x:c r="D122" s="3" t="inlineStr">
        <x:is>
          <x:t xml:space="preserve">4. People &amp; Culture</x:t>
        </x:is>
      </x:c>
      <x:c r="E122" s="3" t="inlineStr">
        <x:is>
          <x:t xml:space="preserve">H</x:t>
        </x:is>
      </x:c>
      <x:c r="F122" s="3" t="n">
        <x:v>0.5</x:v>
      </x:c>
      <x:c r="G122" s="3" t="inlineStr">
        <x:is>
          <x:t xml:space="preserve">E</x:t>
        </x:is>
      </x:c>
      <x:c r="H122" s="3" t="n">
        <x:v>0.5</x:v>
      </x:c>
      <x:c r="I122" s="3" t="inlineStr">
        <x:is>
          <x:t xml:space="preserve">How do managers handle early signs of disgruntlement or policy-bending before it becomes an incident?</x:t>
        </x:is>
      </x:c>
      <x:c r="J122" s="3" t="inlineStr">
        <x:is>
          <x:t xml:space="preserve">Plain examples: performance issues, conflicts, rule-bending, sudden disengagement. Focus on early intervention, not punishment.</x:t>
        </x:is>
      </x:c>
      <x:c r="K122" s="3" t="inlineStr">
        <x:is>
          <x:t xml:space="preserve">Drill-down; next=EXCO-D4-Q04</x:t>
        </x:is>
      </x:c>
      <x:c r="L122" s="3" t="inlineStr">
        <x:is>
          <x:t xml:space="preserve">CULT_SOFT</x:t>
        </x:is>
      </x:c>
      <x:c r="M122" s="3" t="n">
        <x:v>1</x:v>
      </x:c>
      <x:c r="N122" s="3" t="n"/>
      <x:c r="O122" s="3" t="n"/>
      <x:c r="P122" s="3" t="inlineStr">
        <x:is>
          <x:t xml:space="preserve">EXCO-D4-Q03-A3</x:t>
        </x:is>
      </x:c>
      <x:c r="Q122" s="3" t="n">
        <x:v>4</x:v>
      </x:c>
      <x:c r="R122" s="3" t="inlineStr">
        <x:is>
          <x:t xml:space="preserve">HR provides guidance, but it’s not connected to insider risk or security concerns.</x:t>
        </x:is>
      </x:c>
      <x:c r="S122" s="3" t="n">
        <x:v>2</x:v>
      </x:c>
      <x:c r="T122" s="3" t="inlineStr">
        <x:is>
          <x:t xml:space="preserve">partial_maturity</x:t>
        </x:is>
      </x:c>
      <x:c r="U122" s="3" t="inlineStr">
        <x:is>
          <x:t xml:space="preserve"/>
        </x:is>
      </x:c>
      <x:c r="V122" s="3" t="inlineStr">
        <x:is>
          <x:t xml:space="preserve">Integrate_HR_Security</x:t>
        </x:is>
      </x:c>
      <x:c r="W122" s="3" t="inlineStr">
        <x:is>
          <x:t xml:space="preserve">N</x:t>
        </x:is>
      </x:c>
      <x:c r="X122" s="3" t="inlineStr">
        <x:is>
          <x:t xml:space="preserve"/>
        </x:is>
      </x:c>
      <x:c r="Y122" s="6">
        <x:f>(S122*IF(E122="G",F122,0))+(S122*IF(G122="G",H122,0))</x:f>
      </x:c>
      <x:c r="Z122" s="6">
        <x:f>(S122*IF(E122="E",F122,0))+(S122*IF(G122="E",H122,0))</x:f>
      </x:c>
      <x:c r="AA122" s="6">
        <x:f>(S122*IF(E122="T",F122,0))+(S122*IF(G122="T",H122,0))</x:f>
      </x:c>
      <x:c r="AB122" s="6">
        <x:f>(S122*IF(E122="L",F122,0))+(S122*IF(G122="L",H122,0))</x:f>
      </x:c>
      <x:c r="AC122" s="6">
        <x:f>(S122*IF(E122="H",F122,0))+(S122*IF(G122="H",H122,0))</x:f>
      </x:c>
      <x:c r="AD122" s="6">
        <x:f>(S122*IF(E122="V",F122,0))+(S122*IF(G122="V",H122,0))</x:f>
      </x:c>
      <x:c r="AE122" s="6">
        <x:f>(S122*IF(E122="R",F122,0))+(S122*IF(G122="R",H122,0))</x:f>
      </x:c>
      <x:c r="AF122" s="6">
        <x:f>(S122*IF(E122="F",F122,0))+(S122*IF(G122="F",H122,0))</x:f>
      </x:c>
      <x:c r="AG122" s="6">
        <x:f>(S122*IF(E122="W",F122,0))+(S122*IF(G122="W",H122,0))</x:f>
      </x:c>
    </x:row>
    <x:row r="123">
      <x:c r="A123" s="3" t="inlineStr">
        <x:is>
          <x:t xml:space="preserve">Executive</x:t>
        </x:is>
      </x:c>
      <x:c r="B123" s="3" t="inlineStr">
        <x:is>
          <x:t xml:space="preserve">EXCO-D4-Q03</x:t>
        </x:is>
      </x:c>
      <x:c r="C123" s="3" t="inlineStr">
        <x:is>
          <x:t xml:space="preserve">T2</x:t>
        </x:is>
      </x:c>
      <x:c r="D123" s="3" t="inlineStr">
        <x:is>
          <x:t xml:space="preserve">4. People &amp; Culture</x:t>
        </x:is>
      </x:c>
      <x:c r="E123" s="3" t="inlineStr">
        <x:is>
          <x:t xml:space="preserve">H</x:t>
        </x:is>
      </x:c>
      <x:c r="F123" s="3" t="n">
        <x:v>0.5</x:v>
      </x:c>
      <x:c r="G123" s="3" t="inlineStr">
        <x:is>
          <x:t xml:space="preserve">E</x:t>
        </x:is>
      </x:c>
      <x:c r="H123" s="3" t="n">
        <x:v>0.5</x:v>
      </x:c>
      <x:c r="I123" s="3" t="inlineStr">
        <x:is>
          <x:t xml:space="preserve">How do managers handle early signs of disgruntlement or policy-bending before it becomes an incident?</x:t>
        </x:is>
      </x:c>
      <x:c r="J123" s="3" t="inlineStr">
        <x:is>
          <x:t xml:space="preserve">Plain examples: performance issues, conflicts, rule-bending, sudden disengagement. Focus on early intervention, not punishment.</x:t>
        </x:is>
      </x:c>
      <x:c r="K123" s="3" t="inlineStr">
        <x:is>
          <x:t xml:space="preserve">Drill-down; next=EXCO-D4-Q04</x:t>
        </x:is>
      </x:c>
      <x:c r="L123" s="3" t="inlineStr">
        <x:is>
          <x:t xml:space="preserve">CULT_SOFT</x:t>
        </x:is>
      </x:c>
      <x:c r="M123" s="3" t="n">
        <x:v>1</x:v>
      </x:c>
      <x:c r="N123" s="3" t="n"/>
      <x:c r="O123" s="3" t="n"/>
      <x:c r="P123" s="3" t="inlineStr">
        <x:is>
          <x:t xml:space="preserve">EXCO-D4-Q03-A4</x:t>
        </x:is>
      </x:c>
      <x:c r="Q123" s="3" t="n">
        <x:v>5</x:v>
      </x:c>
      <x:c r="R123" s="3" t="inlineStr">
        <x:is>
          <x:t xml:space="preserve">Managers have clear guidance, escalation paths and support; interventions are tracked.</x:t>
        </x:is>
      </x:c>
      <x:c r="S123" s="3" t="n">
        <x:v>3</x:v>
      </x:c>
      <x:c r="T123" s="3" t="inlineStr">
        <x:is>
          <x:t xml:space="preserve">good_practice</x:t>
        </x:is>
      </x:c>
      <x:c r="U123" s="3" t="inlineStr">
        <x:is>
          <x:t xml:space="preserve"/>
        </x:is>
      </x:c>
      <x:c r="V123" s="3" t="inlineStr">
        <x:is>
          <x:t xml:space="preserve">Request_Evidence</x:t>
        </x:is>
      </x:c>
      <x:c r="W123" s="3" t="inlineStr">
        <x:is>
          <x:t xml:space="preserve">Y</x:t>
        </x:is>
      </x:c>
      <x:c r="X123" s="3" t="inlineStr">
        <x:is>
          <x:t xml:space="preserve"/>
        </x:is>
      </x:c>
      <x:c r="Y123" s="6">
        <x:f>(S123*IF(E123="G",F123,0))+(S123*IF(G123="G",H123,0))</x:f>
      </x:c>
      <x:c r="Z123" s="6">
        <x:f>(S123*IF(E123="E",F123,0))+(S123*IF(G123="E",H123,0))</x:f>
      </x:c>
      <x:c r="AA123" s="6">
        <x:f>(S123*IF(E123="T",F123,0))+(S123*IF(G123="T",H123,0))</x:f>
      </x:c>
      <x:c r="AB123" s="6">
        <x:f>(S123*IF(E123="L",F123,0))+(S123*IF(G123="L",H123,0))</x:f>
      </x:c>
      <x:c r="AC123" s="6">
        <x:f>(S123*IF(E123="H",F123,0))+(S123*IF(G123="H",H123,0))</x:f>
      </x:c>
      <x:c r="AD123" s="6">
        <x:f>(S123*IF(E123="V",F123,0))+(S123*IF(G123="V",H123,0))</x:f>
      </x:c>
      <x:c r="AE123" s="6">
        <x:f>(S123*IF(E123="R",F123,0))+(S123*IF(G123="R",H123,0))</x:f>
      </x:c>
      <x:c r="AF123" s="6">
        <x:f>(S123*IF(E123="F",F123,0))+(S123*IF(G123="F",H123,0))</x:f>
      </x:c>
      <x:c r="AG123" s="6">
        <x:f>(S123*IF(E123="W",F123,0))+(S123*IF(G123="W",H123,0))</x:f>
      </x:c>
    </x:row>
    <x:row r="124">
      <x:c r="A124" s="3" t="inlineStr">
        <x:is>
          <x:t xml:space="preserve">Executive</x:t>
        </x:is>
      </x:c>
      <x:c r="B124" s="3" t="inlineStr">
        <x:is>
          <x:t xml:space="preserve">EXCO-D4-Q03</x:t>
        </x:is>
      </x:c>
      <x:c r="C124" s="3" t="inlineStr">
        <x:is>
          <x:t xml:space="preserve">T2</x:t>
        </x:is>
      </x:c>
      <x:c r="D124" s="3" t="inlineStr">
        <x:is>
          <x:t xml:space="preserve">4. People &amp; Culture</x:t>
        </x:is>
      </x:c>
      <x:c r="E124" s="3" t="inlineStr">
        <x:is>
          <x:t xml:space="preserve">H</x:t>
        </x:is>
      </x:c>
      <x:c r="F124" s="3" t="n">
        <x:v>0.5</x:v>
      </x:c>
      <x:c r="G124" s="3" t="inlineStr">
        <x:is>
          <x:t xml:space="preserve">E</x:t>
        </x:is>
      </x:c>
      <x:c r="H124" s="3" t="n">
        <x:v>0.5</x:v>
      </x:c>
      <x:c r="I124" s="3" t="inlineStr">
        <x:is>
          <x:t xml:space="preserve">How do managers handle early signs of disgruntlement or policy-bending before it becomes an incident?</x:t>
        </x:is>
      </x:c>
      <x:c r="J124" s="3" t="inlineStr">
        <x:is>
          <x:t xml:space="preserve">Plain examples: performance issues, conflicts, rule-bending, sudden disengagement. Focus on early intervention, not punishment.</x:t>
        </x:is>
      </x:c>
      <x:c r="K124" s="3" t="inlineStr">
        <x:is>
          <x:t xml:space="preserve">Drill-down; next=EXCO-D4-Q04</x:t>
        </x:is>
      </x:c>
      <x:c r="L124" s="3" t="inlineStr">
        <x:is>
          <x:t xml:space="preserve">CULT_SOFT</x:t>
        </x:is>
      </x:c>
      <x:c r="M124" s="3" t="n">
        <x:v>1</x:v>
      </x:c>
      <x:c r="N124" s="3" t="n"/>
      <x:c r="O124" s="3" t="n"/>
      <x:c r="P124" s="3" t="inlineStr">
        <x:is>
          <x:t xml:space="preserve">EXCO-D4-Q03-A5</x:t>
        </x:is>
      </x:c>
      <x:c r="Q124" s="3" t="n">
        <x:v>6</x:v>
      </x:c>
      <x:c r="R124" s="3" t="inlineStr">
        <x:is>
          <x:t xml:space="preserve">Manager capability is measured; early interventions reduce repeat incidents; learning loops exist.</x:t>
        </x:is>
      </x:c>
      <x:c r="S124" s="3" t="n">
        <x:v>4</x:v>
      </x:c>
      <x:c r="T124" s="3" t="inlineStr">
        <x:is>
          <x:t xml:space="preserve">optimized</x:t>
        </x:is>
      </x:c>
      <x:c r="U124" s="3" t="inlineStr">
        <x:is>
          <x:t xml:space="preserve"/>
        </x:is>
      </x:c>
      <x:c r="V124" s="3" t="inlineStr">
        <x:is>
          <x:t xml:space="preserve">Request_Evidence</x:t>
        </x:is>
      </x:c>
      <x:c r="W124" s="3" t="inlineStr">
        <x:is>
          <x:t xml:space="preserve">Y</x:t>
        </x:is>
      </x:c>
      <x:c r="X124" s="3" t="inlineStr">
        <x:is>
          <x:t xml:space="preserve"/>
        </x:is>
      </x:c>
      <x:c r="Y124" s="6">
        <x:f>(S124*IF(E124="G",F124,0))+(S124*IF(G124="G",H124,0))</x:f>
      </x:c>
      <x:c r="Z124" s="6">
        <x:f>(S124*IF(E124="E",F124,0))+(S124*IF(G124="E",H124,0))</x:f>
      </x:c>
      <x:c r="AA124" s="6">
        <x:f>(S124*IF(E124="T",F124,0))+(S124*IF(G124="T",H124,0))</x:f>
      </x:c>
      <x:c r="AB124" s="6">
        <x:f>(S124*IF(E124="L",F124,0))+(S124*IF(G124="L",H124,0))</x:f>
      </x:c>
      <x:c r="AC124" s="6">
        <x:f>(S124*IF(E124="H",F124,0))+(S124*IF(G124="H",H124,0))</x:f>
      </x:c>
      <x:c r="AD124" s="6">
        <x:f>(S124*IF(E124="V",F124,0))+(S124*IF(G124="V",H124,0))</x:f>
      </x:c>
      <x:c r="AE124" s="6">
        <x:f>(S124*IF(E124="R",F124,0))+(S124*IF(G124="R",H124,0))</x:f>
      </x:c>
      <x:c r="AF124" s="6">
        <x:f>(S124*IF(E124="F",F124,0))+(S124*IF(G124="F",H124,0))</x:f>
      </x:c>
      <x:c r="AG124" s="6">
        <x:f>(S124*IF(E124="W",F124,0))+(S124*IF(G124="W",H124,0))</x:f>
      </x:c>
    </x:row>
    <x:row r="125">
      <x:c r="A125" s="3" t="inlineStr">
        <x:is>
          <x:t xml:space="preserve">Executive</x:t>
        </x:is>
      </x:c>
      <x:c r="B125" s="3" t="inlineStr">
        <x:is>
          <x:t xml:space="preserve">EXCO-D4-Q04</x:t>
        </x:is>
      </x:c>
      <x:c r="C125" s="3" t="inlineStr">
        <x:is>
          <x:t xml:space="preserve">T2</x:t>
        </x:is>
      </x:c>
      <x:c r="D125" s="3" t="inlineStr">
        <x:is>
          <x:t xml:space="preserve">4. People &amp; Culture</x:t>
        </x:is>
      </x:c>
      <x:c r="E125" s="3" t="inlineStr">
        <x:is>
          <x:t xml:space="preserve">H</x:t>
        </x:is>
      </x:c>
      <x:c r="F125" s="3" t="n">
        <x:v>1</x:v>
      </x:c>
      <x:c r="G125" s="3" t="inlineStr">
        <x:is>
          <x:t xml:space="preserve">-</x:t>
        </x:is>
      </x:c>
      <x:c r="H125" s="3" t="inlineStr">
        <x:is>
          <x:t xml:space="preserve"/>
        </x:is>
      </x:c>
      <x:c r="I125" s="3" t="inlineStr">
        <x:is>
          <x:t xml:space="preserve">How is positive security behaviour encouraged (not just punishment for mistakes)?</x:t>
        </x:is>
      </x:c>
      <x:c r="J125" s="3" t="inlineStr">
        <x:is>
          <x:t xml:space="preserve">Examples: recognising good reporting, simplifying secure ways of working, feedback after ‘near misses’.</x:t>
        </x:is>
      </x:c>
      <x:c r="K125" s="3" t="inlineStr">
        <x:is>
          <x:t xml:space="preserve">Drill-down; next=EXCO-D5-Q01</x:t>
        </x:is>
      </x:c>
      <x:c r="L125" s="3" t="inlineStr">
        <x:is>
          <x:t xml:space="preserve">CULT_SOFT</x:t>
        </x:is>
      </x:c>
      <x:c r="M125" s="3" t="n">
        <x:v>1</x:v>
      </x:c>
      <x:c r="N125" s="3" t="n"/>
      <x:c r="O125" s="3" t="n"/>
      <x:c r="P125" s="3" t="inlineStr">
        <x:is>
          <x:t xml:space="preserve">EXCO-D4-Q04-A0</x:t>
        </x:is>
      </x:c>
      <x:c r="Q125" s="3" t="n">
        <x:v>1</x:v>
      </x:c>
      <x:c r="R125" s="3" t="inlineStr">
        <x:is>
          <x:t xml:space="preserve">I don’t know / not sure.</x:t>
        </x:is>
      </x:c>
      <x:c r="S125" s="3" t="n">
        <x:v>0</x:v>
      </x:c>
      <x:c r="T125" s="3" t="inlineStr">
        <x:is>
          <x:t xml:space="preserve">unknown</x:t>
        </x:is>
      </x:c>
      <x:c r="U125" s="3" t="inlineStr">
        <x:is>
          <x:t xml:space="preserve">Unknown</x:t>
        </x:is>
      </x:c>
      <x:c r="V125" s="3" t="inlineStr">
        <x:is>
          <x:t xml:space="preserve">Culture_Workshop</x:t>
        </x:is>
      </x:c>
      <x:c r="W125" s="3" t="inlineStr">
        <x:is>
          <x:t xml:space="preserve">N</x:t>
        </x:is>
      </x:c>
      <x:c r="X125" s="3" t="inlineStr">
        <x:is>
          <x:t xml:space="preserve"/>
        </x:is>
      </x:c>
      <x:c r="Y125" s="6">
        <x:f>(S125*IF(E125="G",F125,0))+(S125*IF(G125="G",H125,0))</x:f>
      </x:c>
      <x:c r="Z125" s="6">
        <x:f>(S125*IF(E125="E",F125,0))+(S125*IF(G125="E",H125,0))</x:f>
      </x:c>
      <x:c r="AA125" s="6">
        <x:f>(S125*IF(E125="T",F125,0))+(S125*IF(G125="T",H125,0))</x:f>
      </x:c>
      <x:c r="AB125" s="6">
        <x:f>(S125*IF(E125="L",F125,0))+(S125*IF(G125="L",H125,0))</x:f>
      </x:c>
      <x:c r="AC125" s="6">
        <x:f>(S125*IF(E125="H",F125,0))+(S125*IF(G125="H",H125,0))</x:f>
      </x:c>
      <x:c r="AD125" s="6">
        <x:f>(S125*IF(E125="V",F125,0))+(S125*IF(G125="V",H125,0))</x:f>
      </x:c>
      <x:c r="AE125" s="6">
        <x:f>(S125*IF(E125="R",F125,0))+(S125*IF(G125="R",H125,0))</x:f>
      </x:c>
      <x:c r="AF125" s="6">
        <x:f>(S125*IF(E125="F",F125,0))+(S125*IF(G125="F",H125,0))</x:f>
      </x:c>
      <x:c r="AG125" s="6">
        <x:f>(S125*IF(E125="W",F125,0))+(S125*IF(G125="W",H125,0))</x:f>
      </x:c>
    </x:row>
    <x:row r="126">
      <x:c r="A126" s="3" t="inlineStr">
        <x:is>
          <x:t xml:space="preserve">Executive</x:t>
        </x:is>
      </x:c>
      <x:c r="B126" s="3" t="inlineStr">
        <x:is>
          <x:t xml:space="preserve">EXCO-D4-Q04</x:t>
        </x:is>
      </x:c>
      <x:c r="C126" s="3" t="inlineStr">
        <x:is>
          <x:t xml:space="preserve">T2</x:t>
        </x:is>
      </x:c>
      <x:c r="D126" s="3" t="inlineStr">
        <x:is>
          <x:t xml:space="preserve">4. People &amp; Culture</x:t>
        </x:is>
      </x:c>
      <x:c r="E126" s="3" t="inlineStr">
        <x:is>
          <x:t xml:space="preserve">H</x:t>
        </x:is>
      </x:c>
      <x:c r="F126" s="3" t="n">
        <x:v>1</x:v>
      </x:c>
      <x:c r="G126" s="3" t="inlineStr">
        <x:is>
          <x:t xml:space="preserve">-</x:t>
        </x:is>
      </x:c>
      <x:c r="H126" s="3" t="inlineStr">
        <x:is>
          <x:t xml:space="preserve"/>
        </x:is>
      </x:c>
      <x:c r="I126" s="3" t="inlineStr">
        <x:is>
          <x:t xml:space="preserve">How is positive security behaviour encouraged (not just punishment for mistakes)?</x:t>
        </x:is>
      </x:c>
      <x:c r="J126" s="3" t="inlineStr">
        <x:is>
          <x:t xml:space="preserve">Examples: recognising good reporting, simplifying secure ways of working, feedback after ‘near misses’.</x:t>
        </x:is>
      </x:c>
      <x:c r="K126" s="3" t="inlineStr">
        <x:is>
          <x:t xml:space="preserve">Drill-down; next=EXCO-D5-Q01</x:t>
        </x:is>
      </x:c>
      <x:c r="L126" s="3" t="inlineStr">
        <x:is>
          <x:t xml:space="preserve">CULT_SOFT</x:t>
        </x:is>
      </x:c>
      <x:c r="M126" s="3" t="n">
        <x:v>1</x:v>
      </x:c>
      <x:c r="N126" s="3" t="n"/>
      <x:c r="O126" s="3" t="n"/>
      <x:c r="P126" s="3" t="inlineStr">
        <x:is>
          <x:t xml:space="preserve">EXCO-D4-Q04-A1</x:t>
        </x:is>
      </x:c>
      <x:c r="Q126" s="3" t="n">
        <x:v>2</x:v>
      </x:c>
      <x:c r="R126" s="3" t="inlineStr">
        <x:is>
          <x:t xml:space="preserve">We mainly focus on catching and punishing bad behaviour.</x:t>
        </x:is>
      </x:c>
      <x:c r="S126" s="3" t="n">
        <x:v>0</x:v>
      </x:c>
      <x:c r="T126" s="3" t="inlineStr">
        <x:is>
          <x:t xml:space="preserve">toxic_enforcer_signal</x:t>
        </x:is>
      </x:c>
      <x:c r="U126" s="3" t="inlineStr">
        <x:is>
          <x:t xml:space="preserve">Toxic Enforcer</x:t>
        </x:is>
      </x:c>
      <x:c r="V126" s="3" t="inlineStr">
        <x:is>
          <x:t xml:space="preserve">Behavioral_Design</x:t>
        </x:is>
      </x:c>
      <x:c r="W126" s="3" t="inlineStr">
        <x:is>
          <x:t xml:space="preserve">N</x:t>
        </x:is>
      </x:c>
      <x:c r="X126" s="3" t="inlineStr">
        <x:is>
          <x:t xml:space="preserve"/>
        </x:is>
      </x:c>
      <x:c r="Y126" s="6">
        <x:f>(S126*IF(E126="G",F126,0))+(S126*IF(G126="G",H126,0))</x:f>
      </x:c>
      <x:c r="Z126" s="6">
        <x:f>(S126*IF(E126="E",F126,0))+(S126*IF(G126="E",H126,0))</x:f>
      </x:c>
      <x:c r="AA126" s="6">
        <x:f>(S126*IF(E126="T",F126,0))+(S126*IF(G126="T",H126,0))</x:f>
      </x:c>
      <x:c r="AB126" s="6">
        <x:f>(S126*IF(E126="L",F126,0))+(S126*IF(G126="L",H126,0))</x:f>
      </x:c>
      <x:c r="AC126" s="6">
        <x:f>(S126*IF(E126="H",F126,0))+(S126*IF(G126="H",H126,0))</x:f>
      </x:c>
      <x:c r="AD126" s="6">
        <x:f>(S126*IF(E126="V",F126,0))+(S126*IF(G126="V",H126,0))</x:f>
      </x:c>
      <x:c r="AE126" s="6">
        <x:f>(S126*IF(E126="R",F126,0))+(S126*IF(G126="R",H126,0))</x:f>
      </x:c>
      <x:c r="AF126" s="6">
        <x:f>(S126*IF(E126="F",F126,0))+(S126*IF(G126="F",H126,0))</x:f>
      </x:c>
      <x:c r="AG126" s="6">
        <x:f>(S126*IF(E126="W",F126,0))+(S126*IF(G126="W",H126,0))</x:f>
      </x:c>
    </x:row>
    <x:row r="127">
      <x:c r="A127" s="3" t="inlineStr">
        <x:is>
          <x:t xml:space="preserve">Executive</x:t>
        </x:is>
      </x:c>
      <x:c r="B127" s="3" t="inlineStr">
        <x:is>
          <x:t xml:space="preserve">EXCO-D4-Q04</x:t>
        </x:is>
      </x:c>
      <x:c r="C127" s="3" t="inlineStr">
        <x:is>
          <x:t xml:space="preserve">T2</x:t>
        </x:is>
      </x:c>
      <x:c r="D127" s="3" t="inlineStr">
        <x:is>
          <x:t xml:space="preserve">4. People &amp; Culture</x:t>
        </x:is>
      </x:c>
      <x:c r="E127" s="3" t="inlineStr">
        <x:is>
          <x:t xml:space="preserve">H</x:t>
        </x:is>
      </x:c>
      <x:c r="F127" s="3" t="n">
        <x:v>1</x:v>
      </x:c>
      <x:c r="G127" s="3" t="inlineStr">
        <x:is>
          <x:t xml:space="preserve">-</x:t>
        </x:is>
      </x:c>
      <x:c r="H127" s="3" t="inlineStr">
        <x:is>
          <x:t xml:space="preserve"/>
        </x:is>
      </x:c>
      <x:c r="I127" s="3" t="inlineStr">
        <x:is>
          <x:t xml:space="preserve">How is positive security behaviour encouraged (not just punishment for mistakes)?</x:t>
        </x:is>
      </x:c>
      <x:c r="J127" s="3" t="inlineStr">
        <x:is>
          <x:t xml:space="preserve">Examples: recognising good reporting, simplifying secure ways of working, feedback after ‘near misses’.</x:t>
        </x:is>
      </x:c>
      <x:c r="K127" s="3" t="inlineStr">
        <x:is>
          <x:t xml:space="preserve">Drill-down; next=EXCO-D5-Q01</x:t>
        </x:is>
      </x:c>
      <x:c r="L127" s="3" t="inlineStr">
        <x:is>
          <x:t xml:space="preserve">CULT_SOFT</x:t>
        </x:is>
      </x:c>
      <x:c r="M127" s="3" t="n">
        <x:v>1</x:v>
      </x:c>
      <x:c r="N127" s="3" t="n"/>
      <x:c r="O127" s="3" t="n"/>
      <x:c r="P127" s="3" t="inlineStr">
        <x:is>
          <x:t xml:space="preserve">EXCO-D4-Q04-A2</x:t>
        </x:is>
      </x:c>
      <x:c r="Q127" s="3" t="n">
        <x:v>3</x:v>
      </x:c>
      <x:c r="R127" s="3" t="inlineStr">
        <x:is>
          <x:t xml:space="preserve">Managers sometimes thank people informally, but nothing systematic exists.</x:t>
        </x:is>
      </x:c>
      <x:c r="S127" s="3" t="n">
        <x:v>1</x:v>
      </x:c>
      <x:c r="T127" s="3" t="inlineStr">
        <x:is>
          <x:t xml:space="preserve">informal_only</x:t>
        </x:is>
      </x:c>
      <x:c r="U127" s="3" t="inlineStr">
        <x:is>
          <x:t xml:space="preserve">Shadow Mature</x:t>
        </x:is>
      </x:c>
      <x:c r="V127" s="3" t="inlineStr">
        <x:is>
          <x:t xml:space="preserve">Formalize_Reinforcement</x:t>
        </x:is>
      </x:c>
      <x:c r="W127" s="3" t="inlineStr">
        <x:is>
          <x:t xml:space="preserve">N</x:t>
        </x:is>
      </x:c>
      <x:c r="X127" s="3" t="inlineStr">
        <x:is>
          <x:t xml:space="preserve"/>
        </x:is>
      </x:c>
      <x:c r="Y127" s="6">
        <x:f>(S127*IF(E127="G",F127,0))+(S127*IF(G127="G",H127,0))</x:f>
      </x:c>
      <x:c r="Z127" s="6">
        <x:f>(S127*IF(E127="E",F127,0))+(S127*IF(G127="E",H127,0))</x:f>
      </x:c>
      <x:c r="AA127" s="6">
        <x:f>(S127*IF(E127="T",F127,0))+(S127*IF(G127="T",H127,0))</x:f>
      </x:c>
      <x:c r="AB127" s="6">
        <x:f>(S127*IF(E127="L",F127,0))+(S127*IF(G127="L",H127,0))</x:f>
      </x:c>
      <x:c r="AC127" s="6">
        <x:f>(S127*IF(E127="H",F127,0))+(S127*IF(G127="H",H127,0))</x:f>
      </x:c>
      <x:c r="AD127" s="6">
        <x:f>(S127*IF(E127="V",F127,0))+(S127*IF(G127="V",H127,0))</x:f>
      </x:c>
      <x:c r="AE127" s="6">
        <x:f>(S127*IF(E127="R",F127,0))+(S127*IF(G127="R",H127,0))</x:f>
      </x:c>
      <x:c r="AF127" s="6">
        <x:f>(S127*IF(E127="F",F127,0))+(S127*IF(G127="F",H127,0))</x:f>
      </x:c>
      <x:c r="AG127" s="6">
        <x:f>(S127*IF(E127="W",F127,0))+(S127*IF(G127="W",H127,0))</x:f>
      </x:c>
    </x:row>
    <x:row r="128">
      <x:c r="A128" s="3" t="inlineStr">
        <x:is>
          <x:t xml:space="preserve">Executive</x:t>
        </x:is>
      </x:c>
      <x:c r="B128" s="3" t="inlineStr">
        <x:is>
          <x:t xml:space="preserve">EXCO-D4-Q04</x:t>
        </x:is>
      </x:c>
      <x:c r="C128" s="3" t="inlineStr">
        <x:is>
          <x:t xml:space="preserve">T2</x:t>
        </x:is>
      </x:c>
      <x:c r="D128" s="3" t="inlineStr">
        <x:is>
          <x:t xml:space="preserve">4. People &amp; Culture</x:t>
        </x:is>
      </x:c>
      <x:c r="E128" s="3" t="inlineStr">
        <x:is>
          <x:t xml:space="preserve">H</x:t>
        </x:is>
      </x:c>
      <x:c r="F128" s="3" t="n">
        <x:v>1</x:v>
      </x:c>
      <x:c r="G128" s="3" t="inlineStr">
        <x:is>
          <x:t xml:space="preserve">-</x:t>
        </x:is>
      </x:c>
      <x:c r="H128" s="3" t="inlineStr">
        <x:is>
          <x:t xml:space="preserve"/>
        </x:is>
      </x:c>
      <x:c r="I128" s="3" t="inlineStr">
        <x:is>
          <x:t xml:space="preserve">How is positive security behaviour encouraged (not just punishment for mistakes)?</x:t>
        </x:is>
      </x:c>
      <x:c r="J128" s="3" t="inlineStr">
        <x:is>
          <x:t xml:space="preserve">Examples: recognising good reporting, simplifying secure ways of working, feedback after ‘near misses’.</x:t>
        </x:is>
      </x:c>
      <x:c r="K128" s="3" t="inlineStr">
        <x:is>
          <x:t xml:space="preserve">Drill-down; next=EXCO-D5-Q01</x:t>
        </x:is>
      </x:c>
      <x:c r="L128" s="3" t="inlineStr">
        <x:is>
          <x:t xml:space="preserve">CULT_SOFT</x:t>
        </x:is>
      </x:c>
      <x:c r="M128" s="3" t="n">
        <x:v>1</x:v>
      </x:c>
      <x:c r="N128" s="3" t="n"/>
      <x:c r="O128" s="3" t="n"/>
      <x:c r="P128" s="3" t="inlineStr">
        <x:is>
          <x:t xml:space="preserve">EXCO-D4-Q04-A3</x:t>
        </x:is>
      </x:c>
      <x:c r="Q128" s="3" t="n">
        <x:v>4</x:v>
      </x:c>
      <x:c r="R128" s="3" t="inlineStr">
        <x:is>
          <x:t xml:space="preserve">We do generic awareness communications, but behaviour change isn’t measured.</x:t>
        </x:is>
      </x:c>
      <x:c r="S128" s="3" t="n">
        <x:v>2</x:v>
      </x:c>
      <x:c r="T128" s="3" t="inlineStr">
        <x:is>
          <x:t xml:space="preserve">paper_process</x:t>
        </x:is>
      </x:c>
      <x:c r="U128" s="3" t="inlineStr">
        <x:is>
          <x:t xml:space="preserve">Paper Dragon</x:t>
        </x:is>
      </x:c>
      <x:c r="V128" s="3" t="inlineStr">
        <x:is>
          <x:t xml:space="preserve">Behavioral_Design</x:t>
        </x:is>
      </x:c>
      <x:c r="W128" s="3" t="inlineStr">
        <x:is>
          <x:t xml:space="preserve">N</x:t>
        </x:is>
      </x:c>
      <x:c r="X128" s="3" t="inlineStr">
        <x:is>
          <x:t xml:space="preserve"/>
        </x:is>
      </x:c>
      <x:c r="Y128" s="6">
        <x:f>(S128*IF(E128="G",F128,0))+(S128*IF(G128="G",H128,0))</x:f>
      </x:c>
      <x:c r="Z128" s="6">
        <x:f>(S128*IF(E128="E",F128,0))+(S128*IF(G128="E",H128,0))</x:f>
      </x:c>
      <x:c r="AA128" s="6">
        <x:f>(S128*IF(E128="T",F128,0))+(S128*IF(G128="T",H128,0))</x:f>
      </x:c>
      <x:c r="AB128" s="6">
        <x:f>(S128*IF(E128="L",F128,0))+(S128*IF(G128="L",H128,0))</x:f>
      </x:c>
      <x:c r="AC128" s="6">
        <x:f>(S128*IF(E128="H",F128,0))+(S128*IF(G128="H",H128,0))</x:f>
      </x:c>
      <x:c r="AD128" s="6">
        <x:f>(S128*IF(E128="V",F128,0))+(S128*IF(G128="V",H128,0))</x:f>
      </x:c>
      <x:c r="AE128" s="6">
        <x:f>(S128*IF(E128="R",F128,0))+(S128*IF(G128="R",H128,0))</x:f>
      </x:c>
      <x:c r="AF128" s="6">
        <x:f>(S128*IF(E128="F",F128,0))+(S128*IF(G128="F",H128,0))</x:f>
      </x:c>
      <x:c r="AG128" s="6">
        <x:f>(S128*IF(E128="W",F128,0))+(S128*IF(G128="W",H128,0))</x:f>
      </x:c>
    </x:row>
    <x:row r="129">
      <x:c r="A129" s="3" t="inlineStr">
        <x:is>
          <x:t xml:space="preserve">Executive</x:t>
        </x:is>
      </x:c>
      <x:c r="B129" s="3" t="inlineStr">
        <x:is>
          <x:t xml:space="preserve">EXCO-D4-Q04</x:t>
        </x:is>
      </x:c>
      <x:c r="C129" s="3" t="inlineStr">
        <x:is>
          <x:t xml:space="preserve">T2</x:t>
        </x:is>
      </x:c>
      <x:c r="D129" s="3" t="inlineStr">
        <x:is>
          <x:t xml:space="preserve">4. People &amp; Culture</x:t>
        </x:is>
      </x:c>
      <x:c r="E129" s="3" t="inlineStr">
        <x:is>
          <x:t xml:space="preserve">H</x:t>
        </x:is>
      </x:c>
      <x:c r="F129" s="3" t="n">
        <x:v>1</x:v>
      </x:c>
      <x:c r="G129" s="3" t="inlineStr">
        <x:is>
          <x:t xml:space="preserve">-</x:t>
        </x:is>
      </x:c>
      <x:c r="H129" s="3" t="inlineStr">
        <x:is>
          <x:t xml:space="preserve"/>
        </x:is>
      </x:c>
      <x:c r="I129" s="3" t="inlineStr">
        <x:is>
          <x:t xml:space="preserve">How is positive security behaviour encouraged (not just punishment for mistakes)?</x:t>
        </x:is>
      </x:c>
      <x:c r="J129" s="3" t="inlineStr">
        <x:is>
          <x:t xml:space="preserve">Examples: recognising good reporting, simplifying secure ways of working, feedback after ‘near misses’.</x:t>
        </x:is>
      </x:c>
      <x:c r="K129" s="3" t="inlineStr">
        <x:is>
          <x:t xml:space="preserve">Drill-down; next=EXCO-D5-Q01</x:t>
        </x:is>
      </x:c>
      <x:c r="L129" s="3" t="inlineStr">
        <x:is>
          <x:t xml:space="preserve">CULT_SOFT</x:t>
        </x:is>
      </x:c>
      <x:c r="M129" s="3" t="n">
        <x:v>1</x:v>
      </x:c>
      <x:c r="N129" s="3" t="n"/>
      <x:c r="O129" s="3" t="n"/>
      <x:c r="P129" s="3" t="inlineStr">
        <x:is>
          <x:t xml:space="preserve">EXCO-D4-Q04-A4</x:t>
        </x:is>
      </x:c>
      <x:c r="Q129" s="3" t="n">
        <x:v>5</x:v>
      </x:c>
      <x:c r="R129" s="3" t="inlineStr">
        <x:is>
          <x:t xml:space="preserve">We recognise good reporting and measure participation/engagement.</x:t>
        </x:is>
      </x:c>
      <x:c r="S129" s="3" t="n">
        <x:v>3</x:v>
      </x:c>
      <x:c r="T129" s="3" t="inlineStr">
        <x:is>
          <x:t xml:space="preserve">good_practice</x:t>
        </x:is>
      </x:c>
      <x:c r="U129" s="3" t="inlineStr">
        <x:is>
          <x:t xml:space="preserve"/>
        </x:is>
      </x:c>
      <x:c r="V129" s="3" t="inlineStr">
        <x:is>
          <x:t xml:space="preserve">Request_Evidence</x:t>
        </x:is>
      </x:c>
      <x:c r="W129" s="3" t="inlineStr">
        <x:is>
          <x:t xml:space="preserve">Y</x:t>
        </x:is>
      </x:c>
      <x:c r="X129" s="3" t="inlineStr">
        <x:is>
          <x:t xml:space="preserve"/>
        </x:is>
      </x:c>
      <x:c r="Y129" s="6">
        <x:f>(S129*IF(E129="G",F129,0))+(S129*IF(G129="G",H129,0))</x:f>
      </x:c>
      <x:c r="Z129" s="6">
        <x:f>(S129*IF(E129="E",F129,0))+(S129*IF(G129="E",H129,0))</x:f>
      </x:c>
      <x:c r="AA129" s="6">
        <x:f>(S129*IF(E129="T",F129,0))+(S129*IF(G129="T",H129,0))</x:f>
      </x:c>
      <x:c r="AB129" s="6">
        <x:f>(S129*IF(E129="L",F129,0))+(S129*IF(G129="L",H129,0))</x:f>
      </x:c>
      <x:c r="AC129" s="6">
        <x:f>(S129*IF(E129="H",F129,0))+(S129*IF(G129="H",H129,0))</x:f>
      </x:c>
      <x:c r="AD129" s="6">
        <x:f>(S129*IF(E129="V",F129,0))+(S129*IF(G129="V",H129,0))</x:f>
      </x:c>
      <x:c r="AE129" s="6">
        <x:f>(S129*IF(E129="R",F129,0))+(S129*IF(G129="R",H129,0))</x:f>
      </x:c>
      <x:c r="AF129" s="6">
        <x:f>(S129*IF(E129="F",F129,0))+(S129*IF(G129="F",H129,0))</x:f>
      </x:c>
      <x:c r="AG129" s="6">
        <x:f>(S129*IF(E129="W",F129,0))+(S129*IF(G129="W",H129,0))</x:f>
      </x:c>
    </x:row>
    <x:row r="130">
      <x:c r="A130" s="3" t="inlineStr">
        <x:is>
          <x:t xml:space="preserve">Executive</x:t>
        </x:is>
      </x:c>
      <x:c r="B130" s="3" t="inlineStr">
        <x:is>
          <x:t xml:space="preserve">EXCO-D4-Q04</x:t>
        </x:is>
      </x:c>
      <x:c r="C130" s="3" t="inlineStr">
        <x:is>
          <x:t xml:space="preserve">T2</x:t>
        </x:is>
      </x:c>
      <x:c r="D130" s="3" t="inlineStr">
        <x:is>
          <x:t xml:space="preserve">4. People &amp; Culture</x:t>
        </x:is>
      </x:c>
      <x:c r="E130" s="3" t="inlineStr">
        <x:is>
          <x:t xml:space="preserve">H</x:t>
        </x:is>
      </x:c>
      <x:c r="F130" s="3" t="n">
        <x:v>1</x:v>
      </x:c>
      <x:c r="G130" s="3" t="inlineStr">
        <x:is>
          <x:t xml:space="preserve">-</x:t>
        </x:is>
      </x:c>
      <x:c r="H130" s="3" t="inlineStr">
        <x:is>
          <x:t xml:space="preserve"/>
        </x:is>
      </x:c>
      <x:c r="I130" s="3" t="inlineStr">
        <x:is>
          <x:t xml:space="preserve">How is positive security behaviour encouraged (not just punishment for mistakes)?</x:t>
        </x:is>
      </x:c>
      <x:c r="J130" s="3" t="inlineStr">
        <x:is>
          <x:t xml:space="preserve">Examples: recognising good reporting, simplifying secure ways of working, feedback after ‘near misses’.</x:t>
        </x:is>
      </x:c>
      <x:c r="K130" s="3" t="inlineStr">
        <x:is>
          <x:t xml:space="preserve">Drill-down; next=EXCO-D5-Q01</x:t>
        </x:is>
      </x:c>
      <x:c r="L130" s="3" t="inlineStr">
        <x:is>
          <x:t xml:space="preserve">CULT_SOFT</x:t>
        </x:is>
      </x:c>
      <x:c r="M130" s="3" t="n">
        <x:v>1</x:v>
      </x:c>
      <x:c r="N130" s="3" t="n"/>
      <x:c r="O130" s="3" t="n"/>
      <x:c r="P130" s="3" t="inlineStr">
        <x:is>
          <x:t xml:space="preserve">EXCO-D4-Q04-A5</x:t>
        </x:is>
      </x:c>
      <x:c r="Q130" s="3" t="n">
        <x:v>6</x:v>
      </x:c>
      <x:c r="R130" s="3" t="inlineStr">
        <x:is>
          <x:t xml:space="preserve">We run behavioural programs (nudges, simplification, incentives) with measurable outcomes.</x:t>
        </x:is>
      </x:c>
      <x:c r="S130" s="3" t="n">
        <x:v>4</x:v>
      </x:c>
      <x:c r="T130" s="3" t="inlineStr">
        <x:is>
          <x:t xml:space="preserve">optimized</x:t>
        </x:is>
      </x:c>
      <x:c r="U130" s="3" t="inlineStr">
        <x:is>
          <x:t xml:space="preserve"/>
        </x:is>
      </x:c>
      <x:c r="V130" s="3" t="inlineStr">
        <x:is>
          <x:t xml:space="preserve">Request_Evidence</x:t>
        </x:is>
      </x:c>
      <x:c r="W130" s="3" t="inlineStr">
        <x:is>
          <x:t xml:space="preserve">Y</x:t>
        </x:is>
      </x:c>
      <x:c r="X130" s="3" t="inlineStr">
        <x:is>
          <x:t xml:space="preserve"/>
        </x:is>
      </x:c>
      <x:c r="Y130" s="6">
        <x:f>(S130*IF(E130="G",F130,0))+(S130*IF(G130="G",H130,0))</x:f>
      </x:c>
      <x:c r="Z130" s="6">
        <x:f>(S130*IF(E130="E",F130,0))+(S130*IF(G130="E",H130,0))</x:f>
      </x:c>
      <x:c r="AA130" s="6">
        <x:f>(S130*IF(E130="T",F130,0))+(S130*IF(G130="T",H130,0))</x:f>
      </x:c>
      <x:c r="AB130" s="6">
        <x:f>(S130*IF(E130="L",F130,0))+(S130*IF(G130="L",H130,0))</x:f>
      </x:c>
      <x:c r="AC130" s="6">
        <x:f>(S130*IF(E130="H",F130,0))+(S130*IF(G130="H",H130,0))</x:f>
      </x:c>
      <x:c r="AD130" s="6">
        <x:f>(S130*IF(E130="V",F130,0))+(S130*IF(G130="V",H130,0))</x:f>
      </x:c>
      <x:c r="AE130" s="6">
        <x:f>(S130*IF(E130="R",F130,0))+(S130*IF(G130="R",H130,0))</x:f>
      </x:c>
      <x:c r="AF130" s="6">
        <x:f>(S130*IF(E130="F",F130,0))+(S130*IF(G130="F",H130,0))</x:f>
      </x:c>
      <x:c r="AG130" s="6">
        <x:f>(S130*IF(E130="W",F130,0))+(S130*IF(G130="W",H130,0))</x:f>
      </x:c>
    </x:row>
    <x:row r="131">
      <x:c r="A131" s="3" t="inlineStr">
        <x:is>
          <x:t xml:space="preserve">Executive</x:t>
        </x:is>
      </x:c>
      <x:c r="B131" s="3" t="inlineStr">
        <x:is>
          <x:t xml:space="preserve">EXCO-D5-Q01</x:t>
        </x:is>
      </x:c>
      <x:c r="C131" s="3" t="inlineStr">
        <x:is>
          <x:t xml:space="preserve">T1</x:t>
        </x:is>
      </x:c>
      <x:c r="D131" s="3" t="inlineStr">
        <x:is>
          <x:t xml:space="preserve">5. Friction &amp; Productivity</x:t>
        </x:is>
      </x:c>
      <x:c r="E131" s="3" t="inlineStr">
        <x:is>
          <x:t xml:space="preserve">F</x:t>
        </x:is>
      </x:c>
      <x:c r="F131" s="3" t="n">
        <x:v>0.7</x:v>
      </x:c>
      <x:c r="G131" s="3" t="inlineStr">
        <x:is>
          <x:t xml:space="preserve">E</x:t>
        </x:is>
      </x:c>
      <x:c r="H131" s="3" t="n">
        <x:v>0.3</x:v>
      </x:c>
      <x:c r="I131" s="3" t="inlineStr">
        <x:is>
          <x:t xml:space="preserve">Do security controls make it hard for people to do their job, leading to workarounds (e.g., personal email/SaaS)?</x:t>
        </x:is>
      </x:c>
      <x:c r="J131" s="3" t="inlineStr">
        <x:is>
          <x:t xml:space="preserve">This is about bypass pressure: the gap between secure ways of working and what people need to do.</x:t>
        </x:is>
      </x:c>
      <x:c r="K131" s="3" t="inlineStr">
        <x:is>
          <x:t xml:space="preserve">Gatekeeper; if BaseScore&lt;2 -&gt; next=EXCO-D5-Q02; else next=EXCO-D5-Q03</x:t>
        </x:is>
      </x:c>
      <x:c r="L131" s="3" t="inlineStr">
        <x:is>
          <x:t xml:space="preserve">OPS_STD</x:t>
        </x:is>
      </x:c>
      <x:c r="M131" s="3" t="n">
        <x:v>1</x:v>
      </x:c>
      <x:c r="N131" s="3" t="n"/>
      <x:c r="O131" s="3" t="n"/>
      <x:c r="P131" s="3" t="inlineStr">
        <x:is>
          <x:t xml:space="preserve">EXCO-D5-Q01-A0</x:t>
        </x:is>
      </x:c>
      <x:c r="Q131" s="3" t="n">
        <x:v>1</x:v>
      </x:c>
      <x:c r="R131" s="3" t="inlineStr">
        <x:is>
          <x:t xml:space="preserve">I don’t know / not sure.</x:t>
        </x:is>
      </x:c>
      <x:c r="S131" s="3" t="n">
        <x:v>0</x:v>
      </x:c>
      <x:c r="T131" s="3" t="inlineStr">
        <x:is>
          <x:t xml:space="preserve">unknown</x:t>
        </x:is>
      </x:c>
      <x:c r="U131" s="3" t="inlineStr">
        <x:is>
          <x:t xml:space="preserve">Unknown</x:t>
        </x:is>
      </x:c>
      <x:c r="V131" s="3" t="inlineStr">
        <x:is>
          <x:t xml:space="preserve">Assess_Friction</x:t>
        </x:is>
      </x:c>
      <x:c r="W131" s="3" t="inlineStr">
        <x:is>
          <x:t xml:space="preserve">N</x:t>
        </x:is>
      </x:c>
      <x:c r="X131" s="3" t="inlineStr">
        <x:is>
          <x:t xml:space="preserve"/>
        </x:is>
      </x:c>
      <x:c r="Y131" s="6">
        <x:f>(S131*IF(E131="G",F131,0))+(S131*IF(G131="G",H131,0))</x:f>
      </x:c>
      <x:c r="Z131" s="6">
        <x:f>(S131*IF(E131="E",F131,0))+(S131*IF(G131="E",H131,0))</x:f>
      </x:c>
      <x:c r="AA131" s="6">
        <x:f>(S131*IF(E131="T",F131,0))+(S131*IF(G131="T",H131,0))</x:f>
      </x:c>
      <x:c r="AB131" s="6">
        <x:f>(S131*IF(E131="L",F131,0))+(S131*IF(G131="L",H131,0))</x:f>
      </x:c>
      <x:c r="AC131" s="6">
        <x:f>(S131*IF(E131="H",F131,0))+(S131*IF(G131="H",H131,0))</x:f>
      </x:c>
      <x:c r="AD131" s="6">
        <x:f>(S131*IF(E131="V",F131,0))+(S131*IF(G131="V",H131,0))</x:f>
      </x:c>
      <x:c r="AE131" s="6">
        <x:f>(S131*IF(E131="R",F131,0))+(S131*IF(G131="R",H131,0))</x:f>
      </x:c>
      <x:c r="AF131" s="6">
        <x:f>(S131*IF(E131="F",F131,0))+(S131*IF(G131="F",H131,0))</x:f>
      </x:c>
      <x:c r="AG131" s="6">
        <x:f>(S131*IF(E131="W",F131,0))+(S131*IF(G131="W",H131,0))</x:f>
      </x:c>
    </x:row>
    <x:row r="132">
      <x:c r="A132" s="3" t="inlineStr">
        <x:is>
          <x:t xml:space="preserve">Executive</x:t>
        </x:is>
      </x:c>
      <x:c r="B132" s="3" t="inlineStr">
        <x:is>
          <x:t xml:space="preserve">EXCO-D5-Q01</x:t>
        </x:is>
      </x:c>
      <x:c r="C132" s="3" t="inlineStr">
        <x:is>
          <x:t xml:space="preserve">T1</x:t>
        </x:is>
      </x:c>
      <x:c r="D132" s="3" t="inlineStr">
        <x:is>
          <x:t xml:space="preserve">5. Friction &amp; Productivity</x:t>
        </x:is>
      </x:c>
      <x:c r="E132" s="3" t="inlineStr">
        <x:is>
          <x:t xml:space="preserve">F</x:t>
        </x:is>
      </x:c>
      <x:c r="F132" s="3" t="n">
        <x:v>0.7</x:v>
      </x:c>
      <x:c r="G132" s="3" t="inlineStr">
        <x:is>
          <x:t xml:space="preserve">E</x:t>
        </x:is>
      </x:c>
      <x:c r="H132" s="3" t="n">
        <x:v>0.3</x:v>
      </x:c>
      <x:c r="I132" s="3" t="inlineStr">
        <x:is>
          <x:t xml:space="preserve">Do security controls make it hard for people to do their job, leading to workarounds (e.g., personal email/SaaS)?</x:t>
        </x:is>
      </x:c>
      <x:c r="J132" s="3" t="inlineStr">
        <x:is>
          <x:t xml:space="preserve">This is about bypass pressure: the gap between secure ways of working and what people need to do.</x:t>
        </x:is>
      </x:c>
      <x:c r="K132" s="3" t="inlineStr">
        <x:is>
          <x:t xml:space="preserve">Gatekeeper; if BaseScore&lt;2 -&gt; next=EXCO-D5-Q02; else next=EXCO-D5-Q03</x:t>
        </x:is>
      </x:c>
      <x:c r="L132" s="3" t="inlineStr">
        <x:is>
          <x:t xml:space="preserve">OPS_STD</x:t>
        </x:is>
      </x:c>
      <x:c r="M132" s="3" t="n">
        <x:v>1</x:v>
      </x:c>
      <x:c r="N132" s="3" t="n"/>
      <x:c r="O132" s="3" t="n"/>
      <x:c r="P132" s="3" t="inlineStr">
        <x:is>
          <x:t xml:space="preserve">EXCO-D5-Q01-A1</x:t>
        </x:is>
      </x:c>
      <x:c r="Q132" s="3" t="n">
        <x:v>2</x:v>
      </x:c>
      <x:c r="R132" s="3" t="inlineStr">
        <x:is>
          <x:t xml:space="preserve">High friction—controls frequently block normal work; people regularly use workarounds.</x:t>
        </x:is>
      </x:c>
      <x:c r="S132" s="3" t="n">
        <x:v>0</x:v>
      </x:c>
      <x:c r="T132" s="3" t="inlineStr">
        <x:is>
          <x:t xml:space="preserve">bypass_pressure</x:t>
        </x:is>
      </x:c>
      <x:c r="U132" s="3" t="inlineStr">
        <x:is>
          <x:t xml:space="preserve">Bypass Pressure</x:t>
        </x:is>
      </x:c>
      <x:c r="V132" s="3" t="inlineStr">
        <x:is>
          <x:t xml:space="preserve">Security_UX_Review</x:t>
        </x:is>
      </x:c>
      <x:c r="W132" s="3" t="inlineStr">
        <x:is>
          <x:t xml:space="preserve">N</x:t>
        </x:is>
      </x:c>
      <x:c r="X132" s="3" t="inlineStr">
        <x:is>
          <x:t xml:space="preserve"/>
        </x:is>
      </x:c>
      <x:c r="Y132" s="6">
        <x:f>(S132*IF(E132="G",F132,0))+(S132*IF(G132="G",H132,0))</x:f>
      </x:c>
      <x:c r="Z132" s="6">
        <x:f>(S132*IF(E132="E",F132,0))+(S132*IF(G132="E",H132,0))</x:f>
      </x:c>
      <x:c r="AA132" s="6">
        <x:f>(S132*IF(E132="T",F132,0))+(S132*IF(G132="T",H132,0))</x:f>
      </x:c>
      <x:c r="AB132" s="6">
        <x:f>(S132*IF(E132="L",F132,0))+(S132*IF(G132="L",H132,0))</x:f>
      </x:c>
      <x:c r="AC132" s="6">
        <x:f>(S132*IF(E132="H",F132,0))+(S132*IF(G132="H",H132,0))</x:f>
      </x:c>
      <x:c r="AD132" s="6">
        <x:f>(S132*IF(E132="V",F132,0))+(S132*IF(G132="V",H132,0))</x:f>
      </x:c>
      <x:c r="AE132" s="6">
        <x:f>(S132*IF(E132="R",F132,0))+(S132*IF(G132="R",H132,0))</x:f>
      </x:c>
      <x:c r="AF132" s="6">
        <x:f>(S132*IF(E132="F",F132,0))+(S132*IF(G132="F",H132,0))</x:f>
      </x:c>
      <x:c r="AG132" s="6">
        <x:f>(S132*IF(E132="W",F132,0))+(S132*IF(G132="W",H132,0))</x:f>
      </x:c>
    </x:row>
    <x:row r="133">
      <x:c r="A133" s="3" t="inlineStr">
        <x:is>
          <x:t xml:space="preserve">Executive</x:t>
        </x:is>
      </x:c>
      <x:c r="B133" s="3" t="inlineStr">
        <x:is>
          <x:t xml:space="preserve">EXCO-D5-Q01</x:t>
        </x:is>
      </x:c>
      <x:c r="C133" s="3" t="inlineStr">
        <x:is>
          <x:t xml:space="preserve">T1</x:t>
        </x:is>
      </x:c>
      <x:c r="D133" s="3" t="inlineStr">
        <x:is>
          <x:t xml:space="preserve">5. Friction &amp; Productivity</x:t>
        </x:is>
      </x:c>
      <x:c r="E133" s="3" t="inlineStr">
        <x:is>
          <x:t xml:space="preserve">F</x:t>
        </x:is>
      </x:c>
      <x:c r="F133" s="3" t="n">
        <x:v>0.7</x:v>
      </x:c>
      <x:c r="G133" s="3" t="inlineStr">
        <x:is>
          <x:t xml:space="preserve">E</x:t>
        </x:is>
      </x:c>
      <x:c r="H133" s="3" t="n">
        <x:v>0.3</x:v>
      </x:c>
      <x:c r="I133" s="3" t="inlineStr">
        <x:is>
          <x:t xml:space="preserve">Do security controls make it hard for people to do their job, leading to workarounds (e.g., personal email/SaaS)?</x:t>
        </x:is>
      </x:c>
      <x:c r="J133" s="3" t="inlineStr">
        <x:is>
          <x:t xml:space="preserve">This is about bypass pressure: the gap between secure ways of working and what people need to do.</x:t>
        </x:is>
      </x:c>
      <x:c r="K133" s="3" t="inlineStr">
        <x:is>
          <x:t xml:space="preserve">Gatekeeper; if BaseScore&lt;2 -&gt; next=EXCO-D5-Q02; else next=EXCO-D5-Q03</x:t>
        </x:is>
      </x:c>
      <x:c r="L133" s="3" t="inlineStr">
        <x:is>
          <x:t xml:space="preserve">OPS_STD</x:t>
        </x:is>
      </x:c>
      <x:c r="M133" s="3" t="n">
        <x:v>1</x:v>
      </x:c>
      <x:c r="N133" s="3" t="n"/>
      <x:c r="O133" s="3" t="n"/>
      <x:c r="P133" s="3" t="inlineStr">
        <x:is>
          <x:t xml:space="preserve">EXCO-D5-Q01-A2</x:t>
        </x:is>
      </x:c>
      <x:c r="Q133" s="3" t="n">
        <x:v>3</x:v>
      </x:c>
      <x:c r="R133" s="3" t="inlineStr">
        <x:is>
          <x:t xml:space="preserve">Moderate friction—workarounds happen in some teams or processes.</x:t>
        </x:is>
      </x:c>
      <x:c r="S133" s="3" t="n">
        <x:v>1</x:v>
      </x:c>
      <x:c r="T133" s="3" t="inlineStr">
        <x:is>
          <x:t xml:space="preserve">bypass_pressure</x:t>
        </x:is>
      </x:c>
      <x:c r="U133" s="3" t="inlineStr">
        <x:is>
          <x:t xml:space="preserve">Bypass Pressure</x:t>
        </x:is>
      </x:c>
      <x:c r="V133" s="3" t="inlineStr">
        <x:is>
          <x:t xml:space="preserve">Security_UX_Review</x:t>
        </x:is>
      </x:c>
      <x:c r="W133" s="3" t="inlineStr">
        <x:is>
          <x:t xml:space="preserve">N</x:t>
        </x:is>
      </x:c>
      <x:c r="X133" s="3" t="inlineStr">
        <x:is>
          <x:t xml:space="preserve"/>
        </x:is>
      </x:c>
      <x:c r="Y133" s="6">
        <x:f>(S133*IF(E133="G",F133,0))+(S133*IF(G133="G",H133,0))</x:f>
      </x:c>
      <x:c r="Z133" s="6">
        <x:f>(S133*IF(E133="E",F133,0))+(S133*IF(G133="E",H133,0))</x:f>
      </x:c>
      <x:c r="AA133" s="6">
        <x:f>(S133*IF(E133="T",F133,0))+(S133*IF(G133="T",H133,0))</x:f>
      </x:c>
      <x:c r="AB133" s="6">
        <x:f>(S133*IF(E133="L",F133,0))+(S133*IF(G133="L",H133,0))</x:f>
      </x:c>
      <x:c r="AC133" s="6">
        <x:f>(S133*IF(E133="H",F133,0))+(S133*IF(G133="H",H133,0))</x:f>
      </x:c>
      <x:c r="AD133" s="6">
        <x:f>(S133*IF(E133="V",F133,0))+(S133*IF(G133="V",H133,0))</x:f>
      </x:c>
      <x:c r="AE133" s="6">
        <x:f>(S133*IF(E133="R",F133,0))+(S133*IF(G133="R",H133,0))</x:f>
      </x:c>
      <x:c r="AF133" s="6">
        <x:f>(S133*IF(E133="F",F133,0))+(S133*IF(G133="F",H133,0))</x:f>
      </x:c>
      <x:c r="AG133" s="6">
        <x:f>(S133*IF(E133="W",F133,0))+(S133*IF(G133="W",H133,0))</x:f>
      </x:c>
    </x:row>
    <x:row r="134">
      <x:c r="A134" s="3" t="inlineStr">
        <x:is>
          <x:t xml:space="preserve">Executive</x:t>
        </x:is>
      </x:c>
      <x:c r="B134" s="3" t="inlineStr">
        <x:is>
          <x:t xml:space="preserve">EXCO-D5-Q01</x:t>
        </x:is>
      </x:c>
      <x:c r="C134" s="3" t="inlineStr">
        <x:is>
          <x:t xml:space="preserve">T1</x:t>
        </x:is>
      </x:c>
      <x:c r="D134" s="3" t="inlineStr">
        <x:is>
          <x:t xml:space="preserve">5. Friction &amp; Productivity</x:t>
        </x:is>
      </x:c>
      <x:c r="E134" s="3" t="inlineStr">
        <x:is>
          <x:t xml:space="preserve">F</x:t>
        </x:is>
      </x:c>
      <x:c r="F134" s="3" t="n">
        <x:v>0.7</x:v>
      </x:c>
      <x:c r="G134" s="3" t="inlineStr">
        <x:is>
          <x:t xml:space="preserve">E</x:t>
        </x:is>
      </x:c>
      <x:c r="H134" s="3" t="n">
        <x:v>0.3</x:v>
      </x:c>
      <x:c r="I134" s="3" t="inlineStr">
        <x:is>
          <x:t xml:space="preserve">Do security controls make it hard for people to do their job, leading to workarounds (e.g., personal email/SaaS)?</x:t>
        </x:is>
      </x:c>
      <x:c r="J134" s="3" t="inlineStr">
        <x:is>
          <x:t xml:space="preserve">This is about bypass pressure: the gap between secure ways of working and what people need to do.</x:t>
        </x:is>
      </x:c>
      <x:c r="K134" s="3" t="inlineStr">
        <x:is>
          <x:t xml:space="preserve">Gatekeeper; if BaseScore&lt;2 -&gt; next=EXCO-D5-Q02; else next=EXCO-D5-Q03</x:t>
        </x:is>
      </x:c>
      <x:c r="L134" s="3" t="inlineStr">
        <x:is>
          <x:t xml:space="preserve">OPS_STD</x:t>
        </x:is>
      </x:c>
      <x:c r="M134" s="3" t="n">
        <x:v>1</x:v>
      </x:c>
      <x:c r="N134" s="3" t="n"/>
      <x:c r="O134" s="3" t="n"/>
      <x:c r="P134" s="3" t="inlineStr">
        <x:is>
          <x:t xml:space="preserve">EXCO-D5-Q01-A3</x:t>
        </x:is>
      </x:c>
      <x:c r="Q134" s="3" t="n">
        <x:v>4</x:v>
      </x:c>
      <x:c r="R134" s="3" t="inlineStr">
        <x:is>
          <x:t xml:space="preserve">We think it’s fine, but we don’t measure exceptions, bypasses, or complaints.</x:t>
        </x:is>
      </x:c>
      <x:c r="S134" s="3" t="n">
        <x:v>2</x:v>
      </x:c>
      <x:c r="T134" s="3" t="inlineStr">
        <x:is>
          <x:t xml:space="preserve">blind_spot</x:t>
        </x:is>
      </x:c>
      <x:c r="U134" s="3" t="inlineStr">
        <x:is>
          <x:t xml:space="preserve">Paper Dragon</x:t>
        </x:is>
      </x:c>
      <x:c r="V134" s="3" t="inlineStr">
        <x:is>
          <x:t xml:space="preserve">Measure_Friction</x:t>
        </x:is>
      </x:c>
      <x:c r="W134" s="3" t="inlineStr">
        <x:is>
          <x:t xml:space="preserve">N</x:t>
        </x:is>
      </x:c>
      <x:c r="X134" s="3" t="inlineStr">
        <x:is>
          <x:t xml:space="preserve"/>
        </x:is>
      </x:c>
      <x:c r="Y134" s="6">
        <x:f>(S134*IF(E134="G",F134,0))+(S134*IF(G134="G",H134,0))</x:f>
      </x:c>
      <x:c r="Z134" s="6">
        <x:f>(S134*IF(E134="E",F134,0))+(S134*IF(G134="E",H134,0))</x:f>
      </x:c>
      <x:c r="AA134" s="6">
        <x:f>(S134*IF(E134="T",F134,0))+(S134*IF(G134="T",H134,0))</x:f>
      </x:c>
      <x:c r="AB134" s="6">
        <x:f>(S134*IF(E134="L",F134,0))+(S134*IF(G134="L",H134,0))</x:f>
      </x:c>
      <x:c r="AC134" s="6">
        <x:f>(S134*IF(E134="H",F134,0))+(S134*IF(G134="H",H134,0))</x:f>
      </x:c>
      <x:c r="AD134" s="6">
        <x:f>(S134*IF(E134="V",F134,0))+(S134*IF(G134="V",H134,0))</x:f>
      </x:c>
      <x:c r="AE134" s="6">
        <x:f>(S134*IF(E134="R",F134,0))+(S134*IF(G134="R",H134,0))</x:f>
      </x:c>
      <x:c r="AF134" s="6">
        <x:f>(S134*IF(E134="F",F134,0))+(S134*IF(G134="F",H134,0))</x:f>
      </x:c>
      <x:c r="AG134" s="6">
        <x:f>(S134*IF(E134="W",F134,0))+(S134*IF(G134="W",H134,0))</x:f>
      </x:c>
    </x:row>
    <x:row r="135">
      <x:c r="A135" s="3" t="inlineStr">
        <x:is>
          <x:t xml:space="preserve">Executive</x:t>
        </x:is>
      </x:c>
      <x:c r="B135" s="3" t="inlineStr">
        <x:is>
          <x:t xml:space="preserve">EXCO-D5-Q01</x:t>
        </x:is>
      </x:c>
      <x:c r="C135" s="3" t="inlineStr">
        <x:is>
          <x:t xml:space="preserve">T1</x:t>
        </x:is>
      </x:c>
      <x:c r="D135" s="3" t="inlineStr">
        <x:is>
          <x:t xml:space="preserve">5. Friction &amp; Productivity</x:t>
        </x:is>
      </x:c>
      <x:c r="E135" s="3" t="inlineStr">
        <x:is>
          <x:t xml:space="preserve">F</x:t>
        </x:is>
      </x:c>
      <x:c r="F135" s="3" t="n">
        <x:v>0.7</x:v>
      </x:c>
      <x:c r="G135" s="3" t="inlineStr">
        <x:is>
          <x:t xml:space="preserve">E</x:t>
        </x:is>
      </x:c>
      <x:c r="H135" s="3" t="n">
        <x:v>0.3</x:v>
      </x:c>
      <x:c r="I135" s="3" t="inlineStr">
        <x:is>
          <x:t xml:space="preserve">Do security controls make it hard for people to do their job, leading to workarounds (e.g., personal email/SaaS)?</x:t>
        </x:is>
      </x:c>
      <x:c r="J135" s="3" t="inlineStr">
        <x:is>
          <x:t xml:space="preserve">This is about bypass pressure: the gap between secure ways of working and what people need to do.</x:t>
        </x:is>
      </x:c>
      <x:c r="K135" s="3" t="inlineStr">
        <x:is>
          <x:t xml:space="preserve">Gatekeeper; if BaseScore&lt;2 -&gt; next=EXCO-D5-Q02; else next=EXCO-D5-Q03</x:t>
        </x:is>
      </x:c>
      <x:c r="L135" s="3" t="inlineStr">
        <x:is>
          <x:t xml:space="preserve">OPS_STD</x:t>
        </x:is>
      </x:c>
      <x:c r="M135" s="3" t="n">
        <x:v>1</x:v>
      </x:c>
      <x:c r="N135" s="3" t="n"/>
      <x:c r="O135" s="3" t="n"/>
      <x:c r="P135" s="3" t="inlineStr">
        <x:is>
          <x:t xml:space="preserve">EXCO-D5-Q01-A4</x:t>
        </x:is>
      </x:c>
      <x:c r="Q135" s="3" t="n">
        <x:v>5</x:v>
      </x:c>
      <x:c r="R135" s="3" t="inlineStr">
        <x:is>
          <x:t xml:space="preserve">Friction is monitored (exceptions, tickets, false positives) and we improve controls regularly.</x:t>
        </x:is>
      </x:c>
      <x:c r="S135" s="3" t="n">
        <x:v>3</x:v>
      </x:c>
      <x:c r="T135" s="3" t="inlineStr">
        <x:is>
          <x:t xml:space="preserve">good_practice</x:t>
        </x:is>
      </x:c>
      <x:c r="U135" s="3" t="inlineStr">
        <x:is>
          <x:t xml:space="preserve"/>
        </x:is>
      </x:c>
      <x:c r="V135" s="3" t="inlineStr">
        <x:is>
          <x:t xml:space="preserve">Request_Evidence</x:t>
        </x:is>
      </x:c>
      <x:c r="W135" s="3" t="inlineStr">
        <x:is>
          <x:t xml:space="preserve">Y</x:t>
        </x:is>
      </x:c>
      <x:c r="X135" s="3" t="inlineStr">
        <x:is>
          <x:t xml:space="preserve"/>
        </x:is>
      </x:c>
      <x:c r="Y135" s="6">
        <x:f>(S135*IF(E135="G",F135,0))+(S135*IF(G135="G",H135,0))</x:f>
      </x:c>
      <x:c r="Z135" s="6">
        <x:f>(S135*IF(E135="E",F135,0))+(S135*IF(G135="E",H135,0))</x:f>
      </x:c>
      <x:c r="AA135" s="6">
        <x:f>(S135*IF(E135="T",F135,0))+(S135*IF(G135="T",H135,0))</x:f>
      </x:c>
      <x:c r="AB135" s="6">
        <x:f>(S135*IF(E135="L",F135,0))+(S135*IF(G135="L",H135,0))</x:f>
      </x:c>
      <x:c r="AC135" s="6">
        <x:f>(S135*IF(E135="H",F135,0))+(S135*IF(G135="H",H135,0))</x:f>
      </x:c>
      <x:c r="AD135" s="6">
        <x:f>(S135*IF(E135="V",F135,0))+(S135*IF(G135="V",H135,0))</x:f>
      </x:c>
      <x:c r="AE135" s="6">
        <x:f>(S135*IF(E135="R",F135,0))+(S135*IF(G135="R",H135,0))</x:f>
      </x:c>
      <x:c r="AF135" s="6">
        <x:f>(S135*IF(E135="F",F135,0))+(S135*IF(G135="F",H135,0))</x:f>
      </x:c>
      <x:c r="AG135" s="6">
        <x:f>(S135*IF(E135="W",F135,0))+(S135*IF(G135="W",H135,0))</x:f>
      </x:c>
    </x:row>
    <x:row r="136">
      <x:c r="A136" s="3" t="inlineStr">
        <x:is>
          <x:t xml:space="preserve">Executive</x:t>
        </x:is>
      </x:c>
      <x:c r="B136" s="3" t="inlineStr">
        <x:is>
          <x:t xml:space="preserve">EXCO-D5-Q01</x:t>
        </x:is>
      </x:c>
      <x:c r="C136" s="3" t="inlineStr">
        <x:is>
          <x:t xml:space="preserve">T1</x:t>
        </x:is>
      </x:c>
      <x:c r="D136" s="3" t="inlineStr">
        <x:is>
          <x:t xml:space="preserve">5. Friction &amp; Productivity</x:t>
        </x:is>
      </x:c>
      <x:c r="E136" s="3" t="inlineStr">
        <x:is>
          <x:t xml:space="preserve">F</x:t>
        </x:is>
      </x:c>
      <x:c r="F136" s="3" t="n">
        <x:v>0.7</x:v>
      </x:c>
      <x:c r="G136" s="3" t="inlineStr">
        <x:is>
          <x:t xml:space="preserve">E</x:t>
        </x:is>
      </x:c>
      <x:c r="H136" s="3" t="n">
        <x:v>0.3</x:v>
      </x:c>
      <x:c r="I136" s="3" t="inlineStr">
        <x:is>
          <x:t xml:space="preserve">Do security controls make it hard for people to do their job, leading to workarounds (e.g., personal email/SaaS)?</x:t>
        </x:is>
      </x:c>
      <x:c r="J136" s="3" t="inlineStr">
        <x:is>
          <x:t xml:space="preserve">This is about bypass pressure: the gap between secure ways of working and what people need to do.</x:t>
        </x:is>
      </x:c>
      <x:c r="K136" s="3" t="inlineStr">
        <x:is>
          <x:t xml:space="preserve">Gatekeeper; if BaseScore&lt;2 -&gt; next=EXCO-D5-Q02; else next=EXCO-D5-Q03</x:t>
        </x:is>
      </x:c>
      <x:c r="L136" s="3" t="inlineStr">
        <x:is>
          <x:t xml:space="preserve">OPS_STD</x:t>
        </x:is>
      </x:c>
      <x:c r="M136" s="3" t="n">
        <x:v>1</x:v>
      </x:c>
      <x:c r="N136" s="3" t="n"/>
      <x:c r="O136" s="3" t="n"/>
      <x:c r="P136" s="3" t="inlineStr">
        <x:is>
          <x:t xml:space="preserve">EXCO-D5-Q01-A5</x:t>
        </x:is>
      </x:c>
      <x:c r="Q136" s="3" t="n">
        <x:v>6</x:v>
      </x:c>
      <x:c r="R136" s="3" t="inlineStr">
        <x:is>
          <x:t xml:space="preserve">Controls are designed for usability; bypass signals are low and measured; improvements are continuous.</x:t>
        </x:is>
      </x:c>
      <x:c r="S136" s="3" t="n">
        <x:v>4</x:v>
      </x:c>
      <x:c r="T136" s="3" t="inlineStr">
        <x:is>
          <x:t xml:space="preserve">optimized</x:t>
        </x:is>
      </x:c>
      <x:c r="U136" s="3" t="inlineStr">
        <x:is>
          <x:t xml:space="preserve"/>
        </x:is>
      </x:c>
      <x:c r="V136" s="3" t="inlineStr">
        <x:is>
          <x:t xml:space="preserve">Request_Evidence</x:t>
        </x:is>
      </x:c>
      <x:c r="W136" s="3" t="inlineStr">
        <x:is>
          <x:t xml:space="preserve">Y</x:t>
        </x:is>
      </x:c>
      <x:c r="X136" s="3" t="inlineStr">
        <x:is>
          <x:t xml:space="preserve"/>
        </x:is>
      </x:c>
      <x:c r="Y136" s="6">
        <x:f>(S136*IF(E136="G",F136,0))+(S136*IF(G136="G",H136,0))</x:f>
      </x:c>
      <x:c r="Z136" s="6">
        <x:f>(S136*IF(E136="E",F136,0))+(S136*IF(G136="E",H136,0))</x:f>
      </x:c>
      <x:c r="AA136" s="6">
        <x:f>(S136*IF(E136="T",F136,0))+(S136*IF(G136="T",H136,0))</x:f>
      </x:c>
      <x:c r="AB136" s="6">
        <x:f>(S136*IF(E136="L",F136,0))+(S136*IF(G136="L",H136,0))</x:f>
      </x:c>
      <x:c r="AC136" s="6">
        <x:f>(S136*IF(E136="H",F136,0))+(S136*IF(G136="H",H136,0))</x:f>
      </x:c>
      <x:c r="AD136" s="6">
        <x:f>(S136*IF(E136="V",F136,0))+(S136*IF(G136="V",H136,0))</x:f>
      </x:c>
      <x:c r="AE136" s="6">
        <x:f>(S136*IF(E136="R",F136,0))+(S136*IF(G136="R",H136,0))</x:f>
      </x:c>
      <x:c r="AF136" s="6">
        <x:f>(S136*IF(E136="F",F136,0))+(S136*IF(G136="F",H136,0))</x:f>
      </x:c>
      <x:c r="AG136" s="6">
        <x:f>(S136*IF(E136="W",F136,0))+(S136*IF(G136="W",H136,0))</x:f>
      </x:c>
    </x:row>
    <x:row r="137">
      <x:c r="A137" s="3" t="inlineStr">
        <x:is>
          <x:t xml:space="preserve">Executive</x:t>
        </x:is>
      </x:c>
      <x:c r="B137" s="3" t="inlineStr">
        <x:is>
          <x:t xml:space="preserve">EXCO-D5-Q02</x:t>
        </x:is>
      </x:c>
      <x:c r="C137" s="3" t="inlineStr">
        <x:is>
          <x:t xml:space="preserve">T2</x:t>
        </x:is>
      </x:c>
      <x:c r="D137" s="3" t="inlineStr">
        <x:is>
          <x:t xml:space="preserve">5. Friction &amp; Productivity</x:t>
        </x:is>
      </x:c>
      <x:c r="E137" s="3" t="inlineStr">
        <x:is>
          <x:t xml:space="preserve">F</x:t>
        </x:is>
      </x:c>
      <x:c r="F137" s="3" t="n">
        <x:v>0.6</x:v>
      </x:c>
      <x:c r="G137" s="3" t="inlineStr">
        <x:is>
          <x:t xml:space="preserve">V</x:t>
        </x:is>
      </x:c>
      <x:c r="H137" s="3" t="n">
        <x:v>0.4</x:v>
      </x:c>
      <x:c r="I137" s="3" t="inlineStr">
        <x:is>
          <x:t xml:space="preserve">(Shadow probe) Do we have visibility into common workarounds (shadow IT) and why they happen?</x:t>
        </x:is>
      </x:c>
      <x:c r="J137" s="3" t="inlineStr">
        <x:is>
          <x:t xml:space="preserve">Examples: unapproved file sharing, personal accounts, unsanctioned AI tools, external USB devices.</x:t>
        </x:is>
      </x:c>
      <x:c r="K137" s="3" t="inlineStr">
        <x:is>
          <x:t xml:space="preserve">Shadow probe; next=EXCO-D5-Q03</x:t>
        </x:is>
      </x:c>
      <x:c r="L137" s="3" t="inlineStr">
        <x:is>
          <x:t xml:space="preserve">OPS_STD</x:t>
        </x:is>
      </x:c>
      <x:c r="M137" s="3" t="n">
        <x:v>1</x:v>
      </x:c>
      <x:c r="N137" s="3" t="n"/>
      <x:c r="O137" s="3" t="n"/>
      <x:c r="P137" s="3" t="inlineStr">
        <x:is>
          <x:t xml:space="preserve">EXCO-D5-Q02-A1</x:t>
        </x:is>
      </x:c>
      <x:c r="Q137" s="3" t="n">
        <x:v>1</x:v>
      </x:c>
      <x:c r="R137" s="3" t="inlineStr">
        <x:is>
          <x:t xml:space="preserve">No—we only find out after incidents or audits.</x:t>
        </x:is>
      </x:c>
      <x:c r="S137" s="3" t="n">
        <x:v>0</x:v>
      </x:c>
      <x:c r="T137" s="3" t="inlineStr">
        <x:is>
          <x:t xml:space="preserve">bypass_pressure,visibility_gap</x:t>
        </x:is>
      </x:c>
      <x:c r="U137" s="3" t="inlineStr">
        <x:is>
          <x:t xml:space="preserve">Bypass Pressure</x:t>
        </x:is>
      </x:c>
      <x:c r="V137" s="3" t="inlineStr">
        <x:is>
          <x:t xml:space="preserve">ShadowIT_Discovery</x:t>
        </x:is>
      </x:c>
      <x:c r="W137" s="3" t="inlineStr">
        <x:is>
          <x:t xml:space="preserve">N</x:t>
        </x:is>
      </x:c>
      <x:c r="X137" s="3" t="inlineStr">
        <x:is>
          <x:t xml:space="preserve"/>
        </x:is>
      </x:c>
      <x:c r="Y137" s="6">
        <x:f>(S137*IF(E137="G",F137,0))+(S137*IF(G137="G",H137,0))</x:f>
      </x:c>
      <x:c r="Z137" s="6">
        <x:f>(S137*IF(E137="E",F137,0))+(S137*IF(G137="E",H137,0))</x:f>
      </x:c>
      <x:c r="AA137" s="6">
        <x:f>(S137*IF(E137="T",F137,0))+(S137*IF(G137="T",H137,0))</x:f>
      </x:c>
      <x:c r="AB137" s="6">
        <x:f>(S137*IF(E137="L",F137,0))+(S137*IF(G137="L",H137,0))</x:f>
      </x:c>
      <x:c r="AC137" s="6">
        <x:f>(S137*IF(E137="H",F137,0))+(S137*IF(G137="H",H137,0))</x:f>
      </x:c>
      <x:c r="AD137" s="6">
        <x:f>(S137*IF(E137="V",F137,0))+(S137*IF(G137="V",H137,0))</x:f>
      </x:c>
      <x:c r="AE137" s="6">
        <x:f>(S137*IF(E137="R",F137,0))+(S137*IF(G137="R",H137,0))</x:f>
      </x:c>
      <x:c r="AF137" s="6">
        <x:f>(S137*IF(E137="F",F137,0))+(S137*IF(G137="F",H137,0))</x:f>
      </x:c>
      <x:c r="AG137" s="6">
        <x:f>(S137*IF(E137="W",F137,0))+(S137*IF(G137="W",H137,0))</x:f>
      </x:c>
    </x:row>
    <x:row r="138">
      <x:c r="A138" s="3" t="inlineStr">
        <x:is>
          <x:t xml:space="preserve">Executive</x:t>
        </x:is>
      </x:c>
      <x:c r="B138" s="3" t="inlineStr">
        <x:is>
          <x:t xml:space="preserve">EXCO-D5-Q02</x:t>
        </x:is>
      </x:c>
      <x:c r="C138" s="3" t="inlineStr">
        <x:is>
          <x:t xml:space="preserve">T2</x:t>
        </x:is>
      </x:c>
      <x:c r="D138" s="3" t="inlineStr">
        <x:is>
          <x:t xml:space="preserve">5. Friction &amp; Productivity</x:t>
        </x:is>
      </x:c>
      <x:c r="E138" s="3" t="inlineStr">
        <x:is>
          <x:t xml:space="preserve">F</x:t>
        </x:is>
      </x:c>
      <x:c r="F138" s="3" t="n">
        <x:v>0.6</x:v>
      </x:c>
      <x:c r="G138" s="3" t="inlineStr">
        <x:is>
          <x:t xml:space="preserve">V</x:t>
        </x:is>
      </x:c>
      <x:c r="H138" s="3" t="n">
        <x:v>0.4</x:v>
      </x:c>
      <x:c r="I138" s="3" t="inlineStr">
        <x:is>
          <x:t xml:space="preserve">(Shadow probe) Do we have visibility into common workarounds (shadow IT) and why they happen?</x:t>
        </x:is>
      </x:c>
      <x:c r="J138" s="3" t="inlineStr">
        <x:is>
          <x:t xml:space="preserve">Examples: unapproved file sharing, personal accounts, unsanctioned AI tools, external USB devices.</x:t>
        </x:is>
      </x:c>
      <x:c r="K138" s="3" t="inlineStr">
        <x:is>
          <x:t xml:space="preserve">Shadow probe; next=EXCO-D5-Q03</x:t>
        </x:is>
      </x:c>
      <x:c r="L138" s="3" t="inlineStr">
        <x:is>
          <x:t xml:space="preserve">OPS_STD</x:t>
        </x:is>
      </x:c>
      <x:c r="M138" s="3" t="n">
        <x:v>1</x:v>
      </x:c>
      <x:c r="N138" s="3" t="n"/>
      <x:c r="O138" s="3" t="n"/>
      <x:c r="P138" s="3" t="inlineStr">
        <x:is>
          <x:t xml:space="preserve">EXCO-D5-Q02-A2</x:t>
        </x:is>
      </x:c>
      <x:c r="Q138" s="3" t="n">
        <x:v>2</x:v>
      </x:c>
      <x:c r="R138" s="3" t="inlineStr">
        <x:is>
          <x:t xml:space="preserve">We hear about it informally, but we don’t have a structured view of causes.</x:t>
        </x:is>
      </x:c>
      <x:c r="S138" s="3" t="n">
        <x:v>1</x:v>
      </x:c>
      <x:c r="T138" s="3" t="inlineStr">
        <x:is>
          <x:t xml:space="preserve">shadow_signal</x:t>
        </x:is>
      </x:c>
      <x:c r="U138" s="3" t="inlineStr">
        <x:is>
          <x:t xml:space="preserve">Shadow Mature</x:t>
        </x:is>
      </x:c>
      <x:c r="V138" s="3" t="inlineStr">
        <x:is>
          <x:t xml:space="preserve">ShadowIT_Discovery</x:t>
        </x:is>
      </x:c>
      <x:c r="W138" s="3" t="inlineStr">
        <x:is>
          <x:t xml:space="preserve">N</x:t>
        </x:is>
      </x:c>
      <x:c r="X138" s="3" t="inlineStr">
        <x:is>
          <x:t xml:space="preserve"/>
        </x:is>
      </x:c>
      <x:c r="Y138" s="6">
        <x:f>(S138*IF(E138="G",F138,0))+(S138*IF(G138="G",H138,0))</x:f>
      </x:c>
      <x:c r="Z138" s="6">
        <x:f>(S138*IF(E138="E",F138,0))+(S138*IF(G138="E",H138,0))</x:f>
      </x:c>
      <x:c r="AA138" s="6">
        <x:f>(S138*IF(E138="T",F138,0))+(S138*IF(G138="T",H138,0))</x:f>
      </x:c>
      <x:c r="AB138" s="6">
        <x:f>(S138*IF(E138="L",F138,0))+(S138*IF(G138="L",H138,0))</x:f>
      </x:c>
      <x:c r="AC138" s="6">
        <x:f>(S138*IF(E138="H",F138,0))+(S138*IF(G138="H",H138,0))</x:f>
      </x:c>
      <x:c r="AD138" s="6">
        <x:f>(S138*IF(E138="V",F138,0))+(S138*IF(G138="V",H138,0))</x:f>
      </x:c>
      <x:c r="AE138" s="6">
        <x:f>(S138*IF(E138="R",F138,0))+(S138*IF(G138="R",H138,0))</x:f>
      </x:c>
      <x:c r="AF138" s="6">
        <x:f>(S138*IF(E138="F",F138,0))+(S138*IF(G138="F",H138,0))</x:f>
      </x:c>
      <x:c r="AG138" s="6">
        <x:f>(S138*IF(E138="W",F138,0))+(S138*IF(G138="W",H138,0))</x:f>
      </x:c>
    </x:row>
    <x:row r="139">
      <x:c r="A139" s="3" t="inlineStr">
        <x:is>
          <x:t xml:space="preserve">Executive</x:t>
        </x:is>
      </x:c>
      <x:c r="B139" s="3" t="inlineStr">
        <x:is>
          <x:t xml:space="preserve">EXCO-D5-Q02</x:t>
        </x:is>
      </x:c>
      <x:c r="C139" s="3" t="inlineStr">
        <x:is>
          <x:t xml:space="preserve">T2</x:t>
        </x:is>
      </x:c>
      <x:c r="D139" s="3" t="inlineStr">
        <x:is>
          <x:t xml:space="preserve">5. Friction &amp; Productivity</x:t>
        </x:is>
      </x:c>
      <x:c r="E139" s="3" t="inlineStr">
        <x:is>
          <x:t xml:space="preserve">F</x:t>
        </x:is>
      </x:c>
      <x:c r="F139" s="3" t="n">
        <x:v>0.6</x:v>
      </x:c>
      <x:c r="G139" s="3" t="inlineStr">
        <x:is>
          <x:t xml:space="preserve">V</x:t>
        </x:is>
      </x:c>
      <x:c r="H139" s="3" t="n">
        <x:v>0.4</x:v>
      </x:c>
      <x:c r="I139" s="3" t="inlineStr">
        <x:is>
          <x:t xml:space="preserve">(Shadow probe) Do we have visibility into common workarounds (shadow IT) and why they happen?</x:t>
        </x:is>
      </x:c>
      <x:c r="J139" s="3" t="inlineStr">
        <x:is>
          <x:t xml:space="preserve">Examples: unapproved file sharing, personal accounts, unsanctioned AI tools, external USB devices.</x:t>
        </x:is>
      </x:c>
      <x:c r="K139" s="3" t="inlineStr">
        <x:is>
          <x:t xml:space="preserve">Shadow probe; next=EXCO-D5-Q03</x:t>
        </x:is>
      </x:c>
      <x:c r="L139" s="3" t="inlineStr">
        <x:is>
          <x:t xml:space="preserve">OPS_STD</x:t>
        </x:is>
      </x:c>
      <x:c r="M139" s="3" t="n">
        <x:v>1</x:v>
      </x:c>
      <x:c r="N139" s="3" t="n"/>
      <x:c r="O139" s="3" t="n"/>
      <x:c r="P139" s="3" t="inlineStr">
        <x:is>
          <x:t xml:space="preserve">EXCO-D5-Q02-A3</x:t>
        </x:is>
      </x:c>
      <x:c r="Q139" s="3" t="n">
        <x:v>3</x:v>
      </x:c>
      <x:c r="R139" s="3" t="inlineStr">
        <x:is>
          <x:t xml:space="preserve">We track some signals (tickets, audits), but visibility is incomplete.</x:t>
        </x:is>
      </x:c>
      <x:c r="S139" s="3" t="n">
        <x:v>2</x:v>
      </x:c>
      <x:c r="T139" s="3" t="inlineStr">
        <x:is>
          <x:t xml:space="preserve">partial_visibility</x:t>
        </x:is>
      </x:c>
      <x:c r="U139" s="3" t="inlineStr">
        <x:is>
          <x:t xml:space="preserve"/>
        </x:is>
      </x:c>
      <x:c r="V139" s="3" t="inlineStr">
        <x:is>
          <x:t xml:space="preserve">Improve_Visibility</x:t>
        </x:is>
      </x:c>
      <x:c r="W139" s="3" t="inlineStr">
        <x:is>
          <x:t xml:space="preserve">N</x:t>
        </x:is>
      </x:c>
      <x:c r="X139" s="3" t="inlineStr">
        <x:is>
          <x:t xml:space="preserve"/>
        </x:is>
      </x:c>
      <x:c r="Y139" s="6">
        <x:f>(S139*IF(E139="G",F139,0))+(S139*IF(G139="G",H139,0))</x:f>
      </x:c>
      <x:c r="Z139" s="6">
        <x:f>(S139*IF(E139="E",F139,0))+(S139*IF(G139="E",H139,0))</x:f>
      </x:c>
      <x:c r="AA139" s="6">
        <x:f>(S139*IF(E139="T",F139,0))+(S139*IF(G139="T",H139,0))</x:f>
      </x:c>
      <x:c r="AB139" s="6">
        <x:f>(S139*IF(E139="L",F139,0))+(S139*IF(G139="L",H139,0))</x:f>
      </x:c>
      <x:c r="AC139" s="6">
        <x:f>(S139*IF(E139="H",F139,0))+(S139*IF(G139="H",H139,0))</x:f>
      </x:c>
      <x:c r="AD139" s="6">
        <x:f>(S139*IF(E139="V",F139,0))+(S139*IF(G139="V",H139,0))</x:f>
      </x:c>
      <x:c r="AE139" s="6">
        <x:f>(S139*IF(E139="R",F139,0))+(S139*IF(G139="R",H139,0))</x:f>
      </x:c>
      <x:c r="AF139" s="6">
        <x:f>(S139*IF(E139="F",F139,0))+(S139*IF(G139="F",H139,0))</x:f>
      </x:c>
      <x:c r="AG139" s="6">
        <x:f>(S139*IF(E139="W",F139,0))+(S139*IF(G139="W",H139,0))</x:f>
      </x:c>
    </x:row>
    <x:row r="140">
      <x:c r="A140" s="3" t="inlineStr">
        <x:is>
          <x:t xml:space="preserve">Executive</x:t>
        </x:is>
      </x:c>
      <x:c r="B140" s="3" t="inlineStr">
        <x:is>
          <x:t xml:space="preserve">EXCO-D5-Q02</x:t>
        </x:is>
      </x:c>
      <x:c r="C140" s="3" t="inlineStr">
        <x:is>
          <x:t xml:space="preserve">T2</x:t>
        </x:is>
      </x:c>
      <x:c r="D140" s="3" t="inlineStr">
        <x:is>
          <x:t xml:space="preserve">5. Friction &amp; Productivity</x:t>
        </x:is>
      </x:c>
      <x:c r="E140" s="3" t="inlineStr">
        <x:is>
          <x:t xml:space="preserve">F</x:t>
        </x:is>
      </x:c>
      <x:c r="F140" s="3" t="n">
        <x:v>0.6</x:v>
      </x:c>
      <x:c r="G140" s="3" t="inlineStr">
        <x:is>
          <x:t xml:space="preserve">V</x:t>
        </x:is>
      </x:c>
      <x:c r="H140" s="3" t="n">
        <x:v>0.4</x:v>
      </x:c>
      <x:c r="I140" s="3" t="inlineStr">
        <x:is>
          <x:t xml:space="preserve">(Shadow probe) Do we have visibility into common workarounds (shadow IT) and why they happen?</x:t>
        </x:is>
      </x:c>
      <x:c r="J140" s="3" t="inlineStr">
        <x:is>
          <x:t xml:space="preserve">Examples: unapproved file sharing, personal accounts, unsanctioned AI tools, external USB devices.</x:t>
        </x:is>
      </x:c>
      <x:c r="K140" s="3" t="inlineStr">
        <x:is>
          <x:t xml:space="preserve">Shadow probe; next=EXCO-D5-Q03</x:t>
        </x:is>
      </x:c>
      <x:c r="L140" s="3" t="inlineStr">
        <x:is>
          <x:t xml:space="preserve">OPS_STD</x:t>
        </x:is>
      </x:c>
      <x:c r="M140" s="3" t="n">
        <x:v>1</x:v>
      </x:c>
      <x:c r="N140" s="3" t="n"/>
      <x:c r="O140" s="3" t="n"/>
      <x:c r="P140" s="3" t="inlineStr">
        <x:is>
          <x:t xml:space="preserve">EXCO-D5-Q02-A4</x:t>
        </x:is>
      </x:c>
      <x:c r="Q140" s="3" t="n">
        <x:v>4</x:v>
      </x:c>
      <x:c r="R140" s="3" t="inlineStr">
        <x:is>
          <x:t xml:space="preserve">Yes—we track workarounds and address root causes (usability, process speed, missing tools).</x:t>
        </x:is>
      </x:c>
      <x:c r="S140" s="3" t="n">
        <x:v>3</x:v>
      </x:c>
      <x:c r="T140" s="3" t="inlineStr">
        <x:is>
          <x:t xml:space="preserve">good_practice</x:t>
        </x:is>
      </x:c>
      <x:c r="U140" s="3" t="inlineStr">
        <x:is>
          <x:t xml:space="preserve"/>
        </x:is>
      </x:c>
      <x:c r="V140" s="3" t="inlineStr">
        <x:is>
          <x:t xml:space="preserve">Request_Evidence</x:t>
        </x:is>
      </x:c>
      <x:c r="W140" s="3" t="inlineStr">
        <x:is>
          <x:t xml:space="preserve">Y</x:t>
        </x:is>
      </x:c>
      <x:c r="X140" s="3" t="inlineStr">
        <x:is>
          <x:t xml:space="preserve"/>
        </x:is>
      </x:c>
      <x:c r="Y140" s="6">
        <x:f>(S140*IF(E140="G",F140,0))+(S140*IF(G140="G",H140,0))</x:f>
      </x:c>
      <x:c r="Z140" s="6">
        <x:f>(S140*IF(E140="E",F140,0))+(S140*IF(G140="E",H140,0))</x:f>
      </x:c>
      <x:c r="AA140" s="6">
        <x:f>(S140*IF(E140="T",F140,0))+(S140*IF(G140="T",H140,0))</x:f>
      </x:c>
      <x:c r="AB140" s="6">
        <x:f>(S140*IF(E140="L",F140,0))+(S140*IF(G140="L",H140,0))</x:f>
      </x:c>
      <x:c r="AC140" s="6">
        <x:f>(S140*IF(E140="H",F140,0))+(S140*IF(G140="H",H140,0))</x:f>
      </x:c>
      <x:c r="AD140" s="6">
        <x:f>(S140*IF(E140="V",F140,0))+(S140*IF(G140="V",H140,0))</x:f>
      </x:c>
      <x:c r="AE140" s="6">
        <x:f>(S140*IF(E140="R",F140,0))+(S140*IF(G140="R",H140,0))</x:f>
      </x:c>
      <x:c r="AF140" s="6">
        <x:f>(S140*IF(E140="F",F140,0))+(S140*IF(G140="F",H140,0))</x:f>
      </x:c>
      <x:c r="AG140" s="6">
        <x:f>(S140*IF(E140="W",F140,0))+(S140*IF(G140="W",H140,0))</x:f>
      </x:c>
    </x:row>
    <x:row r="141">
      <x:c r="A141" s="3" t="inlineStr">
        <x:is>
          <x:t xml:space="preserve">Executive</x:t>
        </x:is>
      </x:c>
      <x:c r="B141" s="3" t="inlineStr">
        <x:is>
          <x:t xml:space="preserve">EXCO-D5-Q03</x:t>
        </x:is>
      </x:c>
      <x:c r="C141" s="3" t="inlineStr">
        <x:is>
          <x:t xml:space="preserve">T2</x:t>
        </x:is>
      </x:c>
      <x:c r="D141" s="3" t="inlineStr">
        <x:is>
          <x:t xml:space="preserve">5. Friction &amp; Productivity</x:t>
        </x:is>
      </x:c>
      <x:c r="E141" s="3" t="inlineStr">
        <x:is>
          <x:t xml:space="preserve">F</x:t>
        </x:is>
      </x:c>
      <x:c r="F141" s="3" t="n">
        <x:v>0.5</x:v>
      </x:c>
      <x:c r="G141" s="3" t="inlineStr">
        <x:is>
          <x:t xml:space="preserve">V</x:t>
        </x:is>
      </x:c>
      <x:c r="H141" s="3" t="n">
        <x:v>0.5</x:v>
      </x:c>
      <x:c r="I141" s="3" t="inlineStr">
        <x:is>
          <x:t xml:space="preserve">When shadow IT is found, do we provide safe alternatives quickly (so people don’t revert)?</x:t>
        </x:is>
      </x:c>
      <x:c r="J141" s="3" t="inlineStr">
        <x:is>
          <x:t xml:space="preserve">This checks whether the business can move from ‘no’ to ‘safe yes’ quickly.</x:t>
        </x:is>
      </x:c>
      <x:c r="K141" s="3" t="inlineStr">
        <x:is>
          <x:t xml:space="preserve">Drill-down; next=EXCO-D6-Q01</x:t>
        </x:is>
      </x:c>
      <x:c r="L141" s="3" t="inlineStr">
        <x:is>
          <x:t xml:space="preserve">OPS_STD</x:t>
        </x:is>
      </x:c>
      <x:c r="M141" s="3" t="n">
        <x:v>1</x:v>
      </x:c>
      <x:c r="N141" s="3" t="n"/>
      <x:c r="O141" s="3" t="n"/>
      <x:c r="P141" s="3" t="inlineStr">
        <x:is>
          <x:t xml:space="preserve">EXCO-D5-Q03-A0</x:t>
        </x:is>
      </x:c>
      <x:c r="Q141" s="3" t="n">
        <x:v>1</x:v>
      </x:c>
      <x:c r="R141" s="3" t="inlineStr">
        <x:is>
          <x:t xml:space="preserve">I don’t know / not sure.</x:t>
        </x:is>
      </x:c>
      <x:c r="S141" s="3" t="n">
        <x:v>0</x:v>
      </x:c>
      <x:c r="T141" s="3" t="inlineStr">
        <x:is>
          <x:t xml:space="preserve">unknown</x:t>
        </x:is>
      </x:c>
      <x:c r="U141" s="3" t="inlineStr">
        <x:is>
          <x:t xml:space="preserve">Unknown</x:t>
        </x:is>
      </x:c>
      <x:c r="V141" s="3" t="inlineStr">
        <x:is>
          <x:t xml:space="preserve">ShadowIT_Process</x:t>
        </x:is>
      </x:c>
      <x:c r="W141" s="3" t="inlineStr">
        <x:is>
          <x:t xml:space="preserve">N</x:t>
        </x:is>
      </x:c>
      <x:c r="X141" s="3" t="inlineStr">
        <x:is>
          <x:t xml:space="preserve"/>
        </x:is>
      </x:c>
      <x:c r="Y141" s="6">
        <x:f>(S141*IF(E141="G",F141,0))+(S141*IF(G141="G",H141,0))</x:f>
      </x:c>
      <x:c r="Z141" s="6">
        <x:f>(S141*IF(E141="E",F141,0))+(S141*IF(G141="E",H141,0))</x:f>
      </x:c>
      <x:c r="AA141" s="6">
        <x:f>(S141*IF(E141="T",F141,0))+(S141*IF(G141="T",H141,0))</x:f>
      </x:c>
      <x:c r="AB141" s="6">
        <x:f>(S141*IF(E141="L",F141,0))+(S141*IF(G141="L",H141,0))</x:f>
      </x:c>
      <x:c r="AC141" s="6">
        <x:f>(S141*IF(E141="H",F141,0))+(S141*IF(G141="H",H141,0))</x:f>
      </x:c>
      <x:c r="AD141" s="6">
        <x:f>(S141*IF(E141="V",F141,0))+(S141*IF(G141="V",H141,0))</x:f>
      </x:c>
      <x:c r="AE141" s="6">
        <x:f>(S141*IF(E141="R",F141,0))+(S141*IF(G141="R",H141,0))</x:f>
      </x:c>
      <x:c r="AF141" s="6">
        <x:f>(S141*IF(E141="F",F141,0))+(S141*IF(G141="F",H141,0))</x:f>
      </x:c>
      <x:c r="AG141" s="6">
        <x:f>(S141*IF(E141="W",F141,0))+(S141*IF(G141="W",H141,0))</x:f>
      </x:c>
    </x:row>
    <x:row r="142">
      <x:c r="A142" s="3" t="inlineStr">
        <x:is>
          <x:t xml:space="preserve">Executive</x:t>
        </x:is>
      </x:c>
      <x:c r="B142" s="3" t="inlineStr">
        <x:is>
          <x:t xml:space="preserve">EXCO-D5-Q03</x:t>
        </x:is>
      </x:c>
      <x:c r="C142" s="3" t="inlineStr">
        <x:is>
          <x:t xml:space="preserve">T2</x:t>
        </x:is>
      </x:c>
      <x:c r="D142" s="3" t="inlineStr">
        <x:is>
          <x:t xml:space="preserve">5. Friction &amp; Productivity</x:t>
        </x:is>
      </x:c>
      <x:c r="E142" s="3" t="inlineStr">
        <x:is>
          <x:t xml:space="preserve">F</x:t>
        </x:is>
      </x:c>
      <x:c r="F142" s="3" t="n">
        <x:v>0.5</x:v>
      </x:c>
      <x:c r="G142" s="3" t="inlineStr">
        <x:is>
          <x:t xml:space="preserve">V</x:t>
        </x:is>
      </x:c>
      <x:c r="H142" s="3" t="n">
        <x:v>0.5</x:v>
      </x:c>
      <x:c r="I142" s="3" t="inlineStr">
        <x:is>
          <x:t xml:space="preserve">When shadow IT is found, do we provide safe alternatives quickly (so people don’t revert)?</x:t>
        </x:is>
      </x:c>
      <x:c r="J142" s="3" t="inlineStr">
        <x:is>
          <x:t xml:space="preserve">This checks whether the business can move from ‘no’ to ‘safe yes’ quickly.</x:t>
        </x:is>
      </x:c>
      <x:c r="K142" s="3" t="inlineStr">
        <x:is>
          <x:t xml:space="preserve">Drill-down; next=EXCO-D6-Q01</x:t>
        </x:is>
      </x:c>
      <x:c r="L142" s="3" t="inlineStr">
        <x:is>
          <x:t xml:space="preserve">OPS_STD</x:t>
        </x:is>
      </x:c>
      <x:c r="M142" s="3" t="n">
        <x:v>1</x:v>
      </x:c>
      <x:c r="N142" s="3" t="n"/>
      <x:c r="O142" s="3" t="n"/>
      <x:c r="P142" s="3" t="inlineStr">
        <x:is>
          <x:t xml:space="preserve">EXCO-D5-Q03-A1</x:t>
        </x:is>
      </x:c>
      <x:c r="Q142" s="3" t="n">
        <x:v>2</x:v>
      </x:c>
      <x:c r="R142" s="3" t="inlineStr">
        <x:is>
          <x:t xml:space="preserve">No—shadow IT is blocked/punished, but alternatives are not provided.</x:t>
        </x:is>
      </x:c>
      <x:c r="S142" s="3" t="n">
        <x:v>0</x:v>
      </x:c>
      <x:c r="T142" s="3" t="inlineStr">
        <x:is>
          <x:t xml:space="preserve">toxic_enforcer_signal,bypass_pressure</x:t>
        </x:is>
      </x:c>
      <x:c r="U142" s="3" t="inlineStr">
        <x:is>
          <x:t xml:space="preserve">Bypass Pressure</x:t>
        </x:is>
      </x:c>
      <x:c r="V142" s="3" t="inlineStr">
        <x:is>
          <x:t xml:space="preserve">Security_UX_Review</x:t>
        </x:is>
      </x:c>
      <x:c r="W142" s="3" t="inlineStr">
        <x:is>
          <x:t xml:space="preserve">N</x:t>
        </x:is>
      </x:c>
      <x:c r="X142" s="3" t="inlineStr">
        <x:is>
          <x:t xml:space="preserve"/>
        </x:is>
      </x:c>
      <x:c r="Y142" s="6">
        <x:f>(S142*IF(E142="G",F142,0))+(S142*IF(G142="G",H142,0))</x:f>
      </x:c>
      <x:c r="Z142" s="6">
        <x:f>(S142*IF(E142="E",F142,0))+(S142*IF(G142="E",H142,0))</x:f>
      </x:c>
      <x:c r="AA142" s="6">
        <x:f>(S142*IF(E142="T",F142,0))+(S142*IF(G142="T",H142,0))</x:f>
      </x:c>
      <x:c r="AB142" s="6">
        <x:f>(S142*IF(E142="L",F142,0))+(S142*IF(G142="L",H142,0))</x:f>
      </x:c>
      <x:c r="AC142" s="6">
        <x:f>(S142*IF(E142="H",F142,0))+(S142*IF(G142="H",H142,0))</x:f>
      </x:c>
      <x:c r="AD142" s="6">
        <x:f>(S142*IF(E142="V",F142,0))+(S142*IF(G142="V",H142,0))</x:f>
      </x:c>
      <x:c r="AE142" s="6">
        <x:f>(S142*IF(E142="R",F142,0))+(S142*IF(G142="R",H142,0))</x:f>
      </x:c>
      <x:c r="AF142" s="6">
        <x:f>(S142*IF(E142="F",F142,0))+(S142*IF(G142="F",H142,0))</x:f>
      </x:c>
      <x:c r="AG142" s="6">
        <x:f>(S142*IF(E142="W",F142,0))+(S142*IF(G142="W",H142,0))</x:f>
      </x:c>
    </x:row>
    <x:row r="143">
      <x:c r="A143" s="3" t="inlineStr">
        <x:is>
          <x:t xml:space="preserve">Executive</x:t>
        </x:is>
      </x:c>
      <x:c r="B143" s="3" t="inlineStr">
        <x:is>
          <x:t xml:space="preserve">EXCO-D5-Q03</x:t>
        </x:is>
      </x:c>
      <x:c r="C143" s="3" t="inlineStr">
        <x:is>
          <x:t xml:space="preserve">T2</x:t>
        </x:is>
      </x:c>
      <x:c r="D143" s="3" t="inlineStr">
        <x:is>
          <x:t xml:space="preserve">5. Friction &amp; Productivity</x:t>
        </x:is>
      </x:c>
      <x:c r="E143" s="3" t="inlineStr">
        <x:is>
          <x:t xml:space="preserve">F</x:t>
        </x:is>
      </x:c>
      <x:c r="F143" s="3" t="n">
        <x:v>0.5</x:v>
      </x:c>
      <x:c r="G143" s="3" t="inlineStr">
        <x:is>
          <x:t xml:space="preserve">V</x:t>
        </x:is>
      </x:c>
      <x:c r="H143" s="3" t="n">
        <x:v>0.5</x:v>
      </x:c>
      <x:c r="I143" s="3" t="inlineStr">
        <x:is>
          <x:t xml:space="preserve">When shadow IT is found, do we provide safe alternatives quickly (so people don’t revert)?</x:t>
        </x:is>
      </x:c>
      <x:c r="J143" s="3" t="inlineStr">
        <x:is>
          <x:t xml:space="preserve">This checks whether the business can move from ‘no’ to ‘safe yes’ quickly.</x:t>
        </x:is>
      </x:c>
      <x:c r="K143" s="3" t="inlineStr">
        <x:is>
          <x:t xml:space="preserve">Drill-down; next=EXCO-D6-Q01</x:t>
        </x:is>
      </x:c>
      <x:c r="L143" s="3" t="inlineStr">
        <x:is>
          <x:t xml:space="preserve">OPS_STD</x:t>
        </x:is>
      </x:c>
      <x:c r="M143" s="3" t="n">
        <x:v>1</x:v>
      </x:c>
      <x:c r="N143" s="3" t="n"/>
      <x:c r="O143" s="3" t="n"/>
      <x:c r="P143" s="3" t="inlineStr">
        <x:is>
          <x:t xml:space="preserve">EXCO-D5-Q03-A2</x:t>
        </x:is>
      </x:c>
      <x:c r="Q143" s="3" t="n">
        <x:v>3</x:v>
      </x:c>
      <x:c r="R143" s="3" t="inlineStr">
        <x:is>
          <x:t xml:space="preserve">Sometimes—depends on the team; approvals are slow.</x:t>
        </x:is>
      </x:c>
      <x:c r="S143" s="3" t="n">
        <x:v>1</x:v>
      </x:c>
      <x:c r="T143" s="3" t="inlineStr">
        <x:is>
          <x:t xml:space="preserve">control_lag_high</x:t>
        </x:is>
      </x:c>
      <x:c r="U143" s="3" t="inlineStr">
        <x:is>
          <x:t xml:space="preserve">Control Lag</x:t>
        </x:is>
      </x:c>
      <x:c r="V143" s="3" t="inlineStr">
        <x:is>
          <x:t xml:space="preserve">Speed_Alternatives</x:t>
        </x:is>
      </x:c>
      <x:c r="W143" s="3" t="inlineStr">
        <x:is>
          <x:t xml:space="preserve">N</x:t>
        </x:is>
      </x:c>
      <x:c r="X143" s="3" t="inlineStr">
        <x:is>
          <x:t xml:space="preserve"/>
        </x:is>
      </x:c>
      <x:c r="Y143" s="6">
        <x:f>(S143*IF(E143="G",F143,0))+(S143*IF(G143="G",H143,0))</x:f>
      </x:c>
      <x:c r="Z143" s="6">
        <x:f>(S143*IF(E143="E",F143,0))+(S143*IF(G143="E",H143,0))</x:f>
      </x:c>
      <x:c r="AA143" s="6">
        <x:f>(S143*IF(E143="T",F143,0))+(S143*IF(G143="T",H143,0))</x:f>
      </x:c>
      <x:c r="AB143" s="6">
        <x:f>(S143*IF(E143="L",F143,0))+(S143*IF(G143="L",H143,0))</x:f>
      </x:c>
      <x:c r="AC143" s="6">
        <x:f>(S143*IF(E143="H",F143,0))+(S143*IF(G143="H",H143,0))</x:f>
      </x:c>
      <x:c r="AD143" s="6">
        <x:f>(S143*IF(E143="V",F143,0))+(S143*IF(G143="V",H143,0))</x:f>
      </x:c>
      <x:c r="AE143" s="6">
        <x:f>(S143*IF(E143="R",F143,0))+(S143*IF(G143="R",H143,0))</x:f>
      </x:c>
      <x:c r="AF143" s="6">
        <x:f>(S143*IF(E143="F",F143,0))+(S143*IF(G143="F",H143,0))</x:f>
      </x:c>
      <x:c r="AG143" s="6">
        <x:f>(S143*IF(E143="W",F143,0))+(S143*IF(G143="W",H143,0))</x:f>
      </x:c>
    </x:row>
    <x:row r="144">
      <x:c r="A144" s="3" t="inlineStr">
        <x:is>
          <x:t xml:space="preserve">Executive</x:t>
        </x:is>
      </x:c>
      <x:c r="B144" s="3" t="inlineStr">
        <x:is>
          <x:t xml:space="preserve">EXCO-D5-Q03</x:t>
        </x:is>
      </x:c>
      <x:c r="C144" s="3" t="inlineStr">
        <x:is>
          <x:t xml:space="preserve">T2</x:t>
        </x:is>
      </x:c>
      <x:c r="D144" s="3" t="inlineStr">
        <x:is>
          <x:t xml:space="preserve">5. Friction &amp; Productivity</x:t>
        </x:is>
      </x:c>
      <x:c r="E144" s="3" t="inlineStr">
        <x:is>
          <x:t xml:space="preserve">F</x:t>
        </x:is>
      </x:c>
      <x:c r="F144" s="3" t="n">
        <x:v>0.5</x:v>
      </x:c>
      <x:c r="G144" s="3" t="inlineStr">
        <x:is>
          <x:t xml:space="preserve">V</x:t>
        </x:is>
      </x:c>
      <x:c r="H144" s="3" t="n">
        <x:v>0.5</x:v>
      </x:c>
      <x:c r="I144" s="3" t="inlineStr">
        <x:is>
          <x:t xml:space="preserve">When shadow IT is found, do we provide safe alternatives quickly (so people don’t revert)?</x:t>
        </x:is>
      </x:c>
      <x:c r="J144" s="3" t="inlineStr">
        <x:is>
          <x:t xml:space="preserve">This checks whether the business can move from ‘no’ to ‘safe yes’ quickly.</x:t>
        </x:is>
      </x:c>
      <x:c r="K144" s="3" t="inlineStr">
        <x:is>
          <x:t xml:space="preserve">Drill-down; next=EXCO-D6-Q01</x:t>
        </x:is>
      </x:c>
      <x:c r="L144" s="3" t="inlineStr">
        <x:is>
          <x:t xml:space="preserve">OPS_STD</x:t>
        </x:is>
      </x:c>
      <x:c r="M144" s="3" t="n">
        <x:v>1</x:v>
      </x:c>
      <x:c r="N144" s="3" t="n"/>
      <x:c r="O144" s="3" t="n"/>
      <x:c r="P144" s="3" t="inlineStr">
        <x:is>
          <x:t xml:space="preserve">EXCO-D5-Q03-A3</x:t>
        </x:is>
      </x:c>
      <x:c r="Q144" s="3" t="n">
        <x:v>4</x:v>
      </x:c>
      <x:c r="R144" s="3" t="inlineStr">
        <x:is>
          <x:t xml:space="preserve">We have a process, but it’s not measured (time-to-approve, adoption).</x:t>
        </x:is>
      </x:c>
      <x:c r="S144" s="3" t="n">
        <x:v>2</x:v>
      </x:c>
      <x:c r="T144" s="3" t="inlineStr">
        <x:is>
          <x:t xml:space="preserve">paper_process</x:t>
        </x:is>
      </x:c>
      <x:c r="U144" s="3" t="inlineStr">
        <x:is>
          <x:t xml:space="preserve">Paper Dragon</x:t>
        </x:is>
      </x:c>
      <x:c r="V144" s="3" t="inlineStr">
        <x:is>
          <x:t xml:space="preserve">Measure_Alt_Delivery</x:t>
        </x:is>
      </x:c>
      <x:c r="W144" s="3" t="inlineStr">
        <x:is>
          <x:t xml:space="preserve">N</x:t>
        </x:is>
      </x:c>
      <x:c r="X144" s="3" t="inlineStr">
        <x:is>
          <x:t xml:space="preserve"/>
        </x:is>
      </x:c>
      <x:c r="Y144" s="6">
        <x:f>(S144*IF(E144="G",F144,0))+(S144*IF(G144="G",H144,0))</x:f>
      </x:c>
      <x:c r="Z144" s="6">
        <x:f>(S144*IF(E144="E",F144,0))+(S144*IF(G144="E",H144,0))</x:f>
      </x:c>
      <x:c r="AA144" s="6">
        <x:f>(S144*IF(E144="T",F144,0))+(S144*IF(G144="T",H144,0))</x:f>
      </x:c>
      <x:c r="AB144" s="6">
        <x:f>(S144*IF(E144="L",F144,0))+(S144*IF(G144="L",H144,0))</x:f>
      </x:c>
      <x:c r="AC144" s="6">
        <x:f>(S144*IF(E144="H",F144,0))+(S144*IF(G144="H",H144,0))</x:f>
      </x:c>
      <x:c r="AD144" s="6">
        <x:f>(S144*IF(E144="V",F144,0))+(S144*IF(G144="V",H144,0))</x:f>
      </x:c>
      <x:c r="AE144" s="6">
        <x:f>(S144*IF(E144="R",F144,0))+(S144*IF(G144="R",H144,0))</x:f>
      </x:c>
      <x:c r="AF144" s="6">
        <x:f>(S144*IF(E144="F",F144,0))+(S144*IF(G144="F",H144,0))</x:f>
      </x:c>
      <x:c r="AG144" s="6">
        <x:f>(S144*IF(E144="W",F144,0))+(S144*IF(G144="W",H144,0))</x:f>
      </x:c>
    </x:row>
    <x:row r="145">
      <x:c r="A145" s="3" t="inlineStr">
        <x:is>
          <x:t xml:space="preserve">Executive</x:t>
        </x:is>
      </x:c>
      <x:c r="B145" s="3" t="inlineStr">
        <x:is>
          <x:t xml:space="preserve">EXCO-D5-Q03</x:t>
        </x:is>
      </x:c>
      <x:c r="C145" s="3" t="inlineStr">
        <x:is>
          <x:t xml:space="preserve">T2</x:t>
        </x:is>
      </x:c>
      <x:c r="D145" s="3" t="inlineStr">
        <x:is>
          <x:t xml:space="preserve">5. Friction &amp; Productivity</x:t>
        </x:is>
      </x:c>
      <x:c r="E145" s="3" t="inlineStr">
        <x:is>
          <x:t xml:space="preserve">F</x:t>
        </x:is>
      </x:c>
      <x:c r="F145" s="3" t="n">
        <x:v>0.5</x:v>
      </x:c>
      <x:c r="G145" s="3" t="inlineStr">
        <x:is>
          <x:t xml:space="preserve">V</x:t>
        </x:is>
      </x:c>
      <x:c r="H145" s="3" t="n">
        <x:v>0.5</x:v>
      </x:c>
      <x:c r="I145" s="3" t="inlineStr">
        <x:is>
          <x:t xml:space="preserve">When shadow IT is found, do we provide safe alternatives quickly (so people don’t revert)?</x:t>
        </x:is>
      </x:c>
      <x:c r="J145" s="3" t="inlineStr">
        <x:is>
          <x:t xml:space="preserve">This checks whether the business can move from ‘no’ to ‘safe yes’ quickly.</x:t>
        </x:is>
      </x:c>
      <x:c r="K145" s="3" t="inlineStr">
        <x:is>
          <x:t xml:space="preserve">Drill-down; next=EXCO-D6-Q01</x:t>
        </x:is>
      </x:c>
      <x:c r="L145" s="3" t="inlineStr">
        <x:is>
          <x:t xml:space="preserve">OPS_STD</x:t>
        </x:is>
      </x:c>
      <x:c r="M145" s="3" t="n">
        <x:v>1</x:v>
      </x:c>
      <x:c r="N145" s="3" t="n"/>
      <x:c r="O145" s="3" t="n"/>
      <x:c r="P145" s="3" t="inlineStr">
        <x:is>
          <x:t xml:space="preserve">EXCO-D5-Q03-A4</x:t>
        </x:is>
      </x:c>
      <x:c r="Q145" s="3" t="n">
        <x:v>5</x:v>
      </x:c>
      <x:c r="R145" s="3" t="inlineStr">
        <x:is>
          <x:t xml:space="preserve">Yes—there is a fast review and rollout process; adoption is tracked.</x:t>
        </x:is>
      </x:c>
      <x:c r="S145" s="3" t="n">
        <x:v>3</x:v>
      </x:c>
      <x:c r="T145" s="3" t="inlineStr">
        <x:is>
          <x:t xml:space="preserve">good_practice</x:t>
        </x:is>
      </x:c>
      <x:c r="U145" s="3" t="inlineStr">
        <x:is>
          <x:t xml:space="preserve"/>
        </x:is>
      </x:c>
      <x:c r="V145" s="3" t="inlineStr">
        <x:is>
          <x:t xml:space="preserve">Request_Evidence</x:t>
        </x:is>
      </x:c>
      <x:c r="W145" s="3" t="inlineStr">
        <x:is>
          <x:t xml:space="preserve">Y</x:t>
        </x:is>
      </x:c>
      <x:c r="X145" s="3" t="inlineStr">
        <x:is>
          <x:t xml:space="preserve"/>
        </x:is>
      </x:c>
      <x:c r="Y145" s="6">
        <x:f>(S145*IF(E145="G",F145,0))+(S145*IF(G145="G",H145,0))</x:f>
      </x:c>
      <x:c r="Z145" s="6">
        <x:f>(S145*IF(E145="E",F145,0))+(S145*IF(G145="E",H145,0))</x:f>
      </x:c>
      <x:c r="AA145" s="6">
        <x:f>(S145*IF(E145="T",F145,0))+(S145*IF(G145="T",H145,0))</x:f>
      </x:c>
      <x:c r="AB145" s="6">
        <x:f>(S145*IF(E145="L",F145,0))+(S145*IF(G145="L",H145,0))</x:f>
      </x:c>
      <x:c r="AC145" s="6">
        <x:f>(S145*IF(E145="H",F145,0))+(S145*IF(G145="H",H145,0))</x:f>
      </x:c>
      <x:c r="AD145" s="6">
        <x:f>(S145*IF(E145="V",F145,0))+(S145*IF(G145="V",H145,0))</x:f>
      </x:c>
      <x:c r="AE145" s="6">
        <x:f>(S145*IF(E145="R",F145,0))+(S145*IF(G145="R",H145,0))</x:f>
      </x:c>
      <x:c r="AF145" s="6">
        <x:f>(S145*IF(E145="F",F145,0))+(S145*IF(G145="F",H145,0))</x:f>
      </x:c>
      <x:c r="AG145" s="6">
        <x:f>(S145*IF(E145="W",F145,0))+(S145*IF(G145="W",H145,0))</x:f>
      </x:c>
    </x:row>
    <x:row r="146">
      <x:c r="A146" s="3" t="inlineStr">
        <x:is>
          <x:t xml:space="preserve">Executive</x:t>
        </x:is>
      </x:c>
      <x:c r="B146" s="3" t="inlineStr">
        <x:is>
          <x:t xml:space="preserve">EXCO-D5-Q03</x:t>
        </x:is>
      </x:c>
      <x:c r="C146" s="3" t="inlineStr">
        <x:is>
          <x:t xml:space="preserve">T2</x:t>
        </x:is>
      </x:c>
      <x:c r="D146" s="3" t="inlineStr">
        <x:is>
          <x:t xml:space="preserve">5. Friction &amp; Productivity</x:t>
        </x:is>
      </x:c>
      <x:c r="E146" s="3" t="inlineStr">
        <x:is>
          <x:t xml:space="preserve">F</x:t>
        </x:is>
      </x:c>
      <x:c r="F146" s="3" t="n">
        <x:v>0.5</x:v>
      </x:c>
      <x:c r="G146" s="3" t="inlineStr">
        <x:is>
          <x:t xml:space="preserve">V</x:t>
        </x:is>
      </x:c>
      <x:c r="H146" s="3" t="n">
        <x:v>0.5</x:v>
      </x:c>
      <x:c r="I146" s="3" t="inlineStr">
        <x:is>
          <x:t xml:space="preserve">When shadow IT is found, do we provide safe alternatives quickly (so people don’t revert)?</x:t>
        </x:is>
      </x:c>
      <x:c r="J146" s="3" t="inlineStr">
        <x:is>
          <x:t xml:space="preserve">This checks whether the business can move from ‘no’ to ‘safe yes’ quickly.</x:t>
        </x:is>
      </x:c>
      <x:c r="K146" s="3" t="inlineStr">
        <x:is>
          <x:t xml:space="preserve">Drill-down; next=EXCO-D6-Q01</x:t>
        </x:is>
      </x:c>
      <x:c r="L146" s="3" t="inlineStr">
        <x:is>
          <x:t xml:space="preserve">OPS_STD</x:t>
        </x:is>
      </x:c>
      <x:c r="M146" s="3" t="n">
        <x:v>1</x:v>
      </x:c>
      <x:c r="N146" s="3" t="n"/>
      <x:c r="O146" s="3" t="n"/>
      <x:c r="P146" s="3" t="inlineStr">
        <x:is>
          <x:t xml:space="preserve">EXCO-D5-Q03-A5</x:t>
        </x:is>
      </x:c>
      <x:c r="Q146" s="3" t="n">
        <x:v>6</x:v>
      </x:c>
      <x:c r="R146" s="3" t="inlineStr">
        <x:is>
          <x:t xml:space="preserve">Yes—secure alternatives are delivered quickly (days), with continuous feedback and improvement.</x:t>
        </x:is>
      </x:c>
      <x:c r="S146" s="3" t="n">
        <x:v>4</x:v>
      </x:c>
      <x:c r="T146" s="3" t="inlineStr">
        <x:is>
          <x:t xml:space="preserve">optimized</x:t>
        </x:is>
      </x:c>
      <x:c r="U146" s="3" t="inlineStr">
        <x:is>
          <x:t xml:space="preserve"/>
        </x:is>
      </x:c>
      <x:c r="V146" s="3" t="inlineStr">
        <x:is>
          <x:t xml:space="preserve">Request_Evidence</x:t>
        </x:is>
      </x:c>
      <x:c r="W146" s="3" t="inlineStr">
        <x:is>
          <x:t xml:space="preserve">Y</x:t>
        </x:is>
      </x:c>
      <x:c r="X146" s="3" t="inlineStr">
        <x:is>
          <x:t xml:space="preserve"/>
        </x:is>
      </x:c>
      <x:c r="Y146" s="6">
        <x:f>(S146*IF(E146="G",F146,0))+(S146*IF(G146="G",H146,0))</x:f>
      </x:c>
      <x:c r="Z146" s="6">
        <x:f>(S146*IF(E146="E",F146,0))+(S146*IF(G146="E",H146,0))</x:f>
      </x:c>
      <x:c r="AA146" s="6">
        <x:f>(S146*IF(E146="T",F146,0))+(S146*IF(G146="T",H146,0))</x:f>
      </x:c>
      <x:c r="AB146" s="6">
        <x:f>(S146*IF(E146="L",F146,0))+(S146*IF(G146="L",H146,0))</x:f>
      </x:c>
      <x:c r="AC146" s="6">
        <x:f>(S146*IF(E146="H",F146,0))+(S146*IF(G146="H",H146,0))</x:f>
      </x:c>
      <x:c r="AD146" s="6">
        <x:f>(S146*IF(E146="V",F146,0))+(S146*IF(G146="V",H146,0))</x:f>
      </x:c>
      <x:c r="AE146" s="6">
        <x:f>(S146*IF(E146="R",F146,0))+(S146*IF(G146="R",H146,0))</x:f>
      </x:c>
      <x:c r="AF146" s="6">
        <x:f>(S146*IF(E146="F",F146,0))+(S146*IF(G146="F",H146,0))</x:f>
      </x:c>
      <x:c r="AG146" s="6">
        <x:f>(S146*IF(E146="W",F146,0))+(S146*IF(G146="W",H146,0))</x:f>
      </x:c>
    </x:row>
    <x:row r="147">
      <x:c r="A147" s="3" t="inlineStr">
        <x:is>
          <x:t xml:space="preserve">Executive</x:t>
        </x:is>
      </x:c>
      <x:c r="B147" s="3" t="inlineStr">
        <x:is>
          <x:t xml:space="preserve">EXCO-D6-Q01</x:t>
        </x:is>
      </x:c>
      <x:c r="C147" s="3" t="inlineStr">
        <x:is>
          <x:t xml:space="preserve">T1</x:t>
        </x:is>
      </x:c>
      <x:c r="D147" s="3" t="inlineStr">
        <x:is>
          <x:t xml:space="preserve">6. Detection &amp; Analytics</x:t>
        </x:is>
      </x:c>
      <x:c r="E147" s="3" t="inlineStr">
        <x:is>
          <x:t xml:space="preserve">T</x:t>
        </x:is>
      </x:c>
      <x:c r="F147" s="3" t="n">
        <x:v>0.6</x:v>
      </x:c>
      <x:c r="G147" s="3" t="inlineStr">
        <x:is>
          <x:t xml:space="preserve">V</x:t>
        </x:is>
      </x:c>
      <x:c r="H147" s="3" t="n">
        <x:v>0.4</x:v>
      </x:c>
      <x:c r="I147" s="3" t="inlineStr">
        <x:is>
          <x:t xml:space="preserve">What is the current focus of monitoring/detection for insider risk?</x:t>
        </x:is>
      </x:c>
      <x:c r="J147" s="3" t="inlineStr">
        <x:is>
          <x:t xml:space="preserve">Plain terms: do we only investigate after a loss, or do we proactively look for risky behaviour around sensitive assets?</x:t>
        </x:is>
      </x:c>
      <x:c r="K147" s="3" t="inlineStr">
        <x:is>
          <x:t xml:space="preserve">Gatekeeper; if BaseScore&lt;2 -&gt; next=EXCO-D6-Q02; else next=EXCO-D6-Q03</x:t>
        </x:is>
      </x:c>
      <x:c r="L147" s="3" t="inlineStr">
        <x:is>
          <x:t xml:space="preserve">OPS_STD</x:t>
        </x:is>
      </x:c>
      <x:c r="M147" s="3" t="n">
        <x:v>1</x:v>
      </x:c>
      <x:c r="N147" s="3" t="n"/>
      <x:c r="O147" s="3" t="n"/>
      <x:c r="P147" s="3" t="inlineStr">
        <x:is>
          <x:t xml:space="preserve">EXCO-D6-Q01-A0</x:t>
        </x:is>
      </x:c>
      <x:c r="Q147" s="3" t="n">
        <x:v>1</x:v>
      </x:c>
      <x:c r="R147" s="3" t="inlineStr">
        <x:is>
          <x:t xml:space="preserve">I don’t know / not sure.</x:t>
        </x:is>
      </x:c>
      <x:c r="S147" s="3" t="n">
        <x:v>0</x:v>
      </x:c>
      <x:c r="T147" s="3" t="inlineStr">
        <x:is>
          <x:t xml:space="preserve">unknown</x:t>
        </x:is>
      </x:c>
      <x:c r="U147" s="3" t="inlineStr">
        <x:is>
          <x:t xml:space="preserve">Unknown</x:t>
        </x:is>
      </x:c>
      <x:c r="V147" s="3" t="inlineStr">
        <x:is>
          <x:t xml:space="preserve">Assess_Detection</x:t>
        </x:is>
      </x:c>
      <x:c r="W147" s="3" t="inlineStr">
        <x:is>
          <x:t xml:space="preserve">N</x:t>
        </x:is>
      </x:c>
      <x:c r="X147" s="3" t="inlineStr">
        <x:is>
          <x:t xml:space="preserve"/>
        </x:is>
      </x:c>
      <x:c r="Y147" s="6">
        <x:f>(S147*IF(E147="G",F147,0))+(S147*IF(G147="G",H147,0))</x:f>
      </x:c>
      <x:c r="Z147" s="6">
        <x:f>(S147*IF(E147="E",F147,0))+(S147*IF(G147="E",H147,0))</x:f>
      </x:c>
      <x:c r="AA147" s="6">
        <x:f>(S147*IF(E147="T",F147,0))+(S147*IF(G147="T",H147,0))</x:f>
      </x:c>
      <x:c r="AB147" s="6">
        <x:f>(S147*IF(E147="L",F147,0))+(S147*IF(G147="L",H147,0))</x:f>
      </x:c>
      <x:c r="AC147" s="6">
        <x:f>(S147*IF(E147="H",F147,0))+(S147*IF(G147="H",H147,0))</x:f>
      </x:c>
      <x:c r="AD147" s="6">
        <x:f>(S147*IF(E147="V",F147,0))+(S147*IF(G147="V",H147,0))</x:f>
      </x:c>
      <x:c r="AE147" s="6">
        <x:f>(S147*IF(E147="R",F147,0))+(S147*IF(G147="R",H147,0))</x:f>
      </x:c>
      <x:c r="AF147" s="6">
        <x:f>(S147*IF(E147="F",F147,0))+(S147*IF(G147="F",H147,0))</x:f>
      </x:c>
      <x:c r="AG147" s="6">
        <x:f>(S147*IF(E147="W",F147,0))+(S147*IF(G147="W",H147,0))</x:f>
      </x:c>
    </x:row>
    <x:row r="148">
      <x:c r="A148" s="3" t="inlineStr">
        <x:is>
          <x:t xml:space="preserve">Executive</x:t>
        </x:is>
      </x:c>
      <x:c r="B148" s="3" t="inlineStr">
        <x:is>
          <x:t xml:space="preserve">EXCO-D6-Q01</x:t>
        </x:is>
      </x:c>
      <x:c r="C148" s="3" t="inlineStr">
        <x:is>
          <x:t xml:space="preserve">T1</x:t>
        </x:is>
      </x:c>
      <x:c r="D148" s="3" t="inlineStr">
        <x:is>
          <x:t xml:space="preserve">6. Detection &amp; Analytics</x:t>
        </x:is>
      </x:c>
      <x:c r="E148" s="3" t="inlineStr">
        <x:is>
          <x:t xml:space="preserve">T</x:t>
        </x:is>
      </x:c>
      <x:c r="F148" s="3" t="n">
        <x:v>0.6</x:v>
      </x:c>
      <x:c r="G148" s="3" t="inlineStr">
        <x:is>
          <x:t xml:space="preserve">V</x:t>
        </x:is>
      </x:c>
      <x:c r="H148" s="3" t="n">
        <x:v>0.4</x:v>
      </x:c>
      <x:c r="I148" s="3" t="inlineStr">
        <x:is>
          <x:t xml:space="preserve">What is the current focus of monitoring/detection for insider risk?</x:t>
        </x:is>
      </x:c>
      <x:c r="J148" s="3" t="inlineStr">
        <x:is>
          <x:t xml:space="preserve">Plain terms: do we only investigate after a loss, or do we proactively look for risky behaviour around sensitive assets?</x:t>
        </x:is>
      </x:c>
      <x:c r="K148" s="3" t="inlineStr">
        <x:is>
          <x:t xml:space="preserve">Gatekeeper; if BaseScore&lt;2 -&gt; next=EXCO-D6-Q02; else next=EXCO-D6-Q03</x:t>
        </x:is>
      </x:c>
      <x:c r="L148" s="3" t="inlineStr">
        <x:is>
          <x:t xml:space="preserve">OPS_STD</x:t>
        </x:is>
      </x:c>
      <x:c r="M148" s="3" t="n">
        <x:v>1</x:v>
      </x:c>
      <x:c r="N148" s="3" t="n"/>
      <x:c r="O148" s="3" t="n"/>
      <x:c r="P148" s="3" t="inlineStr">
        <x:is>
          <x:t xml:space="preserve">EXCO-D6-Q01-A1</x:t>
        </x:is>
      </x:c>
      <x:c r="Q148" s="3" t="n">
        <x:v>2</x:v>
      </x:c>
      <x:c r="R148" s="3" t="inlineStr">
        <x:is>
          <x:t xml:space="preserve">Reactive—mostly investigated after a serious incident or tip-off.</x:t>
        </x:is>
      </x:c>
      <x:c r="S148" s="3" t="n">
        <x:v>0</x:v>
      </x:c>
      <x:c r="T148" s="3" t="inlineStr">
        <x:is>
          <x:t xml:space="preserve">foundational_gap</x:t>
        </x:is>
      </x:c>
      <x:c r="U148" s="3" t="inlineStr">
        <x:is>
          <x:t xml:space="preserve">Resilience Gap</x:t>
        </x:is>
      </x:c>
      <x:c r="V148" s="3" t="inlineStr">
        <x:is>
          <x:t xml:space="preserve">Build_Detection_Strategy</x:t>
        </x:is>
      </x:c>
      <x:c r="W148" s="3" t="inlineStr">
        <x:is>
          <x:t xml:space="preserve">N</x:t>
        </x:is>
      </x:c>
      <x:c r="X148" s="3" t="inlineStr">
        <x:is>
          <x:t xml:space="preserve"/>
        </x:is>
      </x:c>
      <x:c r="Y148" s="6">
        <x:f>(S148*IF(E148="G",F148,0))+(S148*IF(G148="G",H148,0))</x:f>
      </x:c>
      <x:c r="Z148" s="6">
        <x:f>(S148*IF(E148="E",F148,0))+(S148*IF(G148="E",H148,0))</x:f>
      </x:c>
      <x:c r="AA148" s="6">
        <x:f>(S148*IF(E148="T",F148,0))+(S148*IF(G148="T",H148,0))</x:f>
      </x:c>
      <x:c r="AB148" s="6">
        <x:f>(S148*IF(E148="L",F148,0))+(S148*IF(G148="L",H148,0))</x:f>
      </x:c>
      <x:c r="AC148" s="6">
        <x:f>(S148*IF(E148="H",F148,0))+(S148*IF(G148="H",H148,0))</x:f>
      </x:c>
      <x:c r="AD148" s="6">
        <x:f>(S148*IF(E148="V",F148,0))+(S148*IF(G148="V",H148,0))</x:f>
      </x:c>
      <x:c r="AE148" s="6">
        <x:f>(S148*IF(E148="R",F148,0))+(S148*IF(G148="R",H148,0))</x:f>
      </x:c>
      <x:c r="AF148" s="6">
        <x:f>(S148*IF(E148="F",F148,0))+(S148*IF(G148="F",H148,0))</x:f>
      </x:c>
      <x:c r="AG148" s="6">
        <x:f>(S148*IF(E148="W",F148,0))+(S148*IF(G148="W",H148,0))</x:f>
      </x:c>
    </x:row>
    <x:row r="149">
      <x:c r="A149" s="3" t="inlineStr">
        <x:is>
          <x:t xml:space="preserve">Executive</x:t>
        </x:is>
      </x:c>
      <x:c r="B149" s="3" t="inlineStr">
        <x:is>
          <x:t xml:space="preserve">EXCO-D6-Q01</x:t>
        </x:is>
      </x:c>
      <x:c r="C149" s="3" t="inlineStr">
        <x:is>
          <x:t xml:space="preserve">T1</x:t>
        </x:is>
      </x:c>
      <x:c r="D149" s="3" t="inlineStr">
        <x:is>
          <x:t xml:space="preserve">6. Detection &amp; Analytics</x:t>
        </x:is>
      </x:c>
      <x:c r="E149" s="3" t="inlineStr">
        <x:is>
          <x:t xml:space="preserve">T</x:t>
        </x:is>
      </x:c>
      <x:c r="F149" s="3" t="n">
        <x:v>0.6</x:v>
      </x:c>
      <x:c r="G149" s="3" t="inlineStr">
        <x:is>
          <x:t xml:space="preserve">V</x:t>
        </x:is>
      </x:c>
      <x:c r="H149" s="3" t="n">
        <x:v>0.4</x:v>
      </x:c>
      <x:c r="I149" s="3" t="inlineStr">
        <x:is>
          <x:t xml:space="preserve">What is the current focus of monitoring/detection for insider risk?</x:t>
        </x:is>
      </x:c>
      <x:c r="J149" s="3" t="inlineStr">
        <x:is>
          <x:t xml:space="preserve">Plain terms: do we only investigate after a loss, or do we proactively look for risky behaviour around sensitive assets?</x:t>
        </x:is>
      </x:c>
      <x:c r="K149" s="3" t="inlineStr">
        <x:is>
          <x:t xml:space="preserve">Gatekeeper; if BaseScore&lt;2 -&gt; next=EXCO-D6-Q02; else next=EXCO-D6-Q03</x:t>
        </x:is>
      </x:c>
      <x:c r="L149" s="3" t="inlineStr">
        <x:is>
          <x:t xml:space="preserve">OPS_STD</x:t>
        </x:is>
      </x:c>
      <x:c r="M149" s="3" t="n">
        <x:v>1</x:v>
      </x:c>
      <x:c r="N149" s="3" t="n"/>
      <x:c r="O149" s="3" t="n"/>
      <x:c r="P149" s="3" t="inlineStr">
        <x:is>
          <x:t xml:space="preserve">EXCO-D6-Q01-A2</x:t>
        </x:is>
      </x:c>
      <x:c r="Q149" s="3" t="n">
        <x:v>3</x:v>
      </x:c>
      <x:c r="R149" s="3" t="inlineStr">
        <x:is>
          <x:t xml:space="preserve">Ad-hoc—experienced individuals spot patterns, but it’s not systematic.</x:t>
        </x:is>
      </x:c>
      <x:c r="S149" s="3" t="n">
        <x:v>1</x:v>
      </x:c>
      <x:c r="T149" s="3" t="inlineStr">
        <x:is>
          <x:t xml:space="preserve">key_person_dependency,shadow_signal</x:t>
        </x:is>
      </x:c>
      <x:c r="U149" s="3" t="inlineStr">
        <x:is>
          <x:t xml:space="preserve">Shadow Mature</x:t>
        </x:is>
      </x:c>
      <x:c r="V149" s="3" t="inlineStr">
        <x:is>
          <x:t xml:space="preserve">Systematize_Detection</x:t>
        </x:is>
      </x:c>
      <x:c r="W149" s="3" t="inlineStr">
        <x:is>
          <x:t xml:space="preserve">N</x:t>
        </x:is>
      </x:c>
      <x:c r="X149" s="3" t="inlineStr">
        <x:is>
          <x:t xml:space="preserve"/>
        </x:is>
      </x:c>
      <x:c r="Y149" s="6">
        <x:f>(S149*IF(E149="G",F149,0))+(S149*IF(G149="G",H149,0))</x:f>
      </x:c>
      <x:c r="Z149" s="6">
        <x:f>(S149*IF(E149="E",F149,0))+(S149*IF(G149="E",H149,0))</x:f>
      </x:c>
      <x:c r="AA149" s="6">
        <x:f>(S149*IF(E149="T",F149,0))+(S149*IF(G149="T",H149,0))</x:f>
      </x:c>
      <x:c r="AB149" s="6">
        <x:f>(S149*IF(E149="L",F149,0))+(S149*IF(G149="L",H149,0))</x:f>
      </x:c>
      <x:c r="AC149" s="6">
        <x:f>(S149*IF(E149="H",F149,0))+(S149*IF(G149="H",H149,0))</x:f>
      </x:c>
      <x:c r="AD149" s="6">
        <x:f>(S149*IF(E149="V",F149,0))+(S149*IF(G149="V",H149,0))</x:f>
      </x:c>
      <x:c r="AE149" s="6">
        <x:f>(S149*IF(E149="R",F149,0))+(S149*IF(G149="R",H149,0))</x:f>
      </x:c>
      <x:c r="AF149" s="6">
        <x:f>(S149*IF(E149="F",F149,0))+(S149*IF(G149="F",H149,0))</x:f>
      </x:c>
      <x:c r="AG149" s="6">
        <x:f>(S149*IF(E149="W",F149,0))+(S149*IF(G149="W",H149,0))</x:f>
      </x:c>
    </x:row>
    <x:row r="150">
      <x:c r="A150" s="3" t="inlineStr">
        <x:is>
          <x:t xml:space="preserve">Executive</x:t>
        </x:is>
      </x:c>
      <x:c r="B150" s="3" t="inlineStr">
        <x:is>
          <x:t xml:space="preserve">EXCO-D6-Q01</x:t>
        </x:is>
      </x:c>
      <x:c r="C150" s="3" t="inlineStr">
        <x:is>
          <x:t xml:space="preserve">T1</x:t>
        </x:is>
      </x:c>
      <x:c r="D150" s="3" t="inlineStr">
        <x:is>
          <x:t xml:space="preserve">6. Detection &amp; Analytics</x:t>
        </x:is>
      </x:c>
      <x:c r="E150" s="3" t="inlineStr">
        <x:is>
          <x:t xml:space="preserve">T</x:t>
        </x:is>
      </x:c>
      <x:c r="F150" s="3" t="n">
        <x:v>0.6</x:v>
      </x:c>
      <x:c r="G150" s="3" t="inlineStr">
        <x:is>
          <x:t xml:space="preserve">V</x:t>
        </x:is>
      </x:c>
      <x:c r="H150" s="3" t="n">
        <x:v>0.4</x:v>
      </x:c>
      <x:c r="I150" s="3" t="inlineStr">
        <x:is>
          <x:t xml:space="preserve">What is the current focus of monitoring/detection for insider risk?</x:t>
        </x:is>
      </x:c>
      <x:c r="J150" s="3" t="inlineStr">
        <x:is>
          <x:t xml:space="preserve">Plain terms: do we only investigate after a loss, or do we proactively look for risky behaviour around sensitive assets?</x:t>
        </x:is>
      </x:c>
      <x:c r="K150" s="3" t="inlineStr">
        <x:is>
          <x:t xml:space="preserve">Gatekeeper; if BaseScore&lt;2 -&gt; next=EXCO-D6-Q02; else next=EXCO-D6-Q03</x:t>
        </x:is>
      </x:c>
      <x:c r="L150" s="3" t="inlineStr">
        <x:is>
          <x:t xml:space="preserve">OPS_STD</x:t>
        </x:is>
      </x:c>
      <x:c r="M150" s="3" t="n">
        <x:v>1</x:v>
      </x:c>
      <x:c r="N150" s="3" t="n"/>
      <x:c r="O150" s="3" t="n"/>
      <x:c r="P150" s="3" t="inlineStr">
        <x:is>
          <x:t xml:space="preserve">EXCO-D6-Q01-A3</x:t>
        </x:is>
      </x:c>
      <x:c r="Q150" s="3" t="n">
        <x:v>4</x:v>
      </x:c>
      <x:c r="R150" s="3" t="inlineStr">
        <x:is>
          <x:t xml:space="preserve">Rule-based monitoring exists (thresholds), but quality (false positives/coverage) is not measured.</x:t>
        </x:is>
      </x:c>
      <x:c r="S150" s="3" t="n">
        <x:v>2</x:v>
      </x:c>
      <x:c r="T150" s="3" t="inlineStr">
        <x:is>
          <x:t xml:space="preserve">paper_process</x:t>
        </x:is>
      </x:c>
      <x:c r="U150" s="3" t="inlineStr">
        <x:is>
          <x:t xml:space="preserve">Paper Dragon</x:t>
        </x:is>
      </x:c>
      <x:c r="V150" s="3" t="inlineStr">
        <x:is>
          <x:t xml:space="preserve">Improve_Metrics</x:t>
        </x:is>
      </x:c>
      <x:c r="W150" s="3" t="inlineStr">
        <x:is>
          <x:t xml:space="preserve">N</x:t>
        </x:is>
      </x:c>
      <x:c r="X150" s="3" t="inlineStr">
        <x:is>
          <x:t xml:space="preserve"/>
        </x:is>
      </x:c>
      <x:c r="Y150" s="6">
        <x:f>(S150*IF(E150="G",F150,0))+(S150*IF(G150="G",H150,0))</x:f>
      </x:c>
      <x:c r="Z150" s="6">
        <x:f>(S150*IF(E150="E",F150,0))+(S150*IF(G150="E",H150,0))</x:f>
      </x:c>
      <x:c r="AA150" s="6">
        <x:f>(S150*IF(E150="T",F150,0))+(S150*IF(G150="T",H150,0))</x:f>
      </x:c>
      <x:c r="AB150" s="6">
        <x:f>(S150*IF(E150="L",F150,0))+(S150*IF(G150="L",H150,0))</x:f>
      </x:c>
      <x:c r="AC150" s="6">
        <x:f>(S150*IF(E150="H",F150,0))+(S150*IF(G150="H",H150,0))</x:f>
      </x:c>
      <x:c r="AD150" s="6">
        <x:f>(S150*IF(E150="V",F150,0))+(S150*IF(G150="V",H150,0))</x:f>
      </x:c>
      <x:c r="AE150" s="6">
        <x:f>(S150*IF(E150="R",F150,0))+(S150*IF(G150="R",H150,0))</x:f>
      </x:c>
      <x:c r="AF150" s="6">
        <x:f>(S150*IF(E150="F",F150,0))+(S150*IF(G150="F",H150,0))</x:f>
      </x:c>
      <x:c r="AG150" s="6">
        <x:f>(S150*IF(E150="W",F150,0))+(S150*IF(G150="W",H150,0))</x:f>
      </x:c>
    </x:row>
    <x:row r="151">
      <x:c r="A151" s="3" t="inlineStr">
        <x:is>
          <x:t xml:space="preserve">Executive</x:t>
        </x:is>
      </x:c>
      <x:c r="B151" s="3" t="inlineStr">
        <x:is>
          <x:t xml:space="preserve">EXCO-D6-Q01</x:t>
        </x:is>
      </x:c>
      <x:c r="C151" s="3" t="inlineStr">
        <x:is>
          <x:t xml:space="preserve">T1</x:t>
        </x:is>
      </x:c>
      <x:c r="D151" s="3" t="inlineStr">
        <x:is>
          <x:t xml:space="preserve">6. Detection &amp; Analytics</x:t>
        </x:is>
      </x:c>
      <x:c r="E151" s="3" t="inlineStr">
        <x:is>
          <x:t xml:space="preserve">T</x:t>
        </x:is>
      </x:c>
      <x:c r="F151" s="3" t="n">
        <x:v>0.6</x:v>
      </x:c>
      <x:c r="G151" s="3" t="inlineStr">
        <x:is>
          <x:t xml:space="preserve">V</x:t>
        </x:is>
      </x:c>
      <x:c r="H151" s="3" t="n">
        <x:v>0.4</x:v>
      </x:c>
      <x:c r="I151" s="3" t="inlineStr">
        <x:is>
          <x:t xml:space="preserve">What is the current focus of monitoring/detection for insider risk?</x:t>
        </x:is>
      </x:c>
      <x:c r="J151" s="3" t="inlineStr">
        <x:is>
          <x:t xml:space="preserve">Plain terms: do we only investigate after a loss, or do we proactively look for risky behaviour around sensitive assets?</x:t>
        </x:is>
      </x:c>
      <x:c r="K151" s="3" t="inlineStr">
        <x:is>
          <x:t xml:space="preserve">Gatekeeper; if BaseScore&lt;2 -&gt; next=EXCO-D6-Q02; else next=EXCO-D6-Q03</x:t>
        </x:is>
      </x:c>
      <x:c r="L151" s="3" t="inlineStr">
        <x:is>
          <x:t xml:space="preserve">OPS_STD</x:t>
        </x:is>
      </x:c>
      <x:c r="M151" s="3" t="n">
        <x:v>1</x:v>
      </x:c>
      <x:c r="N151" s="3" t="n"/>
      <x:c r="O151" s="3" t="n"/>
      <x:c r="P151" s="3" t="inlineStr">
        <x:is>
          <x:t xml:space="preserve">EXCO-D6-Q01-A4</x:t>
        </x:is>
      </x:c>
      <x:c r="Q151" s="3" t="n">
        <x:v>5</x:v>
      </x:c>
      <x:c r="R151" s="3" t="inlineStr">
        <x:is>
          <x:t xml:space="preserve">Risk-based monitoring focuses on sensitive data/systems; detection quality is measured.</x:t>
        </x:is>
      </x:c>
      <x:c r="S151" s="3" t="n">
        <x:v>3</x:v>
      </x:c>
      <x:c r="T151" s="3" t="inlineStr">
        <x:is>
          <x:t xml:space="preserve">good_practice</x:t>
        </x:is>
      </x:c>
      <x:c r="U151" s="3" t="inlineStr">
        <x:is>
          <x:t xml:space="preserve"/>
        </x:is>
      </x:c>
      <x:c r="V151" s="3" t="inlineStr">
        <x:is>
          <x:t xml:space="preserve">Request_Evidence</x:t>
        </x:is>
      </x:c>
      <x:c r="W151" s="3" t="inlineStr">
        <x:is>
          <x:t xml:space="preserve">Y</x:t>
        </x:is>
      </x:c>
      <x:c r="X151" s="3" t="inlineStr">
        <x:is>
          <x:t xml:space="preserve"/>
        </x:is>
      </x:c>
      <x:c r="Y151" s="6">
        <x:f>(S151*IF(E151="G",F151,0))+(S151*IF(G151="G",H151,0))</x:f>
      </x:c>
      <x:c r="Z151" s="6">
        <x:f>(S151*IF(E151="E",F151,0))+(S151*IF(G151="E",H151,0))</x:f>
      </x:c>
      <x:c r="AA151" s="6">
        <x:f>(S151*IF(E151="T",F151,0))+(S151*IF(G151="T",H151,0))</x:f>
      </x:c>
      <x:c r="AB151" s="6">
        <x:f>(S151*IF(E151="L",F151,0))+(S151*IF(G151="L",H151,0))</x:f>
      </x:c>
      <x:c r="AC151" s="6">
        <x:f>(S151*IF(E151="H",F151,0))+(S151*IF(G151="H",H151,0))</x:f>
      </x:c>
      <x:c r="AD151" s="6">
        <x:f>(S151*IF(E151="V",F151,0))+(S151*IF(G151="V",H151,0))</x:f>
      </x:c>
      <x:c r="AE151" s="6">
        <x:f>(S151*IF(E151="R",F151,0))+(S151*IF(G151="R",H151,0))</x:f>
      </x:c>
      <x:c r="AF151" s="6">
        <x:f>(S151*IF(E151="F",F151,0))+(S151*IF(G151="F",H151,0))</x:f>
      </x:c>
      <x:c r="AG151" s="6">
        <x:f>(S151*IF(E151="W",F151,0))+(S151*IF(G151="W",H151,0))</x:f>
      </x:c>
    </x:row>
    <x:row r="152">
      <x:c r="A152" s="3" t="inlineStr">
        <x:is>
          <x:t xml:space="preserve">Executive</x:t>
        </x:is>
      </x:c>
      <x:c r="B152" s="3" t="inlineStr">
        <x:is>
          <x:t xml:space="preserve">EXCO-D6-Q01</x:t>
        </x:is>
      </x:c>
      <x:c r="C152" s="3" t="inlineStr">
        <x:is>
          <x:t xml:space="preserve">T1</x:t>
        </x:is>
      </x:c>
      <x:c r="D152" s="3" t="inlineStr">
        <x:is>
          <x:t xml:space="preserve">6. Detection &amp; Analytics</x:t>
        </x:is>
      </x:c>
      <x:c r="E152" s="3" t="inlineStr">
        <x:is>
          <x:t xml:space="preserve">T</x:t>
        </x:is>
      </x:c>
      <x:c r="F152" s="3" t="n">
        <x:v>0.6</x:v>
      </x:c>
      <x:c r="G152" s="3" t="inlineStr">
        <x:is>
          <x:t xml:space="preserve">V</x:t>
        </x:is>
      </x:c>
      <x:c r="H152" s="3" t="n">
        <x:v>0.4</x:v>
      </x:c>
      <x:c r="I152" s="3" t="inlineStr">
        <x:is>
          <x:t xml:space="preserve">What is the current focus of monitoring/detection for insider risk?</x:t>
        </x:is>
      </x:c>
      <x:c r="J152" s="3" t="inlineStr">
        <x:is>
          <x:t xml:space="preserve">Plain terms: do we only investigate after a loss, or do we proactively look for risky behaviour around sensitive assets?</x:t>
        </x:is>
      </x:c>
      <x:c r="K152" s="3" t="inlineStr">
        <x:is>
          <x:t xml:space="preserve">Gatekeeper; if BaseScore&lt;2 -&gt; next=EXCO-D6-Q02; else next=EXCO-D6-Q03</x:t>
        </x:is>
      </x:c>
      <x:c r="L152" s="3" t="inlineStr">
        <x:is>
          <x:t xml:space="preserve">OPS_STD</x:t>
        </x:is>
      </x:c>
      <x:c r="M152" s="3" t="n">
        <x:v>1</x:v>
      </x:c>
      <x:c r="N152" s="3" t="n"/>
      <x:c r="O152" s="3" t="n"/>
      <x:c r="P152" s="3" t="inlineStr">
        <x:is>
          <x:t xml:space="preserve">EXCO-D6-Q01-A5</x:t>
        </x:is>
      </x:c>
      <x:c r="Q152" s="3" t="n">
        <x:v>6</x:v>
      </x:c>
      <x:c r="R152" s="3" t="inlineStr">
        <x:is>
          <x:t xml:space="preserve">Integrated detection combining multiple signals with continuous tuning and independent quality checks.</x:t>
        </x:is>
      </x:c>
      <x:c r="S152" s="3" t="n">
        <x:v>4</x:v>
      </x:c>
      <x:c r="T152" s="3" t="inlineStr">
        <x:is>
          <x:t xml:space="preserve">optimized</x:t>
        </x:is>
      </x:c>
      <x:c r="U152" s="3" t="inlineStr">
        <x:is>
          <x:t xml:space="preserve"/>
        </x:is>
      </x:c>
      <x:c r="V152" s="3" t="inlineStr">
        <x:is>
          <x:t xml:space="preserve">Request_Evidence</x:t>
        </x:is>
      </x:c>
      <x:c r="W152" s="3" t="inlineStr">
        <x:is>
          <x:t xml:space="preserve">Y</x:t>
        </x:is>
      </x:c>
      <x:c r="X152" s="3" t="inlineStr">
        <x:is>
          <x:t xml:space="preserve"/>
        </x:is>
      </x:c>
      <x:c r="Y152" s="6">
        <x:f>(S152*IF(E152="G",F152,0))+(S152*IF(G152="G",H152,0))</x:f>
      </x:c>
      <x:c r="Z152" s="6">
        <x:f>(S152*IF(E152="E",F152,0))+(S152*IF(G152="E",H152,0))</x:f>
      </x:c>
      <x:c r="AA152" s="6">
        <x:f>(S152*IF(E152="T",F152,0))+(S152*IF(G152="T",H152,0))</x:f>
      </x:c>
      <x:c r="AB152" s="6">
        <x:f>(S152*IF(E152="L",F152,0))+(S152*IF(G152="L",H152,0))</x:f>
      </x:c>
      <x:c r="AC152" s="6">
        <x:f>(S152*IF(E152="H",F152,0))+(S152*IF(G152="H",H152,0))</x:f>
      </x:c>
      <x:c r="AD152" s="6">
        <x:f>(S152*IF(E152="V",F152,0))+(S152*IF(G152="V",H152,0))</x:f>
      </x:c>
      <x:c r="AE152" s="6">
        <x:f>(S152*IF(E152="R",F152,0))+(S152*IF(G152="R",H152,0))</x:f>
      </x:c>
      <x:c r="AF152" s="6">
        <x:f>(S152*IF(E152="F",F152,0))+(S152*IF(G152="F",H152,0))</x:f>
      </x:c>
      <x:c r="AG152" s="6">
        <x:f>(S152*IF(E152="W",F152,0))+(S152*IF(G152="W",H152,0))</x:f>
      </x:c>
    </x:row>
    <x:row r="153">
      <x:c r="A153" s="3" t="inlineStr">
        <x:is>
          <x:t xml:space="preserve">Executive</x:t>
        </x:is>
      </x:c>
      <x:c r="B153" s="3" t="inlineStr">
        <x:is>
          <x:t xml:space="preserve">EXCO-D6-Q02</x:t>
        </x:is>
      </x:c>
      <x:c r="C153" s="3" t="inlineStr">
        <x:is>
          <x:t xml:space="preserve">T2</x:t>
        </x:is>
      </x:c>
      <x:c r="D153" s="3" t="inlineStr">
        <x:is>
          <x:t xml:space="preserve">6. Detection &amp; Analytics</x:t>
        </x:is>
      </x:c>
      <x:c r="E153" s="3" t="inlineStr">
        <x:is>
          <x:t xml:space="preserve">E</x:t>
        </x:is>
      </x:c>
      <x:c r="F153" s="3" t="n">
        <x:v>1</x:v>
      </x:c>
      <x:c r="G153" s="3" t="inlineStr">
        <x:is>
          <x:t xml:space="preserve">-</x:t>
        </x:is>
      </x:c>
      <x:c r="H153" s="3" t="inlineStr">
        <x:is>
          <x:t xml:space="preserve"/>
        </x:is>
      </x:c>
      <x:c r="I153" s="3" t="inlineStr">
        <x:is>
          <x:t xml:space="preserve">(Shadow probe) Even if tools are limited, do teams consistently escalate ‘concerning behaviour’ to the right place?</x:t>
        </x:is>
      </x:c>
      <x:c r="J153" s="3" t="inlineStr">
        <x:is>
          <x:t xml:space="preserve">This checks consistent escalation habits as a substitute signal for detection maturity.</x:t>
        </x:is>
      </x:c>
      <x:c r="K153" s="3" t="inlineStr">
        <x:is>
          <x:t xml:space="preserve">Shadow probe; next=EXCO-D6-Q03</x:t>
        </x:is>
      </x:c>
      <x:c r="L153" s="3" t="inlineStr">
        <x:is>
          <x:t xml:space="preserve">OPS_STD</x:t>
        </x:is>
      </x:c>
      <x:c r="M153" s="3" t="n">
        <x:v>1</x:v>
      </x:c>
      <x:c r="N153" s="3" t="n"/>
      <x:c r="O153" s="3" t="n"/>
      <x:c r="P153" s="3" t="inlineStr">
        <x:is>
          <x:t xml:space="preserve">EXCO-D6-Q02-A1</x:t>
        </x:is>
      </x:c>
      <x:c r="Q153" s="3" t="n">
        <x:v>1</x:v>
      </x:c>
      <x:c r="R153" s="3" t="inlineStr">
        <x:is>
          <x:t xml:space="preserve">No—escalations are inconsistent or avoided.</x:t>
        </x:is>
      </x:c>
      <x:c r="S153" s="3" t="n">
        <x:v>0</x:v>
      </x:c>
      <x:c r="T153" s="3" t="inlineStr">
        <x:is>
          <x:t xml:space="preserve">foundational_gap</x:t>
        </x:is>
      </x:c>
      <x:c r="U153" s="3" t="inlineStr">
        <x:is>
          <x:t xml:space="preserve">Operating Model Gap</x:t>
        </x:is>
      </x:c>
      <x:c r="V153" s="3" t="inlineStr">
        <x:is>
          <x:t xml:space="preserve">Define_Escalation</x:t>
        </x:is>
      </x:c>
      <x:c r="W153" s="3" t="inlineStr">
        <x:is>
          <x:t xml:space="preserve">N</x:t>
        </x:is>
      </x:c>
      <x:c r="X153" s="3" t="inlineStr">
        <x:is>
          <x:t xml:space="preserve"/>
        </x:is>
      </x:c>
      <x:c r="Y153" s="6">
        <x:f>(S153*IF(E153="G",F153,0))+(S153*IF(G153="G",H153,0))</x:f>
      </x:c>
      <x:c r="Z153" s="6">
        <x:f>(S153*IF(E153="E",F153,0))+(S153*IF(G153="E",H153,0))</x:f>
      </x:c>
      <x:c r="AA153" s="6">
        <x:f>(S153*IF(E153="T",F153,0))+(S153*IF(G153="T",H153,0))</x:f>
      </x:c>
      <x:c r="AB153" s="6">
        <x:f>(S153*IF(E153="L",F153,0))+(S153*IF(G153="L",H153,0))</x:f>
      </x:c>
      <x:c r="AC153" s="6">
        <x:f>(S153*IF(E153="H",F153,0))+(S153*IF(G153="H",H153,0))</x:f>
      </x:c>
      <x:c r="AD153" s="6">
        <x:f>(S153*IF(E153="V",F153,0))+(S153*IF(G153="V",H153,0))</x:f>
      </x:c>
      <x:c r="AE153" s="6">
        <x:f>(S153*IF(E153="R",F153,0))+(S153*IF(G153="R",H153,0))</x:f>
      </x:c>
      <x:c r="AF153" s="6">
        <x:f>(S153*IF(E153="F",F153,0))+(S153*IF(G153="F",H153,0))</x:f>
      </x:c>
      <x:c r="AG153" s="6">
        <x:f>(S153*IF(E153="W",F153,0))+(S153*IF(G153="W",H153,0))</x:f>
      </x:c>
    </x:row>
    <x:row r="154">
      <x:c r="A154" s="3" t="inlineStr">
        <x:is>
          <x:t xml:space="preserve">Executive</x:t>
        </x:is>
      </x:c>
      <x:c r="B154" s="3" t="inlineStr">
        <x:is>
          <x:t xml:space="preserve">EXCO-D6-Q02</x:t>
        </x:is>
      </x:c>
      <x:c r="C154" s="3" t="inlineStr">
        <x:is>
          <x:t xml:space="preserve">T2</x:t>
        </x:is>
      </x:c>
      <x:c r="D154" s="3" t="inlineStr">
        <x:is>
          <x:t xml:space="preserve">6. Detection &amp; Analytics</x:t>
        </x:is>
      </x:c>
      <x:c r="E154" s="3" t="inlineStr">
        <x:is>
          <x:t xml:space="preserve">E</x:t>
        </x:is>
      </x:c>
      <x:c r="F154" s="3" t="n">
        <x:v>1</x:v>
      </x:c>
      <x:c r="G154" s="3" t="inlineStr">
        <x:is>
          <x:t xml:space="preserve">-</x:t>
        </x:is>
      </x:c>
      <x:c r="H154" s="3" t="inlineStr">
        <x:is>
          <x:t xml:space="preserve"/>
        </x:is>
      </x:c>
      <x:c r="I154" s="3" t="inlineStr">
        <x:is>
          <x:t xml:space="preserve">(Shadow probe) Even if tools are limited, do teams consistently escalate ‘concerning behaviour’ to the right place?</x:t>
        </x:is>
      </x:c>
      <x:c r="J154" s="3" t="inlineStr">
        <x:is>
          <x:t xml:space="preserve">This checks consistent escalation habits as a substitute signal for detection maturity.</x:t>
        </x:is>
      </x:c>
      <x:c r="K154" s="3" t="inlineStr">
        <x:is>
          <x:t xml:space="preserve">Shadow probe; next=EXCO-D6-Q03</x:t>
        </x:is>
      </x:c>
      <x:c r="L154" s="3" t="inlineStr">
        <x:is>
          <x:t xml:space="preserve">OPS_STD</x:t>
        </x:is>
      </x:c>
      <x:c r="M154" s="3" t="n">
        <x:v>1</x:v>
      </x:c>
      <x:c r="N154" s="3" t="n"/>
      <x:c r="O154" s="3" t="n"/>
      <x:c r="P154" s="3" t="inlineStr">
        <x:is>
          <x:t xml:space="preserve">EXCO-D6-Q02-A2</x:t>
        </x:is>
      </x:c>
      <x:c r="Q154" s="3" t="n">
        <x:v>2</x:v>
      </x:c>
      <x:c r="R154" s="3" t="inlineStr">
        <x:is>
          <x:t xml:space="preserve">Yes, but it depends on individuals and is not documented.</x:t>
        </x:is>
      </x:c>
      <x:c r="S154" s="3" t="n">
        <x:v>1</x:v>
      </x:c>
      <x:c r="T154" s="3" t="inlineStr">
        <x:is>
          <x:t xml:space="preserve">shadow_signal</x:t>
        </x:is>
      </x:c>
      <x:c r="U154" s="3" t="inlineStr">
        <x:is>
          <x:t xml:space="preserve">Shadow Mature</x:t>
        </x:is>
      </x:c>
      <x:c r="V154" s="3" t="inlineStr">
        <x:is>
          <x:t xml:space="preserve">Formalize_Escalation</x:t>
        </x:is>
      </x:c>
      <x:c r="W154" s="3" t="inlineStr">
        <x:is>
          <x:t xml:space="preserve">N</x:t>
        </x:is>
      </x:c>
      <x:c r="X154" s="3" t="inlineStr">
        <x:is>
          <x:t xml:space="preserve"/>
        </x:is>
      </x:c>
      <x:c r="Y154" s="6">
        <x:f>(S154*IF(E154="G",F154,0))+(S154*IF(G154="G",H154,0))</x:f>
      </x:c>
      <x:c r="Z154" s="6">
        <x:f>(S154*IF(E154="E",F154,0))+(S154*IF(G154="E",H154,0))</x:f>
      </x:c>
      <x:c r="AA154" s="6">
        <x:f>(S154*IF(E154="T",F154,0))+(S154*IF(G154="T",H154,0))</x:f>
      </x:c>
      <x:c r="AB154" s="6">
        <x:f>(S154*IF(E154="L",F154,0))+(S154*IF(G154="L",H154,0))</x:f>
      </x:c>
      <x:c r="AC154" s="6">
        <x:f>(S154*IF(E154="H",F154,0))+(S154*IF(G154="H",H154,0))</x:f>
      </x:c>
      <x:c r="AD154" s="6">
        <x:f>(S154*IF(E154="V",F154,0))+(S154*IF(G154="V",H154,0))</x:f>
      </x:c>
      <x:c r="AE154" s="6">
        <x:f>(S154*IF(E154="R",F154,0))+(S154*IF(G154="R",H154,0))</x:f>
      </x:c>
      <x:c r="AF154" s="6">
        <x:f>(S154*IF(E154="F",F154,0))+(S154*IF(G154="F",H154,0))</x:f>
      </x:c>
      <x:c r="AG154" s="6">
        <x:f>(S154*IF(E154="W",F154,0))+(S154*IF(G154="W",H154,0))</x:f>
      </x:c>
    </x:row>
    <x:row r="155">
      <x:c r="A155" s="3" t="inlineStr">
        <x:is>
          <x:t xml:space="preserve">Executive</x:t>
        </x:is>
      </x:c>
      <x:c r="B155" s="3" t="inlineStr">
        <x:is>
          <x:t xml:space="preserve">EXCO-D6-Q02</x:t>
        </x:is>
      </x:c>
      <x:c r="C155" s="3" t="inlineStr">
        <x:is>
          <x:t xml:space="preserve">T2</x:t>
        </x:is>
      </x:c>
      <x:c r="D155" s="3" t="inlineStr">
        <x:is>
          <x:t xml:space="preserve">6. Detection &amp; Analytics</x:t>
        </x:is>
      </x:c>
      <x:c r="E155" s="3" t="inlineStr">
        <x:is>
          <x:t xml:space="preserve">E</x:t>
        </x:is>
      </x:c>
      <x:c r="F155" s="3" t="n">
        <x:v>1</x:v>
      </x:c>
      <x:c r="G155" s="3" t="inlineStr">
        <x:is>
          <x:t xml:space="preserve">-</x:t>
        </x:is>
      </x:c>
      <x:c r="H155" s="3" t="inlineStr">
        <x:is>
          <x:t xml:space="preserve"/>
        </x:is>
      </x:c>
      <x:c r="I155" s="3" t="inlineStr">
        <x:is>
          <x:t xml:space="preserve">(Shadow probe) Even if tools are limited, do teams consistently escalate ‘concerning behaviour’ to the right place?</x:t>
        </x:is>
      </x:c>
      <x:c r="J155" s="3" t="inlineStr">
        <x:is>
          <x:t xml:space="preserve">This checks consistent escalation habits as a substitute signal for detection maturity.</x:t>
        </x:is>
      </x:c>
      <x:c r="K155" s="3" t="inlineStr">
        <x:is>
          <x:t xml:space="preserve">Shadow probe; next=EXCO-D6-Q03</x:t>
        </x:is>
      </x:c>
      <x:c r="L155" s="3" t="inlineStr">
        <x:is>
          <x:t xml:space="preserve">OPS_STD</x:t>
        </x:is>
      </x:c>
      <x:c r="M155" s="3" t="n">
        <x:v>1</x:v>
      </x:c>
      <x:c r="N155" s="3" t="n"/>
      <x:c r="O155" s="3" t="n"/>
      <x:c r="P155" s="3" t="inlineStr">
        <x:is>
          <x:t xml:space="preserve">EXCO-D6-Q02-A3</x:t>
        </x:is>
      </x:c>
      <x:c r="Q155" s="3" t="n">
        <x:v>3</x:v>
      </x:c>
      <x:c r="R155" s="3" t="inlineStr">
        <x:is>
          <x:t xml:space="preserve">Yes—there is a known path to escalate concerns and it is used consistently.</x:t>
        </x:is>
      </x:c>
      <x:c r="S155" s="3" t="n">
        <x:v>2</x:v>
      </x:c>
      <x:c r="T155" s="3" t="inlineStr">
        <x:is>
          <x:t xml:space="preserve">good_practice</x:t>
        </x:is>
      </x:c>
      <x:c r="U155" s="3" t="inlineStr">
        <x:is>
          <x:t xml:space="preserve"/>
        </x:is>
      </x:c>
      <x:c r="V155" s="3" t="inlineStr">
        <x:is>
          <x:t xml:space="preserve">Request_Evidence</x:t>
        </x:is>
      </x:c>
      <x:c r="W155" s="3" t="inlineStr">
        <x:is>
          <x:t xml:space="preserve">Y</x:t>
        </x:is>
      </x:c>
      <x:c r="X155" s="3" t="inlineStr">
        <x:is>
          <x:t xml:space="preserve">Provide example of a recent escalation path (anonymised).</x:t>
        </x:is>
      </x:c>
      <x:c r="Y155" s="6">
        <x:f>(S155*IF(E155="G",F155,0))+(S155*IF(G155="G",H155,0))</x:f>
      </x:c>
      <x:c r="Z155" s="6">
        <x:f>(S155*IF(E155="E",F155,0))+(S155*IF(G155="E",H155,0))</x:f>
      </x:c>
      <x:c r="AA155" s="6">
        <x:f>(S155*IF(E155="T",F155,0))+(S155*IF(G155="T",H155,0))</x:f>
      </x:c>
      <x:c r="AB155" s="6">
        <x:f>(S155*IF(E155="L",F155,0))+(S155*IF(G155="L",H155,0))</x:f>
      </x:c>
      <x:c r="AC155" s="6">
        <x:f>(S155*IF(E155="H",F155,0))+(S155*IF(G155="H",H155,0))</x:f>
      </x:c>
      <x:c r="AD155" s="6">
        <x:f>(S155*IF(E155="V",F155,0))+(S155*IF(G155="V",H155,0))</x:f>
      </x:c>
      <x:c r="AE155" s="6">
        <x:f>(S155*IF(E155="R",F155,0))+(S155*IF(G155="R",H155,0))</x:f>
      </x:c>
      <x:c r="AF155" s="6">
        <x:f>(S155*IF(E155="F",F155,0))+(S155*IF(G155="F",H155,0))</x:f>
      </x:c>
      <x:c r="AG155" s="6">
        <x:f>(S155*IF(E155="W",F155,0))+(S155*IF(G155="W",H155,0))</x:f>
      </x:c>
    </x:row>
    <x:row r="156">
      <x:c r="A156" s="3" t="inlineStr">
        <x:is>
          <x:t xml:space="preserve">Executive</x:t>
        </x:is>
      </x:c>
      <x:c r="B156" s="3" t="inlineStr">
        <x:is>
          <x:t xml:space="preserve">EXCO-D6-Q02</x:t>
        </x:is>
      </x:c>
      <x:c r="C156" s="3" t="inlineStr">
        <x:is>
          <x:t xml:space="preserve">T2</x:t>
        </x:is>
      </x:c>
      <x:c r="D156" s="3" t="inlineStr">
        <x:is>
          <x:t xml:space="preserve">6. Detection &amp; Analytics</x:t>
        </x:is>
      </x:c>
      <x:c r="E156" s="3" t="inlineStr">
        <x:is>
          <x:t xml:space="preserve">E</x:t>
        </x:is>
      </x:c>
      <x:c r="F156" s="3" t="n">
        <x:v>1</x:v>
      </x:c>
      <x:c r="G156" s="3" t="inlineStr">
        <x:is>
          <x:t xml:space="preserve">-</x:t>
        </x:is>
      </x:c>
      <x:c r="H156" s="3" t="inlineStr">
        <x:is>
          <x:t xml:space="preserve"/>
        </x:is>
      </x:c>
      <x:c r="I156" s="3" t="inlineStr">
        <x:is>
          <x:t xml:space="preserve">(Shadow probe) Even if tools are limited, do teams consistently escalate ‘concerning behaviour’ to the right place?</x:t>
        </x:is>
      </x:c>
      <x:c r="J156" s="3" t="inlineStr">
        <x:is>
          <x:t xml:space="preserve">This checks consistent escalation habits as a substitute signal for detection maturity.</x:t>
        </x:is>
      </x:c>
      <x:c r="K156" s="3" t="inlineStr">
        <x:is>
          <x:t xml:space="preserve">Shadow probe; next=EXCO-D6-Q03</x:t>
        </x:is>
      </x:c>
      <x:c r="L156" s="3" t="inlineStr">
        <x:is>
          <x:t xml:space="preserve">OPS_STD</x:t>
        </x:is>
      </x:c>
      <x:c r="M156" s="3" t="n">
        <x:v>1</x:v>
      </x:c>
      <x:c r="N156" s="3" t="n"/>
      <x:c r="O156" s="3" t="n"/>
      <x:c r="P156" s="3" t="inlineStr">
        <x:is>
          <x:t xml:space="preserve">EXCO-D6-Q02-A4</x:t>
        </x:is>
      </x:c>
      <x:c r="Q156" s="3" t="n">
        <x:v>4</x:v>
      </x:c>
      <x:c r="R156" s="3" t="inlineStr">
        <x:is>
          <x:t xml:space="preserve">Yes—and escalations are tracked with outcomes (time-to-triage, closure quality).</x:t>
        </x:is>
      </x:c>
      <x:c r="S156" s="3" t="n">
        <x:v>3</x:v>
      </x:c>
      <x:c r="T156" s="3" t="inlineStr">
        <x:is>
          <x:t xml:space="preserve">optimized</x:t>
        </x:is>
      </x:c>
      <x:c r="U156" s="3" t="inlineStr">
        <x:is>
          <x:t xml:space="preserve"/>
        </x:is>
      </x:c>
      <x:c r="V156" s="3" t="inlineStr">
        <x:is>
          <x:t xml:space="preserve">Request_Evidence</x:t>
        </x:is>
      </x:c>
      <x:c r="W156" s="3" t="inlineStr">
        <x:is>
          <x:t xml:space="preserve">Y</x:t>
        </x:is>
      </x:c>
      <x:c r="X156" s="3" t="inlineStr">
        <x:is>
          <x:t xml:space="preserve"/>
        </x:is>
      </x:c>
      <x:c r="Y156" s="6">
        <x:f>(S156*IF(E156="G",F156,0))+(S156*IF(G156="G",H156,0))</x:f>
      </x:c>
      <x:c r="Z156" s="6">
        <x:f>(S156*IF(E156="E",F156,0))+(S156*IF(G156="E",H156,0))</x:f>
      </x:c>
      <x:c r="AA156" s="6">
        <x:f>(S156*IF(E156="T",F156,0))+(S156*IF(G156="T",H156,0))</x:f>
      </x:c>
      <x:c r="AB156" s="6">
        <x:f>(S156*IF(E156="L",F156,0))+(S156*IF(G156="L",H156,0))</x:f>
      </x:c>
      <x:c r="AC156" s="6">
        <x:f>(S156*IF(E156="H",F156,0))+(S156*IF(G156="H",H156,0))</x:f>
      </x:c>
      <x:c r="AD156" s="6">
        <x:f>(S156*IF(E156="V",F156,0))+(S156*IF(G156="V",H156,0))</x:f>
      </x:c>
      <x:c r="AE156" s="6">
        <x:f>(S156*IF(E156="R",F156,0))+(S156*IF(G156="R",H156,0))</x:f>
      </x:c>
      <x:c r="AF156" s="6">
        <x:f>(S156*IF(E156="F",F156,0))+(S156*IF(G156="F",H156,0))</x:f>
      </x:c>
      <x:c r="AG156" s="6">
        <x:f>(S156*IF(E156="W",F156,0))+(S156*IF(G156="W",H156,0))</x:f>
      </x:c>
    </x:row>
    <x:row r="157">
      <x:c r="A157" s="3" t="inlineStr">
        <x:is>
          <x:t xml:space="preserve">Executive</x:t>
        </x:is>
      </x:c>
      <x:c r="B157" s="3" t="inlineStr">
        <x:is>
          <x:t xml:space="preserve">EXCO-D6-Q03</x:t>
        </x:is>
      </x:c>
      <x:c r="C157" s="3" t="inlineStr">
        <x:is>
          <x:t xml:space="preserve">T2</x:t>
        </x:is>
      </x:c>
      <x:c r="D157" s="3" t="inlineStr">
        <x:is>
          <x:t xml:space="preserve">6. Detection &amp; Analytics</x:t>
        </x:is>
      </x:c>
      <x:c r="E157" s="3" t="inlineStr">
        <x:is>
          <x:t xml:space="preserve">L</x:t>
        </x:is>
      </x:c>
      <x:c r="F157" s="3" t="n">
        <x:v>0.5</x:v>
      </x:c>
      <x:c r="G157" s="3" t="inlineStr">
        <x:is>
          <x:t xml:space="preserve">G</x:t>
        </x:is>
      </x:c>
      <x:c r="H157" s="3" t="n">
        <x:v>0.5</x:v>
      </x:c>
      <x:c r="I157" s="3" t="inlineStr">
        <x:is>
          <x:t xml:space="preserve">If HR or people-related signals are used (e.g., leavers, disputes), is there clear governance on what is shared and why?</x:t>
        </x:is>
      </x:c>
      <x:c r="J157" s="3" t="inlineStr">
        <x:is>
          <x:t xml:space="preserve">This does not mean ‘watch everyone’; it means legal basis, proportionality, approvals, and safeguards.</x:t>
        </x:is>
      </x:c>
      <x:c r="K157" s="3" t="inlineStr">
        <x:is>
          <x:t xml:space="preserve">Drill-down; next=EXCO-D7-Q01</x:t>
        </x:is>
      </x:c>
      <x:c r="L157" s="3" t="inlineStr">
        <x:is>
          <x:t xml:space="preserve">LEG_STRICT</x:t>
        </x:is>
      </x:c>
      <x:c r="M157" s="3" t="n">
        <x:v>1</x:v>
      </x:c>
      <x:c r="N157" s="3" t="n"/>
      <x:c r="O157" s="3" t="n"/>
      <x:c r="P157" s="3" t="inlineStr">
        <x:is>
          <x:t xml:space="preserve">EXCO-D6-Q03-A0</x:t>
        </x:is>
      </x:c>
      <x:c r="Q157" s="3" t="n">
        <x:v>1</x:v>
      </x:c>
      <x:c r="R157" s="3" t="inlineStr">
        <x:is>
          <x:t xml:space="preserve">I don’t know / not sure.</x:t>
        </x:is>
      </x:c>
      <x:c r="S157" s="3" t="n">
        <x:v>0</x:v>
      </x:c>
      <x:c r="T157" s="3" t="inlineStr">
        <x:is>
          <x:t xml:space="preserve">unknown</x:t>
        </x:is>
      </x:c>
      <x:c r="U157" s="3" t="inlineStr">
        <x:is>
          <x:t xml:space="preserve">Unknown</x:t>
        </x:is>
      </x:c>
      <x:c r="V157" s="3" t="inlineStr">
        <x:is>
          <x:t xml:space="preserve">Legal_Defensibility_Audit</x:t>
        </x:is>
      </x:c>
      <x:c r="W157" s="3" t="inlineStr">
        <x:is>
          <x:t xml:space="preserve">N</x:t>
        </x:is>
      </x:c>
      <x:c r="X157" s="3" t="inlineStr">
        <x:is>
          <x:t xml:space="preserve"/>
        </x:is>
      </x:c>
      <x:c r="Y157" s="6">
        <x:f>(S157*IF(E157="G",F157,0))+(S157*IF(G157="G",H157,0))</x:f>
      </x:c>
      <x:c r="Z157" s="6">
        <x:f>(S157*IF(E157="E",F157,0))+(S157*IF(G157="E",H157,0))</x:f>
      </x:c>
      <x:c r="AA157" s="6">
        <x:f>(S157*IF(E157="T",F157,0))+(S157*IF(G157="T",H157,0))</x:f>
      </x:c>
      <x:c r="AB157" s="6">
        <x:f>(S157*IF(E157="L",F157,0))+(S157*IF(G157="L",H157,0))</x:f>
      </x:c>
      <x:c r="AC157" s="6">
        <x:f>(S157*IF(E157="H",F157,0))+(S157*IF(G157="H",H157,0))</x:f>
      </x:c>
      <x:c r="AD157" s="6">
        <x:f>(S157*IF(E157="V",F157,0))+(S157*IF(G157="V",H157,0))</x:f>
      </x:c>
      <x:c r="AE157" s="6">
        <x:f>(S157*IF(E157="R",F157,0))+(S157*IF(G157="R",H157,0))</x:f>
      </x:c>
      <x:c r="AF157" s="6">
        <x:f>(S157*IF(E157="F",F157,0))+(S157*IF(G157="F",H157,0))</x:f>
      </x:c>
      <x:c r="AG157" s="6">
        <x:f>(S157*IF(E157="W",F157,0))+(S157*IF(G157="W",H157,0))</x:f>
      </x:c>
    </x:row>
    <x:row r="158">
      <x:c r="A158" s="3" t="inlineStr">
        <x:is>
          <x:t xml:space="preserve">Executive</x:t>
        </x:is>
      </x:c>
      <x:c r="B158" s="3" t="inlineStr">
        <x:is>
          <x:t xml:space="preserve">EXCO-D6-Q03</x:t>
        </x:is>
      </x:c>
      <x:c r="C158" s="3" t="inlineStr">
        <x:is>
          <x:t xml:space="preserve">T2</x:t>
        </x:is>
      </x:c>
      <x:c r="D158" s="3" t="inlineStr">
        <x:is>
          <x:t xml:space="preserve">6. Detection &amp; Analytics</x:t>
        </x:is>
      </x:c>
      <x:c r="E158" s="3" t="inlineStr">
        <x:is>
          <x:t xml:space="preserve">L</x:t>
        </x:is>
      </x:c>
      <x:c r="F158" s="3" t="n">
        <x:v>0.5</x:v>
      </x:c>
      <x:c r="G158" s="3" t="inlineStr">
        <x:is>
          <x:t xml:space="preserve">G</x:t>
        </x:is>
      </x:c>
      <x:c r="H158" s="3" t="n">
        <x:v>0.5</x:v>
      </x:c>
      <x:c r="I158" s="3" t="inlineStr">
        <x:is>
          <x:t xml:space="preserve">If HR or people-related signals are used (e.g., leavers, disputes), is there clear governance on what is shared and why?</x:t>
        </x:is>
      </x:c>
      <x:c r="J158" s="3" t="inlineStr">
        <x:is>
          <x:t xml:space="preserve">This does not mean ‘watch everyone’; it means legal basis, proportionality, approvals, and safeguards.</x:t>
        </x:is>
      </x:c>
      <x:c r="K158" s="3" t="inlineStr">
        <x:is>
          <x:t xml:space="preserve">Drill-down; next=EXCO-D7-Q01</x:t>
        </x:is>
      </x:c>
      <x:c r="L158" s="3" t="inlineStr">
        <x:is>
          <x:t xml:space="preserve">LEG_STRICT</x:t>
        </x:is>
      </x:c>
      <x:c r="M158" s="3" t="n">
        <x:v>1</x:v>
      </x:c>
      <x:c r="N158" s="3" t="n"/>
      <x:c r="O158" s="3" t="n"/>
      <x:c r="P158" s="3" t="inlineStr">
        <x:is>
          <x:t xml:space="preserve">EXCO-D6-Q03-A1</x:t>
        </x:is>
      </x:c>
      <x:c r="Q158" s="3" t="n">
        <x:v>2</x:v>
      </x:c>
      <x:c r="R158" s="3" t="inlineStr">
        <x:is>
          <x:t xml:space="preserve">No—HR and Security share information informally when they think it’s needed.</x:t>
        </x:is>
      </x:c>
      <x:c r="S158" s="3" t="n">
        <x:v>0</x:v>
      </x:c>
      <x:c r="T158" s="3" t="inlineStr">
        <x:is>
          <x:t xml:space="preserve">legal_red_flag</x:t>
        </x:is>
      </x:c>
      <x:c r="U158" s="3" t="inlineStr">
        <x:is>
          <x:t xml:space="preserve">Legal Exposure</x:t>
        </x:is>
      </x:c>
      <x:c r="V158" s="3" t="inlineStr">
        <x:is>
          <x:t xml:space="preserve">Legal_Defensibility_Audit</x:t>
        </x:is>
      </x:c>
      <x:c r="W158" s="3" t="inlineStr">
        <x:is>
          <x:t xml:space="preserve">N</x:t>
        </x:is>
      </x:c>
      <x:c r="X158" s="3" t="inlineStr">
        <x:is>
          <x:t xml:space="preserve"/>
        </x:is>
      </x:c>
      <x:c r="Y158" s="6">
        <x:f>(S158*IF(E158="G",F158,0))+(S158*IF(G158="G",H158,0))</x:f>
      </x:c>
      <x:c r="Z158" s="6">
        <x:f>(S158*IF(E158="E",F158,0))+(S158*IF(G158="E",H158,0))</x:f>
      </x:c>
      <x:c r="AA158" s="6">
        <x:f>(S158*IF(E158="T",F158,0))+(S158*IF(G158="T",H158,0))</x:f>
      </x:c>
      <x:c r="AB158" s="6">
        <x:f>(S158*IF(E158="L",F158,0))+(S158*IF(G158="L",H158,0))</x:f>
      </x:c>
      <x:c r="AC158" s="6">
        <x:f>(S158*IF(E158="H",F158,0))+(S158*IF(G158="H",H158,0))</x:f>
      </x:c>
      <x:c r="AD158" s="6">
        <x:f>(S158*IF(E158="V",F158,0))+(S158*IF(G158="V",H158,0))</x:f>
      </x:c>
      <x:c r="AE158" s="6">
        <x:f>(S158*IF(E158="R",F158,0))+(S158*IF(G158="R",H158,0))</x:f>
      </x:c>
      <x:c r="AF158" s="6">
        <x:f>(S158*IF(E158="F",F158,0))+(S158*IF(G158="F",H158,0))</x:f>
      </x:c>
      <x:c r="AG158" s="6">
        <x:f>(S158*IF(E158="W",F158,0))+(S158*IF(G158="W",H158,0))</x:f>
      </x:c>
    </x:row>
    <x:row r="159">
      <x:c r="A159" s="3" t="inlineStr">
        <x:is>
          <x:t xml:space="preserve">Executive</x:t>
        </x:is>
      </x:c>
      <x:c r="B159" s="3" t="inlineStr">
        <x:is>
          <x:t xml:space="preserve">EXCO-D6-Q03</x:t>
        </x:is>
      </x:c>
      <x:c r="C159" s="3" t="inlineStr">
        <x:is>
          <x:t xml:space="preserve">T2</x:t>
        </x:is>
      </x:c>
      <x:c r="D159" s="3" t="inlineStr">
        <x:is>
          <x:t xml:space="preserve">6. Detection &amp; Analytics</x:t>
        </x:is>
      </x:c>
      <x:c r="E159" s="3" t="inlineStr">
        <x:is>
          <x:t xml:space="preserve">L</x:t>
        </x:is>
      </x:c>
      <x:c r="F159" s="3" t="n">
        <x:v>0.5</x:v>
      </x:c>
      <x:c r="G159" s="3" t="inlineStr">
        <x:is>
          <x:t xml:space="preserve">G</x:t>
        </x:is>
      </x:c>
      <x:c r="H159" s="3" t="n">
        <x:v>0.5</x:v>
      </x:c>
      <x:c r="I159" s="3" t="inlineStr">
        <x:is>
          <x:t xml:space="preserve">If HR or people-related signals are used (e.g., leavers, disputes), is there clear governance on what is shared and why?</x:t>
        </x:is>
      </x:c>
      <x:c r="J159" s="3" t="inlineStr">
        <x:is>
          <x:t xml:space="preserve">This does not mean ‘watch everyone’; it means legal basis, proportionality, approvals, and safeguards.</x:t>
        </x:is>
      </x:c>
      <x:c r="K159" s="3" t="inlineStr">
        <x:is>
          <x:t xml:space="preserve">Drill-down; next=EXCO-D7-Q01</x:t>
        </x:is>
      </x:c>
      <x:c r="L159" s="3" t="inlineStr">
        <x:is>
          <x:t xml:space="preserve">LEG_STRICT</x:t>
        </x:is>
      </x:c>
      <x:c r="M159" s="3" t="n">
        <x:v>1</x:v>
      </x:c>
      <x:c r="N159" s="3" t="n"/>
      <x:c r="O159" s="3" t="n"/>
      <x:c r="P159" s="3" t="inlineStr">
        <x:is>
          <x:t xml:space="preserve">EXCO-D6-Q03-A2</x:t>
        </x:is>
      </x:c>
      <x:c r="Q159" s="3" t="n">
        <x:v>3</x:v>
      </x:c>
      <x:c r="R159" s="3" t="inlineStr">
        <x:is>
          <x:t xml:space="preserve">Some sharing exists via spreadsheets/emails, but approvals and safeguards are unclear.</x:t>
        </x:is>
      </x:c>
      <x:c r="S159" s="3" t="n">
        <x:v>1</x:v>
      </x:c>
      <x:c r="T159" s="3" t="inlineStr">
        <x:is>
          <x:t xml:space="preserve">legal_red_flag</x:t>
        </x:is>
      </x:c>
      <x:c r="U159" s="3" t="inlineStr">
        <x:is>
          <x:t xml:space="preserve">Legal Exposure</x:t>
        </x:is>
      </x:c>
      <x:c r="V159" s="3" t="inlineStr">
        <x:is>
          <x:t xml:space="preserve">Legal_Defensibility_Audit</x:t>
        </x:is>
      </x:c>
      <x:c r="W159" s="3" t="inlineStr">
        <x:is>
          <x:t xml:space="preserve">N</x:t>
        </x:is>
      </x:c>
      <x:c r="X159" s="3" t="inlineStr">
        <x:is>
          <x:t xml:space="preserve"/>
        </x:is>
      </x:c>
      <x:c r="Y159" s="6">
        <x:f>(S159*IF(E159="G",F159,0))+(S159*IF(G159="G",H159,0))</x:f>
      </x:c>
      <x:c r="Z159" s="6">
        <x:f>(S159*IF(E159="E",F159,0))+(S159*IF(G159="E",H159,0))</x:f>
      </x:c>
      <x:c r="AA159" s="6">
        <x:f>(S159*IF(E159="T",F159,0))+(S159*IF(G159="T",H159,0))</x:f>
      </x:c>
      <x:c r="AB159" s="6">
        <x:f>(S159*IF(E159="L",F159,0))+(S159*IF(G159="L",H159,0))</x:f>
      </x:c>
      <x:c r="AC159" s="6">
        <x:f>(S159*IF(E159="H",F159,0))+(S159*IF(G159="H",H159,0))</x:f>
      </x:c>
      <x:c r="AD159" s="6">
        <x:f>(S159*IF(E159="V",F159,0))+(S159*IF(G159="V",H159,0))</x:f>
      </x:c>
      <x:c r="AE159" s="6">
        <x:f>(S159*IF(E159="R",F159,0))+(S159*IF(G159="R",H159,0))</x:f>
      </x:c>
      <x:c r="AF159" s="6">
        <x:f>(S159*IF(E159="F",F159,0))+(S159*IF(G159="F",H159,0))</x:f>
      </x:c>
      <x:c r="AG159" s="6">
        <x:f>(S159*IF(E159="W",F159,0))+(S159*IF(G159="W",H159,0))</x:f>
      </x:c>
    </x:row>
    <x:row r="160">
      <x:c r="A160" s="3" t="inlineStr">
        <x:is>
          <x:t xml:space="preserve">Executive</x:t>
        </x:is>
      </x:c>
      <x:c r="B160" s="3" t="inlineStr">
        <x:is>
          <x:t xml:space="preserve">EXCO-D6-Q03</x:t>
        </x:is>
      </x:c>
      <x:c r="C160" s="3" t="inlineStr">
        <x:is>
          <x:t xml:space="preserve">T2</x:t>
        </x:is>
      </x:c>
      <x:c r="D160" s="3" t="inlineStr">
        <x:is>
          <x:t xml:space="preserve">6. Detection &amp; Analytics</x:t>
        </x:is>
      </x:c>
      <x:c r="E160" s="3" t="inlineStr">
        <x:is>
          <x:t xml:space="preserve">L</x:t>
        </x:is>
      </x:c>
      <x:c r="F160" s="3" t="n">
        <x:v>0.5</x:v>
      </x:c>
      <x:c r="G160" s="3" t="inlineStr">
        <x:is>
          <x:t xml:space="preserve">G</x:t>
        </x:is>
      </x:c>
      <x:c r="H160" s="3" t="n">
        <x:v>0.5</x:v>
      </x:c>
      <x:c r="I160" s="3" t="inlineStr">
        <x:is>
          <x:t xml:space="preserve">If HR or people-related signals are used (e.g., leavers, disputes), is there clear governance on what is shared and why?</x:t>
        </x:is>
      </x:c>
      <x:c r="J160" s="3" t="inlineStr">
        <x:is>
          <x:t xml:space="preserve">This does not mean ‘watch everyone’; it means legal basis, proportionality, approvals, and safeguards.</x:t>
        </x:is>
      </x:c>
      <x:c r="K160" s="3" t="inlineStr">
        <x:is>
          <x:t xml:space="preserve">Drill-down; next=EXCO-D7-Q01</x:t>
        </x:is>
      </x:c>
      <x:c r="L160" s="3" t="inlineStr">
        <x:is>
          <x:t xml:space="preserve">LEG_STRICT</x:t>
        </x:is>
      </x:c>
      <x:c r="M160" s="3" t="n">
        <x:v>1</x:v>
      </x:c>
      <x:c r="N160" s="3" t="n"/>
      <x:c r="O160" s="3" t="n"/>
      <x:c r="P160" s="3" t="inlineStr">
        <x:is>
          <x:t xml:space="preserve">EXCO-D6-Q03-A3</x:t>
        </x:is>
      </x:c>
      <x:c r="Q160" s="3" t="n">
        <x:v>4</x:v>
      </x:c>
      <x:c r="R160" s="3" t="inlineStr">
        <x:is>
          <x:t xml:space="preserve">Governance exists, but practice varies by region or manager.</x:t>
        </x:is>
      </x:c>
      <x:c r="S160" s="3" t="n">
        <x:v>2</x:v>
      </x:c>
      <x:c r="T160" s="3" t="inlineStr">
        <x:is>
          <x:t xml:space="preserve">inconsistent_execution</x:t>
        </x:is>
      </x:c>
      <x:c r="U160" s="3" t="inlineStr">
        <x:is>
          <x:t xml:space="preserve">Operating Model Gap</x:t>
        </x:is>
      </x:c>
      <x:c r="V160" s="3" t="inlineStr">
        <x:is>
          <x:t xml:space="preserve">Standardize_Governance</x:t>
        </x:is>
      </x:c>
      <x:c r="W160" s="3" t="inlineStr">
        <x:is>
          <x:t xml:space="preserve">N</x:t>
        </x:is>
      </x:c>
      <x:c r="X160" s="3" t="inlineStr">
        <x:is>
          <x:t xml:space="preserve"/>
        </x:is>
      </x:c>
      <x:c r="Y160" s="6">
        <x:f>(S160*IF(E160="G",F160,0))+(S160*IF(G160="G",H160,0))</x:f>
      </x:c>
      <x:c r="Z160" s="6">
        <x:f>(S160*IF(E160="E",F160,0))+(S160*IF(G160="E",H160,0))</x:f>
      </x:c>
      <x:c r="AA160" s="6">
        <x:f>(S160*IF(E160="T",F160,0))+(S160*IF(G160="T",H160,0))</x:f>
      </x:c>
      <x:c r="AB160" s="6">
        <x:f>(S160*IF(E160="L",F160,0))+(S160*IF(G160="L",H160,0))</x:f>
      </x:c>
      <x:c r="AC160" s="6">
        <x:f>(S160*IF(E160="H",F160,0))+(S160*IF(G160="H",H160,0))</x:f>
      </x:c>
      <x:c r="AD160" s="6">
        <x:f>(S160*IF(E160="V",F160,0))+(S160*IF(G160="V",H160,0))</x:f>
      </x:c>
      <x:c r="AE160" s="6">
        <x:f>(S160*IF(E160="R",F160,0))+(S160*IF(G160="R",H160,0))</x:f>
      </x:c>
      <x:c r="AF160" s="6">
        <x:f>(S160*IF(E160="F",F160,0))+(S160*IF(G160="F",H160,0))</x:f>
      </x:c>
      <x:c r="AG160" s="6">
        <x:f>(S160*IF(E160="W",F160,0))+(S160*IF(G160="W",H160,0))</x:f>
      </x:c>
    </x:row>
    <x:row r="161">
      <x:c r="A161" s="3" t="inlineStr">
        <x:is>
          <x:t xml:space="preserve">Executive</x:t>
        </x:is>
      </x:c>
      <x:c r="B161" s="3" t="inlineStr">
        <x:is>
          <x:t xml:space="preserve">EXCO-D6-Q03</x:t>
        </x:is>
      </x:c>
      <x:c r="C161" s="3" t="inlineStr">
        <x:is>
          <x:t xml:space="preserve">T2</x:t>
        </x:is>
      </x:c>
      <x:c r="D161" s="3" t="inlineStr">
        <x:is>
          <x:t xml:space="preserve">6. Detection &amp; Analytics</x:t>
        </x:is>
      </x:c>
      <x:c r="E161" s="3" t="inlineStr">
        <x:is>
          <x:t xml:space="preserve">L</x:t>
        </x:is>
      </x:c>
      <x:c r="F161" s="3" t="n">
        <x:v>0.5</x:v>
      </x:c>
      <x:c r="G161" s="3" t="inlineStr">
        <x:is>
          <x:t xml:space="preserve">G</x:t>
        </x:is>
      </x:c>
      <x:c r="H161" s="3" t="n">
        <x:v>0.5</x:v>
      </x:c>
      <x:c r="I161" s="3" t="inlineStr">
        <x:is>
          <x:t xml:space="preserve">If HR or people-related signals are used (e.g., leavers, disputes), is there clear governance on what is shared and why?</x:t>
        </x:is>
      </x:c>
      <x:c r="J161" s="3" t="inlineStr">
        <x:is>
          <x:t xml:space="preserve">This does not mean ‘watch everyone’; it means legal basis, proportionality, approvals, and safeguards.</x:t>
        </x:is>
      </x:c>
      <x:c r="K161" s="3" t="inlineStr">
        <x:is>
          <x:t xml:space="preserve">Drill-down; next=EXCO-D7-Q01</x:t>
        </x:is>
      </x:c>
      <x:c r="L161" s="3" t="inlineStr">
        <x:is>
          <x:t xml:space="preserve">LEG_STRICT</x:t>
        </x:is>
      </x:c>
      <x:c r="M161" s="3" t="n">
        <x:v>1</x:v>
      </x:c>
      <x:c r="N161" s="3" t="n"/>
      <x:c r="O161" s="3" t="n"/>
      <x:c r="P161" s="3" t="inlineStr">
        <x:is>
          <x:t xml:space="preserve">EXCO-D6-Q03-A4</x:t>
        </x:is>
      </x:c>
      <x:c r="Q161" s="3" t="n">
        <x:v>5</x:v>
      </x:c>
      <x:c r="R161" s="3" t="inlineStr">
        <x:is>
          <x:t xml:space="preserve">Clear governance exists with approvals, minimisation, retention, and audit trails.</x:t>
        </x:is>
      </x:c>
      <x:c r="S161" s="3" t="n">
        <x:v>3</x:v>
      </x:c>
      <x:c r="T161" s="3" t="inlineStr">
        <x:is>
          <x:t xml:space="preserve">good_practice</x:t>
        </x:is>
      </x:c>
      <x:c r="U161" s="3" t="inlineStr">
        <x:is>
          <x:t xml:space="preserve"/>
        </x:is>
      </x:c>
      <x:c r="V161" s="3" t="inlineStr">
        <x:is>
          <x:t xml:space="preserve">Request_Evidence</x:t>
        </x:is>
      </x:c>
      <x:c r="W161" s="3" t="inlineStr">
        <x:is>
          <x:t xml:space="preserve">Y</x:t>
        </x:is>
      </x:c>
      <x:c r="X161" s="3" t="inlineStr">
        <x:is>
          <x:t xml:space="preserve"/>
        </x:is>
      </x:c>
      <x:c r="Y161" s="6">
        <x:f>(S161*IF(E161="G",F161,0))+(S161*IF(G161="G",H161,0))</x:f>
      </x:c>
      <x:c r="Z161" s="6">
        <x:f>(S161*IF(E161="E",F161,0))+(S161*IF(G161="E",H161,0))</x:f>
      </x:c>
      <x:c r="AA161" s="6">
        <x:f>(S161*IF(E161="T",F161,0))+(S161*IF(G161="T",H161,0))</x:f>
      </x:c>
      <x:c r="AB161" s="6">
        <x:f>(S161*IF(E161="L",F161,0))+(S161*IF(G161="L",H161,0))</x:f>
      </x:c>
      <x:c r="AC161" s="6">
        <x:f>(S161*IF(E161="H",F161,0))+(S161*IF(G161="H",H161,0))</x:f>
      </x:c>
      <x:c r="AD161" s="6">
        <x:f>(S161*IF(E161="V",F161,0))+(S161*IF(G161="V",H161,0))</x:f>
      </x:c>
      <x:c r="AE161" s="6">
        <x:f>(S161*IF(E161="R",F161,0))+(S161*IF(G161="R",H161,0))</x:f>
      </x:c>
      <x:c r="AF161" s="6">
        <x:f>(S161*IF(E161="F",F161,0))+(S161*IF(G161="F",H161,0))</x:f>
      </x:c>
      <x:c r="AG161" s="6">
        <x:f>(S161*IF(E161="W",F161,0))+(S161*IF(G161="W",H161,0))</x:f>
      </x:c>
    </x:row>
    <x:row r="162">
      <x:c r="A162" s="3" t="inlineStr">
        <x:is>
          <x:t xml:space="preserve">Executive</x:t>
        </x:is>
      </x:c>
      <x:c r="B162" s="3" t="inlineStr">
        <x:is>
          <x:t xml:space="preserve">EXCO-D6-Q03</x:t>
        </x:is>
      </x:c>
      <x:c r="C162" s="3" t="inlineStr">
        <x:is>
          <x:t xml:space="preserve">T2</x:t>
        </x:is>
      </x:c>
      <x:c r="D162" s="3" t="inlineStr">
        <x:is>
          <x:t xml:space="preserve">6. Detection &amp; Analytics</x:t>
        </x:is>
      </x:c>
      <x:c r="E162" s="3" t="inlineStr">
        <x:is>
          <x:t xml:space="preserve">L</x:t>
        </x:is>
      </x:c>
      <x:c r="F162" s="3" t="n">
        <x:v>0.5</x:v>
      </x:c>
      <x:c r="G162" s="3" t="inlineStr">
        <x:is>
          <x:t xml:space="preserve">G</x:t>
        </x:is>
      </x:c>
      <x:c r="H162" s="3" t="n">
        <x:v>0.5</x:v>
      </x:c>
      <x:c r="I162" s="3" t="inlineStr">
        <x:is>
          <x:t xml:space="preserve">If HR or people-related signals are used (e.g., leavers, disputes), is there clear governance on what is shared and why?</x:t>
        </x:is>
      </x:c>
      <x:c r="J162" s="3" t="inlineStr">
        <x:is>
          <x:t xml:space="preserve">This does not mean ‘watch everyone’; it means legal basis, proportionality, approvals, and safeguards.</x:t>
        </x:is>
      </x:c>
      <x:c r="K162" s="3" t="inlineStr">
        <x:is>
          <x:t xml:space="preserve">Drill-down; next=EXCO-D7-Q01</x:t>
        </x:is>
      </x:c>
      <x:c r="L162" s="3" t="inlineStr">
        <x:is>
          <x:t xml:space="preserve">LEG_STRICT</x:t>
        </x:is>
      </x:c>
      <x:c r="M162" s="3" t="n">
        <x:v>1</x:v>
      </x:c>
      <x:c r="N162" s="3" t="n"/>
      <x:c r="O162" s="3" t="n"/>
      <x:c r="P162" s="3" t="inlineStr">
        <x:is>
          <x:t xml:space="preserve">EXCO-D6-Q03-A5</x:t>
        </x:is>
      </x:c>
      <x:c r="Q162" s="3" t="n">
        <x:v>6</x:v>
      </x:c>
      <x:c r="R162" s="3" t="inlineStr">
        <x:is>
          <x:t xml:space="preserve">Governance is mature and audited; role-based access and transparency safeguards are strong.</x:t>
        </x:is>
      </x:c>
      <x:c r="S162" s="3" t="n">
        <x:v>4</x:v>
      </x:c>
      <x:c r="T162" s="3" t="inlineStr">
        <x:is>
          <x:t xml:space="preserve">optimized</x:t>
        </x:is>
      </x:c>
      <x:c r="U162" s="3" t="inlineStr">
        <x:is>
          <x:t xml:space="preserve"/>
        </x:is>
      </x:c>
      <x:c r="V162" s="3" t="inlineStr">
        <x:is>
          <x:t xml:space="preserve">Request_Evidence</x:t>
        </x:is>
      </x:c>
      <x:c r="W162" s="3" t="inlineStr">
        <x:is>
          <x:t xml:space="preserve">Y</x:t>
        </x:is>
      </x:c>
      <x:c r="X162" s="3" t="inlineStr">
        <x:is>
          <x:t xml:space="preserve"/>
        </x:is>
      </x:c>
      <x:c r="Y162" s="6">
        <x:f>(S162*IF(E162="G",F162,0))+(S162*IF(G162="G",H162,0))</x:f>
      </x:c>
      <x:c r="Z162" s="6">
        <x:f>(S162*IF(E162="E",F162,0))+(S162*IF(G162="E",H162,0))</x:f>
      </x:c>
      <x:c r="AA162" s="6">
        <x:f>(S162*IF(E162="T",F162,0))+(S162*IF(G162="T",H162,0))</x:f>
      </x:c>
      <x:c r="AB162" s="6">
        <x:f>(S162*IF(E162="L",F162,0))+(S162*IF(G162="L",H162,0))</x:f>
      </x:c>
      <x:c r="AC162" s="6">
        <x:f>(S162*IF(E162="H",F162,0))+(S162*IF(G162="H",H162,0))</x:f>
      </x:c>
      <x:c r="AD162" s="6">
        <x:f>(S162*IF(E162="V",F162,0))+(S162*IF(G162="V",H162,0))</x:f>
      </x:c>
      <x:c r="AE162" s="6">
        <x:f>(S162*IF(E162="R",F162,0))+(S162*IF(G162="R",H162,0))</x:f>
      </x:c>
      <x:c r="AF162" s="6">
        <x:f>(S162*IF(E162="F",F162,0))+(S162*IF(G162="F",H162,0))</x:f>
      </x:c>
      <x:c r="AG162" s="6">
        <x:f>(S162*IF(E162="W",F162,0))+(S162*IF(G162="W",H162,0))</x:f>
      </x:c>
    </x:row>
    <x:row r="163">
      <x:c r="A163" s="3" t="inlineStr">
        <x:is>
          <x:t xml:space="preserve">Executive</x:t>
        </x:is>
      </x:c>
      <x:c r="B163" s="3" t="inlineStr">
        <x:is>
          <x:t xml:space="preserve">EXCO-D7-Q01</x:t>
        </x:is>
      </x:c>
      <x:c r="C163" s="3" t="inlineStr">
        <x:is>
          <x:t xml:space="preserve">T1</x:t>
        </x:is>
      </x:c>
      <x:c r="D163" s="3" t="inlineStr">
        <x:is>
          <x:t xml:space="preserve">7. Response &amp; Resilience</x:t>
        </x:is>
      </x:c>
      <x:c r="E163" s="3" t="inlineStr">
        <x:is>
          <x:t xml:space="preserve">R</x:t>
        </x:is>
      </x:c>
      <x:c r="F163" s="3" t="n">
        <x:v>0.6</x:v>
      </x:c>
      <x:c r="G163" s="3" t="inlineStr">
        <x:is>
          <x:t xml:space="preserve">G</x:t>
        </x:is>
      </x:c>
      <x:c r="H163" s="3" t="n">
        <x:v>0.4</x:v>
      </x:c>
      <x:c r="I163" s="3" t="inlineStr">
        <x:is>
          <x:t xml:space="preserve">When an insider concern arises, how are Security, HR, Legal and the business coordinated?</x:t>
        </x:is>
      </x:c>
      <x:c r="J163" s="3" t="inlineStr">
        <x:is>
          <x:t xml:space="preserve">Think about a predefined taskforce, clear roles, and whether cases are handled consistently.</x:t>
        </x:is>
      </x:c>
      <x:c r="K163" s="3" t="inlineStr">
        <x:is>
          <x:t xml:space="preserve">Gatekeeper; if BaseScore&lt;2 -&gt; next=EXCO-D7-Q02; else next=EXCO-D7-Q03</x:t>
        </x:is>
      </x:c>
      <x:c r="L163" s="3" t="inlineStr">
        <x:is>
          <x:t xml:space="preserve">OPS_STD</x:t>
        </x:is>
      </x:c>
      <x:c r="M163" s="3" t="n">
        <x:v>1</x:v>
      </x:c>
      <x:c r="N163" s="3" t="n"/>
      <x:c r="O163" s="3" t="n"/>
      <x:c r="P163" s="3" t="inlineStr">
        <x:is>
          <x:t xml:space="preserve">EXCO-D7-Q01-A0</x:t>
        </x:is>
      </x:c>
      <x:c r="Q163" s="3" t="n">
        <x:v>1</x:v>
      </x:c>
      <x:c r="R163" s="3" t="inlineStr">
        <x:is>
          <x:t xml:space="preserve">I don’t know / not sure.</x:t>
        </x:is>
      </x:c>
      <x:c r="S163" s="3" t="n">
        <x:v>0</x:v>
      </x:c>
      <x:c r="T163" s="3" t="inlineStr">
        <x:is>
          <x:t xml:space="preserve">unknown</x:t>
        </x:is>
      </x:c>
      <x:c r="U163" s="3" t="inlineStr">
        <x:is>
          <x:t xml:space="preserve">Unknown</x:t>
        </x:is>
      </x:c>
      <x:c r="V163" s="3" t="inlineStr">
        <x:is>
          <x:t xml:space="preserve">Assess_Case_Model</x:t>
        </x:is>
      </x:c>
      <x:c r="W163" s="3" t="inlineStr">
        <x:is>
          <x:t xml:space="preserve">N</x:t>
        </x:is>
      </x:c>
      <x:c r="X163" s="3" t="inlineStr">
        <x:is>
          <x:t xml:space="preserve"/>
        </x:is>
      </x:c>
      <x:c r="Y163" s="6">
        <x:f>(S163*IF(E163="G",F163,0))+(S163*IF(G163="G",H163,0))</x:f>
      </x:c>
      <x:c r="Z163" s="6">
        <x:f>(S163*IF(E163="E",F163,0))+(S163*IF(G163="E",H163,0))</x:f>
      </x:c>
      <x:c r="AA163" s="6">
        <x:f>(S163*IF(E163="T",F163,0))+(S163*IF(G163="T",H163,0))</x:f>
      </x:c>
      <x:c r="AB163" s="6">
        <x:f>(S163*IF(E163="L",F163,0))+(S163*IF(G163="L",H163,0))</x:f>
      </x:c>
      <x:c r="AC163" s="6">
        <x:f>(S163*IF(E163="H",F163,0))+(S163*IF(G163="H",H163,0))</x:f>
      </x:c>
      <x:c r="AD163" s="6">
        <x:f>(S163*IF(E163="V",F163,0))+(S163*IF(G163="V",H163,0))</x:f>
      </x:c>
      <x:c r="AE163" s="6">
        <x:f>(S163*IF(E163="R",F163,0))+(S163*IF(G163="R",H163,0))</x:f>
      </x:c>
      <x:c r="AF163" s="6">
        <x:f>(S163*IF(E163="F",F163,0))+(S163*IF(G163="F",H163,0))</x:f>
      </x:c>
      <x:c r="AG163" s="6">
        <x:f>(S163*IF(E163="W",F163,0))+(S163*IF(G163="W",H163,0))</x:f>
      </x:c>
    </x:row>
    <x:row r="164">
      <x:c r="A164" s="3" t="inlineStr">
        <x:is>
          <x:t xml:space="preserve">Executive</x:t>
        </x:is>
      </x:c>
      <x:c r="B164" s="3" t="inlineStr">
        <x:is>
          <x:t xml:space="preserve">EXCO-D7-Q01</x:t>
        </x:is>
      </x:c>
      <x:c r="C164" s="3" t="inlineStr">
        <x:is>
          <x:t xml:space="preserve">T1</x:t>
        </x:is>
      </x:c>
      <x:c r="D164" s="3" t="inlineStr">
        <x:is>
          <x:t xml:space="preserve">7. Response &amp; Resilience</x:t>
        </x:is>
      </x:c>
      <x:c r="E164" s="3" t="inlineStr">
        <x:is>
          <x:t xml:space="preserve">R</x:t>
        </x:is>
      </x:c>
      <x:c r="F164" s="3" t="n">
        <x:v>0.6</x:v>
      </x:c>
      <x:c r="G164" s="3" t="inlineStr">
        <x:is>
          <x:t xml:space="preserve">G</x:t>
        </x:is>
      </x:c>
      <x:c r="H164" s="3" t="n">
        <x:v>0.4</x:v>
      </x:c>
      <x:c r="I164" s="3" t="inlineStr">
        <x:is>
          <x:t xml:space="preserve">When an insider concern arises, how are Security, HR, Legal and the business coordinated?</x:t>
        </x:is>
      </x:c>
      <x:c r="J164" s="3" t="inlineStr">
        <x:is>
          <x:t xml:space="preserve">Think about a predefined taskforce, clear roles, and whether cases are handled consistently.</x:t>
        </x:is>
      </x:c>
      <x:c r="K164" s="3" t="inlineStr">
        <x:is>
          <x:t xml:space="preserve">Gatekeeper; if BaseScore&lt;2 -&gt; next=EXCO-D7-Q02; else next=EXCO-D7-Q03</x:t>
        </x:is>
      </x:c>
      <x:c r="L164" s="3" t="inlineStr">
        <x:is>
          <x:t xml:space="preserve">OPS_STD</x:t>
        </x:is>
      </x:c>
      <x:c r="M164" s="3" t="n">
        <x:v>1</x:v>
      </x:c>
      <x:c r="N164" s="3" t="n"/>
      <x:c r="O164" s="3" t="n"/>
      <x:c r="P164" s="3" t="inlineStr">
        <x:is>
          <x:t xml:space="preserve">EXCO-D7-Q01-A1</x:t>
        </x:is>
      </x:c>
      <x:c r="Q164" s="3" t="n">
        <x:v>2</x:v>
      </x:c>
      <x:c r="R164" s="3" t="inlineStr">
        <x:is>
          <x:t xml:space="preserve">Siloed—teams act separately and information sharing is difficult.</x:t>
        </x:is>
      </x:c>
      <x:c r="S164" s="3" t="n">
        <x:v>0</x:v>
      </x:c>
      <x:c r="T164" s="3" t="inlineStr">
        <x:is>
          <x:t xml:space="preserve">siloed</x:t>
        </x:is>
      </x:c>
      <x:c r="U164" s="3" t="inlineStr">
        <x:is>
          <x:t xml:space="preserve">Resilience Gap</x:t>
        </x:is>
      </x:c>
      <x:c r="V164" s="3" t="inlineStr">
        <x:is>
          <x:t xml:space="preserve">Design_Case_Model</x:t>
        </x:is>
      </x:c>
      <x:c r="W164" s="3" t="inlineStr">
        <x:is>
          <x:t xml:space="preserve">N</x:t>
        </x:is>
      </x:c>
      <x:c r="X164" s="3" t="inlineStr">
        <x:is>
          <x:t xml:space="preserve"/>
        </x:is>
      </x:c>
      <x:c r="Y164" s="6">
        <x:f>(S164*IF(E164="G",F164,0))+(S164*IF(G164="G",H164,0))</x:f>
      </x:c>
      <x:c r="Z164" s="6">
        <x:f>(S164*IF(E164="E",F164,0))+(S164*IF(G164="E",H164,0))</x:f>
      </x:c>
      <x:c r="AA164" s="6">
        <x:f>(S164*IF(E164="T",F164,0))+(S164*IF(G164="T",H164,0))</x:f>
      </x:c>
      <x:c r="AB164" s="6">
        <x:f>(S164*IF(E164="L",F164,0))+(S164*IF(G164="L",H164,0))</x:f>
      </x:c>
      <x:c r="AC164" s="6">
        <x:f>(S164*IF(E164="H",F164,0))+(S164*IF(G164="H",H164,0))</x:f>
      </x:c>
      <x:c r="AD164" s="6">
        <x:f>(S164*IF(E164="V",F164,0))+(S164*IF(G164="V",H164,0))</x:f>
      </x:c>
      <x:c r="AE164" s="6">
        <x:f>(S164*IF(E164="R",F164,0))+(S164*IF(G164="R",H164,0))</x:f>
      </x:c>
      <x:c r="AF164" s="6">
        <x:f>(S164*IF(E164="F",F164,0))+(S164*IF(G164="F",H164,0))</x:f>
      </x:c>
      <x:c r="AG164" s="6">
        <x:f>(S164*IF(E164="W",F164,0))+(S164*IF(G164="W",H164,0))</x:f>
      </x:c>
    </x:row>
    <x:row r="165">
      <x:c r="A165" s="3" t="inlineStr">
        <x:is>
          <x:t xml:space="preserve">Executive</x:t>
        </x:is>
      </x:c>
      <x:c r="B165" s="3" t="inlineStr">
        <x:is>
          <x:t xml:space="preserve">EXCO-D7-Q01</x:t>
        </x:is>
      </x:c>
      <x:c r="C165" s="3" t="inlineStr">
        <x:is>
          <x:t xml:space="preserve">T1</x:t>
        </x:is>
      </x:c>
      <x:c r="D165" s="3" t="inlineStr">
        <x:is>
          <x:t xml:space="preserve">7. Response &amp; Resilience</x:t>
        </x:is>
      </x:c>
      <x:c r="E165" s="3" t="inlineStr">
        <x:is>
          <x:t xml:space="preserve">R</x:t>
        </x:is>
      </x:c>
      <x:c r="F165" s="3" t="n">
        <x:v>0.6</x:v>
      </x:c>
      <x:c r="G165" s="3" t="inlineStr">
        <x:is>
          <x:t xml:space="preserve">G</x:t>
        </x:is>
      </x:c>
      <x:c r="H165" s="3" t="n">
        <x:v>0.4</x:v>
      </x:c>
      <x:c r="I165" s="3" t="inlineStr">
        <x:is>
          <x:t xml:space="preserve">When an insider concern arises, how are Security, HR, Legal and the business coordinated?</x:t>
        </x:is>
      </x:c>
      <x:c r="J165" s="3" t="inlineStr">
        <x:is>
          <x:t xml:space="preserve">Think about a predefined taskforce, clear roles, and whether cases are handled consistently.</x:t>
        </x:is>
      </x:c>
      <x:c r="K165" s="3" t="inlineStr">
        <x:is>
          <x:t xml:space="preserve">Gatekeeper; if BaseScore&lt;2 -&gt; next=EXCO-D7-Q02; else next=EXCO-D7-Q03</x:t>
        </x:is>
      </x:c>
      <x:c r="L165" s="3" t="inlineStr">
        <x:is>
          <x:t xml:space="preserve">OPS_STD</x:t>
        </x:is>
      </x:c>
      <x:c r="M165" s="3" t="n">
        <x:v>1</x:v>
      </x:c>
      <x:c r="N165" s="3" t="n"/>
      <x:c r="O165" s="3" t="n"/>
      <x:c r="P165" s="3" t="inlineStr">
        <x:is>
          <x:t xml:space="preserve">EXCO-D7-Q01-A2</x:t>
        </x:is>
      </x:c>
      <x:c r="Q165" s="3" t="n">
        <x:v>3</x:v>
      </x:c>
      <x:c r="R165" s="3" t="inlineStr">
        <x:is>
          <x:t xml:space="preserve">Ad-hoc—teams coordinate through email/chat when needed.</x:t>
        </x:is>
      </x:c>
      <x:c r="S165" s="3" t="n">
        <x:v>1</x:v>
      </x:c>
      <x:c r="T165" s="3" t="inlineStr">
        <x:is>
          <x:t xml:space="preserve">informal_only</x:t>
        </x:is>
      </x:c>
      <x:c r="U165" s="3" t="inlineStr">
        <x:is>
          <x:t xml:space="preserve">Shadow Mature</x:t>
        </x:is>
      </x:c>
      <x:c r="V165" s="3" t="inlineStr">
        <x:is>
          <x:t xml:space="preserve">Formalize_Case_Model</x:t>
        </x:is>
      </x:c>
      <x:c r="W165" s="3" t="inlineStr">
        <x:is>
          <x:t xml:space="preserve">N</x:t>
        </x:is>
      </x:c>
      <x:c r="X165" s="3" t="inlineStr">
        <x:is>
          <x:t xml:space="preserve"/>
        </x:is>
      </x:c>
      <x:c r="Y165" s="6">
        <x:f>(S165*IF(E165="G",F165,0))+(S165*IF(G165="G",H165,0))</x:f>
      </x:c>
      <x:c r="Z165" s="6">
        <x:f>(S165*IF(E165="E",F165,0))+(S165*IF(G165="E",H165,0))</x:f>
      </x:c>
      <x:c r="AA165" s="6">
        <x:f>(S165*IF(E165="T",F165,0))+(S165*IF(G165="T",H165,0))</x:f>
      </x:c>
      <x:c r="AB165" s="6">
        <x:f>(S165*IF(E165="L",F165,0))+(S165*IF(G165="L",H165,0))</x:f>
      </x:c>
      <x:c r="AC165" s="6">
        <x:f>(S165*IF(E165="H",F165,0))+(S165*IF(G165="H",H165,0))</x:f>
      </x:c>
      <x:c r="AD165" s="6">
        <x:f>(S165*IF(E165="V",F165,0))+(S165*IF(G165="V",H165,0))</x:f>
      </x:c>
      <x:c r="AE165" s="6">
        <x:f>(S165*IF(E165="R",F165,0))+(S165*IF(G165="R",H165,0))</x:f>
      </x:c>
      <x:c r="AF165" s="6">
        <x:f>(S165*IF(E165="F",F165,0))+(S165*IF(G165="F",H165,0))</x:f>
      </x:c>
      <x:c r="AG165" s="6">
        <x:f>(S165*IF(E165="W",F165,0))+(S165*IF(G165="W",H165,0))</x:f>
      </x:c>
    </x:row>
    <x:row r="166">
      <x:c r="A166" s="3" t="inlineStr">
        <x:is>
          <x:t xml:space="preserve">Executive</x:t>
        </x:is>
      </x:c>
      <x:c r="B166" s="3" t="inlineStr">
        <x:is>
          <x:t xml:space="preserve">EXCO-D7-Q01</x:t>
        </x:is>
      </x:c>
      <x:c r="C166" s="3" t="inlineStr">
        <x:is>
          <x:t xml:space="preserve">T1</x:t>
        </x:is>
      </x:c>
      <x:c r="D166" s="3" t="inlineStr">
        <x:is>
          <x:t xml:space="preserve">7. Response &amp; Resilience</x:t>
        </x:is>
      </x:c>
      <x:c r="E166" s="3" t="inlineStr">
        <x:is>
          <x:t xml:space="preserve">R</x:t>
        </x:is>
      </x:c>
      <x:c r="F166" s="3" t="n">
        <x:v>0.6</x:v>
      </x:c>
      <x:c r="G166" s="3" t="inlineStr">
        <x:is>
          <x:t xml:space="preserve">G</x:t>
        </x:is>
      </x:c>
      <x:c r="H166" s="3" t="n">
        <x:v>0.4</x:v>
      </x:c>
      <x:c r="I166" s="3" t="inlineStr">
        <x:is>
          <x:t xml:space="preserve">When an insider concern arises, how are Security, HR, Legal and the business coordinated?</x:t>
        </x:is>
      </x:c>
      <x:c r="J166" s="3" t="inlineStr">
        <x:is>
          <x:t xml:space="preserve">Think about a predefined taskforce, clear roles, and whether cases are handled consistently.</x:t>
        </x:is>
      </x:c>
      <x:c r="K166" s="3" t="inlineStr">
        <x:is>
          <x:t xml:space="preserve">Gatekeeper; if BaseScore&lt;2 -&gt; next=EXCO-D7-Q02; else next=EXCO-D7-Q03</x:t>
        </x:is>
      </x:c>
      <x:c r="L166" s="3" t="inlineStr">
        <x:is>
          <x:t xml:space="preserve">OPS_STD</x:t>
        </x:is>
      </x:c>
      <x:c r="M166" s="3" t="n">
        <x:v>1</x:v>
      </x:c>
      <x:c r="N166" s="3" t="n"/>
      <x:c r="O166" s="3" t="n"/>
      <x:c r="P166" s="3" t="inlineStr">
        <x:is>
          <x:t xml:space="preserve">EXCO-D7-Q01-A3</x:t>
        </x:is>
      </x:c>
      <x:c r="Q166" s="3" t="n">
        <x:v>4</x:v>
      </x:c>
      <x:c r="R166" s="3" t="inlineStr">
        <x:is>
          <x:t xml:space="preserve">A process exists, but it’s generic (not tailored for insider cases) or inconsistently used.</x:t>
        </x:is>
      </x:c>
      <x:c r="S166" s="3" t="n">
        <x:v>2</x:v>
      </x:c>
      <x:c r="T166" s="3" t="inlineStr">
        <x:is>
          <x:t xml:space="preserve">paper_process</x:t>
        </x:is>
      </x:c>
      <x:c r="U166" s="3" t="inlineStr">
        <x:is>
          <x:t xml:space="preserve">Paper Dragon</x:t>
        </x:is>
      </x:c>
      <x:c r="V166" s="3" t="inlineStr">
        <x:is>
          <x:t xml:space="preserve">Insider_Playbooks</x:t>
        </x:is>
      </x:c>
      <x:c r="W166" s="3" t="inlineStr">
        <x:is>
          <x:t xml:space="preserve">N</x:t>
        </x:is>
      </x:c>
      <x:c r="X166" s="3" t="inlineStr">
        <x:is>
          <x:t xml:space="preserve"/>
        </x:is>
      </x:c>
      <x:c r="Y166" s="6">
        <x:f>(S166*IF(E166="G",F166,0))+(S166*IF(G166="G",H166,0))</x:f>
      </x:c>
      <x:c r="Z166" s="6">
        <x:f>(S166*IF(E166="E",F166,0))+(S166*IF(G166="E",H166,0))</x:f>
      </x:c>
      <x:c r="AA166" s="6">
        <x:f>(S166*IF(E166="T",F166,0))+(S166*IF(G166="T",H166,0))</x:f>
      </x:c>
      <x:c r="AB166" s="6">
        <x:f>(S166*IF(E166="L",F166,0))+(S166*IF(G166="L",H166,0))</x:f>
      </x:c>
      <x:c r="AC166" s="6">
        <x:f>(S166*IF(E166="H",F166,0))+(S166*IF(G166="H",H166,0))</x:f>
      </x:c>
      <x:c r="AD166" s="6">
        <x:f>(S166*IF(E166="V",F166,0))+(S166*IF(G166="V",H166,0))</x:f>
      </x:c>
      <x:c r="AE166" s="6">
        <x:f>(S166*IF(E166="R",F166,0))+(S166*IF(G166="R",H166,0))</x:f>
      </x:c>
      <x:c r="AF166" s="6">
        <x:f>(S166*IF(E166="F",F166,0))+(S166*IF(G166="F",H166,0))</x:f>
      </x:c>
      <x:c r="AG166" s="6">
        <x:f>(S166*IF(E166="W",F166,0))+(S166*IF(G166="W",H166,0))</x:f>
      </x:c>
    </x:row>
    <x:row r="167">
      <x:c r="A167" s="3" t="inlineStr">
        <x:is>
          <x:t xml:space="preserve">Executive</x:t>
        </x:is>
      </x:c>
      <x:c r="B167" s="3" t="inlineStr">
        <x:is>
          <x:t xml:space="preserve">EXCO-D7-Q01</x:t>
        </x:is>
      </x:c>
      <x:c r="C167" s="3" t="inlineStr">
        <x:is>
          <x:t xml:space="preserve">T1</x:t>
        </x:is>
      </x:c>
      <x:c r="D167" s="3" t="inlineStr">
        <x:is>
          <x:t xml:space="preserve">7. Response &amp; Resilience</x:t>
        </x:is>
      </x:c>
      <x:c r="E167" s="3" t="inlineStr">
        <x:is>
          <x:t xml:space="preserve">R</x:t>
        </x:is>
      </x:c>
      <x:c r="F167" s="3" t="n">
        <x:v>0.6</x:v>
      </x:c>
      <x:c r="G167" s="3" t="inlineStr">
        <x:is>
          <x:t xml:space="preserve">G</x:t>
        </x:is>
      </x:c>
      <x:c r="H167" s="3" t="n">
        <x:v>0.4</x:v>
      </x:c>
      <x:c r="I167" s="3" t="inlineStr">
        <x:is>
          <x:t xml:space="preserve">When an insider concern arises, how are Security, HR, Legal and the business coordinated?</x:t>
        </x:is>
      </x:c>
      <x:c r="J167" s="3" t="inlineStr">
        <x:is>
          <x:t xml:space="preserve">Think about a predefined taskforce, clear roles, and whether cases are handled consistently.</x:t>
        </x:is>
      </x:c>
      <x:c r="K167" s="3" t="inlineStr">
        <x:is>
          <x:t xml:space="preserve">Gatekeeper; if BaseScore&lt;2 -&gt; next=EXCO-D7-Q02; else next=EXCO-D7-Q03</x:t>
        </x:is>
      </x:c>
      <x:c r="L167" s="3" t="inlineStr">
        <x:is>
          <x:t xml:space="preserve">OPS_STD</x:t>
        </x:is>
      </x:c>
      <x:c r="M167" s="3" t="n">
        <x:v>1</x:v>
      </x:c>
      <x:c r="N167" s="3" t="n"/>
      <x:c r="O167" s="3" t="n"/>
      <x:c r="P167" s="3" t="inlineStr">
        <x:is>
          <x:t xml:space="preserve">EXCO-D7-Q01-A4</x:t>
        </x:is>
      </x:c>
      <x:c r="Q167" s="3" t="n">
        <x:v>5</x:v>
      </x:c>
      <x:c r="R167" s="3" t="inlineStr">
        <x:is>
          <x:t xml:space="preserve">Predefined cross-functional taskforce exists with clear roles and decision points.</x:t>
        </x:is>
      </x:c>
      <x:c r="S167" s="3" t="n">
        <x:v>3</x:v>
      </x:c>
      <x:c r="T167" s="3" t="inlineStr">
        <x:is>
          <x:t xml:space="preserve">good_practice</x:t>
        </x:is>
      </x:c>
      <x:c r="U167" s="3" t="inlineStr">
        <x:is>
          <x:t xml:space="preserve"/>
        </x:is>
      </x:c>
      <x:c r="V167" s="3" t="inlineStr">
        <x:is>
          <x:t xml:space="preserve">Request_Evidence</x:t>
        </x:is>
      </x:c>
      <x:c r="W167" s="3" t="inlineStr">
        <x:is>
          <x:t xml:space="preserve">Y</x:t>
        </x:is>
      </x:c>
      <x:c r="X167" s="3" t="inlineStr">
        <x:is>
          <x:t xml:space="preserve"/>
        </x:is>
      </x:c>
      <x:c r="Y167" s="6">
        <x:f>(S167*IF(E167="G",F167,0))+(S167*IF(G167="G",H167,0))</x:f>
      </x:c>
      <x:c r="Z167" s="6">
        <x:f>(S167*IF(E167="E",F167,0))+(S167*IF(G167="E",H167,0))</x:f>
      </x:c>
      <x:c r="AA167" s="6">
        <x:f>(S167*IF(E167="T",F167,0))+(S167*IF(G167="T",H167,0))</x:f>
      </x:c>
      <x:c r="AB167" s="6">
        <x:f>(S167*IF(E167="L",F167,0))+(S167*IF(G167="L",H167,0))</x:f>
      </x:c>
      <x:c r="AC167" s="6">
        <x:f>(S167*IF(E167="H",F167,0))+(S167*IF(G167="H",H167,0))</x:f>
      </x:c>
      <x:c r="AD167" s="6">
        <x:f>(S167*IF(E167="V",F167,0))+(S167*IF(G167="V",H167,0))</x:f>
      </x:c>
      <x:c r="AE167" s="6">
        <x:f>(S167*IF(E167="R",F167,0))+(S167*IF(G167="R",H167,0))</x:f>
      </x:c>
      <x:c r="AF167" s="6">
        <x:f>(S167*IF(E167="F",F167,0))+(S167*IF(G167="F",H167,0))</x:f>
      </x:c>
      <x:c r="AG167" s="6">
        <x:f>(S167*IF(E167="W",F167,0))+(S167*IF(G167="W",H167,0))</x:f>
      </x:c>
    </x:row>
    <x:row r="168">
      <x:c r="A168" s="3" t="inlineStr">
        <x:is>
          <x:t xml:space="preserve">Executive</x:t>
        </x:is>
      </x:c>
      <x:c r="B168" s="3" t="inlineStr">
        <x:is>
          <x:t xml:space="preserve">EXCO-D7-Q01</x:t>
        </x:is>
      </x:c>
      <x:c r="C168" s="3" t="inlineStr">
        <x:is>
          <x:t xml:space="preserve">T1</x:t>
        </x:is>
      </x:c>
      <x:c r="D168" s="3" t="inlineStr">
        <x:is>
          <x:t xml:space="preserve">7. Response &amp; Resilience</x:t>
        </x:is>
      </x:c>
      <x:c r="E168" s="3" t="inlineStr">
        <x:is>
          <x:t xml:space="preserve">R</x:t>
        </x:is>
      </x:c>
      <x:c r="F168" s="3" t="n">
        <x:v>0.6</x:v>
      </x:c>
      <x:c r="G168" s="3" t="inlineStr">
        <x:is>
          <x:t xml:space="preserve">G</x:t>
        </x:is>
      </x:c>
      <x:c r="H168" s="3" t="n">
        <x:v>0.4</x:v>
      </x:c>
      <x:c r="I168" s="3" t="inlineStr">
        <x:is>
          <x:t xml:space="preserve">When an insider concern arises, how are Security, HR, Legal and the business coordinated?</x:t>
        </x:is>
      </x:c>
      <x:c r="J168" s="3" t="inlineStr">
        <x:is>
          <x:t xml:space="preserve">Think about a predefined taskforce, clear roles, and whether cases are handled consistently.</x:t>
        </x:is>
      </x:c>
      <x:c r="K168" s="3" t="inlineStr">
        <x:is>
          <x:t xml:space="preserve">Gatekeeper; if BaseScore&lt;2 -&gt; next=EXCO-D7-Q02; else next=EXCO-D7-Q03</x:t>
        </x:is>
      </x:c>
      <x:c r="L168" s="3" t="inlineStr">
        <x:is>
          <x:t xml:space="preserve">OPS_STD</x:t>
        </x:is>
      </x:c>
      <x:c r="M168" s="3" t="n">
        <x:v>1</x:v>
      </x:c>
      <x:c r="N168" s="3" t="n"/>
      <x:c r="O168" s="3" t="n"/>
      <x:c r="P168" s="3" t="inlineStr">
        <x:is>
          <x:t xml:space="preserve">EXCO-D7-Q01-A5</x:t>
        </x:is>
      </x:c>
      <x:c r="Q168" s="3" t="n">
        <x:v>6</x:v>
      </x:c>
      <x:c r="R168" s="3" t="inlineStr">
        <x:is>
          <x:t xml:space="preserve">Unified case management with metrics, quality checks, and documented learning loops.</x:t>
        </x:is>
      </x:c>
      <x:c r="S168" s="3" t="n">
        <x:v>4</x:v>
      </x:c>
      <x:c r="T168" s="3" t="inlineStr">
        <x:is>
          <x:t xml:space="preserve">optimized</x:t>
        </x:is>
      </x:c>
      <x:c r="U168" s="3" t="inlineStr">
        <x:is>
          <x:t xml:space="preserve"/>
        </x:is>
      </x:c>
      <x:c r="V168" s="3" t="inlineStr">
        <x:is>
          <x:t xml:space="preserve">Request_Evidence</x:t>
        </x:is>
      </x:c>
      <x:c r="W168" s="3" t="inlineStr">
        <x:is>
          <x:t xml:space="preserve">Y</x:t>
        </x:is>
      </x:c>
      <x:c r="X168" s="3" t="inlineStr">
        <x:is>
          <x:t xml:space="preserve"/>
        </x:is>
      </x:c>
      <x:c r="Y168" s="6">
        <x:f>(S168*IF(E168="G",F168,0))+(S168*IF(G168="G",H168,0))</x:f>
      </x:c>
      <x:c r="Z168" s="6">
        <x:f>(S168*IF(E168="E",F168,0))+(S168*IF(G168="E",H168,0))</x:f>
      </x:c>
      <x:c r="AA168" s="6">
        <x:f>(S168*IF(E168="T",F168,0))+(S168*IF(G168="T",H168,0))</x:f>
      </x:c>
      <x:c r="AB168" s="6">
        <x:f>(S168*IF(E168="L",F168,0))+(S168*IF(G168="L",H168,0))</x:f>
      </x:c>
      <x:c r="AC168" s="6">
        <x:f>(S168*IF(E168="H",F168,0))+(S168*IF(G168="H",H168,0))</x:f>
      </x:c>
      <x:c r="AD168" s="6">
        <x:f>(S168*IF(E168="V",F168,0))+(S168*IF(G168="V",H168,0))</x:f>
      </x:c>
      <x:c r="AE168" s="6">
        <x:f>(S168*IF(E168="R",F168,0))+(S168*IF(G168="R",H168,0))</x:f>
      </x:c>
      <x:c r="AF168" s="6">
        <x:f>(S168*IF(E168="F",F168,0))+(S168*IF(G168="F",H168,0))</x:f>
      </x:c>
      <x:c r="AG168" s="6">
        <x:f>(S168*IF(E168="W",F168,0))+(S168*IF(G168="W",H168,0))</x:f>
      </x:c>
    </x:row>
    <x:row r="169">
      <x:c r="A169" s="3" t="inlineStr">
        <x:is>
          <x:t xml:space="preserve">Executive</x:t>
        </x:is>
      </x:c>
      <x:c r="B169" s="3" t="inlineStr">
        <x:is>
          <x:t xml:space="preserve">EXCO-D7-Q02</x:t>
        </x:is>
      </x:c>
      <x:c r="C169" s="3" t="inlineStr">
        <x:is>
          <x:t xml:space="preserve">T2</x:t>
        </x:is>
      </x:c>
      <x:c r="D169" s="3" t="inlineStr">
        <x:is>
          <x:t xml:space="preserve">7. Response &amp; Resilience</x:t>
        </x:is>
      </x:c>
      <x:c r="E169" s="3" t="inlineStr">
        <x:is>
          <x:t xml:space="preserve">E</x:t>
        </x:is>
      </x:c>
      <x:c r="F169" s="3" t="n">
        <x:v>1</x:v>
      </x:c>
      <x:c r="G169" s="3" t="inlineStr">
        <x:is>
          <x:t xml:space="preserve">-</x:t>
        </x:is>
      </x:c>
      <x:c r="H169" s="3" t="inlineStr">
        <x:is>
          <x:t xml:space="preserve"/>
        </x:is>
      </x:c>
      <x:c r="I169" s="3" t="inlineStr">
        <x:is>
          <x:t xml:space="preserve">(Shadow probe) Even without a formal process, do teams coordinate effectively in practice?</x:t>
        </x:is>
      </x:c>
      <x:c r="J169" s="3" t="inlineStr">
        <x:is>
          <x:t xml:space="preserve">This checks whether informal ‘muscle memory’ exists.</x:t>
        </x:is>
      </x:c>
      <x:c r="K169" s="3" t="inlineStr">
        <x:is>
          <x:t xml:space="preserve">Shadow probe; next=EXCO-D7-Q03</x:t>
        </x:is>
      </x:c>
      <x:c r="L169" s="3" t="inlineStr">
        <x:is>
          <x:t xml:space="preserve">OPS_STD</x:t>
        </x:is>
      </x:c>
      <x:c r="M169" s="3" t="n">
        <x:v>1</x:v>
      </x:c>
      <x:c r="N169" s="3" t="n"/>
      <x:c r="O169" s="3" t="n"/>
      <x:c r="P169" s="3" t="inlineStr">
        <x:is>
          <x:t xml:space="preserve">EXCO-D7-Q02-A1</x:t>
        </x:is>
      </x:c>
      <x:c r="Q169" s="3" t="n">
        <x:v>1</x:v>
      </x:c>
      <x:c r="R169" s="3" t="inlineStr">
        <x:is>
          <x:t xml:space="preserve">No—coordination is slow and unclear; decisions get stuck.</x:t>
        </x:is>
      </x:c>
      <x:c r="S169" s="3" t="n">
        <x:v>0</x:v>
      </x:c>
      <x:c r="T169" s="3" t="inlineStr">
        <x:is>
          <x:t xml:space="preserve">foundational_gap</x:t>
        </x:is>
      </x:c>
      <x:c r="U169" s="3" t="inlineStr">
        <x:is>
          <x:t xml:space="preserve">Resilience Gap</x:t>
        </x:is>
      </x:c>
      <x:c r="V169" s="3" t="inlineStr">
        <x:is>
          <x:t xml:space="preserve">Design_Case_Model</x:t>
        </x:is>
      </x:c>
      <x:c r="W169" s="3" t="inlineStr">
        <x:is>
          <x:t xml:space="preserve">N</x:t>
        </x:is>
      </x:c>
      <x:c r="X169" s="3" t="inlineStr">
        <x:is>
          <x:t xml:space="preserve"/>
        </x:is>
      </x:c>
      <x:c r="Y169" s="6">
        <x:f>(S169*IF(E169="G",F169,0))+(S169*IF(G169="G",H169,0))</x:f>
      </x:c>
      <x:c r="Z169" s="6">
        <x:f>(S169*IF(E169="E",F169,0))+(S169*IF(G169="E",H169,0))</x:f>
      </x:c>
      <x:c r="AA169" s="6">
        <x:f>(S169*IF(E169="T",F169,0))+(S169*IF(G169="T",H169,0))</x:f>
      </x:c>
      <x:c r="AB169" s="6">
        <x:f>(S169*IF(E169="L",F169,0))+(S169*IF(G169="L",H169,0))</x:f>
      </x:c>
      <x:c r="AC169" s="6">
        <x:f>(S169*IF(E169="H",F169,0))+(S169*IF(G169="H",H169,0))</x:f>
      </x:c>
      <x:c r="AD169" s="6">
        <x:f>(S169*IF(E169="V",F169,0))+(S169*IF(G169="V",H169,0))</x:f>
      </x:c>
      <x:c r="AE169" s="6">
        <x:f>(S169*IF(E169="R",F169,0))+(S169*IF(G169="R",H169,0))</x:f>
      </x:c>
      <x:c r="AF169" s="6">
        <x:f>(S169*IF(E169="F",F169,0))+(S169*IF(G169="F",H169,0))</x:f>
      </x:c>
      <x:c r="AG169" s="6">
        <x:f>(S169*IF(E169="W",F169,0))+(S169*IF(G169="W",H169,0))</x:f>
      </x:c>
    </x:row>
    <x:row r="170">
      <x:c r="A170" s="3" t="inlineStr">
        <x:is>
          <x:t xml:space="preserve">Executive</x:t>
        </x:is>
      </x:c>
      <x:c r="B170" s="3" t="inlineStr">
        <x:is>
          <x:t xml:space="preserve">EXCO-D7-Q02</x:t>
        </x:is>
      </x:c>
      <x:c r="C170" s="3" t="inlineStr">
        <x:is>
          <x:t xml:space="preserve">T2</x:t>
        </x:is>
      </x:c>
      <x:c r="D170" s="3" t="inlineStr">
        <x:is>
          <x:t xml:space="preserve">7. Response &amp; Resilience</x:t>
        </x:is>
      </x:c>
      <x:c r="E170" s="3" t="inlineStr">
        <x:is>
          <x:t xml:space="preserve">E</x:t>
        </x:is>
      </x:c>
      <x:c r="F170" s="3" t="n">
        <x:v>1</x:v>
      </x:c>
      <x:c r="G170" s="3" t="inlineStr">
        <x:is>
          <x:t xml:space="preserve">-</x:t>
        </x:is>
      </x:c>
      <x:c r="H170" s="3" t="inlineStr">
        <x:is>
          <x:t xml:space="preserve"/>
        </x:is>
      </x:c>
      <x:c r="I170" s="3" t="inlineStr">
        <x:is>
          <x:t xml:space="preserve">(Shadow probe) Even without a formal process, do teams coordinate effectively in practice?</x:t>
        </x:is>
      </x:c>
      <x:c r="J170" s="3" t="inlineStr">
        <x:is>
          <x:t xml:space="preserve">This checks whether informal ‘muscle memory’ exists.</x:t>
        </x:is>
      </x:c>
      <x:c r="K170" s="3" t="inlineStr">
        <x:is>
          <x:t xml:space="preserve">Shadow probe; next=EXCO-D7-Q03</x:t>
        </x:is>
      </x:c>
      <x:c r="L170" s="3" t="inlineStr">
        <x:is>
          <x:t xml:space="preserve">OPS_STD</x:t>
        </x:is>
      </x:c>
      <x:c r="M170" s="3" t="n">
        <x:v>1</x:v>
      </x:c>
      <x:c r="N170" s="3" t="n"/>
      <x:c r="O170" s="3" t="n"/>
      <x:c r="P170" s="3" t="inlineStr">
        <x:is>
          <x:t xml:space="preserve">EXCO-D7-Q02-A2</x:t>
        </x:is>
      </x:c>
      <x:c r="Q170" s="3" t="n">
        <x:v>2</x:v>
      </x:c>
      <x:c r="R170" s="3" t="inlineStr">
        <x:is>
          <x:t xml:space="preserve">Sometimes—depends on personal relationships; outcomes vary.</x:t>
        </x:is>
      </x:c>
      <x:c r="S170" s="3" t="n">
        <x:v>1</x:v>
      </x:c>
      <x:c r="T170" s="3" t="inlineStr">
        <x:is>
          <x:t xml:space="preserve">shadow_signal</x:t>
        </x:is>
      </x:c>
      <x:c r="U170" s="3" t="inlineStr">
        <x:is>
          <x:t xml:space="preserve">Shadow Mature</x:t>
        </x:is>
      </x:c>
      <x:c r="V170" s="3" t="inlineStr">
        <x:is>
          <x:t xml:space="preserve">Formalize_Case_Model</x:t>
        </x:is>
      </x:c>
      <x:c r="W170" s="3" t="inlineStr">
        <x:is>
          <x:t xml:space="preserve">N</x:t>
        </x:is>
      </x:c>
      <x:c r="X170" s="3" t="inlineStr">
        <x:is>
          <x:t xml:space="preserve"/>
        </x:is>
      </x:c>
      <x:c r="Y170" s="6">
        <x:f>(S170*IF(E170="G",F170,0))+(S170*IF(G170="G",H170,0))</x:f>
      </x:c>
      <x:c r="Z170" s="6">
        <x:f>(S170*IF(E170="E",F170,0))+(S170*IF(G170="E",H170,0))</x:f>
      </x:c>
      <x:c r="AA170" s="6">
        <x:f>(S170*IF(E170="T",F170,0))+(S170*IF(G170="T",H170,0))</x:f>
      </x:c>
      <x:c r="AB170" s="6">
        <x:f>(S170*IF(E170="L",F170,0))+(S170*IF(G170="L",H170,0))</x:f>
      </x:c>
      <x:c r="AC170" s="6">
        <x:f>(S170*IF(E170="H",F170,0))+(S170*IF(G170="H",H170,0))</x:f>
      </x:c>
      <x:c r="AD170" s="6">
        <x:f>(S170*IF(E170="V",F170,0))+(S170*IF(G170="V",H170,0))</x:f>
      </x:c>
      <x:c r="AE170" s="6">
        <x:f>(S170*IF(E170="R",F170,0))+(S170*IF(G170="R",H170,0))</x:f>
      </x:c>
      <x:c r="AF170" s="6">
        <x:f>(S170*IF(E170="F",F170,0))+(S170*IF(G170="F",H170,0))</x:f>
      </x:c>
      <x:c r="AG170" s="6">
        <x:f>(S170*IF(E170="W",F170,0))+(S170*IF(G170="W",H170,0))</x:f>
      </x:c>
    </x:row>
    <x:row r="171">
      <x:c r="A171" s="3" t="inlineStr">
        <x:is>
          <x:t xml:space="preserve">Executive</x:t>
        </x:is>
      </x:c>
      <x:c r="B171" s="3" t="inlineStr">
        <x:is>
          <x:t xml:space="preserve">EXCO-D7-Q02</x:t>
        </x:is>
      </x:c>
      <x:c r="C171" s="3" t="inlineStr">
        <x:is>
          <x:t xml:space="preserve">T2</x:t>
        </x:is>
      </x:c>
      <x:c r="D171" s="3" t="inlineStr">
        <x:is>
          <x:t xml:space="preserve">7. Response &amp; Resilience</x:t>
        </x:is>
      </x:c>
      <x:c r="E171" s="3" t="inlineStr">
        <x:is>
          <x:t xml:space="preserve">E</x:t>
        </x:is>
      </x:c>
      <x:c r="F171" s="3" t="n">
        <x:v>1</x:v>
      </x:c>
      <x:c r="G171" s="3" t="inlineStr">
        <x:is>
          <x:t xml:space="preserve">-</x:t>
        </x:is>
      </x:c>
      <x:c r="H171" s="3" t="inlineStr">
        <x:is>
          <x:t xml:space="preserve"/>
        </x:is>
      </x:c>
      <x:c r="I171" s="3" t="inlineStr">
        <x:is>
          <x:t xml:space="preserve">(Shadow probe) Even without a formal process, do teams coordinate effectively in practice?</x:t>
        </x:is>
      </x:c>
      <x:c r="J171" s="3" t="inlineStr">
        <x:is>
          <x:t xml:space="preserve">This checks whether informal ‘muscle memory’ exists.</x:t>
        </x:is>
      </x:c>
      <x:c r="K171" s="3" t="inlineStr">
        <x:is>
          <x:t xml:space="preserve">Shadow probe; next=EXCO-D7-Q03</x:t>
        </x:is>
      </x:c>
      <x:c r="L171" s="3" t="inlineStr">
        <x:is>
          <x:t xml:space="preserve">OPS_STD</x:t>
        </x:is>
      </x:c>
      <x:c r="M171" s="3" t="n">
        <x:v>1</x:v>
      </x:c>
      <x:c r="N171" s="3" t="n"/>
      <x:c r="O171" s="3" t="n"/>
      <x:c r="P171" s="3" t="inlineStr">
        <x:is>
          <x:t xml:space="preserve">EXCO-D7-Q02-A3</x:t>
        </x:is>
      </x:c>
      <x:c r="Q171" s="3" t="n">
        <x:v>3</x:v>
      </x:c>
      <x:c r="R171" s="3" t="inlineStr">
        <x:is>
          <x:t xml:space="preserve">Yes—there is an understood way of working, even if not documented.</x:t>
        </x:is>
      </x:c>
      <x:c r="S171" s="3" t="n">
        <x:v>2</x:v>
      </x:c>
      <x:c r="T171" s="3" t="inlineStr">
        <x:is>
          <x:t xml:space="preserve">shadow_mature_signal</x:t>
        </x:is>
      </x:c>
      <x:c r="U171" s="3" t="inlineStr">
        <x:is>
          <x:t xml:space="preserve">Shadow Mature</x:t>
        </x:is>
      </x:c>
      <x:c r="V171" s="3" t="inlineStr">
        <x:is>
          <x:t xml:space="preserve">Capture_Playbook</x:t>
        </x:is>
      </x:c>
      <x:c r="W171" s="3" t="inlineStr">
        <x:is>
          <x:t xml:space="preserve">N</x:t>
        </x:is>
      </x:c>
      <x:c r="X171" s="3" t="inlineStr">
        <x:is>
          <x:t xml:space="preserve"/>
        </x:is>
      </x:c>
      <x:c r="Y171" s="6">
        <x:f>(S171*IF(E171="G",F171,0))+(S171*IF(G171="G",H171,0))</x:f>
      </x:c>
      <x:c r="Z171" s="6">
        <x:f>(S171*IF(E171="E",F171,0))+(S171*IF(G171="E",H171,0))</x:f>
      </x:c>
      <x:c r="AA171" s="6">
        <x:f>(S171*IF(E171="T",F171,0))+(S171*IF(G171="T",H171,0))</x:f>
      </x:c>
      <x:c r="AB171" s="6">
        <x:f>(S171*IF(E171="L",F171,0))+(S171*IF(G171="L",H171,0))</x:f>
      </x:c>
      <x:c r="AC171" s="6">
        <x:f>(S171*IF(E171="H",F171,0))+(S171*IF(G171="H",H171,0))</x:f>
      </x:c>
      <x:c r="AD171" s="6">
        <x:f>(S171*IF(E171="V",F171,0))+(S171*IF(G171="V",H171,0))</x:f>
      </x:c>
      <x:c r="AE171" s="6">
        <x:f>(S171*IF(E171="R",F171,0))+(S171*IF(G171="R",H171,0))</x:f>
      </x:c>
      <x:c r="AF171" s="6">
        <x:f>(S171*IF(E171="F",F171,0))+(S171*IF(G171="F",H171,0))</x:f>
      </x:c>
      <x:c r="AG171" s="6">
        <x:f>(S171*IF(E171="W",F171,0))+(S171*IF(G171="W",H171,0))</x:f>
      </x:c>
    </x:row>
    <x:row r="172">
      <x:c r="A172" s="3" t="inlineStr">
        <x:is>
          <x:t xml:space="preserve">Executive</x:t>
        </x:is>
      </x:c>
      <x:c r="B172" s="3" t="inlineStr">
        <x:is>
          <x:t xml:space="preserve">EXCO-D7-Q02</x:t>
        </x:is>
      </x:c>
      <x:c r="C172" s="3" t="inlineStr">
        <x:is>
          <x:t xml:space="preserve">T2</x:t>
        </x:is>
      </x:c>
      <x:c r="D172" s="3" t="inlineStr">
        <x:is>
          <x:t xml:space="preserve">7. Response &amp; Resilience</x:t>
        </x:is>
      </x:c>
      <x:c r="E172" s="3" t="inlineStr">
        <x:is>
          <x:t xml:space="preserve">E</x:t>
        </x:is>
      </x:c>
      <x:c r="F172" s="3" t="n">
        <x:v>1</x:v>
      </x:c>
      <x:c r="G172" s="3" t="inlineStr">
        <x:is>
          <x:t xml:space="preserve">-</x:t>
        </x:is>
      </x:c>
      <x:c r="H172" s="3" t="inlineStr">
        <x:is>
          <x:t xml:space="preserve"/>
        </x:is>
      </x:c>
      <x:c r="I172" s="3" t="inlineStr">
        <x:is>
          <x:t xml:space="preserve">(Shadow probe) Even without a formal process, do teams coordinate effectively in practice?</x:t>
        </x:is>
      </x:c>
      <x:c r="J172" s="3" t="inlineStr">
        <x:is>
          <x:t xml:space="preserve">This checks whether informal ‘muscle memory’ exists.</x:t>
        </x:is>
      </x:c>
      <x:c r="K172" s="3" t="inlineStr">
        <x:is>
          <x:t xml:space="preserve">Shadow probe; next=EXCO-D7-Q03</x:t>
        </x:is>
      </x:c>
      <x:c r="L172" s="3" t="inlineStr">
        <x:is>
          <x:t xml:space="preserve">OPS_STD</x:t>
        </x:is>
      </x:c>
      <x:c r="M172" s="3" t="n">
        <x:v>1</x:v>
      </x:c>
      <x:c r="N172" s="3" t="n"/>
      <x:c r="O172" s="3" t="n"/>
      <x:c r="P172" s="3" t="inlineStr">
        <x:is>
          <x:t xml:space="preserve">EXCO-D7-Q02-A4</x:t>
        </x:is>
      </x:c>
      <x:c r="Q172" s="3" t="n">
        <x:v>4</x:v>
      </x:c>
      <x:c r="R172" s="3" t="inlineStr">
        <x:is>
          <x:t xml:space="preserve">Yes—and we can point to recent examples and decision logs.</x:t>
        </x:is>
      </x:c>
      <x:c r="S172" s="3" t="n">
        <x:v>3</x:v>
      </x:c>
      <x:c r="T172" s="3" t="inlineStr">
        <x:is>
          <x:t xml:space="preserve">good_practice</x:t>
        </x:is>
      </x:c>
      <x:c r="U172" s="3" t="inlineStr">
        <x:is>
          <x:t xml:space="preserve"/>
        </x:is>
      </x:c>
      <x:c r="V172" s="3" t="inlineStr">
        <x:is>
          <x:t xml:space="preserve">Request_Evidence</x:t>
        </x:is>
      </x:c>
      <x:c r="W172" s="3" t="inlineStr">
        <x:is>
          <x:t xml:space="preserve">Y</x:t>
        </x:is>
      </x:c>
      <x:c r="X172" s="3" t="inlineStr">
        <x:is>
          <x:t xml:space="preserve"/>
        </x:is>
      </x:c>
      <x:c r="Y172" s="6">
        <x:f>(S172*IF(E172="G",F172,0))+(S172*IF(G172="G",H172,0))</x:f>
      </x:c>
      <x:c r="Z172" s="6">
        <x:f>(S172*IF(E172="E",F172,0))+(S172*IF(G172="E",H172,0))</x:f>
      </x:c>
      <x:c r="AA172" s="6">
        <x:f>(S172*IF(E172="T",F172,0))+(S172*IF(G172="T",H172,0))</x:f>
      </x:c>
      <x:c r="AB172" s="6">
        <x:f>(S172*IF(E172="L",F172,0))+(S172*IF(G172="L",H172,0))</x:f>
      </x:c>
      <x:c r="AC172" s="6">
        <x:f>(S172*IF(E172="H",F172,0))+(S172*IF(G172="H",H172,0))</x:f>
      </x:c>
      <x:c r="AD172" s="6">
        <x:f>(S172*IF(E172="V",F172,0))+(S172*IF(G172="V",H172,0))</x:f>
      </x:c>
      <x:c r="AE172" s="6">
        <x:f>(S172*IF(E172="R",F172,0))+(S172*IF(G172="R",H172,0))</x:f>
      </x:c>
      <x:c r="AF172" s="6">
        <x:f>(S172*IF(E172="F",F172,0))+(S172*IF(G172="F",H172,0))</x:f>
      </x:c>
      <x:c r="AG172" s="6">
        <x:f>(S172*IF(E172="W",F172,0))+(S172*IF(G172="W",H172,0))</x:f>
      </x:c>
    </x:row>
    <x:row r="173">
      <x:c r="A173" s="3" t="inlineStr">
        <x:is>
          <x:t xml:space="preserve">Executive</x:t>
        </x:is>
      </x:c>
      <x:c r="B173" s="3" t="inlineStr">
        <x:is>
          <x:t xml:space="preserve">EXCO-D7-Q03</x:t>
        </x:is>
      </x:c>
      <x:c r="C173" s="3" t="inlineStr">
        <x:is>
          <x:t xml:space="preserve">T2</x:t>
        </x:is>
      </x:c>
      <x:c r="D173" s="3" t="inlineStr">
        <x:is>
          <x:t xml:space="preserve">7. Response &amp; Resilience</x:t>
        </x:is>
      </x:c>
      <x:c r="E173" s="3" t="inlineStr">
        <x:is>
          <x:t xml:space="preserve">R</x:t>
        </x:is>
      </x:c>
      <x:c r="F173" s="3" t="n">
        <x:v>0.7</x:v>
      </x:c>
      <x:c r="G173" s="3" t="inlineStr">
        <x:is>
          <x:t xml:space="preserve">E</x:t>
        </x:is>
      </x:c>
      <x:c r="H173" s="3" t="n">
        <x:v>0.3</x:v>
      </x:c>
      <x:c r="I173" s="3" t="inlineStr">
        <x:is>
          <x:t xml:space="preserve">Do we practise insider incident response (tabletop or drills) and track lessons learned?</x:t>
        </x:is>
      </x:c>
      <x:c r="J173" s="3" t="inlineStr">
        <x:is>
          <x:t xml:space="preserve">Practise can be short; the key is that improvements are captured and implemented.</x:t>
        </x:is>
      </x:c>
      <x:c r="K173" s="3" t="inlineStr">
        <x:is>
          <x:t xml:space="preserve">Drill-down; next=EXCO-D7-Q04</x:t>
        </x:is>
      </x:c>
      <x:c r="L173" s="3" t="inlineStr">
        <x:is>
          <x:t xml:space="preserve">OPS_STD</x:t>
        </x:is>
      </x:c>
      <x:c r="M173" s="3" t="n">
        <x:v>1</x:v>
      </x:c>
      <x:c r="N173" s="3" t="n"/>
      <x:c r="O173" s="3" t="n"/>
      <x:c r="P173" s="3" t="inlineStr">
        <x:is>
          <x:t xml:space="preserve">EXCO-D7-Q03-A0</x:t>
        </x:is>
      </x:c>
      <x:c r="Q173" s="3" t="n">
        <x:v>1</x:v>
      </x:c>
      <x:c r="R173" s="3" t="inlineStr">
        <x:is>
          <x:t xml:space="preserve">I don’t know / not sure.</x:t>
        </x:is>
      </x:c>
      <x:c r="S173" s="3" t="n">
        <x:v>0</x:v>
      </x:c>
      <x:c r="T173" s="3" t="inlineStr">
        <x:is>
          <x:t xml:space="preserve">unknown</x:t>
        </x:is>
      </x:c>
      <x:c r="U173" s="3" t="inlineStr">
        <x:is>
          <x:t xml:space="preserve">Unknown</x:t>
        </x:is>
      </x:c>
      <x:c r="V173" s="3" t="inlineStr">
        <x:is>
          <x:t xml:space="preserve">Plan_Exercises</x:t>
        </x:is>
      </x:c>
      <x:c r="W173" s="3" t="inlineStr">
        <x:is>
          <x:t xml:space="preserve">N</x:t>
        </x:is>
      </x:c>
      <x:c r="X173" s="3" t="inlineStr">
        <x:is>
          <x:t xml:space="preserve"/>
        </x:is>
      </x:c>
      <x:c r="Y173" s="6">
        <x:f>(S173*IF(E173="G",F173,0))+(S173*IF(G173="G",H173,0))</x:f>
      </x:c>
      <x:c r="Z173" s="6">
        <x:f>(S173*IF(E173="E",F173,0))+(S173*IF(G173="E",H173,0))</x:f>
      </x:c>
      <x:c r="AA173" s="6">
        <x:f>(S173*IF(E173="T",F173,0))+(S173*IF(G173="T",H173,0))</x:f>
      </x:c>
      <x:c r="AB173" s="6">
        <x:f>(S173*IF(E173="L",F173,0))+(S173*IF(G173="L",H173,0))</x:f>
      </x:c>
      <x:c r="AC173" s="6">
        <x:f>(S173*IF(E173="H",F173,0))+(S173*IF(G173="H",H173,0))</x:f>
      </x:c>
      <x:c r="AD173" s="6">
        <x:f>(S173*IF(E173="V",F173,0))+(S173*IF(G173="V",H173,0))</x:f>
      </x:c>
      <x:c r="AE173" s="6">
        <x:f>(S173*IF(E173="R",F173,0))+(S173*IF(G173="R",H173,0))</x:f>
      </x:c>
      <x:c r="AF173" s="6">
        <x:f>(S173*IF(E173="F",F173,0))+(S173*IF(G173="F",H173,0))</x:f>
      </x:c>
      <x:c r="AG173" s="6">
        <x:f>(S173*IF(E173="W",F173,0))+(S173*IF(G173="W",H173,0))</x:f>
      </x:c>
    </x:row>
    <x:row r="174">
      <x:c r="A174" s="3" t="inlineStr">
        <x:is>
          <x:t xml:space="preserve">Executive</x:t>
        </x:is>
      </x:c>
      <x:c r="B174" s="3" t="inlineStr">
        <x:is>
          <x:t xml:space="preserve">EXCO-D7-Q03</x:t>
        </x:is>
      </x:c>
      <x:c r="C174" s="3" t="inlineStr">
        <x:is>
          <x:t xml:space="preserve">T2</x:t>
        </x:is>
      </x:c>
      <x:c r="D174" s="3" t="inlineStr">
        <x:is>
          <x:t xml:space="preserve">7. Response &amp; Resilience</x:t>
        </x:is>
      </x:c>
      <x:c r="E174" s="3" t="inlineStr">
        <x:is>
          <x:t xml:space="preserve">R</x:t>
        </x:is>
      </x:c>
      <x:c r="F174" s="3" t="n">
        <x:v>0.7</x:v>
      </x:c>
      <x:c r="G174" s="3" t="inlineStr">
        <x:is>
          <x:t xml:space="preserve">E</x:t>
        </x:is>
      </x:c>
      <x:c r="H174" s="3" t="n">
        <x:v>0.3</x:v>
      </x:c>
      <x:c r="I174" s="3" t="inlineStr">
        <x:is>
          <x:t xml:space="preserve">Do we practise insider incident response (tabletop or drills) and track lessons learned?</x:t>
        </x:is>
      </x:c>
      <x:c r="J174" s="3" t="inlineStr">
        <x:is>
          <x:t xml:space="preserve">Practise can be short; the key is that improvements are captured and implemented.</x:t>
        </x:is>
      </x:c>
      <x:c r="K174" s="3" t="inlineStr">
        <x:is>
          <x:t xml:space="preserve">Drill-down; next=EXCO-D7-Q04</x:t>
        </x:is>
      </x:c>
      <x:c r="L174" s="3" t="inlineStr">
        <x:is>
          <x:t xml:space="preserve">OPS_STD</x:t>
        </x:is>
      </x:c>
      <x:c r="M174" s="3" t="n">
        <x:v>1</x:v>
      </x:c>
      <x:c r="N174" s="3" t="n"/>
      <x:c r="O174" s="3" t="n"/>
      <x:c r="P174" s="3" t="inlineStr">
        <x:is>
          <x:t xml:space="preserve">EXCO-D7-Q03-A1</x:t>
        </x:is>
      </x:c>
      <x:c r="Q174" s="3" t="n">
        <x:v>2</x:v>
      </x:c>
      <x:c r="R174" s="3" t="inlineStr">
        <x:is>
          <x:t xml:space="preserve">No—we haven’t practised insider scenarios.</x:t>
        </x:is>
      </x:c>
      <x:c r="S174" s="3" t="n">
        <x:v>0</x:v>
      </x:c>
      <x:c r="T174" s="3" t="inlineStr">
        <x:is>
          <x:t xml:space="preserve">foundational_gap</x:t>
        </x:is>
      </x:c>
      <x:c r="U174" s="3" t="inlineStr">
        <x:is>
          <x:t xml:space="preserve">Resilience Gap</x:t>
        </x:is>
      </x:c>
      <x:c r="V174" s="3" t="inlineStr">
        <x:is>
          <x:t xml:space="preserve">Plan_Exercises</x:t>
        </x:is>
      </x:c>
      <x:c r="W174" s="3" t="inlineStr">
        <x:is>
          <x:t xml:space="preserve">N</x:t>
        </x:is>
      </x:c>
      <x:c r="X174" s="3" t="inlineStr">
        <x:is>
          <x:t xml:space="preserve"/>
        </x:is>
      </x:c>
      <x:c r="Y174" s="6">
        <x:f>(S174*IF(E174="G",F174,0))+(S174*IF(G174="G",H174,0))</x:f>
      </x:c>
      <x:c r="Z174" s="6">
        <x:f>(S174*IF(E174="E",F174,0))+(S174*IF(G174="E",H174,0))</x:f>
      </x:c>
      <x:c r="AA174" s="6">
        <x:f>(S174*IF(E174="T",F174,0))+(S174*IF(G174="T",H174,0))</x:f>
      </x:c>
      <x:c r="AB174" s="6">
        <x:f>(S174*IF(E174="L",F174,0))+(S174*IF(G174="L",H174,0))</x:f>
      </x:c>
      <x:c r="AC174" s="6">
        <x:f>(S174*IF(E174="H",F174,0))+(S174*IF(G174="H",H174,0))</x:f>
      </x:c>
      <x:c r="AD174" s="6">
        <x:f>(S174*IF(E174="V",F174,0))+(S174*IF(G174="V",H174,0))</x:f>
      </x:c>
      <x:c r="AE174" s="6">
        <x:f>(S174*IF(E174="R",F174,0))+(S174*IF(G174="R",H174,0))</x:f>
      </x:c>
      <x:c r="AF174" s="6">
        <x:f>(S174*IF(E174="F",F174,0))+(S174*IF(G174="F",H174,0))</x:f>
      </x:c>
      <x:c r="AG174" s="6">
        <x:f>(S174*IF(E174="W",F174,0))+(S174*IF(G174="W",H174,0))</x:f>
      </x:c>
    </x:row>
    <x:row r="175">
      <x:c r="A175" s="3" t="inlineStr">
        <x:is>
          <x:t xml:space="preserve">Executive</x:t>
        </x:is>
      </x:c>
      <x:c r="B175" s="3" t="inlineStr">
        <x:is>
          <x:t xml:space="preserve">EXCO-D7-Q03</x:t>
        </x:is>
      </x:c>
      <x:c r="C175" s="3" t="inlineStr">
        <x:is>
          <x:t xml:space="preserve">T2</x:t>
        </x:is>
      </x:c>
      <x:c r="D175" s="3" t="inlineStr">
        <x:is>
          <x:t xml:space="preserve">7. Response &amp; Resilience</x:t>
        </x:is>
      </x:c>
      <x:c r="E175" s="3" t="inlineStr">
        <x:is>
          <x:t xml:space="preserve">R</x:t>
        </x:is>
      </x:c>
      <x:c r="F175" s="3" t="n">
        <x:v>0.7</x:v>
      </x:c>
      <x:c r="G175" s="3" t="inlineStr">
        <x:is>
          <x:t xml:space="preserve">E</x:t>
        </x:is>
      </x:c>
      <x:c r="H175" s="3" t="n">
        <x:v>0.3</x:v>
      </x:c>
      <x:c r="I175" s="3" t="inlineStr">
        <x:is>
          <x:t xml:space="preserve">Do we practise insider incident response (tabletop or drills) and track lessons learned?</x:t>
        </x:is>
      </x:c>
      <x:c r="J175" s="3" t="inlineStr">
        <x:is>
          <x:t xml:space="preserve">Practise can be short; the key is that improvements are captured and implemented.</x:t>
        </x:is>
      </x:c>
      <x:c r="K175" s="3" t="inlineStr">
        <x:is>
          <x:t xml:space="preserve">Drill-down; next=EXCO-D7-Q04</x:t>
        </x:is>
      </x:c>
      <x:c r="L175" s="3" t="inlineStr">
        <x:is>
          <x:t xml:space="preserve">OPS_STD</x:t>
        </x:is>
      </x:c>
      <x:c r="M175" s="3" t="n">
        <x:v>1</x:v>
      </x:c>
      <x:c r="N175" s="3" t="n"/>
      <x:c r="O175" s="3" t="n"/>
      <x:c r="P175" s="3" t="inlineStr">
        <x:is>
          <x:t xml:space="preserve">EXCO-D7-Q03-A2</x:t>
        </x:is>
      </x:c>
      <x:c r="Q175" s="3" t="n">
        <x:v>3</x:v>
      </x:c>
      <x:c r="R175" s="3" t="inlineStr">
        <x:is>
          <x:t xml:space="preserve">We’ve done a one-off exercise, but it didn’t lead to tracked improvements.</x:t>
        </x:is>
      </x:c>
      <x:c r="S175" s="3" t="n">
        <x:v>1</x:v>
      </x:c>
      <x:c r="T175" s="3" t="inlineStr">
        <x:is>
          <x:t xml:space="preserve">paper_process</x:t>
        </x:is>
      </x:c>
      <x:c r="U175" s="3" t="inlineStr">
        <x:is>
          <x:t xml:space="preserve">Paper Dragon</x:t>
        </x:is>
      </x:c>
      <x:c r="V175" s="3" t="inlineStr">
        <x:is>
          <x:t xml:space="preserve">Improve_Exercise_Loop</x:t>
        </x:is>
      </x:c>
      <x:c r="W175" s="3" t="inlineStr">
        <x:is>
          <x:t xml:space="preserve">N</x:t>
        </x:is>
      </x:c>
      <x:c r="X175" s="3" t="inlineStr">
        <x:is>
          <x:t xml:space="preserve"/>
        </x:is>
      </x:c>
      <x:c r="Y175" s="6">
        <x:f>(S175*IF(E175="G",F175,0))+(S175*IF(G175="G",H175,0))</x:f>
      </x:c>
      <x:c r="Z175" s="6">
        <x:f>(S175*IF(E175="E",F175,0))+(S175*IF(G175="E",H175,0))</x:f>
      </x:c>
      <x:c r="AA175" s="6">
        <x:f>(S175*IF(E175="T",F175,0))+(S175*IF(G175="T",H175,0))</x:f>
      </x:c>
      <x:c r="AB175" s="6">
        <x:f>(S175*IF(E175="L",F175,0))+(S175*IF(G175="L",H175,0))</x:f>
      </x:c>
      <x:c r="AC175" s="6">
        <x:f>(S175*IF(E175="H",F175,0))+(S175*IF(G175="H",H175,0))</x:f>
      </x:c>
      <x:c r="AD175" s="6">
        <x:f>(S175*IF(E175="V",F175,0))+(S175*IF(G175="V",H175,0))</x:f>
      </x:c>
      <x:c r="AE175" s="6">
        <x:f>(S175*IF(E175="R",F175,0))+(S175*IF(G175="R",H175,0))</x:f>
      </x:c>
      <x:c r="AF175" s="6">
        <x:f>(S175*IF(E175="F",F175,0))+(S175*IF(G175="F",H175,0))</x:f>
      </x:c>
      <x:c r="AG175" s="6">
        <x:f>(S175*IF(E175="W",F175,0))+(S175*IF(G175="W",H175,0))</x:f>
      </x:c>
    </x:row>
    <x:row r="176">
      <x:c r="A176" s="3" t="inlineStr">
        <x:is>
          <x:t xml:space="preserve">Executive</x:t>
        </x:is>
      </x:c>
      <x:c r="B176" s="3" t="inlineStr">
        <x:is>
          <x:t xml:space="preserve">EXCO-D7-Q03</x:t>
        </x:is>
      </x:c>
      <x:c r="C176" s="3" t="inlineStr">
        <x:is>
          <x:t xml:space="preserve">T2</x:t>
        </x:is>
      </x:c>
      <x:c r="D176" s="3" t="inlineStr">
        <x:is>
          <x:t xml:space="preserve">7. Response &amp; Resilience</x:t>
        </x:is>
      </x:c>
      <x:c r="E176" s="3" t="inlineStr">
        <x:is>
          <x:t xml:space="preserve">R</x:t>
        </x:is>
      </x:c>
      <x:c r="F176" s="3" t="n">
        <x:v>0.7</x:v>
      </x:c>
      <x:c r="G176" s="3" t="inlineStr">
        <x:is>
          <x:t xml:space="preserve">E</x:t>
        </x:is>
      </x:c>
      <x:c r="H176" s="3" t="n">
        <x:v>0.3</x:v>
      </x:c>
      <x:c r="I176" s="3" t="inlineStr">
        <x:is>
          <x:t xml:space="preserve">Do we practise insider incident response (tabletop or drills) and track lessons learned?</x:t>
        </x:is>
      </x:c>
      <x:c r="J176" s="3" t="inlineStr">
        <x:is>
          <x:t xml:space="preserve">Practise can be short; the key is that improvements are captured and implemented.</x:t>
        </x:is>
      </x:c>
      <x:c r="K176" s="3" t="inlineStr">
        <x:is>
          <x:t xml:space="preserve">Drill-down; next=EXCO-D7-Q04</x:t>
        </x:is>
      </x:c>
      <x:c r="L176" s="3" t="inlineStr">
        <x:is>
          <x:t xml:space="preserve">OPS_STD</x:t>
        </x:is>
      </x:c>
      <x:c r="M176" s="3" t="n">
        <x:v>1</x:v>
      </x:c>
      <x:c r="N176" s="3" t="n"/>
      <x:c r="O176" s="3" t="n"/>
      <x:c r="P176" s="3" t="inlineStr">
        <x:is>
          <x:t xml:space="preserve">EXCO-D7-Q03-A3</x:t>
        </x:is>
      </x:c>
      <x:c r="Q176" s="3" t="n">
        <x:v>4</x:v>
      </x:c>
      <x:c r="R176" s="3" t="inlineStr">
        <x:is>
          <x:t xml:space="preserve">We practise occasionally and track actions, but completion is inconsistent.</x:t>
        </x:is>
      </x:c>
      <x:c r="S176" s="3" t="n">
        <x:v>2</x:v>
      </x:c>
      <x:c r="T176" s="3" t="inlineStr">
        <x:is>
          <x:t xml:space="preserve">inconsistent_execution</x:t>
        </x:is>
      </x:c>
      <x:c r="U176" s="3" t="inlineStr">
        <x:is>
          <x:t xml:space="preserve">Operating Model Gap</x:t>
        </x:is>
      </x:c>
      <x:c r="V176" s="3" t="inlineStr">
        <x:is>
          <x:t xml:space="preserve">Improve_Exercise_Loop</x:t>
        </x:is>
      </x:c>
      <x:c r="W176" s="3" t="inlineStr">
        <x:is>
          <x:t xml:space="preserve">N</x:t>
        </x:is>
      </x:c>
      <x:c r="X176" s="3" t="inlineStr">
        <x:is>
          <x:t xml:space="preserve"/>
        </x:is>
      </x:c>
      <x:c r="Y176" s="6">
        <x:f>(S176*IF(E176="G",F176,0))+(S176*IF(G176="G",H176,0))</x:f>
      </x:c>
      <x:c r="Z176" s="6">
        <x:f>(S176*IF(E176="E",F176,0))+(S176*IF(G176="E",H176,0))</x:f>
      </x:c>
      <x:c r="AA176" s="6">
        <x:f>(S176*IF(E176="T",F176,0))+(S176*IF(G176="T",H176,0))</x:f>
      </x:c>
      <x:c r="AB176" s="6">
        <x:f>(S176*IF(E176="L",F176,0))+(S176*IF(G176="L",H176,0))</x:f>
      </x:c>
      <x:c r="AC176" s="6">
        <x:f>(S176*IF(E176="H",F176,0))+(S176*IF(G176="H",H176,0))</x:f>
      </x:c>
      <x:c r="AD176" s="6">
        <x:f>(S176*IF(E176="V",F176,0))+(S176*IF(G176="V",H176,0))</x:f>
      </x:c>
      <x:c r="AE176" s="6">
        <x:f>(S176*IF(E176="R",F176,0))+(S176*IF(G176="R",H176,0))</x:f>
      </x:c>
      <x:c r="AF176" s="6">
        <x:f>(S176*IF(E176="F",F176,0))+(S176*IF(G176="F",H176,0))</x:f>
      </x:c>
      <x:c r="AG176" s="6">
        <x:f>(S176*IF(E176="W",F176,0))+(S176*IF(G176="W",H176,0))</x:f>
      </x:c>
    </x:row>
    <x:row r="177">
      <x:c r="A177" s="3" t="inlineStr">
        <x:is>
          <x:t xml:space="preserve">Executive</x:t>
        </x:is>
      </x:c>
      <x:c r="B177" s="3" t="inlineStr">
        <x:is>
          <x:t xml:space="preserve">EXCO-D7-Q03</x:t>
        </x:is>
      </x:c>
      <x:c r="C177" s="3" t="inlineStr">
        <x:is>
          <x:t xml:space="preserve">T2</x:t>
        </x:is>
      </x:c>
      <x:c r="D177" s="3" t="inlineStr">
        <x:is>
          <x:t xml:space="preserve">7. Response &amp; Resilience</x:t>
        </x:is>
      </x:c>
      <x:c r="E177" s="3" t="inlineStr">
        <x:is>
          <x:t xml:space="preserve">R</x:t>
        </x:is>
      </x:c>
      <x:c r="F177" s="3" t="n">
        <x:v>0.7</x:v>
      </x:c>
      <x:c r="G177" s="3" t="inlineStr">
        <x:is>
          <x:t xml:space="preserve">E</x:t>
        </x:is>
      </x:c>
      <x:c r="H177" s="3" t="n">
        <x:v>0.3</x:v>
      </x:c>
      <x:c r="I177" s="3" t="inlineStr">
        <x:is>
          <x:t xml:space="preserve">Do we practise insider incident response (tabletop or drills) and track lessons learned?</x:t>
        </x:is>
      </x:c>
      <x:c r="J177" s="3" t="inlineStr">
        <x:is>
          <x:t xml:space="preserve">Practise can be short; the key is that improvements are captured and implemented.</x:t>
        </x:is>
      </x:c>
      <x:c r="K177" s="3" t="inlineStr">
        <x:is>
          <x:t xml:space="preserve">Drill-down; next=EXCO-D7-Q04</x:t>
        </x:is>
      </x:c>
      <x:c r="L177" s="3" t="inlineStr">
        <x:is>
          <x:t xml:space="preserve">OPS_STD</x:t>
        </x:is>
      </x:c>
      <x:c r="M177" s="3" t="n">
        <x:v>1</x:v>
      </x:c>
      <x:c r="N177" s="3" t="n"/>
      <x:c r="O177" s="3" t="n"/>
      <x:c r="P177" s="3" t="inlineStr">
        <x:is>
          <x:t xml:space="preserve">EXCO-D7-Q03-A4</x:t>
        </x:is>
      </x:c>
      <x:c r="Q177" s="3" t="n">
        <x:v>5</x:v>
      </x:c>
      <x:c r="R177" s="3" t="inlineStr">
        <x:is>
          <x:t xml:space="preserve">We practise at least annually and close out improvements with owners/dates.</x:t>
        </x:is>
      </x:c>
      <x:c r="S177" s="3" t="n">
        <x:v>3</x:v>
      </x:c>
      <x:c r="T177" s="3" t="inlineStr">
        <x:is>
          <x:t xml:space="preserve">good_practice</x:t>
        </x:is>
      </x:c>
      <x:c r="U177" s="3" t="inlineStr">
        <x:is>
          <x:t xml:space="preserve"/>
        </x:is>
      </x:c>
      <x:c r="V177" s="3" t="inlineStr">
        <x:is>
          <x:t xml:space="preserve">Request_Evidence</x:t>
        </x:is>
      </x:c>
      <x:c r="W177" s="3" t="inlineStr">
        <x:is>
          <x:t xml:space="preserve">Y</x:t>
        </x:is>
      </x:c>
      <x:c r="X177" s="3" t="inlineStr">
        <x:is>
          <x:t xml:space="preserve"/>
        </x:is>
      </x:c>
      <x:c r="Y177" s="6">
        <x:f>(S177*IF(E177="G",F177,0))+(S177*IF(G177="G",H177,0))</x:f>
      </x:c>
      <x:c r="Z177" s="6">
        <x:f>(S177*IF(E177="E",F177,0))+(S177*IF(G177="E",H177,0))</x:f>
      </x:c>
      <x:c r="AA177" s="6">
        <x:f>(S177*IF(E177="T",F177,0))+(S177*IF(G177="T",H177,0))</x:f>
      </x:c>
      <x:c r="AB177" s="6">
        <x:f>(S177*IF(E177="L",F177,0))+(S177*IF(G177="L",H177,0))</x:f>
      </x:c>
      <x:c r="AC177" s="6">
        <x:f>(S177*IF(E177="H",F177,0))+(S177*IF(G177="H",H177,0))</x:f>
      </x:c>
      <x:c r="AD177" s="6">
        <x:f>(S177*IF(E177="V",F177,0))+(S177*IF(G177="V",H177,0))</x:f>
      </x:c>
      <x:c r="AE177" s="6">
        <x:f>(S177*IF(E177="R",F177,0))+(S177*IF(G177="R",H177,0))</x:f>
      </x:c>
      <x:c r="AF177" s="6">
        <x:f>(S177*IF(E177="F",F177,0))+(S177*IF(G177="F",H177,0))</x:f>
      </x:c>
      <x:c r="AG177" s="6">
        <x:f>(S177*IF(E177="W",F177,0))+(S177*IF(G177="W",H177,0))</x:f>
      </x:c>
    </x:row>
    <x:row r="178">
      <x:c r="A178" s="3" t="inlineStr">
        <x:is>
          <x:t xml:space="preserve">Executive</x:t>
        </x:is>
      </x:c>
      <x:c r="B178" s="3" t="inlineStr">
        <x:is>
          <x:t xml:space="preserve">EXCO-D7-Q03</x:t>
        </x:is>
      </x:c>
      <x:c r="C178" s="3" t="inlineStr">
        <x:is>
          <x:t xml:space="preserve">T2</x:t>
        </x:is>
      </x:c>
      <x:c r="D178" s="3" t="inlineStr">
        <x:is>
          <x:t xml:space="preserve">7. Response &amp; Resilience</x:t>
        </x:is>
      </x:c>
      <x:c r="E178" s="3" t="inlineStr">
        <x:is>
          <x:t xml:space="preserve">R</x:t>
        </x:is>
      </x:c>
      <x:c r="F178" s="3" t="n">
        <x:v>0.7</x:v>
      </x:c>
      <x:c r="G178" s="3" t="inlineStr">
        <x:is>
          <x:t xml:space="preserve">E</x:t>
        </x:is>
      </x:c>
      <x:c r="H178" s="3" t="n">
        <x:v>0.3</x:v>
      </x:c>
      <x:c r="I178" s="3" t="inlineStr">
        <x:is>
          <x:t xml:space="preserve">Do we practise insider incident response (tabletop or drills) and track lessons learned?</x:t>
        </x:is>
      </x:c>
      <x:c r="J178" s="3" t="inlineStr">
        <x:is>
          <x:t xml:space="preserve">Practise can be short; the key is that improvements are captured and implemented.</x:t>
        </x:is>
      </x:c>
      <x:c r="K178" s="3" t="inlineStr">
        <x:is>
          <x:t xml:space="preserve">Drill-down; next=EXCO-D7-Q04</x:t>
        </x:is>
      </x:c>
      <x:c r="L178" s="3" t="inlineStr">
        <x:is>
          <x:t xml:space="preserve">OPS_STD</x:t>
        </x:is>
      </x:c>
      <x:c r="M178" s="3" t="n">
        <x:v>1</x:v>
      </x:c>
      <x:c r="N178" s="3" t="n"/>
      <x:c r="O178" s="3" t="n"/>
      <x:c r="P178" s="3" t="inlineStr">
        <x:is>
          <x:t xml:space="preserve">EXCO-D7-Q03-A5</x:t>
        </x:is>
      </x:c>
      <x:c r="Q178" s="3" t="n">
        <x:v>6</x:v>
      </x:c>
      <x:c r="R178" s="3" t="inlineStr">
        <x:is>
          <x:t xml:space="preserve">Exercises are scheduled; improvement completion is measured; results feed into roadmap.</x:t>
        </x:is>
      </x:c>
      <x:c r="S178" s="3" t="n">
        <x:v>4</x:v>
      </x:c>
      <x:c r="T178" s="3" t="inlineStr">
        <x:is>
          <x:t xml:space="preserve">optimized</x:t>
        </x:is>
      </x:c>
      <x:c r="U178" s="3" t="inlineStr">
        <x:is>
          <x:t xml:space="preserve"/>
        </x:is>
      </x:c>
      <x:c r="V178" s="3" t="inlineStr">
        <x:is>
          <x:t xml:space="preserve">Request_Evidence</x:t>
        </x:is>
      </x:c>
      <x:c r="W178" s="3" t="inlineStr">
        <x:is>
          <x:t xml:space="preserve">Y</x:t>
        </x:is>
      </x:c>
      <x:c r="X178" s="3" t="inlineStr">
        <x:is>
          <x:t xml:space="preserve"/>
        </x:is>
      </x:c>
      <x:c r="Y178" s="6">
        <x:f>(S178*IF(E178="G",F178,0))+(S178*IF(G178="G",H178,0))</x:f>
      </x:c>
      <x:c r="Z178" s="6">
        <x:f>(S178*IF(E178="E",F178,0))+(S178*IF(G178="E",H178,0))</x:f>
      </x:c>
      <x:c r="AA178" s="6">
        <x:f>(S178*IF(E178="T",F178,0))+(S178*IF(G178="T",H178,0))</x:f>
      </x:c>
      <x:c r="AB178" s="6">
        <x:f>(S178*IF(E178="L",F178,0))+(S178*IF(G178="L",H178,0))</x:f>
      </x:c>
      <x:c r="AC178" s="6">
        <x:f>(S178*IF(E178="H",F178,0))+(S178*IF(G178="H",H178,0))</x:f>
      </x:c>
      <x:c r="AD178" s="6">
        <x:f>(S178*IF(E178="V",F178,0))+(S178*IF(G178="V",H178,0))</x:f>
      </x:c>
      <x:c r="AE178" s="6">
        <x:f>(S178*IF(E178="R",F178,0))+(S178*IF(G178="R",H178,0))</x:f>
      </x:c>
      <x:c r="AF178" s="6">
        <x:f>(S178*IF(E178="F",F178,0))+(S178*IF(G178="F",H178,0))</x:f>
      </x:c>
      <x:c r="AG178" s="6">
        <x:f>(S178*IF(E178="W",F178,0))+(S178*IF(G178="W",H178,0))</x:f>
      </x:c>
    </x:row>
    <x:row r="179">
      <x:c r="A179" s="3" t="inlineStr">
        <x:is>
          <x:t xml:space="preserve">Executive</x:t>
        </x:is>
      </x:c>
      <x:c r="B179" s="3" t="inlineStr">
        <x:is>
          <x:t xml:space="preserve">EXCO-D7-Q04</x:t>
        </x:is>
      </x:c>
      <x:c r="C179" s="3" t="inlineStr">
        <x:is>
          <x:t xml:space="preserve">T2</x:t>
        </x:is>
      </x:c>
      <x:c r="D179" s="3" t="inlineStr">
        <x:is>
          <x:t xml:space="preserve">7. Response &amp; Resilience</x:t>
        </x:is>
      </x:c>
      <x:c r="E179" s="3" t="inlineStr">
        <x:is>
          <x:t xml:space="preserve">L</x:t>
        </x:is>
      </x:c>
      <x:c r="F179" s="3" t="n">
        <x:v>0.5</x:v>
      </x:c>
      <x:c r="G179" s="3" t="inlineStr">
        <x:is>
          <x:t xml:space="preserve">R</x:t>
        </x:is>
      </x:c>
      <x:c r="H179" s="3" t="n">
        <x:v>0.5</x:v>
      </x:c>
      <x:c r="I179" s="3" t="inlineStr">
        <x:is>
          <x:t xml:space="preserve">Is there a plan for when to engage law enforcement or regulators (criteria, approvals, and communications)?</x:t>
        </x:is>
      </x:c>
      <x:c r="J179" s="3" t="inlineStr">
        <x:is>
          <x:t xml:space="preserve">This reduces chaos during high-stakes events.</x:t>
        </x:is>
      </x:c>
      <x:c r="K179" s="3" t="inlineStr">
        <x:is>
          <x:t xml:space="preserve">Drill-down; next=EXCO-D7-Q05</x:t>
        </x:is>
      </x:c>
      <x:c r="L179" s="3" t="inlineStr">
        <x:is>
          <x:t xml:space="preserve">LEG_STRICT</x:t>
        </x:is>
      </x:c>
      <x:c r="M179" s="3" t="n">
        <x:v>1</x:v>
      </x:c>
      <x:c r="N179" s="3" t="n"/>
      <x:c r="O179" s="3" t="n"/>
      <x:c r="P179" s="3" t="inlineStr">
        <x:is>
          <x:t xml:space="preserve">EXCO-D7-Q04-A0</x:t>
        </x:is>
      </x:c>
      <x:c r="Q179" s="3" t="n">
        <x:v>1</x:v>
      </x:c>
      <x:c r="R179" s="3" t="inlineStr">
        <x:is>
          <x:t xml:space="preserve">I don’t know / not sure.</x:t>
        </x:is>
      </x:c>
      <x:c r="S179" s="3" t="n">
        <x:v>0</x:v>
      </x:c>
      <x:c r="T179" s="3" t="inlineStr">
        <x:is>
          <x:t xml:space="preserve">unknown</x:t>
        </x:is>
      </x:c>
      <x:c r="U179" s="3" t="inlineStr">
        <x:is>
          <x:t xml:space="preserve">Unknown</x:t>
        </x:is>
      </x:c>
      <x:c r="V179" s="3" t="inlineStr">
        <x:is>
          <x:t xml:space="preserve">Define_LE_Plan</x:t>
        </x:is>
      </x:c>
      <x:c r="W179" s="3" t="inlineStr">
        <x:is>
          <x:t xml:space="preserve">N</x:t>
        </x:is>
      </x:c>
      <x:c r="X179" s="3" t="inlineStr">
        <x:is>
          <x:t xml:space="preserve"/>
        </x:is>
      </x:c>
      <x:c r="Y179" s="6">
        <x:f>(S179*IF(E179="G",F179,0))+(S179*IF(G179="G",H179,0))</x:f>
      </x:c>
      <x:c r="Z179" s="6">
        <x:f>(S179*IF(E179="E",F179,0))+(S179*IF(G179="E",H179,0))</x:f>
      </x:c>
      <x:c r="AA179" s="6">
        <x:f>(S179*IF(E179="T",F179,0))+(S179*IF(G179="T",H179,0))</x:f>
      </x:c>
      <x:c r="AB179" s="6">
        <x:f>(S179*IF(E179="L",F179,0))+(S179*IF(G179="L",H179,0))</x:f>
      </x:c>
      <x:c r="AC179" s="6">
        <x:f>(S179*IF(E179="H",F179,0))+(S179*IF(G179="H",H179,0))</x:f>
      </x:c>
      <x:c r="AD179" s="6">
        <x:f>(S179*IF(E179="V",F179,0))+(S179*IF(G179="V",H179,0))</x:f>
      </x:c>
      <x:c r="AE179" s="6">
        <x:f>(S179*IF(E179="R",F179,0))+(S179*IF(G179="R",H179,0))</x:f>
      </x:c>
      <x:c r="AF179" s="6">
        <x:f>(S179*IF(E179="F",F179,0))+(S179*IF(G179="F",H179,0))</x:f>
      </x:c>
      <x:c r="AG179" s="6">
        <x:f>(S179*IF(E179="W",F179,0))+(S179*IF(G179="W",H179,0))</x:f>
      </x:c>
    </x:row>
    <x:row r="180">
      <x:c r="A180" s="3" t="inlineStr">
        <x:is>
          <x:t xml:space="preserve">Executive</x:t>
        </x:is>
      </x:c>
      <x:c r="B180" s="3" t="inlineStr">
        <x:is>
          <x:t xml:space="preserve">EXCO-D7-Q04</x:t>
        </x:is>
      </x:c>
      <x:c r="C180" s="3" t="inlineStr">
        <x:is>
          <x:t xml:space="preserve">T2</x:t>
        </x:is>
      </x:c>
      <x:c r="D180" s="3" t="inlineStr">
        <x:is>
          <x:t xml:space="preserve">7. Response &amp; Resilience</x:t>
        </x:is>
      </x:c>
      <x:c r="E180" s="3" t="inlineStr">
        <x:is>
          <x:t xml:space="preserve">L</x:t>
        </x:is>
      </x:c>
      <x:c r="F180" s="3" t="n">
        <x:v>0.5</x:v>
      </x:c>
      <x:c r="G180" s="3" t="inlineStr">
        <x:is>
          <x:t xml:space="preserve">R</x:t>
        </x:is>
      </x:c>
      <x:c r="H180" s="3" t="n">
        <x:v>0.5</x:v>
      </x:c>
      <x:c r="I180" s="3" t="inlineStr">
        <x:is>
          <x:t xml:space="preserve">Is there a plan for when to engage law enforcement or regulators (criteria, approvals, and communications)?</x:t>
        </x:is>
      </x:c>
      <x:c r="J180" s="3" t="inlineStr">
        <x:is>
          <x:t xml:space="preserve">This reduces chaos during high-stakes events.</x:t>
        </x:is>
      </x:c>
      <x:c r="K180" s="3" t="inlineStr">
        <x:is>
          <x:t xml:space="preserve">Drill-down; next=EXCO-D7-Q05</x:t>
        </x:is>
      </x:c>
      <x:c r="L180" s="3" t="inlineStr">
        <x:is>
          <x:t xml:space="preserve">LEG_STRICT</x:t>
        </x:is>
      </x:c>
      <x:c r="M180" s="3" t="n">
        <x:v>1</x:v>
      </x:c>
      <x:c r="N180" s="3" t="n"/>
      <x:c r="O180" s="3" t="n"/>
      <x:c r="P180" s="3" t="inlineStr">
        <x:is>
          <x:t xml:space="preserve">EXCO-D7-Q04-A1</x:t>
        </x:is>
      </x:c>
      <x:c r="Q180" s="3" t="n">
        <x:v>2</x:v>
      </x:c>
      <x:c r="R180" s="3" t="inlineStr">
        <x:is>
          <x:t xml:space="preserve">No—we decide during a crisis.</x:t>
        </x:is>
      </x:c>
      <x:c r="S180" s="3" t="n">
        <x:v>0</x:v>
      </x:c>
      <x:c r="T180" s="3" t="inlineStr">
        <x:is>
          <x:t xml:space="preserve">foundational_gap</x:t>
        </x:is>
      </x:c>
      <x:c r="U180" s="3" t="inlineStr">
        <x:is>
          <x:t xml:space="preserve">Resilience Gap</x:t>
        </x:is>
      </x:c>
      <x:c r="V180" s="3" t="inlineStr">
        <x:is>
          <x:t xml:space="preserve">Define_LE_Plan</x:t>
        </x:is>
      </x:c>
      <x:c r="W180" s="3" t="inlineStr">
        <x:is>
          <x:t xml:space="preserve">N</x:t>
        </x:is>
      </x:c>
      <x:c r="X180" s="3" t="inlineStr">
        <x:is>
          <x:t xml:space="preserve"/>
        </x:is>
      </x:c>
      <x:c r="Y180" s="6">
        <x:f>(S180*IF(E180="G",F180,0))+(S180*IF(G180="G",H180,0))</x:f>
      </x:c>
      <x:c r="Z180" s="6">
        <x:f>(S180*IF(E180="E",F180,0))+(S180*IF(G180="E",H180,0))</x:f>
      </x:c>
      <x:c r="AA180" s="6">
        <x:f>(S180*IF(E180="T",F180,0))+(S180*IF(G180="T",H180,0))</x:f>
      </x:c>
      <x:c r="AB180" s="6">
        <x:f>(S180*IF(E180="L",F180,0))+(S180*IF(G180="L",H180,0))</x:f>
      </x:c>
      <x:c r="AC180" s="6">
        <x:f>(S180*IF(E180="H",F180,0))+(S180*IF(G180="H",H180,0))</x:f>
      </x:c>
      <x:c r="AD180" s="6">
        <x:f>(S180*IF(E180="V",F180,0))+(S180*IF(G180="V",H180,0))</x:f>
      </x:c>
      <x:c r="AE180" s="6">
        <x:f>(S180*IF(E180="R",F180,0))+(S180*IF(G180="R",H180,0))</x:f>
      </x:c>
      <x:c r="AF180" s="6">
        <x:f>(S180*IF(E180="F",F180,0))+(S180*IF(G180="F",H180,0))</x:f>
      </x:c>
      <x:c r="AG180" s="6">
        <x:f>(S180*IF(E180="W",F180,0))+(S180*IF(G180="W",H180,0))</x:f>
      </x:c>
    </x:row>
    <x:row r="181">
      <x:c r="A181" s="3" t="inlineStr">
        <x:is>
          <x:t xml:space="preserve">Executive</x:t>
        </x:is>
      </x:c>
      <x:c r="B181" s="3" t="inlineStr">
        <x:is>
          <x:t xml:space="preserve">EXCO-D7-Q04</x:t>
        </x:is>
      </x:c>
      <x:c r="C181" s="3" t="inlineStr">
        <x:is>
          <x:t xml:space="preserve">T2</x:t>
        </x:is>
      </x:c>
      <x:c r="D181" s="3" t="inlineStr">
        <x:is>
          <x:t xml:space="preserve">7. Response &amp; Resilience</x:t>
        </x:is>
      </x:c>
      <x:c r="E181" s="3" t="inlineStr">
        <x:is>
          <x:t xml:space="preserve">L</x:t>
        </x:is>
      </x:c>
      <x:c r="F181" s="3" t="n">
        <x:v>0.5</x:v>
      </x:c>
      <x:c r="G181" s="3" t="inlineStr">
        <x:is>
          <x:t xml:space="preserve">R</x:t>
        </x:is>
      </x:c>
      <x:c r="H181" s="3" t="n">
        <x:v>0.5</x:v>
      </x:c>
      <x:c r="I181" s="3" t="inlineStr">
        <x:is>
          <x:t xml:space="preserve">Is there a plan for when to engage law enforcement or regulators (criteria, approvals, and communications)?</x:t>
        </x:is>
      </x:c>
      <x:c r="J181" s="3" t="inlineStr">
        <x:is>
          <x:t xml:space="preserve">This reduces chaos during high-stakes events.</x:t>
        </x:is>
      </x:c>
      <x:c r="K181" s="3" t="inlineStr">
        <x:is>
          <x:t xml:space="preserve">Drill-down; next=EXCO-D7-Q05</x:t>
        </x:is>
      </x:c>
      <x:c r="L181" s="3" t="inlineStr">
        <x:is>
          <x:t xml:space="preserve">LEG_STRICT</x:t>
        </x:is>
      </x:c>
      <x:c r="M181" s="3" t="n">
        <x:v>1</x:v>
      </x:c>
      <x:c r="N181" s="3" t="n"/>
      <x:c r="O181" s="3" t="n"/>
      <x:c r="P181" s="3" t="inlineStr">
        <x:is>
          <x:t xml:space="preserve">EXCO-D7-Q04-A2</x:t>
        </x:is>
      </x:c>
      <x:c r="Q181" s="3" t="n">
        <x:v>3</x:v>
      </x:c>
      <x:c r="R181" s="3" t="inlineStr">
        <x:is>
          <x:t xml:space="preserve">We have informal contacts, but no defined criteria or approvals.</x:t>
        </x:is>
      </x:c>
      <x:c r="S181" s="3" t="n">
        <x:v>1</x:v>
      </x:c>
      <x:c r="T181" s="3" t="inlineStr">
        <x:is>
          <x:t xml:space="preserve">ad_hoc</x:t>
        </x:is>
      </x:c>
      <x:c r="U181" s="3" t="inlineStr">
        <x:is>
          <x:t xml:space="preserve">Operating Model Gap</x:t>
        </x:is>
      </x:c>
      <x:c r="V181" s="3" t="inlineStr">
        <x:is>
          <x:t xml:space="preserve">Define_LE_Plan</x:t>
        </x:is>
      </x:c>
      <x:c r="W181" s="3" t="inlineStr">
        <x:is>
          <x:t xml:space="preserve">N</x:t>
        </x:is>
      </x:c>
      <x:c r="X181" s="3" t="inlineStr">
        <x:is>
          <x:t xml:space="preserve"/>
        </x:is>
      </x:c>
      <x:c r="Y181" s="6">
        <x:f>(S181*IF(E181="G",F181,0))+(S181*IF(G181="G",H181,0))</x:f>
      </x:c>
      <x:c r="Z181" s="6">
        <x:f>(S181*IF(E181="E",F181,0))+(S181*IF(G181="E",H181,0))</x:f>
      </x:c>
      <x:c r="AA181" s="6">
        <x:f>(S181*IF(E181="T",F181,0))+(S181*IF(G181="T",H181,0))</x:f>
      </x:c>
      <x:c r="AB181" s="6">
        <x:f>(S181*IF(E181="L",F181,0))+(S181*IF(G181="L",H181,0))</x:f>
      </x:c>
      <x:c r="AC181" s="6">
        <x:f>(S181*IF(E181="H",F181,0))+(S181*IF(G181="H",H181,0))</x:f>
      </x:c>
      <x:c r="AD181" s="6">
        <x:f>(S181*IF(E181="V",F181,0))+(S181*IF(G181="V",H181,0))</x:f>
      </x:c>
      <x:c r="AE181" s="6">
        <x:f>(S181*IF(E181="R",F181,0))+(S181*IF(G181="R",H181,0))</x:f>
      </x:c>
      <x:c r="AF181" s="6">
        <x:f>(S181*IF(E181="F",F181,0))+(S181*IF(G181="F",H181,0))</x:f>
      </x:c>
      <x:c r="AG181" s="6">
        <x:f>(S181*IF(E181="W",F181,0))+(S181*IF(G181="W",H181,0))</x:f>
      </x:c>
    </x:row>
    <x:row r="182">
      <x:c r="A182" s="3" t="inlineStr">
        <x:is>
          <x:t xml:space="preserve">Executive</x:t>
        </x:is>
      </x:c>
      <x:c r="B182" s="3" t="inlineStr">
        <x:is>
          <x:t xml:space="preserve">EXCO-D7-Q04</x:t>
        </x:is>
      </x:c>
      <x:c r="C182" s="3" t="inlineStr">
        <x:is>
          <x:t xml:space="preserve">T2</x:t>
        </x:is>
      </x:c>
      <x:c r="D182" s="3" t="inlineStr">
        <x:is>
          <x:t xml:space="preserve">7. Response &amp; Resilience</x:t>
        </x:is>
      </x:c>
      <x:c r="E182" s="3" t="inlineStr">
        <x:is>
          <x:t xml:space="preserve">L</x:t>
        </x:is>
      </x:c>
      <x:c r="F182" s="3" t="n">
        <x:v>0.5</x:v>
      </x:c>
      <x:c r="G182" s="3" t="inlineStr">
        <x:is>
          <x:t xml:space="preserve">R</x:t>
        </x:is>
      </x:c>
      <x:c r="H182" s="3" t="n">
        <x:v>0.5</x:v>
      </x:c>
      <x:c r="I182" s="3" t="inlineStr">
        <x:is>
          <x:t xml:space="preserve">Is there a plan for when to engage law enforcement or regulators (criteria, approvals, and communications)?</x:t>
        </x:is>
      </x:c>
      <x:c r="J182" s="3" t="inlineStr">
        <x:is>
          <x:t xml:space="preserve">This reduces chaos during high-stakes events.</x:t>
        </x:is>
      </x:c>
      <x:c r="K182" s="3" t="inlineStr">
        <x:is>
          <x:t xml:space="preserve">Drill-down; next=EXCO-D7-Q05</x:t>
        </x:is>
      </x:c>
      <x:c r="L182" s="3" t="inlineStr">
        <x:is>
          <x:t xml:space="preserve">LEG_STRICT</x:t>
        </x:is>
      </x:c>
      <x:c r="M182" s="3" t="n">
        <x:v>1</x:v>
      </x:c>
      <x:c r="N182" s="3" t="n"/>
      <x:c r="O182" s="3" t="n"/>
      <x:c r="P182" s="3" t="inlineStr">
        <x:is>
          <x:t xml:space="preserve">EXCO-D7-Q04-A3</x:t>
        </x:is>
      </x:c>
      <x:c r="Q182" s="3" t="n">
        <x:v>4</x:v>
      </x:c>
      <x:c r="R182" s="3" t="inlineStr">
        <x:is>
          <x:t xml:space="preserve">A policy exists, but it is generic and not practised.</x:t>
        </x:is>
      </x:c>
      <x:c r="S182" s="3" t="n">
        <x:v>2</x:v>
      </x:c>
      <x:c r="T182" s="3" t="inlineStr">
        <x:is>
          <x:t xml:space="preserve">paper_process</x:t>
        </x:is>
      </x:c>
      <x:c r="U182" s="3" t="inlineStr">
        <x:is>
          <x:t xml:space="preserve">Paper Dragon</x:t>
        </x:is>
      </x:c>
      <x:c r="V182" s="3" t="inlineStr">
        <x:is>
          <x:t xml:space="preserve">Exercise_LE_Plan</x:t>
        </x:is>
      </x:c>
      <x:c r="W182" s="3" t="inlineStr">
        <x:is>
          <x:t xml:space="preserve">N</x:t>
        </x:is>
      </x:c>
      <x:c r="X182" s="3" t="inlineStr">
        <x:is>
          <x:t xml:space="preserve"/>
        </x:is>
      </x:c>
      <x:c r="Y182" s="6">
        <x:f>(S182*IF(E182="G",F182,0))+(S182*IF(G182="G",H182,0))</x:f>
      </x:c>
      <x:c r="Z182" s="6">
        <x:f>(S182*IF(E182="E",F182,0))+(S182*IF(G182="E",H182,0))</x:f>
      </x:c>
      <x:c r="AA182" s="6">
        <x:f>(S182*IF(E182="T",F182,0))+(S182*IF(G182="T",H182,0))</x:f>
      </x:c>
      <x:c r="AB182" s="6">
        <x:f>(S182*IF(E182="L",F182,0))+(S182*IF(G182="L",H182,0))</x:f>
      </x:c>
      <x:c r="AC182" s="6">
        <x:f>(S182*IF(E182="H",F182,0))+(S182*IF(G182="H",H182,0))</x:f>
      </x:c>
      <x:c r="AD182" s="6">
        <x:f>(S182*IF(E182="V",F182,0))+(S182*IF(G182="V",H182,0))</x:f>
      </x:c>
      <x:c r="AE182" s="6">
        <x:f>(S182*IF(E182="R",F182,0))+(S182*IF(G182="R",H182,0))</x:f>
      </x:c>
      <x:c r="AF182" s="6">
        <x:f>(S182*IF(E182="F",F182,0))+(S182*IF(G182="F",H182,0))</x:f>
      </x:c>
      <x:c r="AG182" s="6">
        <x:f>(S182*IF(E182="W",F182,0))+(S182*IF(G182="W",H182,0))</x:f>
      </x:c>
    </x:row>
    <x:row r="183">
      <x:c r="A183" s="3" t="inlineStr">
        <x:is>
          <x:t xml:space="preserve">Executive</x:t>
        </x:is>
      </x:c>
      <x:c r="B183" s="3" t="inlineStr">
        <x:is>
          <x:t xml:space="preserve">EXCO-D7-Q04</x:t>
        </x:is>
      </x:c>
      <x:c r="C183" s="3" t="inlineStr">
        <x:is>
          <x:t xml:space="preserve">T2</x:t>
        </x:is>
      </x:c>
      <x:c r="D183" s="3" t="inlineStr">
        <x:is>
          <x:t xml:space="preserve">7. Response &amp; Resilience</x:t>
        </x:is>
      </x:c>
      <x:c r="E183" s="3" t="inlineStr">
        <x:is>
          <x:t xml:space="preserve">L</x:t>
        </x:is>
      </x:c>
      <x:c r="F183" s="3" t="n">
        <x:v>0.5</x:v>
      </x:c>
      <x:c r="G183" s="3" t="inlineStr">
        <x:is>
          <x:t xml:space="preserve">R</x:t>
        </x:is>
      </x:c>
      <x:c r="H183" s="3" t="n">
        <x:v>0.5</x:v>
      </x:c>
      <x:c r="I183" s="3" t="inlineStr">
        <x:is>
          <x:t xml:space="preserve">Is there a plan for when to engage law enforcement or regulators (criteria, approvals, and communications)?</x:t>
        </x:is>
      </x:c>
      <x:c r="J183" s="3" t="inlineStr">
        <x:is>
          <x:t xml:space="preserve">This reduces chaos during high-stakes events.</x:t>
        </x:is>
      </x:c>
      <x:c r="K183" s="3" t="inlineStr">
        <x:is>
          <x:t xml:space="preserve">Drill-down; next=EXCO-D7-Q05</x:t>
        </x:is>
      </x:c>
      <x:c r="L183" s="3" t="inlineStr">
        <x:is>
          <x:t xml:space="preserve">LEG_STRICT</x:t>
        </x:is>
      </x:c>
      <x:c r="M183" s="3" t="n">
        <x:v>1</x:v>
      </x:c>
      <x:c r="N183" s="3" t="n"/>
      <x:c r="O183" s="3" t="n"/>
      <x:c r="P183" s="3" t="inlineStr">
        <x:is>
          <x:t xml:space="preserve">EXCO-D7-Q04-A4</x:t>
        </x:is>
      </x:c>
      <x:c r="Q183" s="3" t="n">
        <x:v>5</x:v>
      </x:c>
      <x:c r="R183" s="3" t="inlineStr">
        <x:is>
          <x:t xml:space="preserve">Criteria and approvals are defined; communications roles are clear.</x:t>
        </x:is>
      </x:c>
      <x:c r="S183" s="3" t="n">
        <x:v>3</x:v>
      </x:c>
      <x:c r="T183" s="3" t="inlineStr">
        <x:is>
          <x:t xml:space="preserve">good_practice</x:t>
        </x:is>
      </x:c>
      <x:c r="U183" s="3" t="inlineStr">
        <x:is>
          <x:t xml:space="preserve"/>
        </x:is>
      </x:c>
      <x:c r="V183" s="3" t="inlineStr">
        <x:is>
          <x:t xml:space="preserve">Request_Evidence</x:t>
        </x:is>
      </x:c>
      <x:c r="W183" s="3" t="inlineStr">
        <x:is>
          <x:t xml:space="preserve">Y</x:t>
        </x:is>
      </x:c>
      <x:c r="X183" s="3" t="inlineStr">
        <x:is>
          <x:t xml:space="preserve"/>
        </x:is>
      </x:c>
      <x:c r="Y183" s="6">
        <x:f>(S183*IF(E183="G",F183,0))+(S183*IF(G183="G",H183,0))</x:f>
      </x:c>
      <x:c r="Z183" s="6">
        <x:f>(S183*IF(E183="E",F183,0))+(S183*IF(G183="E",H183,0))</x:f>
      </x:c>
      <x:c r="AA183" s="6">
        <x:f>(S183*IF(E183="T",F183,0))+(S183*IF(G183="T",H183,0))</x:f>
      </x:c>
      <x:c r="AB183" s="6">
        <x:f>(S183*IF(E183="L",F183,0))+(S183*IF(G183="L",H183,0))</x:f>
      </x:c>
      <x:c r="AC183" s="6">
        <x:f>(S183*IF(E183="H",F183,0))+(S183*IF(G183="H",H183,0))</x:f>
      </x:c>
      <x:c r="AD183" s="6">
        <x:f>(S183*IF(E183="V",F183,0))+(S183*IF(G183="V",H183,0))</x:f>
      </x:c>
      <x:c r="AE183" s="6">
        <x:f>(S183*IF(E183="R",F183,0))+(S183*IF(G183="R",H183,0))</x:f>
      </x:c>
      <x:c r="AF183" s="6">
        <x:f>(S183*IF(E183="F",F183,0))+(S183*IF(G183="F",H183,0))</x:f>
      </x:c>
      <x:c r="AG183" s="6">
        <x:f>(S183*IF(E183="W",F183,0))+(S183*IF(G183="W",H183,0))</x:f>
      </x:c>
    </x:row>
    <x:row r="184">
      <x:c r="A184" s="3" t="inlineStr">
        <x:is>
          <x:t xml:space="preserve">Executive</x:t>
        </x:is>
      </x:c>
      <x:c r="B184" s="3" t="inlineStr">
        <x:is>
          <x:t xml:space="preserve">EXCO-D7-Q04</x:t>
        </x:is>
      </x:c>
      <x:c r="C184" s="3" t="inlineStr">
        <x:is>
          <x:t xml:space="preserve">T2</x:t>
        </x:is>
      </x:c>
      <x:c r="D184" s="3" t="inlineStr">
        <x:is>
          <x:t xml:space="preserve">7. Response &amp; Resilience</x:t>
        </x:is>
      </x:c>
      <x:c r="E184" s="3" t="inlineStr">
        <x:is>
          <x:t xml:space="preserve">L</x:t>
        </x:is>
      </x:c>
      <x:c r="F184" s="3" t="n">
        <x:v>0.5</x:v>
      </x:c>
      <x:c r="G184" s="3" t="inlineStr">
        <x:is>
          <x:t xml:space="preserve">R</x:t>
        </x:is>
      </x:c>
      <x:c r="H184" s="3" t="n">
        <x:v>0.5</x:v>
      </x:c>
      <x:c r="I184" s="3" t="inlineStr">
        <x:is>
          <x:t xml:space="preserve">Is there a plan for when to engage law enforcement or regulators (criteria, approvals, and communications)?</x:t>
        </x:is>
      </x:c>
      <x:c r="J184" s="3" t="inlineStr">
        <x:is>
          <x:t xml:space="preserve">This reduces chaos during high-stakes events.</x:t>
        </x:is>
      </x:c>
      <x:c r="K184" s="3" t="inlineStr">
        <x:is>
          <x:t xml:space="preserve">Drill-down; next=EXCO-D7-Q05</x:t>
        </x:is>
      </x:c>
      <x:c r="L184" s="3" t="inlineStr">
        <x:is>
          <x:t xml:space="preserve">LEG_STRICT</x:t>
        </x:is>
      </x:c>
      <x:c r="M184" s="3" t="n">
        <x:v>1</x:v>
      </x:c>
      <x:c r="N184" s="3" t="n"/>
      <x:c r="O184" s="3" t="n"/>
      <x:c r="P184" s="3" t="inlineStr">
        <x:is>
          <x:t xml:space="preserve">EXCO-D7-Q04-A5</x:t>
        </x:is>
      </x:c>
      <x:c r="Q184" s="3" t="n">
        <x:v>6</x:v>
      </x:c>
      <x:c r="R184" s="3" t="inlineStr">
        <x:is>
          <x:t xml:space="preserve">Plan is integrated with crisis management; practised and improved regularly.</x:t>
        </x:is>
      </x:c>
      <x:c r="S184" s="3" t="n">
        <x:v>4</x:v>
      </x:c>
      <x:c r="T184" s="3" t="inlineStr">
        <x:is>
          <x:t xml:space="preserve">optimized</x:t>
        </x:is>
      </x:c>
      <x:c r="U184" s="3" t="inlineStr">
        <x:is>
          <x:t xml:space="preserve"/>
        </x:is>
      </x:c>
      <x:c r="V184" s="3" t="inlineStr">
        <x:is>
          <x:t xml:space="preserve">Request_Evidence</x:t>
        </x:is>
      </x:c>
      <x:c r="W184" s="3" t="inlineStr">
        <x:is>
          <x:t xml:space="preserve">Y</x:t>
        </x:is>
      </x:c>
      <x:c r="X184" s="3" t="inlineStr">
        <x:is>
          <x:t xml:space="preserve"/>
        </x:is>
      </x:c>
      <x:c r="Y184" s="6">
        <x:f>(S184*IF(E184="G",F184,0))+(S184*IF(G184="G",H184,0))</x:f>
      </x:c>
      <x:c r="Z184" s="6">
        <x:f>(S184*IF(E184="E",F184,0))+(S184*IF(G184="E",H184,0))</x:f>
      </x:c>
      <x:c r="AA184" s="6">
        <x:f>(S184*IF(E184="T",F184,0))+(S184*IF(G184="T",H184,0))</x:f>
      </x:c>
      <x:c r="AB184" s="6">
        <x:f>(S184*IF(E184="L",F184,0))+(S184*IF(G184="L",H184,0))</x:f>
      </x:c>
      <x:c r="AC184" s="6">
        <x:f>(S184*IF(E184="H",F184,0))+(S184*IF(G184="H",H184,0))</x:f>
      </x:c>
      <x:c r="AD184" s="6">
        <x:f>(S184*IF(E184="V",F184,0))+(S184*IF(G184="V",H184,0))</x:f>
      </x:c>
      <x:c r="AE184" s="6">
        <x:f>(S184*IF(E184="R",F184,0))+(S184*IF(G184="R",H184,0))</x:f>
      </x:c>
      <x:c r="AF184" s="6">
        <x:f>(S184*IF(E184="F",F184,0))+(S184*IF(G184="F",H184,0))</x:f>
      </x:c>
      <x:c r="AG184" s="6">
        <x:f>(S184*IF(E184="W",F184,0))+(S184*IF(G184="W",H184,0))</x:f>
      </x:c>
    </x:row>
    <x:row r="185">
      <x:c r="A185" s="3" t="inlineStr">
        <x:is>
          <x:t xml:space="preserve">Executive</x:t>
        </x:is>
      </x:c>
      <x:c r="B185" s="3" t="inlineStr">
        <x:is>
          <x:t xml:space="preserve">EXCO-D7-Q05</x:t>
        </x:is>
      </x:c>
      <x:c r="C185" s="3" t="inlineStr">
        <x:is>
          <x:t xml:space="preserve">T2</x:t>
        </x:is>
      </x:c>
      <x:c r="D185" s="3" t="inlineStr">
        <x:is>
          <x:t xml:space="preserve">7. Response &amp; Resilience</x:t>
        </x:is>
      </x:c>
      <x:c r="E185" s="3" t="inlineStr">
        <x:is>
          <x:t xml:space="preserve">H</x:t>
        </x:is>
      </x:c>
      <x:c r="F185" s="3" t="n">
        <x:v>0.5</x:v>
      </x:c>
      <x:c r="G185" s="3" t="inlineStr">
        <x:is>
          <x:t xml:space="preserve">R</x:t>
        </x:is>
      </x:c>
      <x:c r="H185" s="3" t="n">
        <x:v>0.5</x:v>
      </x:c>
      <x:c r="I185" s="3" t="inlineStr">
        <x:is>
          <x:t xml:space="preserve">After an insider incident, do we have a plan to restore trust (team health, communications, fairness, control changes)?</x:t>
        </x:is>
      </x:c>
      <x:c r="J185" s="3" t="inlineStr">
        <x:is>
          <x:t xml:space="preserve">Trust recovery is about avoiding long-term fear, blame, and productivity loss.</x:t>
        </x:is>
      </x:c>
      <x:c r="K185" s="3" t="inlineStr">
        <x:is>
          <x:t xml:space="preserve">Drill-down; next=EXCO-D8-Q01</x:t>
        </x:is>
      </x:c>
      <x:c r="L185" s="3" t="inlineStr">
        <x:is>
          <x:t xml:space="preserve">CULT_SOFT</x:t>
        </x:is>
      </x:c>
      <x:c r="M185" s="3" t="n">
        <x:v>1</x:v>
      </x:c>
      <x:c r="N185" s="3" t="n"/>
      <x:c r="O185" s="3" t="n"/>
      <x:c r="P185" s="3" t="inlineStr">
        <x:is>
          <x:t xml:space="preserve">EXCO-D7-Q05-A0</x:t>
        </x:is>
      </x:c>
      <x:c r="Q185" s="3" t="n">
        <x:v>1</x:v>
      </x:c>
      <x:c r="R185" s="3" t="inlineStr">
        <x:is>
          <x:t xml:space="preserve">I don’t know / not sure.</x:t>
        </x:is>
      </x:c>
      <x:c r="S185" s="3" t="n">
        <x:v>0</x:v>
      </x:c>
      <x:c r="T185" s="3" t="inlineStr">
        <x:is>
          <x:t xml:space="preserve">unknown</x:t>
        </x:is>
      </x:c>
      <x:c r="U185" s="3" t="inlineStr">
        <x:is>
          <x:t xml:space="preserve">Unknown</x:t>
        </x:is>
      </x:c>
      <x:c r="V185" s="3" t="inlineStr">
        <x:is>
          <x:t xml:space="preserve">Create_Trust_Playbook</x:t>
        </x:is>
      </x:c>
      <x:c r="W185" s="3" t="inlineStr">
        <x:is>
          <x:t xml:space="preserve">N</x:t>
        </x:is>
      </x:c>
      <x:c r="X185" s="3" t="inlineStr">
        <x:is>
          <x:t xml:space="preserve"/>
        </x:is>
      </x:c>
      <x:c r="Y185" s="6">
        <x:f>(S185*IF(E185="G",F185,0))+(S185*IF(G185="G",H185,0))</x:f>
      </x:c>
      <x:c r="Z185" s="6">
        <x:f>(S185*IF(E185="E",F185,0))+(S185*IF(G185="E",H185,0))</x:f>
      </x:c>
      <x:c r="AA185" s="6">
        <x:f>(S185*IF(E185="T",F185,0))+(S185*IF(G185="T",H185,0))</x:f>
      </x:c>
      <x:c r="AB185" s="6">
        <x:f>(S185*IF(E185="L",F185,0))+(S185*IF(G185="L",H185,0))</x:f>
      </x:c>
      <x:c r="AC185" s="6">
        <x:f>(S185*IF(E185="H",F185,0))+(S185*IF(G185="H",H185,0))</x:f>
      </x:c>
      <x:c r="AD185" s="6">
        <x:f>(S185*IF(E185="V",F185,0))+(S185*IF(G185="V",H185,0))</x:f>
      </x:c>
      <x:c r="AE185" s="6">
        <x:f>(S185*IF(E185="R",F185,0))+(S185*IF(G185="R",H185,0))</x:f>
      </x:c>
      <x:c r="AF185" s="6">
        <x:f>(S185*IF(E185="F",F185,0))+(S185*IF(G185="F",H185,0))</x:f>
      </x:c>
      <x:c r="AG185" s="6">
        <x:f>(S185*IF(E185="W",F185,0))+(S185*IF(G185="W",H185,0))</x:f>
      </x:c>
    </x:row>
    <x:row r="186">
      <x:c r="A186" s="3" t="inlineStr">
        <x:is>
          <x:t xml:space="preserve">Executive</x:t>
        </x:is>
      </x:c>
      <x:c r="B186" s="3" t="inlineStr">
        <x:is>
          <x:t xml:space="preserve">EXCO-D7-Q05</x:t>
        </x:is>
      </x:c>
      <x:c r="C186" s="3" t="inlineStr">
        <x:is>
          <x:t xml:space="preserve">T2</x:t>
        </x:is>
      </x:c>
      <x:c r="D186" s="3" t="inlineStr">
        <x:is>
          <x:t xml:space="preserve">7. Response &amp; Resilience</x:t>
        </x:is>
      </x:c>
      <x:c r="E186" s="3" t="inlineStr">
        <x:is>
          <x:t xml:space="preserve">H</x:t>
        </x:is>
      </x:c>
      <x:c r="F186" s="3" t="n">
        <x:v>0.5</x:v>
      </x:c>
      <x:c r="G186" s="3" t="inlineStr">
        <x:is>
          <x:t xml:space="preserve">R</x:t>
        </x:is>
      </x:c>
      <x:c r="H186" s="3" t="n">
        <x:v>0.5</x:v>
      </x:c>
      <x:c r="I186" s="3" t="inlineStr">
        <x:is>
          <x:t xml:space="preserve">After an insider incident, do we have a plan to restore trust (team health, communications, fairness, control changes)?</x:t>
        </x:is>
      </x:c>
      <x:c r="J186" s="3" t="inlineStr">
        <x:is>
          <x:t xml:space="preserve">Trust recovery is about avoiding long-term fear, blame, and productivity loss.</x:t>
        </x:is>
      </x:c>
      <x:c r="K186" s="3" t="inlineStr">
        <x:is>
          <x:t xml:space="preserve">Drill-down; next=EXCO-D8-Q01</x:t>
        </x:is>
      </x:c>
      <x:c r="L186" s="3" t="inlineStr">
        <x:is>
          <x:t xml:space="preserve">CULT_SOFT</x:t>
        </x:is>
      </x:c>
      <x:c r="M186" s="3" t="n">
        <x:v>1</x:v>
      </x:c>
      <x:c r="N186" s="3" t="n"/>
      <x:c r="O186" s="3" t="n"/>
      <x:c r="P186" s="3" t="inlineStr">
        <x:is>
          <x:t xml:space="preserve">EXCO-D7-Q05-A1</x:t>
        </x:is>
      </x:c>
      <x:c r="Q186" s="3" t="n">
        <x:v>2</x:v>
      </x:c>
      <x:c r="R186" s="3" t="inlineStr">
        <x:is>
          <x:t xml:space="preserve">No—focus is only on technical fix and PR; trust is not addressed.</x:t>
        </x:is>
      </x:c>
      <x:c r="S186" s="3" t="n">
        <x:v>0</x:v>
      </x:c>
      <x:c r="T186" s="3" t="inlineStr">
        <x:is>
          <x:t xml:space="preserve">culture_risk</x:t>
        </x:is>
      </x:c>
      <x:c r="U186" s="3" t="inlineStr">
        <x:is>
          <x:t xml:space="preserve">Culture Risk</x:t>
        </x:is>
      </x:c>
      <x:c r="V186" s="3" t="inlineStr">
        <x:is>
          <x:t xml:space="preserve">Create_Trust_Playbook</x:t>
        </x:is>
      </x:c>
      <x:c r="W186" s="3" t="inlineStr">
        <x:is>
          <x:t xml:space="preserve">N</x:t>
        </x:is>
      </x:c>
      <x:c r="X186" s="3" t="inlineStr">
        <x:is>
          <x:t xml:space="preserve"/>
        </x:is>
      </x:c>
      <x:c r="Y186" s="6">
        <x:f>(S186*IF(E186="G",F186,0))+(S186*IF(G186="G",H186,0))</x:f>
      </x:c>
      <x:c r="Z186" s="6">
        <x:f>(S186*IF(E186="E",F186,0))+(S186*IF(G186="E",H186,0))</x:f>
      </x:c>
      <x:c r="AA186" s="6">
        <x:f>(S186*IF(E186="T",F186,0))+(S186*IF(G186="T",H186,0))</x:f>
      </x:c>
      <x:c r="AB186" s="6">
        <x:f>(S186*IF(E186="L",F186,0))+(S186*IF(G186="L",H186,0))</x:f>
      </x:c>
      <x:c r="AC186" s="6">
        <x:f>(S186*IF(E186="H",F186,0))+(S186*IF(G186="H",H186,0))</x:f>
      </x:c>
      <x:c r="AD186" s="6">
        <x:f>(S186*IF(E186="V",F186,0))+(S186*IF(G186="V",H186,0))</x:f>
      </x:c>
      <x:c r="AE186" s="6">
        <x:f>(S186*IF(E186="R",F186,0))+(S186*IF(G186="R",H186,0))</x:f>
      </x:c>
      <x:c r="AF186" s="6">
        <x:f>(S186*IF(E186="F",F186,0))+(S186*IF(G186="F",H186,0))</x:f>
      </x:c>
      <x:c r="AG186" s="6">
        <x:f>(S186*IF(E186="W",F186,0))+(S186*IF(G186="W",H186,0))</x:f>
      </x:c>
    </x:row>
    <x:row r="187">
      <x:c r="A187" s="3" t="inlineStr">
        <x:is>
          <x:t xml:space="preserve">Executive</x:t>
        </x:is>
      </x:c>
      <x:c r="B187" s="3" t="inlineStr">
        <x:is>
          <x:t xml:space="preserve">EXCO-D7-Q05</x:t>
        </x:is>
      </x:c>
      <x:c r="C187" s="3" t="inlineStr">
        <x:is>
          <x:t xml:space="preserve">T2</x:t>
        </x:is>
      </x:c>
      <x:c r="D187" s="3" t="inlineStr">
        <x:is>
          <x:t xml:space="preserve">7. Response &amp; Resilience</x:t>
        </x:is>
      </x:c>
      <x:c r="E187" s="3" t="inlineStr">
        <x:is>
          <x:t xml:space="preserve">H</x:t>
        </x:is>
      </x:c>
      <x:c r="F187" s="3" t="n">
        <x:v>0.5</x:v>
      </x:c>
      <x:c r="G187" s="3" t="inlineStr">
        <x:is>
          <x:t xml:space="preserve">R</x:t>
        </x:is>
      </x:c>
      <x:c r="H187" s="3" t="n">
        <x:v>0.5</x:v>
      </x:c>
      <x:c r="I187" s="3" t="inlineStr">
        <x:is>
          <x:t xml:space="preserve">After an insider incident, do we have a plan to restore trust (team health, communications, fairness, control changes)?</x:t>
        </x:is>
      </x:c>
      <x:c r="J187" s="3" t="inlineStr">
        <x:is>
          <x:t xml:space="preserve">Trust recovery is about avoiding long-term fear, blame, and productivity loss.</x:t>
        </x:is>
      </x:c>
      <x:c r="K187" s="3" t="inlineStr">
        <x:is>
          <x:t xml:space="preserve">Drill-down; next=EXCO-D8-Q01</x:t>
        </x:is>
      </x:c>
      <x:c r="L187" s="3" t="inlineStr">
        <x:is>
          <x:t xml:space="preserve">CULT_SOFT</x:t>
        </x:is>
      </x:c>
      <x:c r="M187" s="3" t="n">
        <x:v>1</x:v>
      </x:c>
      <x:c r="N187" s="3" t="n"/>
      <x:c r="O187" s="3" t="n"/>
      <x:c r="P187" s="3" t="inlineStr">
        <x:is>
          <x:t xml:space="preserve">EXCO-D7-Q05-A2</x:t>
        </x:is>
      </x:c>
      <x:c r="Q187" s="3" t="n">
        <x:v>3</x:v>
      </x:c>
      <x:c r="R187" s="3" t="inlineStr">
        <x:is>
          <x:t xml:space="preserve">Managers try to handle it informally, but there is no structured support.</x:t>
        </x:is>
      </x:c>
      <x:c r="S187" s="3" t="n">
        <x:v>1</x:v>
      </x:c>
      <x:c r="T187" s="3" t="inlineStr">
        <x:is>
          <x:t xml:space="preserve">informal_only</x:t>
        </x:is>
      </x:c>
      <x:c r="U187" s="3" t="inlineStr">
        <x:is>
          <x:t xml:space="preserve">Operating Model Gap</x:t>
        </x:is>
      </x:c>
      <x:c r="V187" s="3" t="inlineStr">
        <x:is>
          <x:t xml:space="preserve">Create_Trust_Playbook</x:t>
        </x:is>
      </x:c>
      <x:c r="W187" s="3" t="inlineStr">
        <x:is>
          <x:t xml:space="preserve">N</x:t>
        </x:is>
      </x:c>
      <x:c r="X187" s="3" t="inlineStr">
        <x:is>
          <x:t xml:space="preserve"/>
        </x:is>
      </x:c>
      <x:c r="Y187" s="6">
        <x:f>(S187*IF(E187="G",F187,0))+(S187*IF(G187="G",H187,0))</x:f>
      </x:c>
      <x:c r="Z187" s="6">
        <x:f>(S187*IF(E187="E",F187,0))+(S187*IF(G187="E",H187,0))</x:f>
      </x:c>
      <x:c r="AA187" s="6">
        <x:f>(S187*IF(E187="T",F187,0))+(S187*IF(G187="T",H187,0))</x:f>
      </x:c>
      <x:c r="AB187" s="6">
        <x:f>(S187*IF(E187="L",F187,0))+(S187*IF(G187="L",H187,0))</x:f>
      </x:c>
      <x:c r="AC187" s="6">
        <x:f>(S187*IF(E187="H",F187,0))+(S187*IF(G187="H",H187,0))</x:f>
      </x:c>
      <x:c r="AD187" s="6">
        <x:f>(S187*IF(E187="V",F187,0))+(S187*IF(G187="V",H187,0))</x:f>
      </x:c>
      <x:c r="AE187" s="6">
        <x:f>(S187*IF(E187="R",F187,0))+(S187*IF(G187="R",H187,0))</x:f>
      </x:c>
      <x:c r="AF187" s="6">
        <x:f>(S187*IF(E187="F",F187,0))+(S187*IF(G187="F",H187,0))</x:f>
      </x:c>
      <x:c r="AG187" s="6">
        <x:f>(S187*IF(E187="W",F187,0))+(S187*IF(G187="W",H187,0))</x:f>
      </x:c>
    </x:row>
    <x:row r="188">
      <x:c r="A188" s="3" t="inlineStr">
        <x:is>
          <x:t xml:space="preserve">Executive</x:t>
        </x:is>
      </x:c>
      <x:c r="B188" s="3" t="inlineStr">
        <x:is>
          <x:t xml:space="preserve">EXCO-D7-Q05</x:t>
        </x:is>
      </x:c>
      <x:c r="C188" s="3" t="inlineStr">
        <x:is>
          <x:t xml:space="preserve">T2</x:t>
        </x:is>
      </x:c>
      <x:c r="D188" s="3" t="inlineStr">
        <x:is>
          <x:t xml:space="preserve">7. Response &amp; Resilience</x:t>
        </x:is>
      </x:c>
      <x:c r="E188" s="3" t="inlineStr">
        <x:is>
          <x:t xml:space="preserve">H</x:t>
        </x:is>
      </x:c>
      <x:c r="F188" s="3" t="n">
        <x:v>0.5</x:v>
      </x:c>
      <x:c r="G188" s="3" t="inlineStr">
        <x:is>
          <x:t xml:space="preserve">R</x:t>
        </x:is>
      </x:c>
      <x:c r="H188" s="3" t="n">
        <x:v>0.5</x:v>
      </x:c>
      <x:c r="I188" s="3" t="inlineStr">
        <x:is>
          <x:t xml:space="preserve">After an insider incident, do we have a plan to restore trust (team health, communications, fairness, control changes)?</x:t>
        </x:is>
      </x:c>
      <x:c r="J188" s="3" t="inlineStr">
        <x:is>
          <x:t xml:space="preserve">Trust recovery is about avoiding long-term fear, blame, and productivity loss.</x:t>
        </x:is>
      </x:c>
      <x:c r="K188" s="3" t="inlineStr">
        <x:is>
          <x:t xml:space="preserve">Drill-down; next=EXCO-D8-Q01</x:t>
        </x:is>
      </x:c>
      <x:c r="L188" s="3" t="inlineStr">
        <x:is>
          <x:t xml:space="preserve">CULT_SOFT</x:t>
        </x:is>
      </x:c>
      <x:c r="M188" s="3" t="n">
        <x:v>1</x:v>
      </x:c>
      <x:c r="N188" s="3" t="n"/>
      <x:c r="O188" s="3" t="n"/>
      <x:c r="P188" s="3" t="inlineStr">
        <x:is>
          <x:t xml:space="preserve">EXCO-D7-Q05-A3</x:t>
        </x:is>
      </x:c>
      <x:c r="Q188" s="3" t="n">
        <x:v>4</x:v>
      </x:c>
      <x:c r="R188" s="3" t="inlineStr">
        <x:is>
          <x:t xml:space="preserve">We have some steps (comms, HR support), but it isn’t documented or measured.</x:t>
        </x:is>
      </x:c>
      <x:c r="S188" s="3" t="n">
        <x:v>2</x:v>
      </x:c>
      <x:c r="T188" s="3" t="inlineStr">
        <x:is>
          <x:t xml:space="preserve">paper_process</x:t>
        </x:is>
      </x:c>
      <x:c r="U188" s="3" t="inlineStr">
        <x:is>
          <x:t xml:space="preserve">Paper Dragon</x:t>
        </x:is>
      </x:c>
      <x:c r="V188" s="3" t="inlineStr">
        <x:is>
          <x:t xml:space="preserve">Formalize_Trust_Playbook</x:t>
        </x:is>
      </x:c>
      <x:c r="W188" s="3" t="inlineStr">
        <x:is>
          <x:t xml:space="preserve">N</x:t>
        </x:is>
      </x:c>
      <x:c r="X188" s="3" t="inlineStr">
        <x:is>
          <x:t xml:space="preserve"/>
        </x:is>
      </x:c>
      <x:c r="Y188" s="6">
        <x:f>(S188*IF(E188="G",F188,0))+(S188*IF(G188="G",H188,0))</x:f>
      </x:c>
      <x:c r="Z188" s="6">
        <x:f>(S188*IF(E188="E",F188,0))+(S188*IF(G188="E",H188,0))</x:f>
      </x:c>
      <x:c r="AA188" s="6">
        <x:f>(S188*IF(E188="T",F188,0))+(S188*IF(G188="T",H188,0))</x:f>
      </x:c>
      <x:c r="AB188" s="6">
        <x:f>(S188*IF(E188="L",F188,0))+(S188*IF(G188="L",H188,0))</x:f>
      </x:c>
      <x:c r="AC188" s="6">
        <x:f>(S188*IF(E188="H",F188,0))+(S188*IF(G188="H",H188,0))</x:f>
      </x:c>
      <x:c r="AD188" s="6">
        <x:f>(S188*IF(E188="V",F188,0))+(S188*IF(G188="V",H188,0))</x:f>
      </x:c>
      <x:c r="AE188" s="6">
        <x:f>(S188*IF(E188="R",F188,0))+(S188*IF(G188="R",H188,0))</x:f>
      </x:c>
      <x:c r="AF188" s="6">
        <x:f>(S188*IF(E188="F",F188,0))+(S188*IF(G188="F",H188,0))</x:f>
      </x:c>
      <x:c r="AG188" s="6">
        <x:f>(S188*IF(E188="W",F188,0))+(S188*IF(G188="W",H188,0))</x:f>
      </x:c>
    </x:row>
    <x:row r="189">
      <x:c r="A189" s="3" t="inlineStr">
        <x:is>
          <x:t xml:space="preserve">Executive</x:t>
        </x:is>
      </x:c>
      <x:c r="B189" s="3" t="inlineStr">
        <x:is>
          <x:t xml:space="preserve">EXCO-D7-Q05</x:t>
        </x:is>
      </x:c>
      <x:c r="C189" s="3" t="inlineStr">
        <x:is>
          <x:t xml:space="preserve">T2</x:t>
        </x:is>
      </x:c>
      <x:c r="D189" s="3" t="inlineStr">
        <x:is>
          <x:t xml:space="preserve">7. Response &amp; Resilience</x:t>
        </x:is>
      </x:c>
      <x:c r="E189" s="3" t="inlineStr">
        <x:is>
          <x:t xml:space="preserve">H</x:t>
        </x:is>
      </x:c>
      <x:c r="F189" s="3" t="n">
        <x:v>0.5</x:v>
      </x:c>
      <x:c r="G189" s="3" t="inlineStr">
        <x:is>
          <x:t xml:space="preserve">R</x:t>
        </x:is>
      </x:c>
      <x:c r="H189" s="3" t="n">
        <x:v>0.5</x:v>
      </x:c>
      <x:c r="I189" s="3" t="inlineStr">
        <x:is>
          <x:t xml:space="preserve">After an insider incident, do we have a plan to restore trust (team health, communications, fairness, control changes)?</x:t>
        </x:is>
      </x:c>
      <x:c r="J189" s="3" t="inlineStr">
        <x:is>
          <x:t xml:space="preserve">Trust recovery is about avoiding long-term fear, blame, and productivity loss.</x:t>
        </x:is>
      </x:c>
      <x:c r="K189" s="3" t="inlineStr">
        <x:is>
          <x:t xml:space="preserve">Drill-down; next=EXCO-D8-Q01</x:t>
        </x:is>
      </x:c>
      <x:c r="L189" s="3" t="inlineStr">
        <x:is>
          <x:t xml:space="preserve">CULT_SOFT</x:t>
        </x:is>
      </x:c>
      <x:c r="M189" s="3" t="n">
        <x:v>1</x:v>
      </x:c>
      <x:c r="N189" s="3" t="n"/>
      <x:c r="O189" s="3" t="n"/>
      <x:c r="P189" s="3" t="inlineStr">
        <x:is>
          <x:t xml:space="preserve">EXCO-D7-Q05-A4</x:t>
        </x:is>
      </x:c>
      <x:c r="Q189" s="3" t="n">
        <x:v>5</x:v>
      </x:c>
      <x:c r="R189" s="3" t="inlineStr">
        <x:is>
          <x:t xml:space="preserve">We have a documented trust restoration approach and apply it after incidents.</x:t>
        </x:is>
      </x:c>
      <x:c r="S189" s="3" t="n">
        <x:v>3</x:v>
      </x:c>
      <x:c r="T189" s="3" t="inlineStr">
        <x:is>
          <x:t xml:space="preserve">good_practice</x:t>
        </x:is>
      </x:c>
      <x:c r="U189" s="3" t="inlineStr">
        <x:is>
          <x:t xml:space="preserve"/>
        </x:is>
      </x:c>
      <x:c r="V189" s="3" t="inlineStr">
        <x:is>
          <x:t xml:space="preserve">Request_Evidence</x:t>
        </x:is>
      </x:c>
      <x:c r="W189" s="3" t="inlineStr">
        <x:is>
          <x:t xml:space="preserve">Y</x:t>
        </x:is>
      </x:c>
      <x:c r="X189" s="3" t="inlineStr">
        <x:is>
          <x:t xml:space="preserve"/>
        </x:is>
      </x:c>
      <x:c r="Y189" s="6">
        <x:f>(S189*IF(E189="G",F189,0))+(S189*IF(G189="G",H189,0))</x:f>
      </x:c>
      <x:c r="Z189" s="6">
        <x:f>(S189*IF(E189="E",F189,0))+(S189*IF(G189="E",H189,0))</x:f>
      </x:c>
      <x:c r="AA189" s="6">
        <x:f>(S189*IF(E189="T",F189,0))+(S189*IF(G189="T",H189,0))</x:f>
      </x:c>
      <x:c r="AB189" s="6">
        <x:f>(S189*IF(E189="L",F189,0))+(S189*IF(G189="L",H189,0))</x:f>
      </x:c>
      <x:c r="AC189" s="6">
        <x:f>(S189*IF(E189="H",F189,0))+(S189*IF(G189="H",H189,0))</x:f>
      </x:c>
      <x:c r="AD189" s="6">
        <x:f>(S189*IF(E189="V",F189,0))+(S189*IF(G189="V",H189,0))</x:f>
      </x:c>
      <x:c r="AE189" s="6">
        <x:f>(S189*IF(E189="R",F189,0))+(S189*IF(G189="R",H189,0))</x:f>
      </x:c>
      <x:c r="AF189" s="6">
        <x:f>(S189*IF(E189="F",F189,0))+(S189*IF(G189="F",H189,0))</x:f>
      </x:c>
      <x:c r="AG189" s="6">
        <x:f>(S189*IF(E189="W",F189,0))+(S189*IF(G189="W",H189,0))</x:f>
      </x:c>
    </x:row>
    <x:row r="190">
      <x:c r="A190" s="3" t="inlineStr">
        <x:is>
          <x:t xml:space="preserve">Executive</x:t>
        </x:is>
      </x:c>
      <x:c r="B190" s="3" t="inlineStr">
        <x:is>
          <x:t xml:space="preserve">EXCO-D7-Q05</x:t>
        </x:is>
      </x:c>
      <x:c r="C190" s="3" t="inlineStr">
        <x:is>
          <x:t xml:space="preserve">T2</x:t>
        </x:is>
      </x:c>
      <x:c r="D190" s="3" t="inlineStr">
        <x:is>
          <x:t xml:space="preserve">7. Response &amp; Resilience</x:t>
        </x:is>
      </x:c>
      <x:c r="E190" s="3" t="inlineStr">
        <x:is>
          <x:t xml:space="preserve">H</x:t>
        </x:is>
      </x:c>
      <x:c r="F190" s="3" t="n">
        <x:v>0.5</x:v>
      </x:c>
      <x:c r="G190" s="3" t="inlineStr">
        <x:is>
          <x:t xml:space="preserve">R</x:t>
        </x:is>
      </x:c>
      <x:c r="H190" s="3" t="n">
        <x:v>0.5</x:v>
      </x:c>
      <x:c r="I190" s="3" t="inlineStr">
        <x:is>
          <x:t xml:space="preserve">After an insider incident, do we have a plan to restore trust (team health, communications, fairness, control changes)?</x:t>
        </x:is>
      </x:c>
      <x:c r="J190" s="3" t="inlineStr">
        <x:is>
          <x:t xml:space="preserve">Trust recovery is about avoiding long-term fear, blame, and productivity loss.</x:t>
        </x:is>
      </x:c>
      <x:c r="K190" s="3" t="inlineStr">
        <x:is>
          <x:t xml:space="preserve">Drill-down; next=EXCO-D8-Q01</x:t>
        </x:is>
      </x:c>
      <x:c r="L190" s="3" t="inlineStr">
        <x:is>
          <x:t xml:space="preserve">CULT_SOFT</x:t>
        </x:is>
      </x:c>
      <x:c r="M190" s="3" t="n">
        <x:v>1</x:v>
      </x:c>
      <x:c r="N190" s="3" t="n"/>
      <x:c r="O190" s="3" t="n"/>
      <x:c r="P190" s="3" t="inlineStr">
        <x:is>
          <x:t xml:space="preserve">EXCO-D7-Q05-A5</x:t>
        </x:is>
      </x:c>
      <x:c r="Q190" s="3" t="n">
        <x:v>6</x:v>
      </x:c>
      <x:c r="R190" s="3" t="inlineStr">
        <x:is>
          <x:t xml:space="preserve">We measure trust recovery (surveys, attrition, grievances) and improve controls accordingly.</x:t>
        </x:is>
      </x:c>
      <x:c r="S190" s="3" t="n">
        <x:v>4</x:v>
      </x:c>
      <x:c r="T190" s="3" t="inlineStr">
        <x:is>
          <x:t xml:space="preserve">optimized</x:t>
        </x:is>
      </x:c>
      <x:c r="U190" s="3" t="inlineStr">
        <x:is>
          <x:t xml:space="preserve"/>
        </x:is>
      </x:c>
      <x:c r="V190" s="3" t="inlineStr">
        <x:is>
          <x:t xml:space="preserve">Request_Evidence</x:t>
        </x:is>
      </x:c>
      <x:c r="W190" s="3" t="inlineStr">
        <x:is>
          <x:t xml:space="preserve">Y</x:t>
        </x:is>
      </x:c>
      <x:c r="X190" s="3" t="inlineStr">
        <x:is>
          <x:t xml:space="preserve"/>
        </x:is>
      </x:c>
      <x:c r="Y190" s="6">
        <x:f>(S190*IF(E190="G",F190,0))+(S190*IF(G190="G",H190,0))</x:f>
      </x:c>
      <x:c r="Z190" s="6">
        <x:f>(S190*IF(E190="E",F190,0))+(S190*IF(G190="E",H190,0))</x:f>
      </x:c>
      <x:c r="AA190" s="6">
        <x:f>(S190*IF(E190="T",F190,0))+(S190*IF(G190="T",H190,0))</x:f>
      </x:c>
      <x:c r="AB190" s="6">
        <x:f>(S190*IF(E190="L",F190,0))+(S190*IF(G190="L",H190,0))</x:f>
      </x:c>
      <x:c r="AC190" s="6">
        <x:f>(S190*IF(E190="H",F190,0))+(S190*IF(G190="H",H190,0))</x:f>
      </x:c>
      <x:c r="AD190" s="6">
        <x:f>(S190*IF(E190="V",F190,0))+(S190*IF(G190="V",H190,0))</x:f>
      </x:c>
      <x:c r="AE190" s="6">
        <x:f>(S190*IF(E190="R",F190,0))+(S190*IF(G190="R",H190,0))</x:f>
      </x:c>
      <x:c r="AF190" s="6">
        <x:f>(S190*IF(E190="F",F190,0))+(S190*IF(G190="F",H190,0))</x:f>
      </x:c>
      <x:c r="AG190" s="6">
        <x:f>(S190*IF(E190="W",F190,0))+(S190*IF(G190="W",H190,0))</x:f>
      </x:c>
    </x:row>
    <x:row r="191">
      <x:c r="A191" s="3" t="inlineStr">
        <x:is>
          <x:t xml:space="preserve">Executive</x:t>
        </x:is>
      </x:c>
      <x:c r="B191" s="3" t="inlineStr">
        <x:is>
          <x:t xml:space="preserve">EXCO-D8-Q01</x:t>
        </x:is>
      </x:c>
      <x:c r="C191" s="3" t="inlineStr">
        <x:is>
          <x:t xml:space="preserve">T1</x:t>
        </x:is>
      </x:c>
      <x:c r="D191" s="3" t="inlineStr">
        <x:is>
          <x:t xml:space="preserve">8. Performance &amp; Assurance</x:t>
        </x:is>
      </x:c>
      <x:c r="E191" s="3" t="inlineStr">
        <x:is>
          <x:t xml:space="preserve">G</x:t>
        </x:is>
      </x:c>
      <x:c r="F191" s="3" t="n">
        <x:v>0.6</x:v>
      </x:c>
      <x:c r="G191" s="3" t="inlineStr">
        <x:is>
          <x:t xml:space="preserve">R</x:t>
        </x:is>
      </x:c>
      <x:c r="H191" s="3" t="n">
        <x:v>0.4</x:v>
      </x:c>
      <x:c r="I191" s="3" t="inlineStr">
        <x:is>
          <x:t xml:space="preserve">How is insider risk performance reported to executives/board (what metrics, how often, and what decisions follow)?</x:t>
        </x:is>
      </x:c>
      <x:c r="J191" s="3" t="inlineStr">
        <x:is>
          <x:t xml:space="preserve">Look for useful metrics: time to triage, high-risk clusters reduced, coverage of sensitive assets, fairness indicators, and learning actions.</x:t>
        </x:is>
      </x:c>
      <x:c r="K191" s="3" t="inlineStr">
        <x:is>
          <x:t xml:space="preserve">Gatekeeper; if BaseScore&lt;2 -&gt; next=EXCO-D8-Q02; else next=EXCO-D8-Q03</x:t>
        </x:is>
      </x:c>
      <x:c r="L191" s="3" t="inlineStr">
        <x:is>
          <x:t xml:space="preserve">GOV_STD</x:t>
        </x:is>
      </x:c>
      <x:c r="M191" s="3" t="n">
        <x:v>1</x:v>
      </x:c>
      <x:c r="N191" s="3" t="n"/>
      <x:c r="O191" s="3" t="n"/>
      <x:c r="P191" s="3" t="inlineStr">
        <x:is>
          <x:t xml:space="preserve">EXCO-D8-Q01-A0</x:t>
        </x:is>
      </x:c>
      <x:c r="Q191" s="3" t="n">
        <x:v>1</x:v>
      </x:c>
      <x:c r="R191" s="3" t="inlineStr">
        <x:is>
          <x:t xml:space="preserve">I don’t know / not sure.</x:t>
        </x:is>
      </x:c>
      <x:c r="S191" s="3" t="n">
        <x:v>0</x:v>
      </x:c>
      <x:c r="T191" s="3" t="inlineStr">
        <x:is>
          <x:t xml:space="preserve">unknown</x:t>
        </x:is>
      </x:c>
      <x:c r="U191" s="3" t="inlineStr">
        <x:is>
          <x:t xml:space="preserve">Unknown</x:t>
        </x:is>
      </x:c>
      <x:c r="V191" s="3" t="inlineStr">
        <x:is>
          <x:t xml:space="preserve">Define_KPIs</x:t>
        </x:is>
      </x:c>
      <x:c r="W191" s="3" t="inlineStr">
        <x:is>
          <x:t xml:space="preserve">N</x:t>
        </x:is>
      </x:c>
      <x:c r="X191" s="3" t="inlineStr">
        <x:is>
          <x:t xml:space="preserve"/>
        </x:is>
      </x:c>
      <x:c r="Y191" s="6">
        <x:f>(S191*IF(E191="G",F191,0))+(S191*IF(G191="G",H191,0))</x:f>
      </x:c>
      <x:c r="Z191" s="6">
        <x:f>(S191*IF(E191="E",F191,0))+(S191*IF(G191="E",H191,0))</x:f>
      </x:c>
      <x:c r="AA191" s="6">
        <x:f>(S191*IF(E191="T",F191,0))+(S191*IF(G191="T",H191,0))</x:f>
      </x:c>
      <x:c r="AB191" s="6">
        <x:f>(S191*IF(E191="L",F191,0))+(S191*IF(G191="L",H191,0))</x:f>
      </x:c>
      <x:c r="AC191" s="6">
        <x:f>(S191*IF(E191="H",F191,0))+(S191*IF(G191="H",H191,0))</x:f>
      </x:c>
      <x:c r="AD191" s="6">
        <x:f>(S191*IF(E191="V",F191,0))+(S191*IF(G191="V",H191,0))</x:f>
      </x:c>
      <x:c r="AE191" s="6">
        <x:f>(S191*IF(E191="R",F191,0))+(S191*IF(G191="R",H191,0))</x:f>
      </x:c>
      <x:c r="AF191" s="6">
        <x:f>(S191*IF(E191="F",F191,0))+(S191*IF(G191="F",H191,0))</x:f>
      </x:c>
      <x:c r="AG191" s="6">
        <x:f>(S191*IF(E191="W",F191,0))+(S191*IF(G191="W",H191,0))</x:f>
      </x:c>
    </x:row>
    <x:row r="192">
      <x:c r="A192" s="3" t="inlineStr">
        <x:is>
          <x:t xml:space="preserve">Executive</x:t>
        </x:is>
      </x:c>
      <x:c r="B192" s="3" t="inlineStr">
        <x:is>
          <x:t xml:space="preserve">EXCO-D8-Q01</x:t>
        </x:is>
      </x:c>
      <x:c r="C192" s="3" t="inlineStr">
        <x:is>
          <x:t xml:space="preserve">T1</x:t>
        </x:is>
      </x:c>
      <x:c r="D192" s="3" t="inlineStr">
        <x:is>
          <x:t xml:space="preserve">8. Performance &amp; Assurance</x:t>
        </x:is>
      </x:c>
      <x:c r="E192" s="3" t="inlineStr">
        <x:is>
          <x:t xml:space="preserve">G</x:t>
        </x:is>
      </x:c>
      <x:c r="F192" s="3" t="n">
        <x:v>0.6</x:v>
      </x:c>
      <x:c r="G192" s="3" t="inlineStr">
        <x:is>
          <x:t xml:space="preserve">R</x:t>
        </x:is>
      </x:c>
      <x:c r="H192" s="3" t="n">
        <x:v>0.4</x:v>
      </x:c>
      <x:c r="I192" s="3" t="inlineStr">
        <x:is>
          <x:t xml:space="preserve">How is insider risk performance reported to executives/board (what metrics, how often, and what decisions follow)?</x:t>
        </x:is>
      </x:c>
      <x:c r="J192" s="3" t="inlineStr">
        <x:is>
          <x:t xml:space="preserve">Look for useful metrics: time to triage, high-risk clusters reduced, coverage of sensitive assets, fairness indicators, and learning actions.</x:t>
        </x:is>
      </x:c>
      <x:c r="K192" s="3" t="inlineStr">
        <x:is>
          <x:t xml:space="preserve">Gatekeeper; if BaseScore&lt;2 -&gt; next=EXCO-D8-Q02; else next=EXCO-D8-Q03</x:t>
        </x:is>
      </x:c>
      <x:c r="L192" s="3" t="inlineStr">
        <x:is>
          <x:t xml:space="preserve">GOV_STD</x:t>
        </x:is>
      </x:c>
      <x:c r="M192" s="3" t="n">
        <x:v>1</x:v>
      </x:c>
      <x:c r="N192" s="3" t="n"/>
      <x:c r="O192" s="3" t="n"/>
      <x:c r="P192" s="3" t="inlineStr">
        <x:is>
          <x:t xml:space="preserve">EXCO-D8-Q01-A1</x:t>
        </x:is>
      </x:c>
      <x:c r="Q192" s="3" t="n">
        <x:v>2</x:v>
      </x:c>
      <x:c r="R192" s="3" t="inlineStr">
        <x:is>
          <x:t xml:space="preserve">It isn’t reported unless there is a crisis.</x:t>
        </x:is>
      </x:c>
      <x:c r="S192" s="3" t="n">
        <x:v>0</x:v>
      </x:c>
      <x:c r="T192" s="3" t="inlineStr">
        <x:is>
          <x:t xml:space="preserve">foundational_gap</x:t>
        </x:is>
      </x:c>
      <x:c r="U192" s="3" t="inlineStr">
        <x:is>
          <x:t xml:space="preserve">Operating Model Gap</x:t>
        </x:is>
      </x:c>
      <x:c r="V192" s="3" t="inlineStr">
        <x:is>
          <x:t xml:space="preserve">Define_KPIs</x:t>
        </x:is>
      </x:c>
      <x:c r="W192" s="3" t="inlineStr">
        <x:is>
          <x:t xml:space="preserve">N</x:t>
        </x:is>
      </x:c>
      <x:c r="X192" s="3" t="inlineStr">
        <x:is>
          <x:t xml:space="preserve"/>
        </x:is>
      </x:c>
      <x:c r="Y192" s="6">
        <x:f>(S192*IF(E192="G",F192,0))+(S192*IF(G192="G",H192,0))</x:f>
      </x:c>
      <x:c r="Z192" s="6">
        <x:f>(S192*IF(E192="E",F192,0))+(S192*IF(G192="E",H192,0))</x:f>
      </x:c>
      <x:c r="AA192" s="6">
        <x:f>(S192*IF(E192="T",F192,0))+(S192*IF(G192="T",H192,0))</x:f>
      </x:c>
      <x:c r="AB192" s="6">
        <x:f>(S192*IF(E192="L",F192,0))+(S192*IF(G192="L",H192,0))</x:f>
      </x:c>
      <x:c r="AC192" s="6">
        <x:f>(S192*IF(E192="H",F192,0))+(S192*IF(G192="H",H192,0))</x:f>
      </x:c>
      <x:c r="AD192" s="6">
        <x:f>(S192*IF(E192="V",F192,0))+(S192*IF(G192="V",H192,0))</x:f>
      </x:c>
      <x:c r="AE192" s="6">
        <x:f>(S192*IF(E192="R",F192,0))+(S192*IF(G192="R",H192,0))</x:f>
      </x:c>
      <x:c r="AF192" s="6">
        <x:f>(S192*IF(E192="F",F192,0))+(S192*IF(G192="F",H192,0))</x:f>
      </x:c>
      <x:c r="AG192" s="6">
        <x:f>(S192*IF(E192="W",F192,0))+(S192*IF(G192="W",H192,0))</x:f>
      </x:c>
    </x:row>
    <x:row r="193">
      <x:c r="A193" s="3" t="inlineStr">
        <x:is>
          <x:t xml:space="preserve">Executive</x:t>
        </x:is>
      </x:c>
      <x:c r="B193" s="3" t="inlineStr">
        <x:is>
          <x:t xml:space="preserve">EXCO-D8-Q01</x:t>
        </x:is>
      </x:c>
      <x:c r="C193" s="3" t="inlineStr">
        <x:is>
          <x:t xml:space="preserve">T1</x:t>
        </x:is>
      </x:c>
      <x:c r="D193" s="3" t="inlineStr">
        <x:is>
          <x:t xml:space="preserve">8. Performance &amp; Assurance</x:t>
        </x:is>
      </x:c>
      <x:c r="E193" s="3" t="inlineStr">
        <x:is>
          <x:t xml:space="preserve">G</x:t>
        </x:is>
      </x:c>
      <x:c r="F193" s="3" t="n">
        <x:v>0.6</x:v>
      </x:c>
      <x:c r="G193" s="3" t="inlineStr">
        <x:is>
          <x:t xml:space="preserve">R</x:t>
        </x:is>
      </x:c>
      <x:c r="H193" s="3" t="n">
        <x:v>0.4</x:v>
      </x:c>
      <x:c r="I193" s="3" t="inlineStr">
        <x:is>
          <x:t xml:space="preserve">How is insider risk performance reported to executives/board (what metrics, how often, and what decisions follow)?</x:t>
        </x:is>
      </x:c>
      <x:c r="J193" s="3" t="inlineStr">
        <x:is>
          <x:t xml:space="preserve">Look for useful metrics: time to triage, high-risk clusters reduced, coverage of sensitive assets, fairness indicators, and learning actions.</x:t>
        </x:is>
      </x:c>
      <x:c r="K193" s="3" t="inlineStr">
        <x:is>
          <x:t xml:space="preserve">Gatekeeper; if BaseScore&lt;2 -&gt; next=EXCO-D8-Q02; else next=EXCO-D8-Q03</x:t>
        </x:is>
      </x:c>
      <x:c r="L193" s="3" t="inlineStr">
        <x:is>
          <x:t xml:space="preserve">GOV_STD</x:t>
        </x:is>
      </x:c>
      <x:c r="M193" s="3" t="n">
        <x:v>1</x:v>
      </x:c>
      <x:c r="N193" s="3" t="n"/>
      <x:c r="O193" s="3" t="n"/>
      <x:c r="P193" s="3" t="inlineStr">
        <x:is>
          <x:t xml:space="preserve">EXCO-D8-Q01-A2</x:t>
        </x:is>
      </x:c>
      <x:c r="Q193" s="3" t="n">
        <x:v>3</x:v>
      </x:c>
      <x:c r="R193" s="3" t="inlineStr">
        <x:is>
          <x:t xml:space="preserve">Reporting focuses on vanity numbers (e.g., number of alerts) without business meaning.</x:t>
        </x:is>
      </x:c>
      <x:c r="S193" s="3" t="n">
        <x:v>1</x:v>
      </x:c>
      <x:c r="T193" s="3" t="inlineStr">
        <x:is>
          <x:t xml:space="preserve">vanity_metrics</x:t>
        </x:is>
      </x:c>
      <x:c r="U193" s="3" t="inlineStr">
        <x:is>
          <x:t xml:space="preserve">Paper Dragon</x:t>
        </x:is>
      </x:c>
      <x:c r="V193" s="3" t="inlineStr">
        <x:is>
          <x:t xml:space="preserve">Upgrade_KPIs</x:t>
        </x:is>
      </x:c>
      <x:c r="W193" s="3" t="inlineStr">
        <x:is>
          <x:t xml:space="preserve">N</x:t>
        </x:is>
      </x:c>
      <x:c r="X193" s="3" t="inlineStr">
        <x:is>
          <x:t xml:space="preserve"/>
        </x:is>
      </x:c>
      <x:c r="Y193" s="6">
        <x:f>(S193*IF(E193="G",F193,0))+(S193*IF(G193="G",H193,0))</x:f>
      </x:c>
      <x:c r="Z193" s="6">
        <x:f>(S193*IF(E193="E",F193,0))+(S193*IF(G193="E",H193,0))</x:f>
      </x:c>
      <x:c r="AA193" s="6">
        <x:f>(S193*IF(E193="T",F193,0))+(S193*IF(G193="T",H193,0))</x:f>
      </x:c>
      <x:c r="AB193" s="6">
        <x:f>(S193*IF(E193="L",F193,0))+(S193*IF(G193="L",H193,0))</x:f>
      </x:c>
      <x:c r="AC193" s="6">
        <x:f>(S193*IF(E193="H",F193,0))+(S193*IF(G193="H",H193,0))</x:f>
      </x:c>
      <x:c r="AD193" s="6">
        <x:f>(S193*IF(E193="V",F193,0))+(S193*IF(G193="V",H193,0))</x:f>
      </x:c>
      <x:c r="AE193" s="6">
        <x:f>(S193*IF(E193="R",F193,0))+(S193*IF(G193="R",H193,0))</x:f>
      </x:c>
      <x:c r="AF193" s="6">
        <x:f>(S193*IF(E193="F",F193,0))+(S193*IF(G193="F",H193,0))</x:f>
      </x:c>
      <x:c r="AG193" s="6">
        <x:f>(S193*IF(E193="W",F193,0))+(S193*IF(G193="W",H193,0))</x:f>
      </x:c>
    </x:row>
    <x:row r="194">
      <x:c r="A194" s="3" t="inlineStr">
        <x:is>
          <x:t xml:space="preserve">Executive</x:t>
        </x:is>
      </x:c>
      <x:c r="B194" s="3" t="inlineStr">
        <x:is>
          <x:t xml:space="preserve">EXCO-D8-Q01</x:t>
        </x:is>
      </x:c>
      <x:c r="C194" s="3" t="inlineStr">
        <x:is>
          <x:t xml:space="preserve">T1</x:t>
        </x:is>
      </x:c>
      <x:c r="D194" s="3" t="inlineStr">
        <x:is>
          <x:t xml:space="preserve">8. Performance &amp; Assurance</x:t>
        </x:is>
      </x:c>
      <x:c r="E194" s="3" t="inlineStr">
        <x:is>
          <x:t xml:space="preserve">G</x:t>
        </x:is>
      </x:c>
      <x:c r="F194" s="3" t="n">
        <x:v>0.6</x:v>
      </x:c>
      <x:c r="G194" s="3" t="inlineStr">
        <x:is>
          <x:t xml:space="preserve">R</x:t>
        </x:is>
      </x:c>
      <x:c r="H194" s="3" t="n">
        <x:v>0.4</x:v>
      </x:c>
      <x:c r="I194" s="3" t="inlineStr">
        <x:is>
          <x:t xml:space="preserve">How is insider risk performance reported to executives/board (what metrics, how often, and what decisions follow)?</x:t>
        </x:is>
      </x:c>
      <x:c r="J194" s="3" t="inlineStr">
        <x:is>
          <x:t xml:space="preserve">Look for useful metrics: time to triage, high-risk clusters reduced, coverage of sensitive assets, fairness indicators, and learning actions.</x:t>
        </x:is>
      </x:c>
      <x:c r="K194" s="3" t="inlineStr">
        <x:is>
          <x:t xml:space="preserve">Gatekeeper; if BaseScore&lt;2 -&gt; next=EXCO-D8-Q02; else next=EXCO-D8-Q03</x:t>
        </x:is>
      </x:c>
      <x:c r="L194" s="3" t="inlineStr">
        <x:is>
          <x:t xml:space="preserve">GOV_STD</x:t>
        </x:is>
      </x:c>
      <x:c r="M194" s="3" t="n">
        <x:v>1</x:v>
      </x:c>
      <x:c r="N194" s="3" t="n"/>
      <x:c r="O194" s="3" t="n"/>
      <x:c r="P194" s="3" t="inlineStr">
        <x:is>
          <x:t xml:space="preserve">EXCO-D8-Q01-A3</x:t>
        </x:is>
      </x:c>
      <x:c r="Q194" s="3" t="n">
        <x:v>4</x:v>
      </x:c>
      <x:c r="R194" s="3" t="inlineStr">
        <x:is>
          <x:t xml:space="preserve">Reporting focuses on compliance (‘we have policies’), not operational reality.</x:t>
        </x:is>
      </x:c>
      <x:c r="S194" s="3" t="n">
        <x:v>2</x:v>
      </x:c>
      <x:c r="T194" s="3" t="inlineStr">
        <x:is>
          <x:t xml:space="preserve">paper_dragon_signal</x:t>
        </x:is>
      </x:c>
      <x:c r="U194" s="3" t="inlineStr">
        <x:is>
          <x:t xml:space="preserve">Paper Dragon</x:t>
        </x:is>
      </x:c>
      <x:c r="V194" s="3" t="inlineStr">
        <x:is>
          <x:t xml:space="preserve">Upgrade_KPIs</x:t>
        </x:is>
      </x:c>
      <x:c r="W194" s="3" t="inlineStr">
        <x:is>
          <x:t xml:space="preserve">N</x:t>
        </x:is>
      </x:c>
      <x:c r="X194" s="3" t="inlineStr">
        <x:is>
          <x:t xml:space="preserve"/>
        </x:is>
      </x:c>
      <x:c r="Y194" s="6">
        <x:f>(S194*IF(E194="G",F194,0))+(S194*IF(G194="G",H194,0))</x:f>
      </x:c>
      <x:c r="Z194" s="6">
        <x:f>(S194*IF(E194="E",F194,0))+(S194*IF(G194="E",H194,0))</x:f>
      </x:c>
      <x:c r="AA194" s="6">
        <x:f>(S194*IF(E194="T",F194,0))+(S194*IF(G194="T",H194,0))</x:f>
      </x:c>
      <x:c r="AB194" s="6">
        <x:f>(S194*IF(E194="L",F194,0))+(S194*IF(G194="L",H194,0))</x:f>
      </x:c>
      <x:c r="AC194" s="6">
        <x:f>(S194*IF(E194="H",F194,0))+(S194*IF(G194="H",H194,0))</x:f>
      </x:c>
      <x:c r="AD194" s="6">
        <x:f>(S194*IF(E194="V",F194,0))+(S194*IF(G194="V",H194,0))</x:f>
      </x:c>
      <x:c r="AE194" s="6">
        <x:f>(S194*IF(E194="R",F194,0))+(S194*IF(G194="R",H194,0))</x:f>
      </x:c>
      <x:c r="AF194" s="6">
        <x:f>(S194*IF(E194="F",F194,0))+(S194*IF(G194="F",H194,0))</x:f>
      </x:c>
      <x:c r="AG194" s="6">
        <x:f>(S194*IF(E194="W",F194,0))+(S194*IF(G194="W",H194,0))</x:f>
      </x:c>
    </x:row>
    <x:row r="195">
      <x:c r="A195" s="3" t="inlineStr">
        <x:is>
          <x:t xml:space="preserve">Executive</x:t>
        </x:is>
      </x:c>
      <x:c r="B195" s="3" t="inlineStr">
        <x:is>
          <x:t xml:space="preserve">EXCO-D8-Q01</x:t>
        </x:is>
      </x:c>
      <x:c r="C195" s="3" t="inlineStr">
        <x:is>
          <x:t xml:space="preserve">T1</x:t>
        </x:is>
      </x:c>
      <x:c r="D195" s="3" t="inlineStr">
        <x:is>
          <x:t xml:space="preserve">8. Performance &amp; Assurance</x:t>
        </x:is>
      </x:c>
      <x:c r="E195" s="3" t="inlineStr">
        <x:is>
          <x:t xml:space="preserve">G</x:t>
        </x:is>
      </x:c>
      <x:c r="F195" s="3" t="n">
        <x:v>0.6</x:v>
      </x:c>
      <x:c r="G195" s="3" t="inlineStr">
        <x:is>
          <x:t xml:space="preserve">R</x:t>
        </x:is>
      </x:c>
      <x:c r="H195" s="3" t="n">
        <x:v>0.4</x:v>
      </x:c>
      <x:c r="I195" s="3" t="inlineStr">
        <x:is>
          <x:t xml:space="preserve">How is insider risk performance reported to executives/board (what metrics, how often, and what decisions follow)?</x:t>
        </x:is>
      </x:c>
      <x:c r="J195" s="3" t="inlineStr">
        <x:is>
          <x:t xml:space="preserve">Look for useful metrics: time to triage, high-risk clusters reduced, coverage of sensitive assets, fairness indicators, and learning actions.</x:t>
        </x:is>
      </x:c>
      <x:c r="K195" s="3" t="inlineStr">
        <x:is>
          <x:t xml:space="preserve">Gatekeeper; if BaseScore&lt;2 -&gt; next=EXCO-D8-Q02; else next=EXCO-D8-Q03</x:t>
        </x:is>
      </x:c>
      <x:c r="L195" s="3" t="inlineStr">
        <x:is>
          <x:t xml:space="preserve">GOV_STD</x:t>
        </x:is>
      </x:c>
      <x:c r="M195" s="3" t="n">
        <x:v>1</x:v>
      </x:c>
      <x:c r="N195" s="3" t="n"/>
      <x:c r="O195" s="3" t="n"/>
      <x:c r="P195" s="3" t="inlineStr">
        <x:is>
          <x:t xml:space="preserve">EXCO-D8-Q01-A4</x:t>
        </x:is>
      </x:c>
      <x:c r="Q195" s="3" t="n">
        <x:v>5</x:v>
      </x:c>
      <x:c r="R195" s="3" t="inlineStr">
        <x:is>
          <x:t xml:space="preserve">We report useful operational KPIs at least quarterly and decisions/actions follow.</x:t>
        </x:is>
      </x:c>
      <x:c r="S195" s="3" t="n">
        <x:v>3</x:v>
      </x:c>
      <x:c r="T195" s="3" t="inlineStr">
        <x:is>
          <x:t xml:space="preserve">good_practice</x:t>
        </x:is>
      </x:c>
      <x:c r="U195" s="3" t="inlineStr">
        <x:is>
          <x:t xml:space="preserve"/>
        </x:is>
      </x:c>
      <x:c r="V195" s="3" t="inlineStr">
        <x:is>
          <x:t xml:space="preserve">Request_Evidence</x:t>
        </x:is>
      </x:c>
      <x:c r="W195" s="3" t="inlineStr">
        <x:is>
          <x:t xml:space="preserve">Y</x:t>
        </x:is>
      </x:c>
      <x:c r="X195" s="3" t="inlineStr">
        <x:is>
          <x:t xml:space="preserve"/>
        </x:is>
      </x:c>
      <x:c r="Y195" s="6">
        <x:f>(S195*IF(E195="G",F195,0))+(S195*IF(G195="G",H195,0))</x:f>
      </x:c>
      <x:c r="Z195" s="6">
        <x:f>(S195*IF(E195="E",F195,0))+(S195*IF(G195="E",H195,0))</x:f>
      </x:c>
      <x:c r="AA195" s="6">
        <x:f>(S195*IF(E195="T",F195,0))+(S195*IF(G195="T",H195,0))</x:f>
      </x:c>
      <x:c r="AB195" s="6">
        <x:f>(S195*IF(E195="L",F195,0))+(S195*IF(G195="L",H195,0))</x:f>
      </x:c>
      <x:c r="AC195" s="6">
        <x:f>(S195*IF(E195="H",F195,0))+(S195*IF(G195="H",H195,0))</x:f>
      </x:c>
      <x:c r="AD195" s="6">
        <x:f>(S195*IF(E195="V",F195,0))+(S195*IF(G195="V",H195,0))</x:f>
      </x:c>
      <x:c r="AE195" s="6">
        <x:f>(S195*IF(E195="R",F195,0))+(S195*IF(G195="R",H195,0))</x:f>
      </x:c>
      <x:c r="AF195" s="6">
        <x:f>(S195*IF(E195="F",F195,0))+(S195*IF(G195="F",H195,0))</x:f>
      </x:c>
      <x:c r="AG195" s="6">
        <x:f>(S195*IF(E195="W",F195,0))+(S195*IF(G195="W",H195,0))</x:f>
      </x:c>
    </x:row>
    <x:row r="196">
      <x:c r="A196" s="3" t="inlineStr">
        <x:is>
          <x:t xml:space="preserve">Executive</x:t>
        </x:is>
      </x:c>
      <x:c r="B196" s="3" t="inlineStr">
        <x:is>
          <x:t xml:space="preserve">EXCO-D8-Q01</x:t>
        </x:is>
      </x:c>
      <x:c r="C196" s="3" t="inlineStr">
        <x:is>
          <x:t xml:space="preserve">T1</x:t>
        </x:is>
      </x:c>
      <x:c r="D196" s="3" t="inlineStr">
        <x:is>
          <x:t xml:space="preserve">8. Performance &amp; Assurance</x:t>
        </x:is>
      </x:c>
      <x:c r="E196" s="3" t="inlineStr">
        <x:is>
          <x:t xml:space="preserve">G</x:t>
        </x:is>
      </x:c>
      <x:c r="F196" s="3" t="n">
        <x:v>0.6</x:v>
      </x:c>
      <x:c r="G196" s="3" t="inlineStr">
        <x:is>
          <x:t xml:space="preserve">R</x:t>
        </x:is>
      </x:c>
      <x:c r="H196" s="3" t="n">
        <x:v>0.4</x:v>
      </x:c>
      <x:c r="I196" s="3" t="inlineStr">
        <x:is>
          <x:t xml:space="preserve">How is insider risk performance reported to executives/board (what metrics, how often, and what decisions follow)?</x:t>
        </x:is>
      </x:c>
      <x:c r="J196" s="3" t="inlineStr">
        <x:is>
          <x:t xml:space="preserve">Look for useful metrics: time to triage, high-risk clusters reduced, coverage of sensitive assets, fairness indicators, and learning actions.</x:t>
        </x:is>
      </x:c>
      <x:c r="K196" s="3" t="inlineStr">
        <x:is>
          <x:t xml:space="preserve">Gatekeeper; if BaseScore&lt;2 -&gt; next=EXCO-D8-Q02; else next=EXCO-D8-Q03</x:t>
        </x:is>
      </x:c>
      <x:c r="L196" s="3" t="inlineStr">
        <x:is>
          <x:t xml:space="preserve">GOV_STD</x:t>
        </x:is>
      </x:c>
      <x:c r="M196" s="3" t="n">
        <x:v>1</x:v>
      </x:c>
      <x:c r="N196" s="3" t="n"/>
      <x:c r="O196" s="3" t="n"/>
      <x:c r="P196" s="3" t="inlineStr">
        <x:is>
          <x:t xml:space="preserve">EXCO-D8-Q01-A5</x:t>
        </x:is>
      </x:c>
      <x:c r="Q196" s="3" t="n">
        <x:v>6</x:v>
      </x:c>
      <x:c r="R196" s="3" t="inlineStr">
        <x:is>
          <x:t xml:space="preserve">Real-time or frequent dashboards tied to risk appetite; actions are tracked and outcomes measured.</x:t>
        </x:is>
      </x:c>
      <x:c r="S196" s="3" t="n">
        <x:v>4</x:v>
      </x:c>
      <x:c r="T196" s="3" t="inlineStr">
        <x:is>
          <x:t xml:space="preserve">optimized</x:t>
        </x:is>
      </x:c>
      <x:c r="U196" s="3" t="inlineStr">
        <x:is>
          <x:t xml:space="preserve"/>
        </x:is>
      </x:c>
      <x:c r="V196" s="3" t="inlineStr">
        <x:is>
          <x:t xml:space="preserve">Request_Evidence</x:t>
        </x:is>
      </x:c>
      <x:c r="W196" s="3" t="inlineStr">
        <x:is>
          <x:t xml:space="preserve">Y</x:t>
        </x:is>
      </x:c>
      <x:c r="X196" s="3" t="inlineStr">
        <x:is>
          <x:t xml:space="preserve"/>
        </x:is>
      </x:c>
      <x:c r="Y196" s="6">
        <x:f>(S196*IF(E196="G",F196,0))+(S196*IF(G196="G",H196,0))</x:f>
      </x:c>
      <x:c r="Z196" s="6">
        <x:f>(S196*IF(E196="E",F196,0))+(S196*IF(G196="E",H196,0))</x:f>
      </x:c>
      <x:c r="AA196" s="6">
        <x:f>(S196*IF(E196="T",F196,0))+(S196*IF(G196="T",H196,0))</x:f>
      </x:c>
      <x:c r="AB196" s="6">
        <x:f>(S196*IF(E196="L",F196,0))+(S196*IF(G196="L",H196,0))</x:f>
      </x:c>
      <x:c r="AC196" s="6">
        <x:f>(S196*IF(E196="H",F196,0))+(S196*IF(G196="H",H196,0))</x:f>
      </x:c>
      <x:c r="AD196" s="6">
        <x:f>(S196*IF(E196="V",F196,0))+(S196*IF(G196="V",H196,0))</x:f>
      </x:c>
      <x:c r="AE196" s="6">
        <x:f>(S196*IF(E196="R",F196,0))+(S196*IF(G196="R",H196,0))</x:f>
      </x:c>
      <x:c r="AF196" s="6">
        <x:f>(S196*IF(E196="F",F196,0))+(S196*IF(G196="F",H196,0))</x:f>
      </x:c>
      <x:c r="AG196" s="6">
        <x:f>(S196*IF(E196="W",F196,0))+(S196*IF(G196="W",H196,0))</x:f>
      </x:c>
    </x:row>
    <x:row r="197">
      <x:c r="A197" s="3" t="inlineStr">
        <x:is>
          <x:t xml:space="preserve">Executive</x:t>
        </x:is>
      </x:c>
      <x:c r="B197" s="3" t="inlineStr">
        <x:is>
          <x:t xml:space="preserve">EXCO-D8-Q02</x:t>
        </x:is>
      </x:c>
      <x:c r="C197" s="3" t="inlineStr">
        <x:is>
          <x:t xml:space="preserve">T2</x:t>
        </x:is>
      </x:c>
      <x:c r="D197" s="3" t="inlineStr">
        <x:is>
          <x:t xml:space="preserve">8. Performance &amp; Assurance</x:t>
        </x:is>
      </x:c>
      <x:c r="E197" s="3" t="inlineStr">
        <x:is>
          <x:t xml:space="preserve">E</x:t>
        </x:is>
      </x:c>
      <x:c r="F197" s="3" t="n">
        <x:v>1</x:v>
      </x:c>
      <x:c r="G197" s="3" t="inlineStr">
        <x:is>
          <x:t xml:space="preserve">-</x:t>
        </x:is>
      </x:c>
      <x:c r="H197" s="3" t="inlineStr">
        <x:is>
          <x:t xml:space="preserve"/>
        </x:is>
      </x:c>
      <x:c r="I197" s="3" t="inlineStr">
        <x:is>
          <x:t xml:space="preserve">(Shadow probe) Do we review ‘near misses’ (things that almost became incidents) and use them to improve?</x:t>
        </x:is>
      </x:c>
      <x:c r="J197" s="3" t="inlineStr">
        <x:is>
          <x:t xml:space="preserve">Near misses are a strong indicator of learning culture and operational maturity.</x:t>
        </x:is>
      </x:c>
      <x:c r="K197" s="3" t="inlineStr">
        <x:is>
          <x:t xml:space="preserve">Shadow probe; next=EXCO-D8-Q03</x:t>
        </x:is>
      </x:c>
      <x:c r="L197" s="3" t="inlineStr">
        <x:is>
          <x:t xml:space="preserve">OPS_STD</x:t>
        </x:is>
      </x:c>
      <x:c r="M197" s="3" t="n">
        <x:v>1</x:v>
      </x:c>
      <x:c r="N197" s="3" t="n"/>
      <x:c r="O197" s="3" t="n"/>
      <x:c r="P197" s="3" t="inlineStr">
        <x:is>
          <x:t xml:space="preserve">EXCO-D8-Q02-A1</x:t>
        </x:is>
      </x:c>
      <x:c r="Q197" s="3" t="n">
        <x:v>1</x:v>
      </x:c>
      <x:c r="R197" s="3" t="inlineStr">
        <x:is>
          <x:t xml:space="preserve">No—near misses are not captured or discussed.</x:t>
        </x:is>
      </x:c>
      <x:c r="S197" s="3" t="n">
        <x:v>0</x:v>
      </x:c>
      <x:c r="T197" s="3" t="inlineStr">
        <x:is>
          <x:t xml:space="preserve">foundational_gap</x:t>
        </x:is>
      </x:c>
      <x:c r="U197" s="3" t="inlineStr">
        <x:is>
          <x:t xml:space="preserve">Operating Model Gap</x:t>
        </x:is>
      </x:c>
      <x:c r="V197" s="3" t="inlineStr">
        <x:is>
          <x:t xml:space="preserve">Create_NearMiss_Process</x:t>
        </x:is>
      </x:c>
      <x:c r="W197" s="3" t="inlineStr">
        <x:is>
          <x:t xml:space="preserve">N</x:t>
        </x:is>
      </x:c>
      <x:c r="X197" s="3" t="inlineStr">
        <x:is>
          <x:t xml:space="preserve"/>
        </x:is>
      </x:c>
      <x:c r="Y197" s="6">
        <x:f>(S197*IF(E197="G",F197,0))+(S197*IF(G197="G",H197,0))</x:f>
      </x:c>
      <x:c r="Z197" s="6">
        <x:f>(S197*IF(E197="E",F197,0))+(S197*IF(G197="E",H197,0))</x:f>
      </x:c>
      <x:c r="AA197" s="6">
        <x:f>(S197*IF(E197="T",F197,0))+(S197*IF(G197="T",H197,0))</x:f>
      </x:c>
      <x:c r="AB197" s="6">
        <x:f>(S197*IF(E197="L",F197,0))+(S197*IF(G197="L",H197,0))</x:f>
      </x:c>
      <x:c r="AC197" s="6">
        <x:f>(S197*IF(E197="H",F197,0))+(S197*IF(G197="H",H197,0))</x:f>
      </x:c>
      <x:c r="AD197" s="6">
        <x:f>(S197*IF(E197="V",F197,0))+(S197*IF(G197="V",H197,0))</x:f>
      </x:c>
      <x:c r="AE197" s="6">
        <x:f>(S197*IF(E197="R",F197,0))+(S197*IF(G197="R",H197,0))</x:f>
      </x:c>
      <x:c r="AF197" s="6">
        <x:f>(S197*IF(E197="F",F197,0))+(S197*IF(G197="F",H197,0))</x:f>
      </x:c>
      <x:c r="AG197" s="6">
        <x:f>(S197*IF(E197="W",F197,0))+(S197*IF(G197="W",H197,0))</x:f>
      </x:c>
    </x:row>
    <x:row r="198">
      <x:c r="A198" s="3" t="inlineStr">
        <x:is>
          <x:t xml:space="preserve">Executive</x:t>
        </x:is>
      </x:c>
      <x:c r="B198" s="3" t="inlineStr">
        <x:is>
          <x:t xml:space="preserve">EXCO-D8-Q02</x:t>
        </x:is>
      </x:c>
      <x:c r="C198" s="3" t="inlineStr">
        <x:is>
          <x:t xml:space="preserve">T2</x:t>
        </x:is>
      </x:c>
      <x:c r="D198" s="3" t="inlineStr">
        <x:is>
          <x:t xml:space="preserve">8. Performance &amp; Assurance</x:t>
        </x:is>
      </x:c>
      <x:c r="E198" s="3" t="inlineStr">
        <x:is>
          <x:t xml:space="preserve">E</x:t>
        </x:is>
      </x:c>
      <x:c r="F198" s="3" t="n">
        <x:v>1</x:v>
      </x:c>
      <x:c r="G198" s="3" t="inlineStr">
        <x:is>
          <x:t xml:space="preserve">-</x:t>
        </x:is>
      </x:c>
      <x:c r="H198" s="3" t="inlineStr">
        <x:is>
          <x:t xml:space="preserve"/>
        </x:is>
      </x:c>
      <x:c r="I198" s="3" t="inlineStr">
        <x:is>
          <x:t xml:space="preserve">(Shadow probe) Do we review ‘near misses’ (things that almost became incidents) and use them to improve?</x:t>
        </x:is>
      </x:c>
      <x:c r="J198" s="3" t="inlineStr">
        <x:is>
          <x:t xml:space="preserve">Near misses are a strong indicator of learning culture and operational maturity.</x:t>
        </x:is>
      </x:c>
      <x:c r="K198" s="3" t="inlineStr">
        <x:is>
          <x:t xml:space="preserve">Shadow probe; next=EXCO-D8-Q03</x:t>
        </x:is>
      </x:c>
      <x:c r="L198" s="3" t="inlineStr">
        <x:is>
          <x:t xml:space="preserve">OPS_STD</x:t>
        </x:is>
      </x:c>
      <x:c r="M198" s="3" t="n">
        <x:v>1</x:v>
      </x:c>
      <x:c r="N198" s="3" t="n"/>
      <x:c r="O198" s="3" t="n"/>
      <x:c r="P198" s="3" t="inlineStr">
        <x:is>
          <x:t xml:space="preserve">EXCO-D8-Q02-A2</x:t>
        </x:is>
      </x:c>
      <x:c r="Q198" s="3" t="n">
        <x:v>2</x:v>
      </x:c>
      <x:c r="R198" s="3" t="inlineStr">
        <x:is>
          <x:t xml:space="preserve">Sometimes informally, but we don’t track patterns or improvements.</x:t>
        </x:is>
      </x:c>
      <x:c r="S198" s="3" t="n">
        <x:v>1</x:v>
      </x:c>
      <x:c r="T198" s="3" t="inlineStr">
        <x:is>
          <x:t xml:space="preserve">shadow_signal</x:t>
        </x:is>
      </x:c>
      <x:c r="U198" s="3" t="inlineStr">
        <x:is>
          <x:t xml:space="preserve">Shadow Mature</x:t>
        </x:is>
      </x:c>
      <x:c r="V198" s="3" t="inlineStr">
        <x:is>
          <x:t xml:space="preserve">Formalize_NearMiss_Process</x:t>
        </x:is>
      </x:c>
      <x:c r="W198" s="3" t="inlineStr">
        <x:is>
          <x:t xml:space="preserve">N</x:t>
        </x:is>
      </x:c>
      <x:c r="X198" s="3" t="inlineStr">
        <x:is>
          <x:t xml:space="preserve"/>
        </x:is>
      </x:c>
      <x:c r="Y198" s="6">
        <x:f>(S198*IF(E198="G",F198,0))+(S198*IF(G198="G",H198,0))</x:f>
      </x:c>
      <x:c r="Z198" s="6">
        <x:f>(S198*IF(E198="E",F198,0))+(S198*IF(G198="E",H198,0))</x:f>
      </x:c>
      <x:c r="AA198" s="6">
        <x:f>(S198*IF(E198="T",F198,0))+(S198*IF(G198="T",H198,0))</x:f>
      </x:c>
      <x:c r="AB198" s="6">
        <x:f>(S198*IF(E198="L",F198,0))+(S198*IF(G198="L",H198,0))</x:f>
      </x:c>
      <x:c r="AC198" s="6">
        <x:f>(S198*IF(E198="H",F198,0))+(S198*IF(G198="H",H198,0))</x:f>
      </x:c>
      <x:c r="AD198" s="6">
        <x:f>(S198*IF(E198="V",F198,0))+(S198*IF(G198="V",H198,0))</x:f>
      </x:c>
      <x:c r="AE198" s="6">
        <x:f>(S198*IF(E198="R",F198,0))+(S198*IF(G198="R",H198,0))</x:f>
      </x:c>
      <x:c r="AF198" s="6">
        <x:f>(S198*IF(E198="F",F198,0))+(S198*IF(G198="F",H198,0))</x:f>
      </x:c>
      <x:c r="AG198" s="6">
        <x:f>(S198*IF(E198="W",F198,0))+(S198*IF(G198="W",H198,0))</x:f>
      </x:c>
    </x:row>
    <x:row r="199">
      <x:c r="A199" s="3" t="inlineStr">
        <x:is>
          <x:t xml:space="preserve">Executive</x:t>
        </x:is>
      </x:c>
      <x:c r="B199" s="3" t="inlineStr">
        <x:is>
          <x:t xml:space="preserve">EXCO-D8-Q02</x:t>
        </x:is>
      </x:c>
      <x:c r="C199" s="3" t="inlineStr">
        <x:is>
          <x:t xml:space="preserve">T2</x:t>
        </x:is>
      </x:c>
      <x:c r="D199" s="3" t="inlineStr">
        <x:is>
          <x:t xml:space="preserve">8. Performance &amp; Assurance</x:t>
        </x:is>
      </x:c>
      <x:c r="E199" s="3" t="inlineStr">
        <x:is>
          <x:t xml:space="preserve">E</x:t>
        </x:is>
      </x:c>
      <x:c r="F199" s="3" t="n">
        <x:v>1</x:v>
      </x:c>
      <x:c r="G199" s="3" t="inlineStr">
        <x:is>
          <x:t xml:space="preserve">-</x:t>
        </x:is>
      </x:c>
      <x:c r="H199" s="3" t="inlineStr">
        <x:is>
          <x:t xml:space="preserve"/>
        </x:is>
      </x:c>
      <x:c r="I199" s="3" t="inlineStr">
        <x:is>
          <x:t xml:space="preserve">(Shadow probe) Do we review ‘near misses’ (things that almost became incidents) and use them to improve?</x:t>
        </x:is>
      </x:c>
      <x:c r="J199" s="3" t="inlineStr">
        <x:is>
          <x:t xml:space="preserve">Near misses are a strong indicator of learning culture and operational maturity.</x:t>
        </x:is>
      </x:c>
      <x:c r="K199" s="3" t="inlineStr">
        <x:is>
          <x:t xml:space="preserve">Shadow probe; next=EXCO-D8-Q03</x:t>
        </x:is>
      </x:c>
      <x:c r="L199" s="3" t="inlineStr">
        <x:is>
          <x:t xml:space="preserve">OPS_STD</x:t>
        </x:is>
      </x:c>
      <x:c r="M199" s="3" t="n">
        <x:v>1</x:v>
      </x:c>
      <x:c r="N199" s="3" t="n"/>
      <x:c r="O199" s="3" t="n"/>
      <x:c r="P199" s="3" t="inlineStr">
        <x:is>
          <x:t xml:space="preserve">EXCO-D8-Q02-A3</x:t>
        </x:is>
      </x:c>
      <x:c r="Q199" s="3" t="n">
        <x:v>3</x:v>
      </x:c>
      <x:c r="R199" s="3" t="inlineStr">
        <x:is>
          <x:t xml:space="preserve">Yes—we review and document improvements, but completion is inconsistent.</x:t>
        </x:is>
      </x:c>
      <x:c r="S199" s="3" t="n">
        <x:v>2</x:v>
      </x:c>
      <x:c r="T199" s="3" t="inlineStr">
        <x:is>
          <x:t xml:space="preserve">inconsistent_execution</x:t>
        </x:is>
      </x:c>
      <x:c r="U199" s="3" t="inlineStr">
        <x:is>
          <x:t xml:space="preserve">Operating Model Gap</x:t>
        </x:is>
      </x:c>
      <x:c r="V199" s="3" t="inlineStr">
        <x:is>
          <x:t xml:space="preserve">Close_Learning_Loop</x:t>
        </x:is>
      </x:c>
      <x:c r="W199" s="3" t="inlineStr">
        <x:is>
          <x:t xml:space="preserve">N</x:t>
        </x:is>
      </x:c>
      <x:c r="X199" s="3" t="inlineStr">
        <x:is>
          <x:t xml:space="preserve"/>
        </x:is>
      </x:c>
      <x:c r="Y199" s="6">
        <x:f>(S199*IF(E199="G",F199,0))+(S199*IF(G199="G",H199,0))</x:f>
      </x:c>
      <x:c r="Z199" s="6">
        <x:f>(S199*IF(E199="E",F199,0))+(S199*IF(G199="E",H199,0))</x:f>
      </x:c>
      <x:c r="AA199" s="6">
        <x:f>(S199*IF(E199="T",F199,0))+(S199*IF(G199="T",H199,0))</x:f>
      </x:c>
      <x:c r="AB199" s="6">
        <x:f>(S199*IF(E199="L",F199,0))+(S199*IF(G199="L",H199,0))</x:f>
      </x:c>
      <x:c r="AC199" s="6">
        <x:f>(S199*IF(E199="H",F199,0))+(S199*IF(G199="H",H199,0))</x:f>
      </x:c>
      <x:c r="AD199" s="6">
        <x:f>(S199*IF(E199="V",F199,0))+(S199*IF(G199="V",H199,0))</x:f>
      </x:c>
      <x:c r="AE199" s="6">
        <x:f>(S199*IF(E199="R",F199,0))+(S199*IF(G199="R",H199,0))</x:f>
      </x:c>
      <x:c r="AF199" s="6">
        <x:f>(S199*IF(E199="F",F199,0))+(S199*IF(G199="F",H199,0))</x:f>
      </x:c>
      <x:c r="AG199" s="6">
        <x:f>(S199*IF(E199="W",F199,0))+(S199*IF(G199="W",H199,0))</x:f>
      </x:c>
    </x:row>
    <x:row r="200">
      <x:c r="A200" s="3" t="inlineStr">
        <x:is>
          <x:t xml:space="preserve">Executive</x:t>
        </x:is>
      </x:c>
      <x:c r="B200" s="3" t="inlineStr">
        <x:is>
          <x:t xml:space="preserve">EXCO-D8-Q02</x:t>
        </x:is>
      </x:c>
      <x:c r="C200" s="3" t="inlineStr">
        <x:is>
          <x:t xml:space="preserve">T2</x:t>
        </x:is>
      </x:c>
      <x:c r="D200" s="3" t="inlineStr">
        <x:is>
          <x:t xml:space="preserve">8. Performance &amp; Assurance</x:t>
        </x:is>
      </x:c>
      <x:c r="E200" s="3" t="inlineStr">
        <x:is>
          <x:t xml:space="preserve">E</x:t>
        </x:is>
      </x:c>
      <x:c r="F200" s="3" t="n">
        <x:v>1</x:v>
      </x:c>
      <x:c r="G200" s="3" t="inlineStr">
        <x:is>
          <x:t xml:space="preserve">-</x:t>
        </x:is>
      </x:c>
      <x:c r="H200" s="3" t="inlineStr">
        <x:is>
          <x:t xml:space="preserve"/>
        </x:is>
      </x:c>
      <x:c r="I200" s="3" t="inlineStr">
        <x:is>
          <x:t xml:space="preserve">(Shadow probe) Do we review ‘near misses’ (things that almost became incidents) and use them to improve?</x:t>
        </x:is>
      </x:c>
      <x:c r="J200" s="3" t="inlineStr">
        <x:is>
          <x:t xml:space="preserve">Near misses are a strong indicator of learning culture and operational maturity.</x:t>
        </x:is>
      </x:c>
      <x:c r="K200" s="3" t="inlineStr">
        <x:is>
          <x:t xml:space="preserve">Shadow probe; next=EXCO-D8-Q03</x:t>
        </x:is>
      </x:c>
      <x:c r="L200" s="3" t="inlineStr">
        <x:is>
          <x:t xml:space="preserve">OPS_STD</x:t>
        </x:is>
      </x:c>
      <x:c r="M200" s="3" t="n">
        <x:v>1</x:v>
      </x:c>
      <x:c r="N200" s="3" t="n"/>
      <x:c r="O200" s="3" t="n"/>
      <x:c r="P200" s="3" t="inlineStr">
        <x:is>
          <x:t xml:space="preserve">EXCO-D8-Q02-A4</x:t>
        </x:is>
      </x:c>
      <x:c r="Q200" s="3" t="n">
        <x:v>4</x:v>
      </x:c>
      <x:c r="R200" s="3" t="inlineStr">
        <x:is>
          <x:t xml:space="preserve">Yes—near misses feed into roadmap and are reported periodically.</x:t>
        </x:is>
      </x:c>
      <x:c r="S200" s="3" t="n">
        <x:v>3</x:v>
      </x:c>
      <x:c r="T200" s="3" t="inlineStr">
        <x:is>
          <x:t xml:space="preserve">good_practice</x:t>
        </x:is>
      </x:c>
      <x:c r="U200" s="3" t="inlineStr">
        <x:is>
          <x:t xml:space="preserve"/>
        </x:is>
      </x:c>
      <x:c r="V200" s="3" t="inlineStr">
        <x:is>
          <x:t xml:space="preserve">Request_Evidence</x:t>
        </x:is>
      </x:c>
      <x:c r="W200" s="3" t="inlineStr">
        <x:is>
          <x:t xml:space="preserve">Y</x:t>
        </x:is>
      </x:c>
      <x:c r="X200" s="3" t="inlineStr">
        <x:is>
          <x:t xml:space="preserve"/>
        </x:is>
      </x:c>
      <x:c r="Y200" s="6">
        <x:f>(S200*IF(E200="G",F200,0))+(S200*IF(G200="G",H200,0))</x:f>
      </x:c>
      <x:c r="Z200" s="6">
        <x:f>(S200*IF(E200="E",F200,0))+(S200*IF(G200="E",H200,0))</x:f>
      </x:c>
      <x:c r="AA200" s="6">
        <x:f>(S200*IF(E200="T",F200,0))+(S200*IF(G200="T",H200,0))</x:f>
      </x:c>
      <x:c r="AB200" s="6">
        <x:f>(S200*IF(E200="L",F200,0))+(S200*IF(G200="L",H200,0))</x:f>
      </x:c>
      <x:c r="AC200" s="6">
        <x:f>(S200*IF(E200="H",F200,0))+(S200*IF(G200="H",H200,0))</x:f>
      </x:c>
      <x:c r="AD200" s="6">
        <x:f>(S200*IF(E200="V",F200,0))+(S200*IF(G200="V",H200,0))</x:f>
      </x:c>
      <x:c r="AE200" s="6">
        <x:f>(S200*IF(E200="R",F200,0))+(S200*IF(G200="R",H200,0))</x:f>
      </x:c>
      <x:c r="AF200" s="6">
        <x:f>(S200*IF(E200="F",F200,0))+(S200*IF(G200="F",H200,0))</x:f>
      </x:c>
      <x:c r="AG200" s="6">
        <x:f>(S200*IF(E200="W",F200,0))+(S200*IF(G200="W",H200,0))</x:f>
      </x:c>
    </x:row>
    <x:row r="201">
      <x:c r="A201" s="3" t="inlineStr">
        <x:is>
          <x:t xml:space="preserve">Executive</x:t>
        </x:is>
      </x:c>
      <x:c r="B201" s="3" t="inlineStr">
        <x:is>
          <x:t xml:space="preserve">EXCO-D8-Q03</x:t>
        </x:is>
      </x:c>
      <x:c r="C201" s="3" t="inlineStr">
        <x:is>
          <x:t xml:space="preserve">T2</x:t>
        </x:is>
      </x:c>
      <x:c r="D201" s="3" t="inlineStr">
        <x:is>
          <x:t xml:space="preserve">8. Performance &amp; Assurance</x:t>
        </x:is>
      </x:c>
      <x:c r="E201" s="3" t="inlineStr">
        <x:is>
          <x:t xml:space="preserve">G</x:t>
        </x:is>
      </x:c>
      <x:c r="F201" s="3" t="n">
        <x:v>0.5</x:v>
      </x:c>
      <x:c r="G201" s="3" t="inlineStr">
        <x:is>
          <x:t xml:space="preserve">R</x:t>
        </x:is>
      </x:c>
      <x:c r="H201" s="3" t="n">
        <x:v>0.5</x:v>
      </x:c>
      <x:c r="I201" s="3" t="inlineStr">
        <x:is>
          <x:t xml:space="preserve">How often is insider risk reviewed at executive/board level with clear decisions or actions?</x:t>
        </x:is>
      </x:c>
      <x:c r="J201" s="3" t="inlineStr">
        <x:is>
          <x:t xml:space="preserve">This is about cadence and accountability, not just presentations.</x:t>
        </x:is>
      </x:c>
      <x:c r="K201" s="3" t="inlineStr">
        <x:is>
          <x:t xml:space="preserve">Drill-down; next=EXCO-D8-Q04</x:t>
        </x:is>
      </x:c>
      <x:c r="L201" s="3" t="inlineStr">
        <x:is>
          <x:t xml:space="preserve">GOV_STD</x:t>
        </x:is>
      </x:c>
      <x:c r="M201" s="3" t="n">
        <x:v>1</x:v>
      </x:c>
      <x:c r="N201" s="3" t="n"/>
      <x:c r="O201" s="3" t="n"/>
      <x:c r="P201" s="3" t="inlineStr">
        <x:is>
          <x:t xml:space="preserve">EXCO-D8-Q03-A0</x:t>
        </x:is>
      </x:c>
      <x:c r="Q201" s="3" t="n">
        <x:v>1</x:v>
      </x:c>
      <x:c r="R201" s="3" t="inlineStr">
        <x:is>
          <x:t xml:space="preserve">I don’t know / not sure.</x:t>
        </x:is>
      </x:c>
      <x:c r="S201" s="3" t="n">
        <x:v>0</x:v>
      </x:c>
      <x:c r="T201" s="3" t="inlineStr">
        <x:is>
          <x:t xml:space="preserve">unknown</x:t>
        </x:is>
      </x:c>
      <x:c r="U201" s="3" t="inlineStr">
        <x:is>
          <x:t xml:space="preserve">Unknown</x:t>
        </x:is>
      </x:c>
      <x:c r="V201" s="3" t="inlineStr">
        <x:is>
          <x:t xml:space="preserve">Define_Cadence</x:t>
        </x:is>
      </x:c>
      <x:c r="W201" s="3" t="inlineStr">
        <x:is>
          <x:t xml:space="preserve">N</x:t>
        </x:is>
      </x:c>
      <x:c r="X201" s="3" t="inlineStr">
        <x:is>
          <x:t xml:space="preserve"/>
        </x:is>
      </x:c>
      <x:c r="Y201" s="6">
        <x:f>(S201*IF(E201="G",F201,0))+(S201*IF(G201="G",H201,0))</x:f>
      </x:c>
      <x:c r="Z201" s="6">
        <x:f>(S201*IF(E201="E",F201,0))+(S201*IF(G201="E",H201,0))</x:f>
      </x:c>
      <x:c r="AA201" s="6">
        <x:f>(S201*IF(E201="T",F201,0))+(S201*IF(G201="T",H201,0))</x:f>
      </x:c>
      <x:c r="AB201" s="6">
        <x:f>(S201*IF(E201="L",F201,0))+(S201*IF(G201="L",H201,0))</x:f>
      </x:c>
      <x:c r="AC201" s="6">
        <x:f>(S201*IF(E201="H",F201,0))+(S201*IF(G201="H",H201,0))</x:f>
      </x:c>
      <x:c r="AD201" s="6">
        <x:f>(S201*IF(E201="V",F201,0))+(S201*IF(G201="V",H201,0))</x:f>
      </x:c>
      <x:c r="AE201" s="6">
        <x:f>(S201*IF(E201="R",F201,0))+(S201*IF(G201="R",H201,0))</x:f>
      </x:c>
      <x:c r="AF201" s="6">
        <x:f>(S201*IF(E201="F",F201,0))+(S201*IF(G201="F",H201,0))</x:f>
      </x:c>
      <x:c r="AG201" s="6">
        <x:f>(S201*IF(E201="W",F201,0))+(S201*IF(G201="W",H201,0))</x:f>
      </x:c>
    </x:row>
    <x:row r="202">
      <x:c r="A202" s="3" t="inlineStr">
        <x:is>
          <x:t xml:space="preserve">Executive</x:t>
        </x:is>
      </x:c>
      <x:c r="B202" s="3" t="inlineStr">
        <x:is>
          <x:t xml:space="preserve">EXCO-D8-Q03</x:t>
        </x:is>
      </x:c>
      <x:c r="C202" s="3" t="inlineStr">
        <x:is>
          <x:t xml:space="preserve">T2</x:t>
        </x:is>
      </x:c>
      <x:c r="D202" s="3" t="inlineStr">
        <x:is>
          <x:t xml:space="preserve">8. Performance &amp; Assurance</x:t>
        </x:is>
      </x:c>
      <x:c r="E202" s="3" t="inlineStr">
        <x:is>
          <x:t xml:space="preserve">G</x:t>
        </x:is>
      </x:c>
      <x:c r="F202" s="3" t="n">
        <x:v>0.5</x:v>
      </x:c>
      <x:c r="G202" s="3" t="inlineStr">
        <x:is>
          <x:t xml:space="preserve">R</x:t>
        </x:is>
      </x:c>
      <x:c r="H202" s="3" t="n">
        <x:v>0.5</x:v>
      </x:c>
      <x:c r="I202" s="3" t="inlineStr">
        <x:is>
          <x:t xml:space="preserve">How often is insider risk reviewed at executive/board level with clear decisions or actions?</x:t>
        </x:is>
      </x:c>
      <x:c r="J202" s="3" t="inlineStr">
        <x:is>
          <x:t xml:space="preserve">This is about cadence and accountability, not just presentations.</x:t>
        </x:is>
      </x:c>
      <x:c r="K202" s="3" t="inlineStr">
        <x:is>
          <x:t xml:space="preserve">Drill-down; next=EXCO-D8-Q04</x:t>
        </x:is>
      </x:c>
      <x:c r="L202" s="3" t="inlineStr">
        <x:is>
          <x:t xml:space="preserve">GOV_STD</x:t>
        </x:is>
      </x:c>
      <x:c r="M202" s="3" t="n">
        <x:v>1</x:v>
      </x:c>
      <x:c r="N202" s="3" t="n"/>
      <x:c r="O202" s="3" t="n"/>
      <x:c r="P202" s="3" t="inlineStr">
        <x:is>
          <x:t xml:space="preserve">EXCO-D8-Q03-A1</x:t>
        </x:is>
      </x:c>
      <x:c r="Q202" s="3" t="n">
        <x:v>2</x:v>
      </x:c>
      <x:c r="R202" s="3" t="inlineStr">
        <x:is>
          <x:t xml:space="preserve">Never—only after serious incidents.</x:t>
        </x:is>
      </x:c>
      <x:c r="S202" s="3" t="n">
        <x:v>0</x:v>
      </x:c>
      <x:c r="T202" s="3" t="inlineStr">
        <x:is>
          <x:t xml:space="preserve">foundational_gap</x:t>
        </x:is>
      </x:c>
      <x:c r="U202" s="3" t="inlineStr">
        <x:is>
          <x:t xml:space="preserve">Operating Model Gap</x:t>
        </x:is>
      </x:c>
      <x:c r="V202" s="3" t="inlineStr">
        <x:is>
          <x:t xml:space="preserve">Set_Cadence</x:t>
        </x:is>
      </x:c>
      <x:c r="W202" s="3" t="inlineStr">
        <x:is>
          <x:t xml:space="preserve">N</x:t>
        </x:is>
      </x:c>
      <x:c r="X202" s="3" t="inlineStr">
        <x:is>
          <x:t xml:space="preserve"/>
        </x:is>
      </x:c>
      <x:c r="Y202" s="6">
        <x:f>(S202*IF(E202="G",F202,0))+(S202*IF(G202="G",H202,0))</x:f>
      </x:c>
      <x:c r="Z202" s="6">
        <x:f>(S202*IF(E202="E",F202,0))+(S202*IF(G202="E",H202,0))</x:f>
      </x:c>
      <x:c r="AA202" s="6">
        <x:f>(S202*IF(E202="T",F202,0))+(S202*IF(G202="T",H202,0))</x:f>
      </x:c>
      <x:c r="AB202" s="6">
        <x:f>(S202*IF(E202="L",F202,0))+(S202*IF(G202="L",H202,0))</x:f>
      </x:c>
      <x:c r="AC202" s="6">
        <x:f>(S202*IF(E202="H",F202,0))+(S202*IF(G202="H",H202,0))</x:f>
      </x:c>
      <x:c r="AD202" s="6">
        <x:f>(S202*IF(E202="V",F202,0))+(S202*IF(G202="V",H202,0))</x:f>
      </x:c>
      <x:c r="AE202" s="6">
        <x:f>(S202*IF(E202="R",F202,0))+(S202*IF(G202="R",H202,0))</x:f>
      </x:c>
      <x:c r="AF202" s="6">
        <x:f>(S202*IF(E202="F",F202,0))+(S202*IF(G202="F",H202,0))</x:f>
      </x:c>
      <x:c r="AG202" s="6">
        <x:f>(S202*IF(E202="W",F202,0))+(S202*IF(G202="W",H202,0))</x:f>
      </x:c>
    </x:row>
    <x:row r="203">
      <x:c r="A203" s="3" t="inlineStr">
        <x:is>
          <x:t xml:space="preserve">Executive</x:t>
        </x:is>
      </x:c>
      <x:c r="B203" s="3" t="inlineStr">
        <x:is>
          <x:t xml:space="preserve">EXCO-D8-Q03</x:t>
        </x:is>
      </x:c>
      <x:c r="C203" s="3" t="inlineStr">
        <x:is>
          <x:t xml:space="preserve">T2</x:t>
        </x:is>
      </x:c>
      <x:c r="D203" s="3" t="inlineStr">
        <x:is>
          <x:t xml:space="preserve">8. Performance &amp; Assurance</x:t>
        </x:is>
      </x:c>
      <x:c r="E203" s="3" t="inlineStr">
        <x:is>
          <x:t xml:space="preserve">G</x:t>
        </x:is>
      </x:c>
      <x:c r="F203" s="3" t="n">
        <x:v>0.5</x:v>
      </x:c>
      <x:c r="G203" s="3" t="inlineStr">
        <x:is>
          <x:t xml:space="preserve">R</x:t>
        </x:is>
      </x:c>
      <x:c r="H203" s="3" t="n">
        <x:v>0.5</x:v>
      </x:c>
      <x:c r="I203" s="3" t="inlineStr">
        <x:is>
          <x:t xml:space="preserve">How often is insider risk reviewed at executive/board level with clear decisions or actions?</x:t>
        </x:is>
      </x:c>
      <x:c r="J203" s="3" t="inlineStr">
        <x:is>
          <x:t xml:space="preserve">This is about cadence and accountability, not just presentations.</x:t>
        </x:is>
      </x:c>
      <x:c r="K203" s="3" t="inlineStr">
        <x:is>
          <x:t xml:space="preserve">Drill-down; next=EXCO-D8-Q04</x:t>
        </x:is>
      </x:c>
      <x:c r="L203" s="3" t="inlineStr">
        <x:is>
          <x:t xml:space="preserve">GOV_STD</x:t>
        </x:is>
      </x:c>
      <x:c r="M203" s="3" t="n">
        <x:v>1</x:v>
      </x:c>
      <x:c r="N203" s="3" t="n"/>
      <x:c r="O203" s="3" t="n"/>
      <x:c r="P203" s="3" t="inlineStr">
        <x:is>
          <x:t xml:space="preserve">EXCO-D8-Q03-A2</x:t>
        </x:is>
      </x:c>
      <x:c r="Q203" s="3" t="n">
        <x:v>3</x:v>
      </x:c>
      <x:c r="R203" s="3" t="inlineStr">
        <x:is>
          <x:t xml:space="preserve">Occasional/on request (e.g., every few years).</x:t>
        </x:is>
      </x:c>
      <x:c r="S203" s="3" t="n">
        <x:v>1</x:v>
      </x:c>
      <x:c r="T203" s="3" t="inlineStr">
        <x:is>
          <x:t xml:space="preserve">low_cadence</x:t>
        </x:is>
      </x:c>
      <x:c r="U203" s="3" t="inlineStr">
        <x:is>
          <x:t xml:space="preserve">Operating Model Gap</x:t>
        </x:is>
      </x:c>
      <x:c r="V203" s="3" t="inlineStr">
        <x:is>
          <x:t xml:space="preserve">Set_Cadence</x:t>
        </x:is>
      </x:c>
      <x:c r="W203" s="3" t="inlineStr">
        <x:is>
          <x:t xml:space="preserve">N</x:t>
        </x:is>
      </x:c>
      <x:c r="X203" s="3" t="inlineStr">
        <x:is>
          <x:t xml:space="preserve"/>
        </x:is>
      </x:c>
      <x:c r="Y203" s="6">
        <x:f>(S203*IF(E203="G",F203,0))+(S203*IF(G203="G",H203,0))</x:f>
      </x:c>
      <x:c r="Z203" s="6">
        <x:f>(S203*IF(E203="E",F203,0))+(S203*IF(G203="E",H203,0))</x:f>
      </x:c>
      <x:c r="AA203" s="6">
        <x:f>(S203*IF(E203="T",F203,0))+(S203*IF(G203="T",H203,0))</x:f>
      </x:c>
      <x:c r="AB203" s="6">
        <x:f>(S203*IF(E203="L",F203,0))+(S203*IF(G203="L",H203,0))</x:f>
      </x:c>
      <x:c r="AC203" s="6">
        <x:f>(S203*IF(E203="H",F203,0))+(S203*IF(G203="H",H203,0))</x:f>
      </x:c>
      <x:c r="AD203" s="6">
        <x:f>(S203*IF(E203="V",F203,0))+(S203*IF(G203="V",H203,0))</x:f>
      </x:c>
      <x:c r="AE203" s="6">
        <x:f>(S203*IF(E203="R",F203,0))+(S203*IF(G203="R",H203,0))</x:f>
      </x:c>
      <x:c r="AF203" s="6">
        <x:f>(S203*IF(E203="F",F203,0))+(S203*IF(G203="F",H203,0))</x:f>
      </x:c>
      <x:c r="AG203" s="6">
        <x:f>(S203*IF(E203="W",F203,0))+(S203*IF(G203="W",H203,0))</x:f>
      </x:c>
    </x:row>
    <x:row r="204">
      <x:c r="A204" s="3" t="inlineStr">
        <x:is>
          <x:t xml:space="preserve">Executive</x:t>
        </x:is>
      </x:c>
      <x:c r="B204" s="3" t="inlineStr">
        <x:is>
          <x:t xml:space="preserve">EXCO-D8-Q03</x:t>
        </x:is>
      </x:c>
      <x:c r="C204" s="3" t="inlineStr">
        <x:is>
          <x:t xml:space="preserve">T2</x:t>
        </x:is>
      </x:c>
      <x:c r="D204" s="3" t="inlineStr">
        <x:is>
          <x:t xml:space="preserve">8. Performance &amp; Assurance</x:t>
        </x:is>
      </x:c>
      <x:c r="E204" s="3" t="inlineStr">
        <x:is>
          <x:t xml:space="preserve">G</x:t>
        </x:is>
      </x:c>
      <x:c r="F204" s="3" t="n">
        <x:v>0.5</x:v>
      </x:c>
      <x:c r="G204" s="3" t="inlineStr">
        <x:is>
          <x:t xml:space="preserve">R</x:t>
        </x:is>
      </x:c>
      <x:c r="H204" s="3" t="n">
        <x:v>0.5</x:v>
      </x:c>
      <x:c r="I204" s="3" t="inlineStr">
        <x:is>
          <x:t xml:space="preserve">How often is insider risk reviewed at executive/board level with clear decisions or actions?</x:t>
        </x:is>
      </x:c>
      <x:c r="J204" s="3" t="inlineStr">
        <x:is>
          <x:t xml:space="preserve">This is about cadence and accountability, not just presentations.</x:t>
        </x:is>
      </x:c>
      <x:c r="K204" s="3" t="inlineStr">
        <x:is>
          <x:t xml:space="preserve">Drill-down; next=EXCO-D8-Q04</x:t>
        </x:is>
      </x:c>
      <x:c r="L204" s="3" t="inlineStr">
        <x:is>
          <x:t xml:space="preserve">GOV_STD</x:t>
        </x:is>
      </x:c>
      <x:c r="M204" s="3" t="n">
        <x:v>1</x:v>
      </x:c>
      <x:c r="N204" s="3" t="n"/>
      <x:c r="O204" s="3" t="n"/>
      <x:c r="P204" s="3" t="inlineStr">
        <x:is>
          <x:t xml:space="preserve">EXCO-D8-Q03-A3</x:t>
        </x:is>
      </x:c>
      <x:c r="Q204" s="3" t="n">
        <x:v>4</x:v>
      </x:c>
      <x:c r="R204" s="3" t="inlineStr">
        <x:is>
          <x:t xml:space="preserve">Annual ‘tick-box’ review with limited follow-up.</x:t>
        </x:is>
      </x:c>
      <x:c r="S204" s="3" t="n">
        <x:v>2</x:v>
      </x:c>
      <x:c r="T204" s="3" t="inlineStr">
        <x:is>
          <x:t xml:space="preserve">paper_process</x:t>
        </x:is>
      </x:c>
      <x:c r="U204" s="3" t="inlineStr">
        <x:is>
          <x:t xml:space="preserve">Paper Dragon</x:t>
        </x:is>
      </x:c>
      <x:c r="V204" s="3" t="inlineStr">
        <x:is>
          <x:t xml:space="preserve">Improve_Cadence</x:t>
        </x:is>
      </x:c>
      <x:c r="W204" s="3" t="inlineStr">
        <x:is>
          <x:t xml:space="preserve">N</x:t>
        </x:is>
      </x:c>
      <x:c r="X204" s="3" t="inlineStr">
        <x:is>
          <x:t xml:space="preserve"/>
        </x:is>
      </x:c>
      <x:c r="Y204" s="6">
        <x:f>(S204*IF(E204="G",F204,0))+(S204*IF(G204="G",H204,0))</x:f>
      </x:c>
      <x:c r="Z204" s="6">
        <x:f>(S204*IF(E204="E",F204,0))+(S204*IF(G204="E",H204,0))</x:f>
      </x:c>
      <x:c r="AA204" s="6">
        <x:f>(S204*IF(E204="T",F204,0))+(S204*IF(G204="T",H204,0))</x:f>
      </x:c>
      <x:c r="AB204" s="6">
        <x:f>(S204*IF(E204="L",F204,0))+(S204*IF(G204="L",H204,0))</x:f>
      </x:c>
      <x:c r="AC204" s="6">
        <x:f>(S204*IF(E204="H",F204,0))+(S204*IF(G204="H",H204,0))</x:f>
      </x:c>
      <x:c r="AD204" s="6">
        <x:f>(S204*IF(E204="V",F204,0))+(S204*IF(G204="V",H204,0))</x:f>
      </x:c>
      <x:c r="AE204" s="6">
        <x:f>(S204*IF(E204="R",F204,0))+(S204*IF(G204="R",H204,0))</x:f>
      </x:c>
      <x:c r="AF204" s="6">
        <x:f>(S204*IF(E204="F",F204,0))+(S204*IF(G204="F",H204,0))</x:f>
      </x:c>
      <x:c r="AG204" s="6">
        <x:f>(S204*IF(E204="W",F204,0))+(S204*IF(G204="W",H204,0))</x:f>
      </x:c>
    </x:row>
    <x:row r="205">
      <x:c r="A205" s="3" t="inlineStr">
        <x:is>
          <x:t xml:space="preserve">Executive</x:t>
        </x:is>
      </x:c>
      <x:c r="B205" s="3" t="inlineStr">
        <x:is>
          <x:t xml:space="preserve">EXCO-D8-Q03</x:t>
        </x:is>
      </x:c>
      <x:c r="C205" s="3" t="inlineStr">
        <x:is>
          <x:t xml:space="preserve">T2</x:t>
        </x:is>
      </x:c>
      <x:c r="D205" s="3" t="inlineStr">
        <x:is>
          <x:t xml:space="preserve">8. Performance &amp; Assurance</x:t>
        </x:is>
      </x:c>
      <x:c r="E205" s="3" t="inlineStr">
        <x:is>
          <x:t xml:space="preserve">G</x:t>
        </x:is>
      </x:c>
      <x:c r="F205" s="3" t="n">
        <x:v>0.5</x:v>
      </x:c>
      <x:c r="G205" s="3" t="inlineStr">
        <x:is>
          <x:t xml:space="preserve">R</x:t>
        </x:is>
      </x:c>
      <x:c r="H205" s="3" t="n">
        <x:v>0.5</x:v>
      </x:c>
      <x:c r="I205" s="3" t="inlineStr">
        <x:is>
          <x:t xml:space="preserve">How often is insider risk reviewed at executive/board level with clear decisions or actions?</x:t>
        </x:is>
      </x:c>
      <x:c r="J205" s="3" t="inlineStr">
        <x:is>
          <x:t xml:space="preserve">This is about cadence and accountability, not just presentations.</x:t>
        </x:is>
      </x:c>
      <x:c r="K205" s="3" t="inlineStr">
        <x:is>
          <x:t xml:space="preserve">Drill-down; next=EXCO-D8-Q04</x:t>
        </x:is>
      </x:c>
      <x:c r="L205" s="3" t="inlineStr">
        <x:is>
          <x:t xml:space="preserve">GOV_STD</x:t>
        </x:is>
      </x:c>
      <x:c r="M205" s="3" t="n">
        <x:v>1</x:v>
      </x:c>
      <x:c r="N205" s="3" t="n"/>
      <x:c r="O205" s="3" t="n"/>
      <x:c r="P205" s="3" t="inlineStr">
        <x:is>
          <x:t xml:space="preserve">EXCO-D8-Q03-A4</x:t>
        </x:is>
      </x:c>
      <x:c r="Q205" s="3" t="n">
        <x:v>5</x:v>
      </x:c>
      <x:c r="R205" s="3" t="inlineStr">
        <x:is>
          <x:t xml:space="preserve">At least quarterly with tracked actions.</x:t>
        </x:is>
      </x:c>
      <x:c r="S205" s="3" t="n">
        <x:v>3</x:v>
      </x:c>
      <x:c r="T205" s="3" t="inlineStr">
        <x:is>
          <x:t xml:space="preserve">good_practice</x:t>
        </x:is>
      </x:c>
      <x:c r="U205" s="3" t="inlineStr">
        <x:is>
          <x:t xml:space="preserve"/>
        </x:is>
      </x:c>
      <x:c r="V205" s="3" t="inlineStr">
        <x:is>
          <x:t xml:space="preserve">Request_Evidence</x:t>
        </x:is>
      </x:c>
      <x:c r="W205" s="3" t="inlineStr">
        <x:is>
          <x:t xml:space="preserve">Y</x:t>
        </x:is>
      </x:c>
      <x:c r="X205" s="3" t="inlineStr">
        <x:is>
          <x:t xml:space="preserve"/>
        </x:is>
      </x:c>
      <x:c r="Y205" s="6">
        <x:f>(S205*IF(E205="G",F205,0))+(S205*IF(G205="G",H205,0))</x:f>
      </x:c>
      <x:c r="Z205" s="6">
        <x:f>(S205*IF(E205="E",F205,0))+(S205*IF(G205="E",H205,0))</x:f>
      </x:c>
      <x:c r="AA205" s="6">
        <x:f>(S205*IF(E205="T",F205,0))+(S205*IF(G205="T",H205,0))</x:f>
      </x:c>
      <x:c r="AB205" s="6">
        <x:f>(S205*IF(E205="L",F205,0))+(S205*IF(G205="L",H205,0))</x:f>
      </x:c>
      <x:c r="AC205" s="6">
        <x:f>(S205*IF(E205="H",F205,0))+(S205*IF(G205="H",H205,0))</x:f>
      </x:c>
      <x:c r="AD205" s="6">
        <x:f>(S205*IF(E205="V",F205,0))+(S205*IF(G205="V",H205,0))</x:f>
      </x:c>
      <x:c r="AE205" s="6">
        <x:f>(S205*IF(E205="R",F205,0))+(S205*IF(G205="R",H205,0))</x:f>
      </x:c>
      <x:c r="AF205" s="6">
        <x:f>(S205*IF(E205="F",F205,0))+(S205*IF(G205="F",H205,0))</x:f>
      </x:c>
      <x:c r="AG205" s="6">
        <x:f>(S205*IF(E205="W",F205,0))+(S205*IF(G205="W",H205,0))</x:f>
      </x:c>
    </x:row>
    <x:row r="206">
      <x:c r="A206" s="3" t="inlineStr">
        <x:is>
          <x:t xml:space="preserve">Executive</x:t>
        </x:is>
      </x:c>
      <x:c r="B206" s="3" t="inlineStr">
        <x:is>
          <x:t xml:space="preserve">EXCO-D8-Q03</x:t>
        </x:is>
      </x:c>
      <x:c r="C206" s="3" t="inlineStr">
        <x:is>
          <x:t xml:space="preserve">T2</x:t>
        </x:is>
      </x:c>
      <x:c r="D206" s="3" t="inlineStr">
        <x:is>
          <x:t xml:space="preserve">8. Performance &amp; Assurance</x:t>
        </x:is>
      </x:c>
      <x:c r="E206" s="3" t="inlineStr">
        <x:is>
          <x:t xml:space="preserve">G</x:t>
        </x:is>
      </x:c>
      <x:c r="F206" s="3" t="n">
        <x:v>0.5</x:v>
      </x:c>
      <x:c r="G206" s="3" t="inlineStr">
        <x:is>
          <x:t xml:space="preserve">R</x:t>
        </x:is>
      </x:c>
      <x:c r="H206" s="3" t="n">
        <x:v>0.5</x:v>
      </x:c>
      <x:c r="I206" s="3" t="inlineStr">
        <x:is>
          <x:t xml:space="preserve">How often is insider risk reviewed at executive/board level with clear decisions or actions?</x:t>
        </x:is>
      </x:c>
      <x:c r="J206" s="3" t="inlineStr">
        <x:is>
          <x:t xml:space="preserve">This is about cadence and accountability, not just presentations.</x:t>
        </x:is>
      </x:c>
      <x:c r="K206" s="3" t="inlineStr">
        <x:is>
          <x:t xml:space="preserve">Drill-down; next=EXCO-D8-Q04</x:t>
        </x:is>
      </x:c>
      <x:c r="L206" s="3" t="inlineStr">
        <x:is>
          <x:t xml:space="preserve">GOV_STD</x:t>
        </x:is>
      </x:c>
      <x:c r="M206" s="3" t="n">
        <x:v>1</x:v>
      </x:c>
      <x:c r="N206" s="3" t="n"/>
      <x:c r="O206" s="3" t="n"/>
      <x:c r="P206" s="3" t="inlineStr">
        <x:is>
          <x:t xml:space="preserve">EXCO-D8-Q03-A5</x:t>
        </x:is>
      </x:c>
      <x:c r="Q206" s="3" t="n">
        <x:v>6</x:v>
      </x:c>
      <x:c r="R206" s="3" t="inlineStr">
        <x:is>
          <x:t xml:space="preserve">Frequent review tied to risk appetite; actions and outcomes are continuously monitored.</x:t>
        </x:is>
      </x:c>
      <x:c r="S206" s="3" t="n">
        <x:v>4</x:v>
      </x:c>
      <x:c r="T206" s="3" t="inlineStr">
        <x:is>
          <x:t xml:space="preserve">optimized</x:t>
        </x:is>
      </x:c>
      <x:c r="U206" s="3" t="inlineStr">
        <x:is>
          <x:t xml:space="preserve"/>
        </x:is>
      </x:c>
      <x:c r="V206" s="3" t="inlineStr">
        <x:is>
          <x:t xml:space="preserve">Request_Evidence</x:t>
        </x:is>
      </x:c>
      <x:c r="W206" s="3" t="inlineStr">
        <x:is>
          <x:t xml:space="preserve">Y</x:t>
        </x:is>
      </x:c>
      <x:c r="X206" s="3" t="inlineStr">
        <x:is>
          <x:t xml:space="preserve"/>
        </x:is>
      </x:c>
      <x:c r="Y206" s="6">
        <x:f>(S206*IF(E206="G",F206,0))+(S206*IF(G206="G",H206,0))</x:f>
      </x:c>
      <x:c r="Z206" s="6">
        <x:f>(S206*IF(E206="E",F206,0))+(S206*IF(G206="E",H206,0))</x:f>
      </x:c>
      <x:c r="AA206" s="6">
        <x:f>(S206*IF(E206="T",F206,0))+(S206*IF(G206="T",H206,0))</x:f>
      </x:c>
      <x:c r="AB206" s="6">
        <x:f>(S206*IF(E206="L",F206,0))+(S206*IF(G206="L",H206,0))</x:f>
      </x:c>
      <x:c r="AC206" s="6">
        <x:f>(S206*IF(E206="H",F206,0))+(S206*IF(G206="H",H206,0))</x:f>
      </x:c>
      <x:c r="AD206" s="6">
        <x:f>(S206*IF(E206="V",F206,0))+(S206*IF(G206="V",H206,0))</x:f>
      </x:c>
      <x:c r="AE206" s="6">
        <x:f>(S206*IF(E206="R",F206,0))+(S206*IF(G206="R",H206,0))</x:f>
      </x:c>
      <x:c r="AF206" s="6">
        <x:f>(S206*IF(E206="F",F206,0))+(S206*IF(G206="F",H206,0))</x:f>
      </x:c>
      <x:c r="AG206" s="6">
        <x:f>(S206*IF(E206="W",F206,0))+(S206*IF(G206="W",H206,0))</x:f>
      </x:c>
    </x:row>
    <x:row r="207">
      <x:c r="A207" s="3" t="inlineStr">
        <x:is>
          <x:t xml:space="preserve">Executive</x:t>
        </x:is>
      </x:c>
      <x:c r="B207" s="3" t="inlineStr">
        <x:is>
          <x:t xml:space="preserve">EXCO-D8-Q04</x:t>
        </x:is>
      </x:c>
      <x:c r="C207" s="3" t="inlineStr">
        <x:is>
          <x:t xml:space="preserve">T3</x:t>
        </x:is>
      </x:c>
      <x:c r="D207" s="3" t="inlineStr">
        <x:is>
          <x:t xml:space="preserve">8. Performance &amp; Assurance</x:t>
        </x:is>
      </x:c>
      <x:c r="E207" s="3" t="inlineStr">
        <x:is>
          <x:t xml:space="preserve">G</x:t>
        </x:is>
      </x:c>
      <x:c r="F207" s="3" t="n">
        <x:v>0.5</x:v>
      </x:c>
      <x:c r="G207" s="3" t="inlineStr">
        <x:is>
          <x:t xml:space="preserve">R</x:t>
        </x:is>
      </x:c>
      <x:c r="H207" s="3" t="n">
        <x:v>0.5</x:v>
      </x:c>
      <x:c r="I207" s="3" t="inlineStr">
        <x:is>
          <x:t xml:space="preserve">Is there any independent assurance (internal audit, external review) that confirms reality matches what we report?</x:t>
        </x:is>
      </x:c>
      <x:c r="J207" s="3" t="inlineStr">
        <x:is>
          <x:t xml:space="preserve">This directly supports the Structural Integrity goal (avoid ‘paper dragon’).</x:t>
        </x:is>
      </x:c>
      <x:c r="K207" s="3" t="inlineStr">
        <x:is>
          <x:t xml:space="preserve">Drill-down; end</x:t>
        </x:is>
      </x:c>
      <x:c r="L207" s="3" t="inlineStr">
        <x:is>
          <x:t xml:space="preserve">GOV_STD</x:t>
        </x:is>
      </x:c>
      <x:c r="M207" s="3" t="n">
        <x:v>1</x:v>
      </x:c>
      <x:c r="N207" s="3" t="n"/>
      <x:c r="O207" s="3" t="n"/>
      <x:c r="P207" s="3" t="inlineStr">
        <x:is>
          <x:t xml:space="preserve">EXCO-D8-Q04-A0</x:t>
        </x:is>
      </x:c>
      <x:c r="Q207" s="3" t="n">
        <x:v>1</x:v>
      </x:c>
      <x:c r="R207" s="3" t="inlineStr">
        <x:is>
          <x:t xml:space="preserve">I don’t know / not sure.</x:t>
        </x:is>
      </x:c>
      <x:c r="S207" s="3" t="n">
        <x:v>0</x:v>
      </x:c>
      <x:c r="T207" s="3" t="inlineStr">
        <x:is>
          <x:t xml:space="preserve">unknown</x:t>
        </x:is>
      </x:c>
      <x:c r="U207" s="3" t="inlineStr">
        <x:is>
          <x:t xml:space="preserve">Unknown</x:t>
        </x:is>
      </x:c>
      <x:c r="V207" s="3" t="inlineStr">
        <x:is>
          <x:t xml:space="preserve">Plan_Assurance</x:t>
        </x:is>
      </x:c>
      <x:c r="W207" s="3" t="inlineStr">
        <x:is>
          <x:t xml:space="preserve">N</x:t>
        </x:is>
      </x:c>
      <x:c r="X207" s="3" t="inlineStr">
        <x:is>
          <x:t xml:space="preserve"/>
        </x:is>
      </x:c>
      <x:c r="Y207" s="6">
        <x:f>(S207*IF(E207="G",F207,0))+(S207*IF(G207="G",H207,0))</x:f>
      </x:c>
      <x:c r="Z207" s="6">
        <x:f>(S207*IF(E207="E",F207,0))+(S207*IF(G207="E",H207,0))</x:f>
      </x:c>
      <x:c r="AA207" s="6">
        <x:f>(S207*IF(E207="T",F207,0))+(S207*IF(G207="T",H207,0))</x:f>
      </x:c>
      <x:c r="AB207" s="6">
        <x:f>(S207*IF(E207="L",F207,0))+(S207*IF(G207="L",H207,0))</x:f>
      </x:c>
      <x:c r="AC207" s="6">
        <x:f>(S207*IF(E207="H",F207,0))+(S207*IF(G207="H",H207,0))</x:f>
      </x:c>
      <x:c r="AD207" s="6">
        <x:f>(S207*IF(E207="V",F207,0))+(S207*IF(G207="V",H207,0))</x:f>
      </x:c>
      <x:c r="AE207" s="6">
        <x:f>(S207*IF(E207="R",F207,0))+(S207*IF(G207="R",H207,0))</x:f>
      </x:c>
      <x:c r="AF207" s="6">
        <x:f>(S207*IF(E207="F",F207,0))+(S207*IF(G207="F",H207,0))</x:f>
      </x:c>
      <x:c r="AG207" s="6">
        <x:f>(S207*IF(E207="W",F207,0))+(S207*IF(G207="W",H207,0))</x:f>
      </x:c>
    </x:row>
    <x:row r="208">
      <x:c r="A208" s="3" t="inlineStr">
        <x:is>
          <x:t xml:space="preserve">Executive</x:t>
        </x:is>
      </x:c>
      <x:c r="B208" s="3" t="inlineStr">
        <x:is>
          <x:t xml:space="preserve">EXCO-D8-Q04</x:t>
        </x:is>
      </x:c>
      <x:c r="C208" s="3" t="inlineStr">
        <x:is>
          <x:t xml:space="preserve">T3</x:t>
        </x:is>
      </x:c>
      <x:c r="D208" s="3" t="inlineStr">
        <x:is>
          <x:t xml:space="preserve">8. Performance &amp; Assurance</x:t>
        </x:is>
      </x:c>
      <x:c r="E208" s="3" t="inlineStr">
        <x:is>
          <x:t xml:space="preserve">G</x:t>
        </x:is>
      </x:c>
      <x:c r="F208" s="3" t="n">
        <x:v>0.5</x:v>
      </x:c>
      <x:c r="G208" s="3" t="inlineStr">
        <x:is>
          <x:t xml:space="preserve">R</x:t>
        </x:is>
      </x:c>
      <x:c r="H208" s="3" t="n">
        <x:v>0.5</x:v>
      </x:c>
      <x:c r="I208" s="3" t="inlineStr">
        <x:is>
          <x:t xml:space="preserve">Is there any independent assurance (internal audit, external review) that confirms reality matches what we report?</x:t>
        </x:is>
      </x:c>
      <x:c r="J208" s="3" t="inlineStr">
        <x:is>
          <x:t xml:space="preserve">This directly supports the Structural Integrity goal (avoid ‘paper dragon’).</x:t>
        </x:is>
      </x:c>
      <x:c r="K208" s="3" t="inlineStr">
        <x:is>
          <x:t xml:space="preserve">Drill-down; end</x:t>
        </x:is>
      </x:c>
      <x:c r="L208" s="3" t="inlineStr">
        <x:is>
          <x:t xml:space="preserve">GOV_STD</x:t>
        </x:is>
      </x:c>
      <x:c r="M208" s="3" t="n">
        <x:v>1</x:v>
      </x:c>
      <x:c r="N208" s="3" t="n"/>
      <x:c r="O208" s="3" t="n"/>
      <x:c r="P208" s="3" t="inlineStr">
        <x:is>
          <x:t xml:space="preserve">EXCO-D8-Q04-A1</x:t>
        </x:is>
      </x:c>
      <x:c r="Q208" s="3" t="n">
        <x:v>2</x:v>
      </x:c>
      <x:c r="R208" s="3" t="inlineStr">
        <x:is>
          <x:t xml:space="preserve">No—there is no independent review.</x:t>
        </x:is>
      </x:c>
      <x:c r="S208" s="3" t="n">
        <x:v>0</x:v>
      </x:c>
      <x:c r="T208" s="3" t="inlineStr">
        <x:is>
          <x:t xml:space="preserve">foundational_gap</x:t>
        </x:is>
      </x:c>
      <x:c r="U208" s="3" t="inlineStr">
        <x:is>
          <x:t xml:space="preserve">Paper Dragon</x:t>
        </x:is>
      </x:c>
      <x:c r="V208" s="3" t="inlineStr">
        <x:is>
          <x:t xml:space="preserve">Plan_Assurance</x:t>
        </x:is>
      </x:c>
      <x:c r="W208" s="3" t="inlineStr">
        <x:is>
          <x:t xml:space="preserve">N</x:t>
        </x:is>
      </x:c>
      <x:c r="X208" s="3" t="inlineStr">
        <x:is>
          <x:t xml:space="preserve"/>
        </x:is>
      </x:c>
      <x:c r="Y208" s="6">
        <x:f>(S208*IF(E208="G",F208,0))+(S208*IF(G208="G",H208,0))</x:f>
      </x:c>
      <x:c r="Z208" s="6">
        <x:f>(S208*IF(E208="E",F208,0))+(S208*IF(G208="E",H208,0))</x:f>
      </x:c>
      <x:c r="AA208" s="6">
        <x:f>(S208*IF(E208="T",F208,0))+(S208*IF(G208="T",H208,0))</x:f>
      </x:c>
      <x:c r="AB208" s="6">
        <x:f>(S208*IF(E208="L",F208,0))+(S208*IF(G208="L",H208,0))</x:f>
      </x:c>
      <x:c r="AC208" s="6">
        <x:f>(S208*IF(E208="H",F208,0))+(S208*IF(G208="H",H208,0))</x:f>
      </x:c>
      <x:c r="AD208" s="6">
        <x:f>(S208*IF(E208="V",F208,0))+(S208*IF(G208="V",H208,0))</x:f>
      </x:c>
      <x:c r="AE208" s="6">
        <x:f>(S208*IF(E208="R",F208,0))+(S208*IF(G208="R",H208,0))</x:f>
      </x:c>
      <x:c r="AF208" s="6">
        <x:f>(S208*IF(E208="F",F208,0))+(S208*IF(G208="F",H208,0))</x:f>
      </x:c>
      <x:c r="AG208" s="6">
        <x:f>(S208*IF(E208="W",F208,0))+(S208*IF(G208="W",H208,0))</x:f>
      </x:c>
    </x:row>
    <x:row r="209">
      <x:c r="A209" s="3" t="inlineStr">
        <x:is>
          <x:t xml:space="preserve">Executive</x:t>
        </x:is>
      </x:c>
      <x:c r="B209" s="3" t="inlineStr">
        <x:is>
          <x:t xml:space="preserve">EXCO-D8-Q04</x:t>
        </x:is>
      </x:c>
      <x:c r="C209" s="3" t="inlineStr">
        <x:is>
          <x:t xml:space="preserve">T3</x:t>
        </x:is>
      </x:c>
      <x:c r="D209" s="3" t="inlineStr">
        <x:is>
          <x:t xml:space="preserve">8. Performance &amp; Assurance</x:t>
        </x:is>
      </x:c>
      <x:c r="E209" s="3" t="inlineStr">
        <x:is>
          <x:t xml:space="preserve">G</x:t>
        </x:is>
      </x:c>
      <x:c r="F209" s="3" t="n">
        <x:v>0.5</x:v>
      </x:c>
      <x:c r="G209" s="3" t="inlineStr">
        <x:is>
          <x:t xml:space="preserve">R</x:t>
        </x:is>
      </x:c>
      <x:c r="H209" s="3" t="n">
        <x:v>0.5</x:v>
      </x:c>
      <x:c r="I209" s="3" t="inlineStr">
        <x:is>
          <x:t xml:space="preserve">Is there any independent assurance (internal audit, external review) that confirms reality matches what we report?</x:t>
        </x:is>
      </x:c>
      <x:c r="J209" s="3" t="inlineStr">
        <x:is>
          <x:t xml:space="preserve">This directly supports the Structural Integrity goal (avoid ‘paper dragon’).</x:t>
        </x:is>
      </x:c>
      <x:c r="K209" s="3" t="inlineStr">
        <x:is>
          <x:t xml:space="preserve">Drill-down; end</x:t>
        </x:is>
      </x:c>
      <x:c r="L209" s="3" t="inlineStr">
        <x:is>
          <x:t xml:space="preserve">GOV_STD</x:t>
        </x:is>
      </x:c>
      <x:c r="M209" s="3" t="n">
        <x:v>1</x:v>
      </x:c>
      <x:c r="N209" s="3" t="n"/>
      <x:c r="O209" s="3" t="n"/>
      <x:c r="P209" s="3" t="inlineStr">
        <x:is>
          <x:t xml:space="preserve">EXCO-D8-Q04-A2</x:t>
        </x:is>
      </x:c>
      <x:c r="Q209" s="3" t="n">
        <x:v>3</x:v>
      </x:c>
      <x:c r="R209" s="3" t="inlineStr">
        <x:is>
          <x:t xml:space="preserve">Ad-hoc reviews happen after incidents only.</x:t>
        </x:is>
      </x:c>
      <x:c r="S209" s="3" t="n">
        <x:v>1</x:v>
      </x:c>
      <x:c r="T209" s="3" t="inlineStr">
        <x:is>
          <x:t xml:space="preserve">reactive</x:t>
        </x:is>
      </x:c>
      <x:c r="U209" s="3" t="inlineStr">
        <x:is>
          <x:t xml:space="preserve">Paper Dragon</x:t>
        </x:is>
      </x:c>
      <x:c r="V209" s="3" t="inlineStr">
        <x:is>
          <x:t xml:space="preserve">Plan_Assurance</x:t>
        </x:is>
      </x:c>
      <x:c r="W209" s="3" t="inlineStr">
        <x:is>
          <x:t xml:space="preserve">N</x:t>
        </x:is>
      </x:c>
      <x:c r="X209" s="3" t="inlineStr">
        <x:is>
          <x:t xml:space="preserve"/>
        </x:is>
      </x:c>
      <x:c r="Y209" s="6">
        <x:f>(S209*IF(E209="G",F209,0))+(S209*IF(G209="G",H209,0))</x:f>
      </x:c>
      <x:c r="Z209" s="6">
        <x:f>(S209*IF(E209="E",F209,0))+(S209*IF(G209="E",H209,0))</x:f>
      </x:c>
      <x:c r="AA209" s="6">
        <x:f>(S209*IF(E209="T",F209,0))+(S209*IF(G209="T",H209,0))</x:f>
      </x:c>
      <x:c r="AB209" s="6">
        <x:f>(S209*IF(E209="L",F209,0))+(S209*IF(G209="L",H209,0))</x:f>
      </x:c>
      <x:c r="AC209" s="6">
        <x:f>(S209*IF(E209="H",F209,0))+(S209*IF(G209="H",H209,0))</x:f>
      </x:c>
      <x:c r="AD209" s="6">
        <x:f>(S209*IF(E209="V",F209,0))+(S209*IF(G209="V",H209,0))</x:f>
      </x:c>
      <x:c r="AE209" s="6">
        <x:f>(S209*IF(E209="R",F209,0))+(S209*IF(G209="R",H209,0))</x:f>
      </x:c>
      <x:c r="AF209" s="6">
        <x:f>(S209*IF(E209="F",F209,0))+(S209*IF(G209="F",H209,0))</x:f>
      </x:c>
      <x:c r="AG209" s="6">
        <x:f>(S209*IF(E209="W",F209,0))+(S209*IF(G209="W",H209,0))</x:f>
      </x:c>
    </x:row>
    <x:row r="210">
      <x:c r="A210" s="3" t="inlineStr">
        <x:is>
          <x:t xml:space="preserve">Executive</x:t>
        </x:is>
      </x:c>
      <x:c r="B210" s="3" t="inlineStr">
        <x:is>
          <x:t xml:space="preserve">EXCO-D8-Q04</x:t>
        </x:is>
      </x:c>
      <x:c r="C210" s="3" t="inlineStr">
        <x:is>
          <x:t xml:space="preserve">T3</x:t>
        </x:is>
      </x:c>
      <x:c r="D210" s="3" t="inlineStr">
        <x:is>
          <x:t xml:space="preserve">8. Performance &amp; Assurance</x:t>
        </x:is>
      </x:c>
      <x:c r="E210" s="3" t="inlineStr">
        <x:is>
          <x:t xml:space="preserve">G</x:t>
        </x:is>
      </x:c>
      <x:c r="F210" s="3" t="n">
        <x:v>0.5</x:v>
      </x:c>
      <x:c r="G210" s="3" t="inlineStr">
        <x:is>
          <x:t xml:space="preserve">R</x:t>
        </x:is>
      </x:c>
      <x:c r="H210" s="3" t="n">
        <x:v>0.5</x:v>
      </x:c>
      <x:c r="I210" s="3" t="inlineStr">
        <x:is>
          <x:t xml:space="preserve">Is there any independent assurance (internal audit, external review) that confirms reality matches what we report?</x:t>
        </x:is>
      </x:c>
      <x:c r="J210" s="3" t="inlineStr">
        <x:is>
          <x:t xml:space="preserve">This directly supports the Structural Integrity goal (avoid ‘paper dragon’).</x:t>
        </x:is>
      </x:c>
      <x:c r="K210" s="3" t="inlineStr">
        <x:is>
          <x:t xml:space="preserve">Drill-down; end</x:t>
        </x:is>
      </x:c>
      <x:c r="L210" s="3" t="inlineStr">
        <x:is>
          <x:t xml:space="preserve">GOV_STD</x:t>
        </x:is>
      </x:c>
      <x:c r="M210" s="3" t="n">
        <x:v>1</x:v>
      </x:c>
      <x:c r="N210" s="3" t="n"/>
      <x:c r="O210" s="3" t="n"/>
      <x:c r="P210" s="3" t="inlineStr">
        <x:is>
          <x:t xml:space="preserve">EXCO-D8-Q04-A3</x:t>
        </x:is>
      </x:c>
      <x:c r="Q210" s="3" t="n">
        <x:v>4</x:v>
      </x:c>
      <x:c r="R210" s="3" t="inlineStr">
        <x:is>
          <x:t xml:space="preserve">Internal audit reviews exist but focus mainly on policy compliance.</x:t>
        </x:is>
      </x:c>
      <x:c r="S210" s="3" t="n">
        <x:v>2</x:v>
      </x:c>
      <x:c r="T210" s="3" t="inlineStr">
        <x:is>
          <x:t xml:space="preserve">paper_process</x:t>
        </x:is>
      </x:c>
      <x:c r="U210" s="3" t="inlineStr">
        <x:is>
          <x:t xml:space="preserve">Paper Dragon</x:t>
        </x:is>
      </x:c>
      <x:c r="V210" s="3" t="inlineStr">
        <x:is>
          <x:t xml:space="preserve">Assurance_On_Reality</x:t>
        </x:is>
      </x:c>
      <x:c r="W210" s="3" t="inlineStr">
        <x:is>
          <x:t xml:space="preserve">N</x:t>
        </x:is>
      </x:c>
      <x:c r="X210" s="3" t="inlineStr">
        <x:is>
          <x:t xml:space="preserve"/>
        </x:is>
      </x:c>
      <x:c r="Y210" s="6">
        <x:f>(S210*IF(E210="G",F210,0))+(S210*IF(G210="G",H210,0))</x:f>
      </x:c>
      <x:c r="Z210" s="6">
        <x:f>(S210*IF(E210="E",F210,0))+(S210*IF(G210="E",H210,0))</x:f>
      </x:c>
      <x:c r="AA210" s="6">
        <x:f>(S210*IF(E210="T",F210,0))+(S210*IF(G210="T",H210,0))</x:f>
      </x:c>
      <x:c r="AB210" s="6">
        <x:f>(S210*IF(E210="L",F210,0))+(S210*IF(G210="L",H210,0))</x:f>
      </x:c>
      <x:c r="AC210" s="6">
        <x:f>(S210*IF(E210="H",F210,0))+(S210*IF(G210="H",H210,0))</x:f>
      </x:c>
      <x:c r="AD210" s="6">
        <x:f>(S210*IF(E210="V",F210,0))+(S210*IF(G210="V",H210,0))</x:f>
      </x:c>
      <x:c r="AE210" s="6">
        <x:f>(S210*IF(E210="R",F210,0))+(S210*IF(G210="R",H210,0))</x:f>
      </x:c>
      <x:c r="AF210" s="6">
        <x:f>(S210*IF(E210="F",F210,0))+(S210*IF(G210="F",H210,0))</x:f>
      </x:c>
      <x:c r="AG210" s="6">
        <x:f>(S210*IF(E210="W",F210,0))+(S210*IF(G210="W",H210,0))</x:f>
      </x:c>
    </x:row>
    <x:row r="211">
      <x:c r="A211" s="3" t="inlineStr">
        <x:is>
          <x:t xml:space="preserve">Executive</x:t>
        </x:is>
      </x:c>
      <x:c r="B211" s="3" t="inlineStr">
        <x:is>
          <x:t xml:space="preserve">EXCO-D8-Q04</x:t>
        </x:is>
      </x:c>
      <x:c r="C211" s="3" t="inlineStr">
        <x:is>
          <x:t xml:space="preserve">T3</x:t>
        </x:is>
      </x:c>
      <x:c r="D211" s="3" t="inlineStr">
        <x:is>
          <x:t xml:space="preserve">8. Performance &amp; Assurance</x:t>
        </x:is>
      </x:c>
      <x:c r="E211" s="3" t="inlineStr">
        <x:is>
          <x:t xml:space="preserve">G</x:t>
        </x:is>
      </x:c>
      <x:c r="F211" s="3" t="n">
        <x:v>0.5</x:v>
      </x:c>
      <x:c r="G211" s="3" t="inlineStr">
        <x:is>
          <x:t xml:space="preserve">R</x:t>
        </x:is>
      </x:c>
      <x:c r="H211" s="3" t="n">
        <x:v>0.5</x:v>
      </x:c>
      <x:c r="I211" s="3" t="inlineStr">
        <x:is>
          <x:t xml:space="preserve">Is there any independent assurance (internal audit, external review) that confirms reality matches what we report?</x:t>
        </x:is>
      </x:c>
      <x:c r="J211" s="3" t="inlineStr">
        <x:is>
          <x:t xml:space="preserve">This directly supports the Structural Integrity goal (avoid ‘paper dragon’).</x:t>
        </x:is>
      </x:c>
      <x:c r="K211" s="3" t="inlineStr">
        <x:is>
          <x:t xml:space="preserve">Drill-down; end</x:t>
        </x:is>
      </x:c>
      <x:c r="L211" s="3" t="inlineStr">
        <x:is>
          <x:t xml:space="preserve">GOV_STD</x:t>
        </x:is>
      </x:c>
      <x:c r="M211" s="3" t="n">
        <x:v>1</x:v>
      </x:c>
      <x:c r="N211" s="3" t="n"/>
      <x:c r="O211" s="3" t="n"/>
      <x:c r="P211" s="3" t="inlineStr">
        <x:is>
          <x:t xml:space="preserve">EXCO-D8-Q04-A4</x:t>
        </x:is>
      </x:c>
      <x:c r="Q211" s="3" t="n">
        <x:v>5</x:v>
      </x:c>
      <x:c r="R211" s="3" t="inlineStr">
        <x:is>
          <x:t xml:space="preserve">Independent review confirms operational reality (sampling of cases/logs/process usage).</x:t>
        </x:is>
      </x:c>
      <x:c r="S211" s="3" t="n">
        <x:v>3</x:v>
      </x:c>
      <x:c r="T211" s="3" t="inlineStr">
        <x:is>
          <x:t xml:space="preserve">good_practice</x:t>
        </x:is>
      </x:c>
      <x:c r="U211" s="3" t="inlineStr">
        <x:is>
          <x:t xml:space="preserve"/>
        </x:is>
      </x:c>
      <x:c r="V211" s="3" t="inlineStr">
        <x:is>
          <x:t xml:space="preserve">Request_Evidence</x:t>
        </x:is>
      </x:c>
      <x:c r="W211" s="3" t="inlineStr">
        <x:is>
          <x:t xml:space="preserve">Y</x:t>
        </x:is>
      </x:c>
      <x:c r="X211" s="3" t="inlineStr">
        <x:is>
          <x:t xml:space="preserve"/>
        </x:is>
      </x:c>
      <x:c r="Y211" s="6">
        <x:f>(S211*IF(E211="G",F211,0))+(S211*IF(G211="G",H211,0))</x:f>
      </x:c>
      <x:c r="Z211" s="6">
        <x:f>(S211*IF(E211="E",F211,0))+(S211*IF(G211="E",H211,0))</x:f>
      </x:c>
      <x:c r="AA211" s="6">
        <x:f>(S211*IF(E211="T",F211,0))+(S211*IF(G211="T",H211,0))</x:f>
      </x:c>
      <x:c r="AB211" s="6">
        <x:f>(S211*IF(E211="L",F211,0))+(S211*IF(G211="L",H211,0))</x:f>
      </x:c>
      <x:c r="AC211" s="6">
        <x:f>(S211*IF(E211="H",F211,0))+(S211*IF(G211="H",H211,0))</x:f>
      </x:c>
      <x:c r="AD211" s="6">
        <x:f>(S211*IF(E211="V",F211,0))+(S211*IF(G211="V",H211,0))</x:f>
      </x:c>
      <x:c r="AE211" s="6">
        <x:f>(S211*IF(E211="R",F211,0))+(S211*IF(G211="R",H211,0))</x:f>
      </x:c>
      <x:c r="AF211" s="6">
        <x:f>(S211*IF(E211="F",F211,0))+(S211*IF(G211="F",H211,0))</x:f>
      </x:c>
      <x:c r="AG211" s="6">
        <x:f>(S211*IF(E211="W",F211,0))+(S211*IF(G211="W",H211,0))</x:f>
      </x:c>
    </x:row>
    <x:row r="212">
      <x:c r="A212" s="3" t="inlineStr">
        <x:is>
          <x:t xml:space="preserve">Executive</x:t>
        </x:is>
      </x:c>
      <x:c r="B212" s="3" t="inlineStr">
        <x:is>
          <x:t xml:space="preserve">EXCO-D8-Q04</x:t>
        </x:is>
      </x:c>
      <x:c r="C212" s="3" t="inlineStr">
        <x:is>
          <x:t xml:space="preserve">T3</x:t>
        </x:is>
      </x:c>
      <x:c r="D212" s="3" t="inlineStr">
        <x:is>
          <x:t xml:space="preserve">8. Performance &amp; Assurance</x:t>
        </x:is>
      </x:c>
      <x:c r="E212" s="3" t="inlineStr">
        <x:is>
          <x:t xml:space="preserve">G</x:t>
        </x:is>
      </x:c>
      <x:c r="F212" s="3" t="n">
        <x:v>0.5</x:v>
      </x:c>
      <x:c r="G212" s="3" t="inlineStr">
        <x:is>
          <x:t xml:space="preserve">R</x:t>
        </x:is>
      </x:c>
      <x:c r="H212" s="3" t="n">
        <x:v>0.5</x:v>
      </x:c>
      <x:c r="I212" s="3" t="inlineStr">
        <x:is>
          <x:t xml:space="preserve">Is there any independent assurance (internal audit, external review) that confirms reality matches what we report?</x:t>
        </x:is>
      </x:c>
      <x:c r="J212" s="3" t="inlineStr">
        <x:is>
          <x:t xml:space="preserve">This directly supports the Structural Integrity goal (avoid ‘paper dragon’).</x:t>
        </x:is>
      </x:c>
      <x:c r="K212" s="3" t="inlineStr">
        <x:is>
          <x:t xml:space="preserve">Drill-down; end</x:t>
        </x:is>
      </x:c>
      <x:c r="L212" s="3" t="inlineStr">
        <x:is>
          <x:t xml:space="preserve">GOV_STD</x:t>
        </x:is>
      </x:c>
      <x:c r="M212" s="3" t="n">
        <x:v>1</x:v>
      </x:c>
      <x:c r="N212" s="3" t="n"/>
      <x:c r="O212" s="3" t="n"/>
      <x:c r="P212" s="3" t="inlineStr">
        <x:is>
          <x:t xml:space="preserve">EXCO-D8-Q04-A5</x:t>
        </x:is>
      </x:c>
      <x:c r="Q212" s="3" t="n">
        <x:v>6</x:v>
      </x:c>
      <x:c r="R212" s="3" t="inlineStr">
        <x:is>
          <x:t xml:space="preserve">Regular independent assurance with sampling and remediation tracking; results inform investment.</x:t>
        </x:is>
      </x:c>
      <x:c r="S212" s="3" t="n">
        <x:v>4</x:v>
      </x:c>
      <x:c r="T212" s="3" t="inlineStr">
        <x:is>
          <x:t xml:space="preserve">optimized</x:t>
        </x:is>
      </x:c>
      <x:c r="U212" s="3" t="inlineStr">
        <x:is>
          <x:t xml:space="preserve"/>
        </x:is>
      </x:c>
      <x:c r="V212" s="3" t="inlineStr">
        <x:is>
          <x:t xml:space="preserve">Request_Evidence</x:t>
        </x:is>
      </x:c>
      <x:c r="W212" s="3" t="inlineStr">
        <x:is>
          <x:t xml:space="preserve">Y</x:t>
        </x:is>
      </x:c>
      <x:c r="X212" s="3" t="inlineStr">
        <x:is>
          <x:t xml:space="preserve"/>
        </x:is>
      </x:c>
      <x:c r="Y212" s="6">
        <x:f>(S212*IF(E212="G",F212,0))+(S212*IF(G212="G",H212,0))</x:f>
      </x:c>
      <x:c r="Z212" s="6">
        <x:f>(S212*IF(E212="E",F212,0))+(S212*IF(G212="E",H212,0))</x:f>
      </x:c>
      <x:c r="AA212" s="6">
        <x:f>(S212*IF(E212="T",F212,0))+(S212*IF(G212="T",H212,0))</x:f>
      </x:c>
      <x:c r="AB212" s="6">
        <x:f>(S212*IF(E212="L",F212,0))+(S212*IF(G212="L",H212,0))</x:f>
      </x:c>
      <x:c r="AC212" s="6">
        <x:f>(S212*IF(E212="H",F212,0))+(S212*IF(G212="H",H212,0))</x:f>
      </x:c>
      <x:c r="AD212" s="6">
        <x:f>(S212*IF(E212="V",F212,0))+(S212*IF(G212="V",H212,0))</x:f>
      </x:c>
      <x:c r="AE212" s="6">
        <x:f>(S212*IF(E212="R",F212,0))+(S212*IF(G212="R",H212,0))</x:f>
      </x:c>
      <x:c r="AF212" s="6">
        <x:f>(S212*IF(E212="F",F212,0))+(S212*IF(G212="F",H212,0))</x:f>
      </x:c>
      <x:c r="AG212" s="6">
        <x:f>(S212*IF(E212="W",F212,0))+(S212*IF(G212="W",H212,0))</x:f>
      </x:c>
    </x:row>
    <x:row r="213">
      <x:c r="A213" s="3" t="inlineStr">
        <x:is>
          <x:t xml:space="preserve">HR</x:t>
        </x:is>
      </x:c>
      <x:c r="B213" s="3" t="inlineStr">
        <x:is>
          <x:t xml:space="preserve">HR-D1-Q01</x:t>
        </x:is>
      </x:c>
      <x:c r="C213" s="3" t="inlineStr">
        <x:is>
          <x:t xml:space="preserve">T1</x:t>
        </x:is>
      </x:c>
      <x:c r="D213" s="3" t="inlineStr">
        <x:is>
          <x:t xml:space="preserve">1. HR Operating Model</x:t>
        </x:is>
      </x:c>
      <x:c r="E213" s="3" t="inlineStr">
        <x:is>
          <x:t xml:space="preserve">G</x:t>
        </x:is>
      </x:c>
      <x:c r="F213" s="3" t="n">
        <x:v>0.5</x:v>
      </x:c>
      <x:c r="G213" s="3" t="inlineStr">
        <x:is>
          <x:t xml:space="preserve">E</x:t>
        </x:is>
      </x:c>
      <x:c r="H213" s="3" t="n">
        <x:v>0.5</x:v>
      </x:c>
      <x:c r="I213" s="3" t="inlineStr">
        <x:is>
          <x:t xml:space="preserve">Is there a clear HR-facing mandate for insider risk (misuse, data theft, sabotage) and coordination with Security and Legal?</x:t>
        </x:is>
      </x:c>
      <x:c r="J213" s="3" t="inlineStr">
        <x:is>
          <x:t xml:space="preserve">Insider risk includes intentional or negligent harm by employees/contractors (e.g., data leakage, sabotage, fraud).</x:t>
        </x:is>
      </x:c>
      <x:c r="K213" s="3" t="inlineStr">
        <x:is>
          <x:t xml:space="preserve">Gatekeeper (If BaseScore &lt;2 → HR-D1-Q02; If ≥2 → HR-D1-Q03)</x:t>
        </x:is>
      </x:c>
      <x:c r="L213" s="3" t="inlineStr">
        <x:is>
          <x:t xml:space="preserve">GOV_STD</x:t>
        </x:is>
      </x:c>
      <x:c r="M213" s="3" t="n">
        <x:v>1</x:v>
      </x:c>
      <x:c r="N213" s="3" t="n"/>
      <x:c r="O213" s="3" t="n"/>
      <x:c r="P213" s="3" t="inlineStr">
        <x:is>
          <x:t xml:space="preserve">HR-D1-Q01-A0</x:t>
        </x:is>
      </x:c>
      <x:c r="Q213" s="3" t="n">
        <x:v>1</x:v>
      </x:c>
      <x:c r="R213" s="3" t="inlineStr">
        <x:is>
          <x:t xml:space="preserve">I don't know / Not sure.</x:t>
        </x:is>
      </x:c>
      <x:c r="S213" s="3" t="n">
        <x:v>0</x:v>
      </x:c>
      <x:c r="T213" s="3" t="inlineStr">
        <x:is>
          <x:t xml:space="preserve">low-confidence</x:t>
        </x:is>
      </x:c>
      <x:c r="U213" s="3" t="inlineStr">
        <x:is>
          <x:t xml:space="preserve">Operating Model Gap</x:t>
        </x:is>
      </x:c>
      <x:c r="V213" s="3" t="inlineStr">
        <x:is>
          <x:t xml:space="preserve">Clarify roles</x:t>
        </x:is>
      </x:c>
      <x:c r="W213" s="3" t="inlineStr">
        <x:is>
          <x:t xml:space="preserve">N</x:t>
        </x:is>
      </x:c>
      <x:c r="X213" s="3" t="inlineStr">
        <x:is>
          <x:t xml:space="preserve"/>
        </x:is>
      </x:c>
      <x:c r="Y213" s="6">
        <x:f>(S213*IF(E213="G",F213,0))+(S213*IF(G213="G",H213,0))</x:f>
      </x:c>
      <x:c r="Z213" s="6">
        <x:f>(S213*IF(E213="E",F213,0))+(S213*IF(G213="E",H213,0))</x:f>
      </x:c>
      <x:c r="AA213" s="6">
        <x:f>(S213*IF(E213="T",F213,0))+(S213*IF(G213="T",H213,0))</x:f>
      </x:c>
      <x:c r="AB213" s="6">
        <x:f>(S213*IF(E213="L",F213,0))+(S213*IF(G213="L",H213,0))</x:f>
      </x:c>
      <x:c r="AC213" s="6">
        <x:f>(S213*IF(E213="H",F213,0))+(S213*IF(G213="H",H213,0))</x:f>
      </x:c>
      <x:c r="AD213" s="6">
        <x:f>(S213*IF(E213="V",F213,0))+(S213*IF(G213="V",H213,0))</x:f>
      </x:c>
      <x:c r="AE213" s="6">
        <x:f>(S213*IF(E213="R",F213,0))+(S213*IF(G213="R",H213,0))</x:f>
      </x:c>
      <x:c r="AF213" s="6">
        <x:f>(S213*IF(E213="F",F213,0))+(S213*IF(G213="F",H213,0))</x:f>
      </x:c>
      <x:c r="AG213" s="6">
        <x:f>(S213*IF(E213="W",F213,0))+(S213*IF(G213="W",H213,0))</x:f>
      </x:c>
    </x:row>
    <x:row r="214">
      <x:c r="A214" s="3" t="inlineStr">
        <x:is>
          <x:t xml:space="preserve">HR</x:t>
        </x:is>
      </x:c>
      <x:c r="B214" s="3" t="inlineStr">
        <x:is>
          <x:t xml:space="preserve">HR-D1-Q01</x:t>
        </x:is>
      </x:c>
      <x:c r="C214" s="3" t="inlineStr">
        <x:is>
          <x:t xml:space="preserve">T1</x:t>
        </x:is>
      </x:c>
      <x:c r="D214" s="3" t="inlineStr">
        <x:is>
          <x:t xml:space="preserve">1. HR Operating Model</x:t>
        </x:is>
      </x:c>
      <x:c r="E214" s="3" t="inlineStr">
        <x:is>
          <x:t xml:space="preserve">G</x:t>
        </x:is>
      </x:c>
      <x:c r="F214" s="3" t="n">
        <x:v>0.5</x:v>
      </x:c>
      <x:c r="G214" s="3" t="inlineStr">
        <x:is>
          <x:t xml:space="preserve">E</x:t>
        </x:is>
      </x:c>
      <x:c r="H214" s="3" t="n">
        <x:v>0.5</x:v>
      </x:c>
      <x:c r="I214" s="3" t="inlineStr">
        <x:is>
          <x:t xml:space="preserve">Is there a clear HR-facing mandate for insider risk (misuse, data theft, sabotage) and coordination with Security and Legal?</x:t>
        </x:is>
      </x:c>
      <x:c r="J214" s="3" t="inlineStr">
        <x:is>
          <x:t xml:space="preserve">Insider risk includes intentional or negligent harm by employees/contractors (e.g., data leakage, sabotage, fraud).</x:t>
        </x:is>
      </x:c>
      <x:c r="K214" s="3" t="inlineStr">
        <x:is>
          <x:t xml:space="preserve">Gatekeeper (If BaseScore &lt;2 → HR-D1-Q02; If ≥2 → HR-D1-Q03)</x:t>
        </x:is>
      </x:c>
      <x:c r="L214" s="3" t="inlineStr">
        <x:is>
          <x:t xml:space="preserve">GOV_STD</x:t>
        </x:is>
      </x:c>
      <x:c r="M214" s="3" t="n">
        <x:v>1</x:v>
      </x:c>
      <x:c r="N214" s="3" t="n"/>
      <x:c r="O214" s="3" t="n"/>
      <x:c r="P214" s="3" t="inlineStr">
        <x:is>
          <x:t xml:space="preserve">HR-D1-Q01-A1</x:t>
        </x:is>
      </x:c>
      <x:c r="Q214" s="3" t="n">
        <x:v>2</x:v>
      </x:c>
      <x:c r="R214" s="3" t="inlineStr">
        <x:is>
          <x:t xml:space="preserve">None: HR treats these as 'IT problems' unless there is a major incident.</x:t>
        </x:is>
      </x:c>
      <x:c r="S214" s="3" t="n">
        <x:v>0</x:v>
      </x:c>
      <x:c r="T214" s="3" t="inlineStr">
        <x:is>
          <x:t xml:space="preserve">paper_dragon_signal</x:t>
        </x:is>
      </x:c>
      <x:c r="U214" s="3" t="inlineStr">
        <x:is>
          <x:t xml:space="preserve">Operating Model Gap</x:t>
        </x:is>
      </x:c>
      <x:c r="V214" s="3" t="inlineStr">
        <x:is>
          <x:t xml:space="preserve">Define operating model</x:t>
        </x:is>
      </x:c>
      <x:c r="W214" s="3" t="inlineStr">
        <x:is>
          <x:t xml:space="preserve">N</x:t>
        </x:is>
      </x:c>
      <x:c r="X214" s="3" t="inlineStr">
        <x:is>
          <x:t xml:space="preserve"/>
        </x:is>
      </x:c>
      <x:c r="Y214" s="6">
        <x:f>(S214*IF(E214="G",F214,0))+(S214*IF(G214="G",H214,0))</x:f>
      </x:c>
      <x:c r="Z214" s="6">
        <x:f>(S214*IF(E214="E",F214,0))+(S214*IF(G214="E",H214,0))</x:f>
      </x:c>
      <x:c r="AA214" s="6">
        <x:f>(S214*IF(E214="T",F214,0))+(S214*IF(G214="T",H214,0))</x:f>
      </x:c>
      <x:c r="AB214" s="6">
        <x:f>(S214*IF(E214="L",F214,0))+(S214*IF(G214="L",H214,0))</x:f>
      </x:c>
      <x:c r="AC214" s="6">
        <x:f>(S214*IF(E214="H",F214,0))+(S214*IF(G214="H",H214,0))</x:f>
      </x:c>
      <x:c r="AD214" s="6">
        <x:f>(S214*IF(E214="V",F214,0))+(S214*IF(G214="V",H214,0))</x:f>
      </x:c>
      <x:c r="AE214" s="6">
        <x:f>(S214*IF(E214="R",F214,0))+(S214*IF(G214="R",H214,0))</x:f>
      </x:c>
      <x:c r="AF214" s="6">
        <x:f>(S214*IF(E214="F",F214,0))+(S214*IF(G214="F",H214,0))</x:f>
      </x:c>
      <x:c r="AG214" s="6">
        <x:f>(S214*IF(E214="W",F214,0))+(S214*IF(G214="W",H214,0))</x:f>
      </x:c>
    </x:row>
    <x:row r="215">
      <x:c r="A215" s="3" t="inlineStr">
        <x:is>
          <x:t xml:space="preserve">HR</x:t>
        </x:is>
      </x:c>
      <x:c r="B215" s="3" t="inlineStr">
        <x:is>
          <x:t xml:space="preserve">HR-D1-Q01</x:t>
        </x:is>
      </x:c>
      <x:c r="C215" s="3" t="inlineStr">
        <x:is>
          <x:t xml:space="preserve">T1</x:t>
        </x:is>
      </x:c>
      <x:c r="D215" s="3" t="inlineStr">
        <x:is>
          <x:t xml:space="preserve">1. HR Operating Model</x:t>
        </x:is>
      </x:c>
      <x:c r="E215" s="3" t="inlineStr">
        <x:is>
          <x:t xml:space="preserve">G</x:t>
        </x:is>
      </x:c>
      <x:c r="F215" s="3" t="n">
        <x:v>0.5</x:v>
      </x:c>
      <x:c r="G215" s="3" t="inlineStr">
        <x:is>
          <x:t xml:space="preserve">E</x:t>
        </x:is>
      </x:c>
      <x:c r="H215" s="3" t="n">
        <x:v>0.5</x:v>
      </x:c>
      <x:c r="I215" s="3" t="inlineStr">
        <x:is>
          <x:t xml:space="preserve">Is there a clear HR-facing mandate for insider risk (misuse, data theft, sabotage) and coordination with Security and Legal?</x:t>
        </x:is>
      </x:c>
      <x:c r="J215" s="3" t="inlineStr">
        <x:is>
          <x:t xml:space="preserve">Insider risk includes intentional or negligent harm by employees/contractors (e.g., data leakage, sabotage, fraud).</x:t>
        </x:is>
      </x:c>
      <x:c r="K215" s="3" t="inlineStr">
        <x:is>
          <x:t xml:space="preserve">Gatekeeper (If BaseScore &lt;2 → HR-D1-Q02; If ≥2 → HR-D1-Q03)</x:t>
        </x:is>
      </x:c>
      <x:c r="L215" s="3" t="inlineStr">
        <x:is>
          <x:t xml:space="preserve">GOV_STD</x:t>
        </x:is>
      </x:c>
      <x:c r="M215" s="3" t="n">
        <x:v>1</x:v>
      </x:c>
      <x:c r="N215" s="3" t="n"/>
      <x:c r="O215" s="3" t="n"/>
      <x:c r="P215" s="3" t="inlineStr">
        <x:is>
          <x:t xml:space="preserve">HR-D1-Q01-A2</x:t>
        </x:is>
      </x:c>
      <x:c r="Q215" s="3" t="n">
        <x:v>3</x:v>
      </x:c>
      <x:c r="R215" s="3" t="inlineStr">
        <x:is>
          <x:t xml:space="preserve">Ad-hoc: HR coordinates only when Security/Legal asks (case-by-case).</x:t>
        </x:is>
      </x:c>
      <x:c r="S215" s="3" t="n">
        <x:v>1</x:v>
      </x:c>
      <x:c r="T215" s="3" t="inlineStr">
        <x:is>
          <x:t xml:space="preserve">shadow_mature_signal</x:t>
        </x:is>
      </x:c>
      <x:c r="U215" s="3" t="inlineStr">
        <x:is>
          <x:t xml:space="preserve">Operating Model Gap</x:t>
        </x:is>
      </x:c>
      <x:c r="V215" s="3" t="inlineStr">
        <x:is>
          <x:t xml:space="preserve">Define coordination cadence</x:t>
        </x:is>
      </x:c>
      <x:c r="W215" s="3" t="inlineStr">
        <x:is>
          <x:t xml:space="preserve">N</x:t>
        </x:is>
      </x:c>
      <x:c r="X215" s="3" t="inlineStr">
        <x:is>
          <x:t xml:space="preserve">Example: last case HR was involved in.</x:t>
        </x:is>
      </x:c>
      <x:c r="Y215" s="6">
        <x:f>(S215*IF(E215="G",F215,0))+(S215*IF(G215="G",H215,0))</x:f>
      </x:c>
      <x:c r="Z215" s="6">
        <x:f>(S215*IF(E215="E",F215,0))+(S215*IF(G215="E",H215,0))</x:f>
      </x:c>
      <x:c r="AA215" s="6">
        <x:f>(S215*IF(E215="T",F215,0))+(S215*IF(G215="T",H215,0))</x:f>
      </x:c>
      <x:c r="AB215" s="6">
        <x:f>(S215*IF(E215="L",F215,0))+(S215*IF(G215="L",H215,0))</x:f>
      </x:c>
      <x:c r="AC215" s="6">
        <x:f>(S215*IF(E215="H",F215,0))+(S215*IF(G215="H",H215,0))</x:f>
      </x:c>
      <x:c r="AD215" s="6">
        <x:f>(S215*IF(E215="V",F215,0))+(S215*IF(G215="V",H215,0))</x:f>
      </x:c>
      <x:c r="AE215" s="6">
        <x:f>(S215*IF(E215="R",F215,0))+(S215*IF(G215="R",H215,0))</x:f>
      </x:c>
      <x:c r="AF215" s="6">
        <x:f>(S215*IF(E215="F",F215,0))+(S215*IF(G215="F",H215,0))</x:f>
      </x:c>
      <x:c r="AG215" s="6">
        <x:f>(S215*IF(E215="W",F215,0))+(S215*IF(G215="W",H215,0))</x:f>
      </x:c>
    </x:row>
    <x:row r="216">
      <x:c r="A216" s="3" t="inlineStr">
        <x:is>
          <x:t xml:space="preserve">HR</x:t>
        </x:is>
      </x:c>
      <x:c r="B216" s="3" t="inlineStr">
        <x:is>
          <x:t xml:space="preserve">HR-D1-Q01</x:t>
        </x:is>
      </x:c>
      <x:c r="C216" s="3" t="inlineStr">
        <x:is>
          <x:t xml:space="preserve">T1</x:t>
        </x:is>
      </x:c>
      <x:c r="D216" s="3" t="inlineStr">
        <x:is>
          <x:t xml:space="preserve">1. HR Operating Model</x:t>
        </x:is>
      </x:c>
      <x:c r="E216" s="3" t="inlineStr">
        <x:is>
          <x:t xml:space="preserve">G</x:t>
        </x:is>
      </x:c>
      <x:c r="F216" s="3" t="n">
        <x:v>0.5</x:v>
      </x:c>
      <x:c r="G216" s="3" t="inlineStr">
        <x:is>
          <x:t xml:space="preserve">E</x:t>
        </x:is>
      </x:c>
      <x:c r="H216" s="3" t="n">
        <x:v>0.5</x:v>
      </x:c>
      <x:c r="I216" s="3" t="inlineStr">
        <x:is>
          <x:t xml:space="preserve">Is there a clear HR-facing mandate for insider risk (misuse, data theft, sabotage) and coordination with Security and Legal?</x:t>
        </x:is>
      </x:c>
      <x:c r="J216" s="3" t="inlineStr">
        <x:is>
          <x:t xml:space="preserve">Insider risk includes intentional or negligent harm by employees/contractors (e.g., data leakage, sabotage, fraud).</x:t>
        </x:is>
      </x:c>
      <x:c r="K216" s="3" t="inlineStr">
        <x:is>
          <x:t xml:space="preserve">Gatekeeper (If BaseScore &lt;2 → HR-D1-Q02; If ≥2 → HR-D1-Q03)</x:t>
        </x:is>
      </x:c>
      <x:c r="L216" s="3" t="inlineStr">
        <x:is>
          <x:t xml:space="preserve">GOV_STD</x:t>
        </x:is>
      </x:c>
      <x:c r="M216" s="3" t="n">
        <x:v>1</x:v>
      </x:c>
      <x:c r="N216" s="3" t="n"/>
      <x:c r="O216" s="3" t="n"/>
      <x:c r="P216" s="3" t="inlineStr">
        <x:is>
          <x:t xml:space="preserve">HR-D1-Q01-A3</x:t>
        </x:is>
      </x:c>
      <x:c r="Q216" s="3" t="n">
        <x:v>4</x:v>
      </x:c>
      <x:c r="R216" s="3" t="inlineStr">
        <x:is>
          <x:t xml:space="preserve">Defined: HR has a named contact and standard steps to coordinate with Security/Legal.</x:t>
        </x:is>
      </x:c>
      <x:c r="S216" s="3" t="n">
        <x:v>2</x:v>
      </x:c>
      <x:c r="T216" s="3" t="inlineStr">
        <x:is>
          <x:t xml:space="preserve"/>
        </x:is>
      </x:c>
      <x:c r="U216" s="3" t="inlineStr">
        <x:is>
          <x:t xml:space="preserve">Operating Model Gap</x:t>
        </x:is>
      </x:c>
      <x:c r="V216" s="3" t="inlineStr">
        <x:is>
          <x:t xml:space="preserve">Standardize workflow</x:t>
        </x:is>
      </x:c>
      <x:c r="W216" s="3" t="inlineStr">
        <x:is>
          <x:t xml:space="preserve">N</x:t>
        </x:is>
      </x:c>
      <x:c r="X216" s="3" t="inlineStr">
        <x:is>
          <x:t xml:space="preserve">Share the role name/title and a short process description.</x:t>
        </x:is>
      </x:c>
      <x:c r="Y216" s="6">
        <x:f>(S216*IF(E216="G",F216,0))+(S216*IF(G216="G",H216,0))</x:f>
      </x:c>
      <x:c r="Z216" s="6">
        <x:f>(S216*IF(E216="E",F216,0))+(S216*IF(G216="E",H216,0))</x:f>
      </x:c>
      <x:c r="AA216" s="6">
        <x:f>(S216*IF(E216="T",F216,0))+(S216*IF(G216="T",H216,0))</x:f>
      </x:c>
      <x:c r="AB216" s="6">
        <x:f>(S216*IF(E216="L",F216,0))+(S216*IF(G216="L",H216,0))</x:f>
      </x:c>
      <x:c r="AC216" s="6">
        <x:f>(S216*IF(E216="H",F216,0))+(S216*IF(G216="H",H216,0))</x:f>
      </x:c>
      <x:c r="AD216" s="6">
        <x:f>(S216*IF(E216="V",F216,0))+(S216*IF(G216="V",H216,0))</x:f>
      </x:c>
      <x:c r="AE216" s="6">
        <x:f>(S216*IF(E216="R",F216,0))+(S216*IF(G216="R",H216,0))</x:f>
      </x:c>
      <x:c r="AF216" s="6">
        <x:f>(S216*IF(E216="F",F216,0))+(S216*IF(G216="F",H216,0))</x:f>
      </x:c>
      <x:c r="AG216" s="6">
        <x:f>(S216*IF(E216="W",F216,0))+(S216*IF(G216="W",H216,0))</x:f>
      </x:c>
    </x:row>
    <x:row r="217">
      <x:c r="A217" s="3" t="inlineStr">
        <x:is>
          <x:t xml:space="preserve">HR</x:t>
        </x:is>
      </x:c>
      <x:c r="B217" s="3" t="inlineStr">
        <x:is>
          <x:t xml:space="preserve">HR-D1-Q01</x:t>
        </x:is>
      </x:c>
      <x:c r="C217" s="3" t="inlineStr">
        <x:is>
          <x:t xml:space="preserve">T1</x:t>
        </x:is>
      </x:c>
      <x:c r="D217" s="3" t="inlineStr">
        <x:is>
          <x:t xml:space="preserve">1. HR Operating Model</x:t>
        </x:is>
      </x:c>
      <x:c r="E217" s="3" t="inlineStr">
        <x:is>
          <x:t xml:space="preserve">G</x:t>
        </x:is>
      </x:c>
      <x:c r="F217" s="3" t="n">
        <x:v>0.5</x:v>
      </x:c>
      <x:c r="G217" s="3" t="inlineStr">
        <x:is>
          <x:t xml:space="preserve">E</x:t>
        </x:is>
      </x:c>
      <x:c r="H217" s="3" t="n">
        <x:v>0.5</x:v>
      </x:c>
      <x:c r="I217" s="3" t="inlineStr">
        <x:is>
          <x:t xml:space="preserve">Is there a clear HR-facing mandate for insider risk (misuse, data theft, sabotage) and coordination with Security and Legal?</x:t>
        </x:is>
      </x:c>
      <x:c r="J217" s="3" t="inlineStr">
        <x:is>
          <x:t xml:space="preserve">Insider risk includes intentional or negligent harm by employees/contractors (e.g., data leakage, sabotage, fraud).</x:t>
        </x:is>
      </x:c>
      <x:c r="K217" s="3" t="inlineStr">
        <x:is>
          <x:t xml:space="preserve">Gatekeeper (If BaseScore &lt;2 → HR-D1-Q02; If ≥2 → HR-D1-Q03)</x:t>
        </x:is>
      </x:c>
      <x:c r="L217" s="3" t="inlineStr">
        <x:is>
          <x:t xml:space="preserve">GOV_STD</x:t>
        </x:is>
      </x:c>
      <x:c r="M217" s="3" t="n">
        <x:v>1</x:v>
      </x:c>
      <x:c r="N217" s="3" t="n"/>
      <x:c r="O217" s="3" t="n"/>
      <x:c r="P217" s="3" t="inlineStr">
        <x:is>
          <x:t xml:space="preserve">HR-D1-Q01-A4</x:t>
        </x:is>
      </x:c>
      <x:c r="Q217" s="3" t="n">
        <x:v>5</x:v>
      </x:c>
      <x:c r="R217" s="3" t="inlineStr">
        <x:is>
          <x:t xml:space="preserve">Managed: Regular cross-functional check-ins and agreed decision rights for people-risk cases.</x:t>
        </x:is>
      </x:c>
      <x:c r="S217" s="3" t="n">
        <x:v>3</x:v>
      </x:c>
      <x:c r="T217" s="3" t="inlineStr">
        <x:is>
          <x:t xml:space="preserve"/>
        </x:is>
      </x:c>
      <x:c r="U217" s="3" t="inlineStr">
        <x:is>
          <x:t xml:space="preserve">Operating Model Gap</x:t>
        </x:is>
      </x:c>
      <x:c r="V217" s="3" t="inlineStr">
        <x:is>
          <x:t xml:space="preserve">Formalize governance</x:t>
        </x:is>
      </x:c>
      <x:c r="W217" s="3" t="inlineStr">
        <x:is>
          <x:t xml:space="preserve">N</x:t>
        </x:is>
      </x:c>
      <x:c r="X217" s="3" t="inlineStr">
        <x:is>
          <x:t xml:space="preserve">Evidence: meeting cadence, terms of reference.</x:t>
        </x:is>
      </x:c>
      <x:c r="Y217" s="6">
        <x:f>(S217*IF(E217="G",F217,0))+(S217*IF(G217="G",H217,0))</x:f>
      </x:c>
      <x:c r="Z217" s="6">
        <x:f>(S217*IF(E217="E",F217,0))+(S217*IF(G217="E",H217,0))</x:f>
      </x:c>
      <x:c r="AA217" s="6">
        <x:f>(S217*IF(E217="T",F217,0))+(S217*IF(G217="T",H217,0))</x:f>
      </x:c>
      <x:c r="AB217" s="6">
        <x:f>(S217*IF(E217="L",F217,0))+(S217*IF(G217="L",H217,0))</x:f>
      </x:c>
      <x:c r="AC217" s="6">
        <x:f>(S217*IF(E217="H",F217,0))+(S217*IF(G217="H",H217,0))</x:f>
      </x:c>
      <x:c r="AD217" s="6">
        <x:f>(S217*IF(E217="V",F217,0))+(S217*IF(G217="V",H217,0))</x:f>
      </x:c>
      <x:c r="AE217" s="6">
        <x:f>(S217*IF(E217="R",F217,0))+(S217*IF(G217="R",H217,0))</x:f>
      </x:c>
      <x:c r="AF217" s="6">
        <x:f>(S217*IF(E217="F",F217,0))+(S217*IF(G217="F",H217,0))</x:f>
      </x:c>
      <x:c r="AG217" s="6">
        <x:f>(S217*IF(E217="W",F217,0))+(S217*IF(G217="W",H217,0))</x:f>
      </x:c>
    </x:row>
    <x:row r="218">
      <x:c r="A218" s="3" t="inlineStr">
        <x:is>
          <x:t xml:space="preserve">HR</x:t>
        </x:is>
      </x:c>
      <x:c r="B218" s="3" t="inlineStr">
        <x:is>
          <x:t xml:space="preserve">HR-D1-Q01</x:t>
        </x:is>
      </x:c>
      <x:c r="C218" s="3" t="inlineStr">
        <x:is>
          <x:t xml:space="preserve">T1</x:t>
        </x:is>
      </x:c>
      <x:c r="D218" s="3" t="inlineStr">
        <x:is>
          <x:t xml:space="preserve">1. HR Operating Model</x:t>
        </x:is>
      </x:c>
      <x:c r="E218" s="3" t="inlineStr">
        <x:is>
          <x:t xml:space="preserve">G</x:t>
        </x:is>
      </x:c>
      <x:c r="F218" s="3" t="n">
        <x:v>0.5</x:v>
      </x:c>
      <x:c r="G218" s="3" t="inlineStr">
        <x:is>
          <x:t xml:space="preserve">E</x:t>
        </x:is>
      </x:c>
      <x:c r="H218" s="3" t="n">
        <x:v>0.5</x:v>
      </x:c>
      <x:c r="I218" s="3" t="inlineStr">
        <x:is>
          <x:t xml:space="preserve">Is there a clear HR-facing mandate for insider risk (misuse, data theft, sabotage) and coordination with Security and Legal?</x:t>
        </x:is>
      </x:c>
      <x:c r="J218" s="3" t="inlineStr">
        <x:is>
          <x:t xml:space="preserve">Insider risk includes intentional or negligent harm by employees/contractors (e.g., data leakage, sabotage, fraud).</x:t>
        </x:is>
      </x:c>
      <x:c r="K218" s="3" t="inlineStr">
        <x:is>
          <x:t xml:space="preserve">Gatekeeper (If BaseScore &lt;2 → HR-D1-Q02; If ≥2 → HR-D1-Q03)</x:t>
        </x:is>
      </x:c>
      <x:c r="L218" s="3" t="inlineStr">
        <x:is>
          <x:t xml:space="preserve">GOV_STD</x:t>
        </x:is>
      </x:c>
      <x:c r="M218" s="3" t="n">
        <x:v>1</x:v>
      </x:c>
      <x:c r="N218" s="3" t="n"/>
      <x:c r="O218" s="3" t="n"/>
      <x:c r="P218" s="3" t="inlineStr">
        <x:is>
          <x:t xml:space="preserve">HR-D1-Q01-A5</x:t>
        </x:is>
      </x:c>
      <x:c r="Q218" s="3" t="n">
        <x:v>6</x:v>
      </x:c>
      <x:c r="R218" s="3" t="inlineStr">
        <x:is>
          <x:t xml:space="preserve">Optimized: Exec sponsor expects HR/Security/Legal collaboration with KPIs and routine reporting.</x:t>
        </x:is>
      </x:c>
      <x:c r="S218" s="3" t="n">
        <x:v>4</x:v>
      </x:c>
      <x:c r="T218" s="3" t="inlineStr">
        <x:is>
          <x:t xml:space="preserve"/>
        </x:is>
      </x:c>
      <x:c r="U218" s="3" t="inlineStr">
        <x:is>
          <x:t xml:space="preserve">Operating Model Gap</x:t>
        </x:is>
      </x:c>
      <x:c r="V218" s="3" t="inlineStr">
        <x:is>
          <x:t xml:space="preserve">Maintain governance</x:t>
        </x:is>
      </x:c>
      <x:c r="W218" s="3" t="inlineStr">
        <x:is>
          <x:t xml:space="preserve">N</x:t>
        </x:is>
      </x:c>
      <x:c r="X218" s="3" t="inlineStr">
        <x:is>
          <x:t xml:space="preserve">Evidence: KPI pack, steering charter.</x:t>
        </x:is>
      </x:c>
      <x:c r="Y218" s="6">
        <x:f>(S218*IF(E218="G",F218,0))+(S218*IF(G218="G",H218,0))</x:f>
      </x:c>
      <x:c r="Z218" s="6">
        <x:f>(S218*IF(E218="E",F218,0))+(S218*IF(G218="E",H218,0))</x:f>
      </x:c>
      <x:c r="AA218" s="6">
        <x:f>(S218*IF(E218="T",F218,0))+(S218*IF(G218="T",H218,0))</x:f>
      </x:c>
      <x:c r="AB218" s="6">
        <x:f>(S218*IF(E218="L",F218,0))+(S218*IF(G218="L",H218,0))</x:f>
      </x:c>
      <x:c r="AC218" s="6">
        <x:f>(S218*IF(E218="H",F218,0))+(S218*IF(G218="H",H218,0))</x:f>
      </x:c>
      <x:c r="AD218" s="6">
        <x:f>(S218*IF(E218="V",F218,0))+(S218*IF(G218="V",H218,0))</x:f>
      </x:c>
      <x:c r="AE218" s="6">
        <x:f>(S218*IF(E218="R",F218,0))+(S218*IF(G218="R",H218,0))</x:f>
      </x:c>
      <x:c r="AF218" s="6">
        <x:f>(S218*IF(E218="F",F218,0))+(S218*IF(G218="F",H218,0))</x:f>
      </x:c>
      <x:c r="AG218" s="6">
        <x:f>(S218*IF(E218="W",F218,0))+(S218*IF(G218="W",H218,0))</x:f>
      </x:c>
    </x:row>
    <x:row r="219">
      <x:c r="A219" s="3" t="inlineStr">
        <x:is>
          <x:t xml:space="preserve">HR</x:t>
        </x:is>
      </x:c>
      <x:c r="B219" s="3" t="inlineStr">
        <x:is>
          <x:t xml:space="preserve">HR-D1-Q02</x:t>
        </x:is>
      </x:c>
      <x:c r="C219" s="3" t="inlineStr">
        <x:is>
          <x:t xml:space="preserve">T2</x:t>
        </x:is>
      </x:c>
      <x:c r="D219" s="3" t="inlineStr">
        <x:is>
          <x:t xml:space="preserve">1. HR Operating Model</x:t>
        </x:is>
      </x:c>
      <x:c r="E219" s="3" t="inlineStr">
        <x:is>
          <x:t xml:space="preserve">E</x:t>
        </x:is>
      </x:c>
      <x:c r="F219" s="3" t="n">
        <x:v>1</x:v>
      </x:c>
      <x:c r="G219" s="3" t="inlineStr">
        <x:is>
          <x:t xml:space="preserve">-</x:t>
        </x:is>
      </x:c>
      <x:c r="H219" s="3" t="inlineStr">
        <x:is>
          <x:t xml:space="preserve"/>
        </x:is>
      </x:c>
      <x:c r="I219" s="3" t="inlineStr">
        <x:is>
          <x:t xml:space="preserve">(Shadow probe) Even without formal governance, do HR and Security coordinate quickly when a concern is raised?</x:t>
        </x:is>
      </x:c>
      <x:c r="J219" s="3" t="inlineStr">
        <x:is>
          <x:t xml:space="preserve">Checks real habits vs formal structure.</x:t>
        </x:is>
      </x:c>
      <x:c r="K219" s="3" t="inlineStr">
        <x:is>
          <x:t xml:space="preserve">Shadow fallback (Then → HR-D2-Q05)</x:t>
        </x:is>
      </x:c>
      <x:c r="L219" s="3" t="inlineStr">
        <x:is>
          <x:t xml:space="preserve">OPS_STD</x:t>
        </x:is>
      </x:c>
      <x:c r="M219" s="3" t="n">
        <x:v>1</x:v>
      </x:c>
      <x:c r="N219" s="3" t="n"/>
      <x:c r="O219" s="3" t="n"/>
      <x:c r="P219" s="3" t="inlineStr">
        <x:is>
          <x:t xml:space="preserve">HR-D1-Q02-A1</x:t>
        </x:is>
      </x:c>
      <x:c r="Q219" s="3" t="n">
        <x:v>1</x:v>
      </x:c>
      <x:c r="R219" s="3" t="inlineStr">
        <x:is>
          <x:t xml:space="preserve">No: HR and Security operate separately; coordination is slow or rare.</x:t>
        </x:is>
      </x:c>
      <x:c r="S219" s="3" t="n">
        <x:v>0</x:v>
      </x:c>
      <x:c r="T219" s="3" t="inlineStr">
        <x:is>
          <x:t xml:space="preserve">paper_dragon_signal</x:t>
        </x:is>
      </x:c>
      <x:c r="U219" s="3" t="inlineStr">
        <x:is>
          <x:t xml:space="preserve">Operating Model Gap</x:t>
        </x:is>
      </x:c>
      <x:c r="V219" s="3" t="inlineStr">
        <x:is>
          <x:t xml:space="preserve">Set coordination trigger</x:t>
        </x:is>
      </x:c>
      <x:c r="W219" s="3" t="inlineStr">
        <x:is>
          <x:t xml:space="preserve">N</x:t>
        </x:is>
      </x:c>
      <x:c r="X219" s="3" t="inlineStr">
        <x:is>
          <x:t xml:space="preserve"/>
        </x:is>
      </x:c>
      <x:c r="Y219" s="6">
        <x:f>(S219*IF(E219="G",F219,0))+(S219*IF(G219="G",H219,0))</x:f>
      </x:c>
      <x:c r="Z219" s="6">
        <x:f>(S219*IF(E219="E",F219,0))+(S219*IF(G219="E",H219,0))</x:f>
      </x:c>
      <x:c r="AA219" s="6">
        <x:f>(S219*IF(E219="T",F219,0))+(S219*IF(G219="T",H219,0))</x:f>
      </x:c>
      <x:c r="AB219" s="6">
        <x:f>(S219*IF(E219="L",F219,0))+(S219*IF(G219="L",H219,0))</x:f>
      </x:c>
      <x:c r="AC219" s="6">
        <x:f>(S219*IF(E219="H",F219,0))+(S219*IF(G219="H",H219,0))</x:f>
      </x:c>
      <x:c r="AD219" s="6">
        <x:f>(S219*IF(E219="V",F219,0))+(S219*IF(G219="V",H219,0))</x:f>
      </x:c>
      <x:c r="AE219" s="6">
        <x:f>(S219*IF(E219="R",F219,0))+(S219*IF(G219="R",H219,0))</x:f>
      </x:c>
      <x:c r="AF219" s="6">
        <x:f>(S219*IF(E219="F",F219,0))+(S219*IF(G219="F",H219,0))</x:f>
      </x:c>
      <x:c r="AG219" s="6">
        <x:f>(S219*IF(E219="W",F219,0))+(S219*IF(G219="W",H219,0))</x:f>
      </x:c>
    </x:row>
    <x:row r="220">
      <x:c r="A220" s="3" t="inlineStr">
        <x:is>
          <x:t xml:space="preserve">HR</x:t>
        </x:is>
      </x:c>
      <x:c r="B220" s="3" t="inlineStr">
        <x:is>
          <x:t xml:space="preserve">HR-D1-Q02</x:t>
        </x:is>
      </x:c>
      <x:c r="C220" s="3" t="inlineStr">
        <x:is>
          <x:t xml:space="preserve">T2</x:t>
        </x:is>
      </x:c>
      <x:c r="D220" s="3" t="inlineStr">
        <x:is>
          <x:t xml:space="preserve">1. HR Operating Model</x:t>
        </x:is>
      </x:c>
      <x:c r="E220" s="3" t="inlineStr">
        <x:is>
          <x:t xml:space="preserve">E</x:t>
        </x:is>
      </x:c>
      <x:c r="F220" s="3" t="n">
        <x:v>1</x:v>
      </x:c>
      <x:c r="G220" s="3" t="inlineStr">
        <x:is>
          <x:t xml:space="preserve">-</x:t>
        </x:is>
      </x:c>
      <x:c r="H220" s="3" t="inlineStr">
        <x:is>
          <x:t xml:space="preserve"/>
        </x:is>
      </x:c>
      <x:c r="I220" s="3" t="inlineStr">
        <x:is>
          <x:t xml:space="preserve">(Shadow probe) Even without formal governance, do HR and Security coordinate quickly when a concern is raised?</x:t>
        </x:is>
      </x:c>
      <x:c r="J220" s="3" t="inlineStr">
        <x:is>
          <x:t xml:space="preserve">Checks real habits vs formal structure.</x:t>
        </x:is>
      </x:c>
      <x:c r="K220" s="3" t="inlineStr">
        <x:is>
          <x:t xml:space="preserve">Shadow fallback (Then → HR-D2-Q05)</x:t>
        </x:is>
      </x:c>
      <x:c r="L220" s="3" t="inlineStr">
        <x:is>
          <x:t xml:space="preserve">OPS_STD</x:t>
        </x:is>
      </x:c>
      <x:c r="M220" s="3" t="n">
        <x:v>1</x:v>
      </x:c>
      <x:c r="N220" s="3" t="n"/>
      <x:c r="O220" s="3" t="n"/>
      <x:c r="P220" s="3" t="inlineStr">
        <x:is>
          <x:t xml:space="preserve">HR-D1-Q02-A2</x:t>
        </x:is>
      </x:c>
      <x:c r="Q220" s="3" t="n">
        <x:v>2</x:v>
      </x:c>
      <x:c r="R220" s="3" t="inlineStr">
        <x:is>
          <x:t xml:space="preserve">Sometimes: depends on personal relationships; not consistent.</x:t>
        </x:is>
      </x:c>
      <x:c r="S220" s="3" t="n">
        <x:v>1</x:v>
      </x:c>
      <x:c r="T220" s="3" t="inlineStr">
        <x:is>
          <x:t xml:space="preserve">key_person_dependency,shadow_mature_signal</x:t>
        </x:is>
      </x:c>
      <x:c r="U220" s="3" t="inlineStr">
        <x:is>
          <x:t xml:space="preserve">Operating Model Gap</x:t>
        </x:is>
      </x:c>
      <x:c r="V220" s="3" t="inlineStr">
        <x:is>
          <x:t xml:space="preserve">Create standard escalation path</x:t>
        </x:is>
      </x:c>
      <x:c r="W220" s="3" t="inlineStr">
        <x:is>
          <x:t xml:space="preserve">N</x:t>
        </x:is>
      </x:c>
      <x:c r="X220" s="3" t="inlineStr">
        <x:is>
          <x:t xml:space="preserve"/>
        </x:is>
      </x:c>
      <x:c r="Y220" s="6">
        <x:f>(S220*IF(E220="G",F220,0))+(S220*IF(G220="G",H220,0))</x:f>
      </x:c>
      <x:c r="Z220" s="6">
        <x:f>(S220*IF(E220="E",F220,0))+(S220*IF(G220="E",H220,0))</x:f>
      </x:c>
      <x:c r="AA220" s="6">
        <x:f>(S220*IF(E220="T",F220,0))+(S220*IF(G220="T",H220,0))</x:f>
      </x:c>
      <x:c r="AB220" s="6">
        <x:f>(S220*IF(E220="L",F220,0))+(S220*IF(G220="L",H220,0))</x:f>
      </x:c>
      <x:c r="AC220" s="6">
        <x:f>(S220*IF(E220="H",F220,0))+(S220*IF(G220="H",H220,0))</x:f>
      </x:c>
      <x:c r="AD220" s="6">
        <x:f>(S220*IF(E220="V",F220,0))+(S220*IF(G220="V",H220,0))</x:f>
      </x:c>
      <x:c r="AE220" s="6">
        <x:f>(S220*IF(E220="R",F220,0))+(S220*IF(G220="R",H220,0))</x:f>
      </x:c>
      <x:c r="AF220" s="6">
        <x:f>(S220*IF(E220="F",F220,0))+(S220*IF(G220="F",H220,0))</x:f>
      </x:c>
      <x:c r="AG220" s="6">
        <x:f>(S220*IF(E220="W",F220,0))+(S220*IF(G220="W",H220,0))</x:f>
      </x:c>
    </x:row>
    <x:row r="221">
      <x:c r="A221" s="3" t="inlineStr">
        <x:is>
          <x:t xml:space="preserve">HR</x:t>
        </x:is>
      </x:c>
      <x:c r="B221" s="3" t="inlineStr">
        <x:is>
          <x:t xml:space="preserve">HR-D1-Q02</x:t>
        </x:is>
      </x:c>
      <x:c r="C221" s="3" t="inlineStr">
        <x:is>
          <x:t xml:space="preserve">T2</x:t>
        </x:is>
      </x:c>
      <x:c r="D221" s="3" t="inlineStr">
        <x:is>
          <x:t xml:space="preserve">1. HR Operating Model</x:t>
        </x:is>
      </x:c>
      <x:c r="E221" s="3" t="inlineStr">
        <x:is>
          <x:t xml:space="preserve">E</x:t>
        </x:is>
      </x:c>
      <x:c r="F221" s="3" t="n">
        <x:v>1</x:v>
      </x:c>
      <x:c r="G221" s="3" t="inlineStr">
        <x:is>
          <x:t xml:space="preserve">-</x:t>
        </x:is>
      </x:c>
      <x:c r="H221" s="3" t="inlineStr">
        <x:is>
          <x:t xml:space="preserve"/>
        </x:is>
      </x:c>
      <x:c r="I221" s="3" t="inlineStr">
        <x:is>
          <x:t xml:space="preserve">(Shadow probe) Even without formal governance, do HR and Security coordinate quickly when a concern is raised?</x:t>
        </x:is>
      </x:c>
      <x:c r="J221" s="3" t="inlineStr">
        <x:is>
          <x:t xml:space="preserve">Checks real habits vs formal structure.</x:t>
        </x:is>
      </x:c>
      <x:c r="K221" s="3" t="inlineStr">
        <x:is>
          <x:t xml:space="preserve">Shadow fallback (Then → HR-D2-Q05)</x:t>
        </x:is>
      </x:c>
      <x:c r="L221" s="3" t="inlineStr">
        <x:is>
          <x:t xml:space="preserve">OPS_STD</x:t>
        </x:is>
      </x:c>
      <x:c r="M221" s="3" t="n">
        <x:v>1</x:v>
      </x:c>
      <x:c r="N221" s="3" t="n"/>
      <x:c r="O221" s="3" t="n"/>
      <x:c r="P221" s="3" t="inlineStr">
        <x:is>
          <x:t xml:space="preserve">HR-D1-Q02-A3</x:t>
        </x:is>
      </x:c>
      <x:c r="Q221" s="3" t="n">
        <x:v>3</x:v>
      </x:c>
      <x:c r="R221" s="3" t="inlineStr">
        <x:is>
          <x:t xml:space="preserve">Usually: HR and Security have an agreed way to connect within days.</x:t>
        </x:is>
      </x:c>
      <x:c r="S221" s="3" t="n">
        <x:v>2</x:v>
      </x:c>
      <x:c r="T221" s="3" t="inlineStr">
        <x:is>
          <x:t xml:space="preserve"/>
        </x:is>
      </x:c>
      <x:c r="U221" s="3" t="inlineStr">
        <x:is>
          <x:t xml:space="preserve">Operating Model Gap</x:t>
        </x:is>
      </x:c>
      <x:c r="V221" s="3" t="inlineStr">
        <x:is>
          <x:t xml:space="preserve">Document escalation</x:t>
        </x:is>
      </x:c>
      <x:c r="W221" s="3" t="inlineStr">
        <x:is>
          <x:t xml:space="preserve">N</x:t>
        </x:is>
      </x:c>
      <x:c r="X221" s="3" t="inlineStr">
        <x:is>
          <x:t xml:space="preserve">Example: typical response time.</x:t>
        </x:is>
      </x:c>
      <x:c r="Y221" s="6">
        <x:f>(S221*IF(E221="G",F221,0))+(S221*IF(G221="G",H221,0))</x:f>
      </x:c>
      <x:c r="Z221" s="6">
        <x:f>(S221*IF(E221="E",F221,0))+(S221*IF(G221="E",H221,0))</x:f>
      </x:c>
      <x:c r="AA221" s="6">
        <x:f>(S221*IF(E221="T",F221,0))+(S221*IF(G221="T",H221,0))</x:f>
      </x:c>
      <x:c r="AB221" s="6">
        <x:f>(S221*IF(E221="L",F221,0))+(S221*IF(G221="L",H221,0))</x:f>
      </x:c>
      <x:c r="AC221" s="6">
        <x:f>(S221*IF(E221="H",F221,0))+(S221*IF(G221="H",H221,0))</x:f>
      </x:c>
      <x:c r="AD221" s="6">
        <x:f>(S221*IF(E221="V",F221,0))+(S221*IF(G221="V",H221,0))</x:f>
      </x:c>
      <x:c r="AE221" s="6">
        <x:f>(S221*IF(E221="R",F221,0))+(S221*IF(G221="R",H221,0))</x:f>
      </x:c>
      <x:c r="AF221" s="6">
        <x:f>(S221*IF(E221="F",F221,0))+(S221*IF(G221="F",H221,0))</x:f>
      </x:c>
      <x:c r="AG221" s="6">
        <x:f>(S221*IF(E221="W",F221,0))+(S221*IF(G221="W",H221,0))</x:f>
      </x:c>
    </x:row>
    <x:row r="222">
      <x:c r="A222" s="3" t="inlineStr">
        <x:is>
          <x:t xml:space="preserve">HR</x:t>
        </x:is>
      </x:c>
      <x:c r="B222" s="3" t="inlineStr">
        <x:is>
          <x:t xml:space="preserve">HR-D1-Q02</x:t>
        </x:is>
      </x:c>
      <x:c r="C222" s="3" t="inlineStr">
        <x:is>
          <x:t xml:space="preserve">T2</x:t>
        </x:is>
      </x:c>
      <x:c r="D222" s="3" t="inlineStr">
        <x:is>
          <x:t xml:space="preserve">1. HR Operating Model</x:t>
        </x:is>
      </x:c>
      <x:c r="E222" s="3" t="inlineStr">
        <x:is>
          <x:t xml:space="preserve">E</x:t>
        </x:is>
      </x:c>
      <x:c r="F222" s="3" t="n">
        <x:v>1</x:v>
      </x:c>
      <x:c r="G222" s="3" t="inlineStr">
        <x:is>
          <x:t xml:space="preserve">-</x:t>
        </x:is>
      </x:c>
      <x:c r="H222" s="3" t="inlineStr">
        <x:is>
          <x:t xml:space="preserve"/>
        </x:is>
      </x:c>
      <x:c r="I222" s="3" t="inlineStr">
        <x:is>
          <x:t xml:space="preserve">(Shadow probe) Even without formal governance, do HR and Security coordinate quickly when a concern is raised?</x:t>
        </x:is>
      </x:c>
      <x:c r="J222" s="3" t="inlineStr">
        <x:is>
          <x:t xml:space="preserve">Checks real habits vs formal structure.</x:t>
        </x:is>
      </x:c>
      <x:c r="K222" s="3" t="inlineStr">
        <x:is>
          <x:t xml:space="preserve">Shadow fallback (Then → HR-D2-Q05)</x:t>
        </x:is>
      </x:c>
      <x:c r="L222" s="3" t="inlineStr">
        <x:is>
          <x:t xml:space="preserve">OPS_STD</x:t>
        </x:is>
      </x:c>
      <x:c r="M222" s="3" t="n">
        <x:v>1</x:v>
      </x:c>
      <x:c r="N222" s="3" t="n"/>
      <x:c r="O222" s="3" t="n"/>
      <x:c r="P222" s="3" t="inlineStr">
        <x:is>
          <x:t xml:space="preserve">HR-D1-Q02-A4</x:t>
        </x:is>
      </x:c>
      <x:c r="Q222" s="3" t="n">
        <x:v>4</x:v>
      </x:c>
      <x:c r="R222" s="3" t="inlineStr">
        <x:is>
          <x:t xml:space="preserve">Yes: HR and Security coordinate within 24–48 hours for relevant concerns.</x:t>
        </x:is>
      </x:c>
      <x:c r="S222" s="3" t="n">
        <x:v>3</x:v>
      </x:c>
      <x:c r="T222" s="3" t="inlineStr">
        <x:is>
          <x:t xml:space="preserve"/>
        </x:is>
      </x:c>
      <x:c r="U222" s="3" t="inlineStr">
        <x:is>
          <x:t xml:space="preserve">Operating Model Gap</x:t>
        </x:is>
      </x:c>
      <x:c r="V222" s="3" t="inlineStr">
        <x:is>
          <x:t xml:space="preserve">Maintain and test workflow</x:t>
        </x:is>
      </x:c>
      <x:c r="W222" s="3" t="inlineStr">
        <x:is>
          <x:t xml:space="preserve">N</x:t>
        </x:is>
      </x:c>
      <x:c r="X222" s="3" t="inlineStr">
        <x:is>
          <x:t xml:space="preserve">Evidence: redacted case timeline or process.</x:t>
        </x:is>
      </x:c>
      <x:c r="Y222" s="6">
        <x:f>(S222*IF(E222="G",F222,0))+(S222*IF(G222="G",H222,0))</x:f>
      </x:c>
      <x:c r="Z222" s="6">
        <x:f>(S222*IF(E222="E",F222,0))+(S222*IF(G222="E",H222,0))</x:f>
      </x:c>
      <x:c r="AA222" s="6">
        <x:f>(S222*IF(E222="T",F222,0))+(S222*IF(G222="T",H222,0))</x:f>
      </x:c>
      <x:c r="AB222" s="6">
        <x:f>(S222*IF(E222="L",F222,0))+(S222*IF(G222="L",H222,0))</x:f>
      </x:c>
      <x:c r="AC222" s="6">
        <x:f>(S222*IF(E222="H",F222,0))+(S222*IF(G222="H",H222,0))</x:f>
      </x:c>
      <x:c r="AD222" s="6">
        <x:f>(S222*IF(E222="V",F222,0))+(S222*IF(G222="V",H222,0))</x:f>
      </x:c>
      <x:c r="AE222" s="6">
        <x:f>(S222*IF(E222="R",F222,0))+(S222*IF(G222="R",H222,0))</x:f>
      </x:c>
      <x:c r="AF222" s="6">
        <x:f>(S222*IF(E222="F",F222,0))+(S222*IF(G222="F",H222,0))</x:f>
      </x:c>
      <x:c r="AG222" s="6">
        <x:f>(S222*IF(E222="W",F222,0))+(S222*IF(G222="W",H222,0))</x:f>
      </x:c>
    </x:row>
    <x:row r="223">
      <x:c r="A223" s="3" t="inlineStr">
        <x:is>
          <x:t xml:space="preserve">HR</x:t>
        </x:is>
      </x:c>
      <x:c r="B223" s="3" t="inlineStr">
        <x:is>
          <x:t xml:space="preserve">HR-D1-Q03</x:t>
        </x:is>
      </x:c>
      <x:c r="C223" s="3" t="inlineStr">
        <x:is>
          <x:t xml:space="preserve">T2</x:t>
        </x:is>
      </x:c>
      <x:c r="D223" s="3" t="inlineStr">
        <x:is>
          <x:t xml:space="preserve">1. HR Operating Model</x:t>
        </x:is>
      </x:c>
      <x:c r="E223" s="3" t="inlineStr">
        <x:is>
          <x:t xml:space="preserve">G</x:t>
        </x:is>
      </x:c>
      <x:c r="F223" s="3" t="n">
        <x:v>1</x:v>
      </x:c>
      <x:c r="G223" s="3" t="inlineStr">
        <x:is>
          <x:t xml:space="preserve">-</x:t>
        </x:is>
      </x:c>
      <x:c r="H223" s="3" t="inlineStr">
        <x:is>
          <x:t xml:space="preserve"/>
        </x:is>
      </x:c>
      <x:c r="I223" s="3" t="inlineStr">
        <x:is>
          <x:t xml:space="preserve">Who in HR is accountable for coordinating insider-risk prevention and people-side investigations?</x:t>
        </x:is>
      </x:c>
      <x:c r="J223" s="3" t="inlineStr">
        <x:is>
          <x:t xml:space="preserve">Accountable = ultimately responsible for ensuring the process happens.</x:t>
        </x:is>
      </x:c>
      <x:c r="K223" s="3" t="inlineStr">
        <x:is>
          <x:t xml:space="preserve">Drill-down</x:t>
        </x:is>
      </x:c>
      <x:c r="L223" s="3" t="inlineStr">
        <x:is>
          <x:t xml:space="preserve">GOV_STD</x:t>
        </x:is>
      </x:c>
      <x:c r="M223" s="3" t="n">
        <x:v>1</x:v>
      </x:c>
      <x:c r="N223" s="3" t="n"/>
      <x:c r="O223" s="3" t="n"/>
      <x:c r="P223" s="3" t="inlineStr">
        <x:is>
          <x:t xml:space="preserve">HR-D1-Q03-A1</x:t>
        </x:is>
      </x:c>
      <x:c r="Q223" s="3" t="n">
        <x:v>1</x:v>
      </x:c>
      <x:c r="R223" s="3" t="inlineStr">
        <x:is>
          <x:t xml:space="preserve">No one: responsibilities are split and unclear.</x:t>
        </x:is>
      </x:c>
      <x:c r="S223" s="3" t="n">
        <x:v>0</x:v>
      </x:c>
      <x:c r="T223" s="3" t="inlineStr">
        <x:is>
          <x:t xml:space="preserve">paper_dragon_signal</x:t>
        </x:is>
      </x:c>
      <x:c r="U223" s="3" t="inlineStr">
        <x:is>
          <x:t xml:space="preserve">Operating Model Gap</x:t>
        </x:is>
      </x:c>
      <x:c r="V223" s="3" t="inlineStr">
        <x:is>
          <x:t xml:space="preserve">Assign accountable owner</x:t>
        </x:is>
      </x:c>
      <x:c r="W223" s="3" t="inlineStr">
        <x:is>
          <x:t xml:space="preserve">N</x:t>
        </x:is>
      </x:c>
      <x:c r="X223" s="3" t="inlineStr">
        <x:is>
          <x:t xml:space="preserve"/>
        </x:is>
      </x:c>
      <x:c r="Y223" s="6">
        <x:f>(S223*IF(E223="G",F223,0))+(S223*IF(G223="G",H223,0))</x:f>
      </x:c>
      <x:c r="Z223" s="6">
        <x:f>(S223*IF(E223="E",F223,0))+(S223*IF(G223="E",H223,0))</x:f>
      </x:c>
      <x:c r="AA223" s="6">
        <x:f>(S223*IF(E223="T",F223,0))+(S223*IF(G223="T",H223,0))</x:f>
      </x:c>
      <x:c r="AB223" s="6">
        <x:f>(S223*IF(E223="L",F223,0))+(S223*IF(G223="L",H223,0))</x:f>
      </x:c>
      <x:c r="AC223" s="6">
        <x:f>(S223*IF(E223="H",F223,0))+(S223*IF(G223="H",H223,0))</x:f>
      </x:c>
      <x:c r="AD223" s="6">
        <x:f>(S223*IF(E223="V",F223,0))+(S223*IF(G223="V",H223,0))</x:f>
      </x:c>
      <x:c r="AE223" s="6">
        <x:f>(S223*IF(E223="R",F223,0))+(S223*IF(G223="R",H223,0))</x:f>
      </x:c>
      <x:c r="AF223" s="6">
        <x:f>(S223*IF(E223="F",F223,0))+(S223*IF(G223="F",H223,0))</x:f>
      </x:c>
      <x:c r="AG223" s="6">
        <x:f>(S223*IF(E223="W",F223,0))+(S223*IF(G223="W",H223,0))</x:f>
      </x:c>
    </x:row>
    <x:row r="224">
      <x:c r="A224" s="3" t="inlineStr">
        <x:is>
          <x:t xml:space="preserve">HR</x:t>
        </x:is>
      </x:c>
      <x:c r="B224" s="3" t="inlineStr">
        <x:is>
          <x:t xml:space="preserve">HR-D1-Q03</x:t>
        </x:is>
      </x:c>
      <x:c r="C224" s="3" t="inlineStr">
        <x:is>
          <x:t xml:space="preserve">T2</x:t>
        </x:is>
      </x:c>
      <x:c r="D224" s="3" t="inlineStr">
        <x:is>
          <x:t xml:space="preserve">1. HR Operating Model</x:t>
        </x:is>
      </x:c>
      <x:c r="E224" s="3" t="inlineStr">
        <x:is>
          <x:t xml:space="preserve">G</x:t>
        </x:is>
      </x:c>
      <x:c r="F224" s="3" t="n">
        <x:v>1</x:v>
      </x:c>
      <x:c r="G224" s="3" t="inlineStr">
        <x:is>
          <x:t xml:space="preserve">-</x:t>
        </x:is>
      </x:c>
      <x:c r="H224" s="3" t="inlineStr">
        <x:is>
          <x:t xml:space="preserve"/>
        </x:is>
      </x:c>
      <x:c r="I224" s="3" t="inlineStr">
        <x:is>
          <x:t xml:space="preserve">Who in HR is accountable for coordinating insider-risk prevention and people-side investigations?</x:t>
        </x:is>
      </x:c>
      <x:c r="J224" s="3" t="inlineStr">
        <x:is>
          <x:t xml:space="preserve">Accountable = ultimately responsible for ensuring the process happens.</x:t>
        </x:is>
      </x:c>
      <x:c r="K224" s="3" t="inlineStr">
        <x:is>
          <x:t xml:space="preserve">Drill-down</x:t>
        </x:is>
      </x:c>
      <x:c r="L224" s="3" t="inlineStr">
        <x:is>
          <x:t xml:space="preserve">GOV_STD</x:t>
        </x:is>
      </x:c>
      <x:c r="M224" s="3" t="n">
        <x:v>1</x:v>
      </x:c>
      <x:c r="N224" s="3" t="n"/>
      <x:c r="O224" s="3" t="n"/>
      <x:c r="P224" s="3" t="inlineStr">
        <x:is>
          <x:t xml:space="preserve">HR-D1-Q03-A2</x:t>
        </x:is>
      </x:c>
      <x:c r="Q224" s="3" t="n">
        <x:v>2</x:v>
      </x:c>
      <x:c r="R224" s="3" t="inlineStr">
        <x:is>
          <x:t xml:space="preserve">Informal: a senior HR person handles it when needed, but it’s not in their role/KPIs.</x:t>
        </x:is>
      </x:c>
      <x:c r="S224" s="3" t="n">
        <x:v>1</x:v>
      </x:c>
      <x:c r="T224" s="3" t="inlineStr">
        <x:is>
          <x:t xml:space="preserve">key_person_dependency</x:t>
        </x:is>
      </x:c>
      <x:c r="U224" s="3" t="inlineStr">
        <x:is>
          <x:t xml:space="preserve">Operating Model Gap</x:t>
        </x:is>
      </x:c>
      <x:c r="V224" s="3" t="inlineStr">
        <x:is>
          <x:t xml:space="preserve">Formalize accountability</x:t>
        </x:is>
      </x:c>
      <x:c r="W224" s="3" t="inlineStr">
        <x:is>
          <x:t xml:space="preserve">N</x:t>
        </x:is>
      </x:c>
      <x:c r="X224" s="3" t="inlineStr">
        <x:is>
          <x:t xml:space="preserve"/>
        </x:is>
      </x:c>
      <x:c r="Y224" s="6">
        <x:f>(S224*IF(E224="G",F224,0))+(S224*IF(G224="G",H224,0))</x:f>
      </x:c>
      <x:c r="Z224" s="6">
        <x:f>(S224*IF(E224="E",F224,0))+(S224*IF(G224="E",H224,0))</x:f>
      </x:c>
      <x:c r="AA224" s="6">
        <x:f>(S224*IF(E224="T",F224,0))+(S224*IF(G224="T",H224,0))</x:f>
      </x:c>
      <x:c r="AB224" s="6">
        <x:f>(S224*IF(E224="L",F224,0))+(S224*IF(G224="L",H224,0))</x:f>
      </x:c>
      <x:c r="AC224" s="6">
        <x:f>(S224*IF(E224="H",F224,0))+(S224*IF(G224="H",H224,0))</x:f>
      </x:c>
      <x:c r="AD224" s="6">
        <x:f>(S224*IF(E224="V",F224,0))+(S224*IF(G224="V",H224,0))</x:f>
      </x:c>
      <x:c r="AE224" s="6">
        <x:f>(S224*IF(E224="R",F224,0))+(S224*IF(G224="R",H224,0))</x:f>
      </x:c>
      <x:c r="AF224" s="6">
        <x:f>(S224*IF(E224="F",F224,0))+(S224*IF(G224="F",H224,0))</x:f>
      </x:c>
      <x:c r="AG224" s="6">
        <x:f>(S224*IF(E224="W",F224,0))+(S224*IF(G224="W",H224,0))</x:f>
      </x:c>
    </x:row>
    <x:row r="225">
      <x:c r="A225" s="3" t="inlineStr">
        <x:is>
          <x:t xml:space="preserve">HR</x:t>
        </x:is>
      </x:c>
      <x:c r="B225" s="3" t="inlineStr">
        <x:is>
          <x:t xml:space="preserve">HR-D1-Q03</x:t>
        </x:is>
      </x:c>
      <x:c r="C225" s="3" t="inlineStr">
        <x:is>
          <x:t xml:space="preserve">T2</x:t>
        </x:is>
      </x:c>
      <x:c r="D225" s="3" t="inlineStr">
        <x:is>
          <x:t xml:space="preserve">1. HR Operating Model</x:t>
        </x:is>
      </x:c>
      <x:c r="E225" s="3" t="inlineStr">
        <x:is>
          <x:t xml:space="preserve">G</x:t>
        </x:is>
      </x:c>
      <x:c r="F225" s="3" t="n">
        <x:v>1</x:v>
      </x:c>
      <x:c r="G225" s="3" t="inlineStr">
        <x:is>
          <x:t xml:space="preserve">-</x:t>
        </x:is>
      </x:c>
      <x:c r="H225" s="3" t="inlineStr">
        <x:is>
          <x:t xml:space="preserve"/>
        </x:is>
      </x:c>
      <x:c r="I225" s="3" t="inlineStr">
        <x:is>
          <x:t xml:space="preserve">Who in HR is accountable for coordinating insider-risk prevention and people-side investigations?</x:t>
        </x:is>
      </x:c>
      <x:c r="J225" s="3" t="inlineStr">
        <x:is>
          <x:t xml:space="preserve">Accountable = ultimately responsible for ensuring the process happens.</x:t>
        </x:is>
      </x:c>
      <x:c r="K225" s="3" t="inlineStr">
        <x:is>
          <x:t xml:space="preserve">Drill-down</x:t>
        </x:is>
      </x:c>
      <x:c r="L225" s="3" t="inlineStr">
        <x:is>
          <x:t xml:space="preserve">GOV_STD</x:t>
        </x:is>
      </x:c>
      <x:c r="M225" s="3" t="n">
        <x:v>1</x:v>
      </x:c>
      <x:c r="N225" s="3" t="n"/>
      <x:c r="O225" s="3" t="n"/>
      <x:c r="P225" s="3" t="inlineStr">
        <x:is>
          <x:t xml:space="preserve">HR-D1-Q03-A3</x:t>
        </x:is>
      </x:c>
      <x:c r="Q225" s="3" t="n">
        <x:v>3</x:v>
      </x:c>
      <x:c r="R225" s="3" t="inlineStr">
        <x:is>
          <x:t xml:space="preserve">Named: a role is responsible, with documented remit.</x:t>
        </x:is>
      </x:c>
      <x:c r="S225" s="3" t="n">
        <x:v>2</x:v>
      </x:c>
      <x:c r="T225" s="3" t="inlineStr">
        <x:is>
          <x:t xml:space="preserve"/>
        </x:is>
      </x:c>
      <x:c r="U225" s="3" t="inlineStr">
        <x:is>
          <x:t xml:space="preserve">Operating Model Gap</x:t>
        </x:is>
      </x:c>
      <x:c r="V225" s="3" t="inlineStr">
        <x:is>
          <x:t xml:space="preserve">Define KPIs</x:t>
        </x:is>
      </x:c>
      <x:c r="W225" s="3" t="inlineStr">
        <x:is>
          <x:t xml:space="preserve">N</x:t>
        </x:is>
      </x:c>
      <x:c r="X225" s="3" t="inlineStr">
        <x:is>
          <x:t xml:space="preserve">Evidence: role description or RACI.</x:t>
        </x:is>
      </x:c>
      <x:c r="Y225" s="6">
        <x:f>(S225*IF(E225="G",F225,0))+(S225*IF(G225="G",H225,0))</x:f>
      </x:c>
      <x:c r="Z225" s="6">
        <x:f>(S225*IF(E225="E",F225,0))+(S225*IF(G225="E",H225,0))</x:f>
      </x:c>
      <x:c r="AA225" s="6">
        <x:f>(S225*IF(E225="T",F225,0))+(S225*IF(G225="T",H225,0))</x:f>
      </x:c>
      <x:c r="AB225" s="6">
        <x:f>(S225*IF(E225="L",F225,0))+(S225*IF(G225="L",H225,0))</x:f>
      </x:c>
      <x:c r="AC225" s="6">
        <x:f>(S225*IF(E225="H",F225,0))+(S225*IF(G225="H",H225,0))</x:f>
      </x:c>
      <x:c r="AD225" s="6">
        <x:f>(S225*IF(E225="V",F225,0))+(S225*IF(G225="V",H225,0))</x:f>
      </x:c>
      <x:c r="AE225" s="6">
        <x:f>(S225*IF(E225="R",F225,0))+(S225*IF(G225="R",H225,0))</x:f>
      </x:c>
      <x:c r="AF225" s="6">
        <x:f>(S225*IF(E225="F",F225,0))+(S225*IF(G225="F",H225,0))</x:f>
      </x:c>
      <x:c r="AG225" s="6">
        <x:f>(S225*IF(E225="W",F225,0))+(S225*IF(G225="W",H225,0))</x:f>
      </x:c>
    </x:row>
    <x:row r="226">
      <x:c r="A226" s="3" t="inlineStr">
        <x:is>
          <x:t xml:space="preserve">HR</x:t>
        </x:is>
      </x:c>
      <x:c r="B226" s="3" t="inlineStr">
        <x:is>
          <x:t xml:space="preserve">HR-D1-Q03</x:t>
        </x:is>
      </x:c>
      <x:c r="C226" s="3" t="inlineStr">
        <x:is>
          <x:t xml:space="preserve">T2</x:t>
        </x:is>
      </x:c>
      <x:c r="D226" s="3" t="inlineStr">
        <x:is>
          <x:t xml:space="preserve">1. HR Operating Model</x:t>
        </x:is>
      </x:c>
      <x:c r="E226" s="3" t="inlineStr">
        <x:is>
          <x:t xml:space="preserve">G</x:t>
        </x:is>
      </x:c>
      <x:c r="F226" s="3" t="n">
        <x:v>1</x:v>
      </x:c>
      <x:c r="G226" s="3" t="inlineStr">
        <x:is>
          <x:t xml:space="preserve">-</x:t>
        </x:is>
      </x:c>
      <x:c r="H226" s="3" t="inlineStr">
        <x:is>
          <x:t xml:space="preserve"/>
        </x:is>
      </x:c>
      <x:c r="I226" s="3" t="inlineStr">
        <x:is>
          <x:t xml:space="preserve">Who in HR is accountable for coordinating insider-risk prevention and people-side investigations?</x:t>
        </x:is>
      </x:c>
      <x:c r="J226" s="3" t="inlineStr">
        <x:is>
          <x:t xml:space="preserve">Accountable = ultimately responsible for ensuring the process happens.</x:t>
        </x:is>
      </x:c>
      <x:c r="K226" s="3" t="inlineStr">
        <x:is>
          <x:t xml:space="preserve">Drill-down</x:t>
        </x:is>
      </x:c>
      <x:c r="L226" s="3" t="inlineStr">
        <x:is>
          <x:t xml:space="preserve">GOV_STD</x:t>
        </x:is>
      </x:c>
      <x:c r="M226" s="3" t="n">
        <x:v>1</x:v>
      </x:c>
      <x:c r="N226" s="3" t="n"/>
      <x:c r="O226" s="3" t="n"/>
      <x:c r="P226" s="3" t="inlineStr">
        <x:is>
          <x:t xml:space="preserve">HR-D1-Q03-A4</x:t>
        </x:is>
      </x:c>
      <x:c r="Q226" s="3" t="n">
        <x:v>4</x:v>
      </x:c>
      <x:c r="R226" s="3" t="inlineStr">
        <x:is>
          <x:t xml:space="preserve">Named + empowered: role has decision rights and access to Legal/Security support.</x:t>
        </x:is>
      </x:c>
      <x:c r="S226" s="3" t="n">
        <x:v>3</x:v>
      </x:c>
      <x:c r="T226" s="3" t="inlineStr">
        <x:is>
          <x:t xml:space="preserve"/>
        </x:is>
      </x:c>
      <x:c r="U226" s="3" t="inlineStr">
        <x:is>
          <x:t xml:space="preserve">Operating Model Gap</x:t>
        </x:is>
      </x:c>
      <x:c r="V226" s="3" t="inlineStr">
        <x:is>
          <x:t xml:space="preserve">Maintain operating model</x:t>
        </x:is>
      </x:c>
      <x:c r="W226" s="3" t="inlineStr">
        <x:is>
          <x:t xml:space="preserve">N</x:t>
        </x:is>
      </x:c>
      <x:c r="X226" s="3" t="inlineStr">
        <x:is>
          <x:t xml:space="preserve">Evidence: RACI + escalation path.</x:t>
        </x:is>
      </x:c>
      <x:c r="Y226" s="6">
        <x:f>(S226*IF(E226="G",F226,0))+(S226*IF(G226="G",H226,0))</x:f>
      </x:c>
      <x:c r="Z226" s="6">
        <x:f>(S226*IF(E226="E",F226,0))+(S226*IF(G226="E",H226,0))</x:f>
      </x:c>
      <x:c r="AA226" s="6">
        <x:f>(S226*IF(E226="T",F226,0))+(S226*IF(G226="T",H226,0))</x:f>
      </x:c>
      <x:c r="AB226" s="6">
        <x:f>(S226*IF(E226="L",F226,0))+(S226*IF(G226="L",H226,0))</x:f>
      </x:c>
      <x:c r="AC226" s="6">
        <x:f>(S226*IF(E226="H",F226,0))+(S226*IF(G226="H",H226,0))</x:f>
      </x:c>
      <x:c r="AD226" s="6">
        <x:f>(S226*IF(E226="V",F226,0))+(S226*IF(G226="V",H226,0))</x:f>
      </x:c>
      <x:c r="AE226" s="6">
        <x:f>(S226*IF(E226="R",F226,0))+(S226*IF(G226="R",H226,0))</x:f>
      </x:c>
      <x:c r="AF226" s="6">
        <x:f>(S226*IF(E226="F",F226,0))+(S226*IF(G226="F",H226,0))</x:f>
      </x:c>
      <x:c r="AG226" s="6">
        <x:f>(S226*IF(E226="W",F226,0))+(S226*IF(G226="W",H226,0))</x:f>
      </x:c>
    </x:row>
    <x:row r="227">
      <x:c r="A227" s="3" t="inlineStr">
        <x:is>
          <x:t xml:space="preserve">HR</x:t>
        </x:is>
      </x:c>
      <x:c r="B227" s="3" t="inlineStr">
        <x:is>
          <x:t xml:space="preserve">HR-D1-Q03</x:t>
        </x:is>
      </x:c>
      <x:c r="C227" s="3" t="inlineStr">
        <x:is>
          <x:t xml:space="preserve">T2</x:t>
        </x:is>
      </x:c>
      <x:c r="D227" s="3" t="inlineStr">
        <x:is>
          <x:t xml:space="preserve">1. HR Operating Model</x:t>
        </x:is>
      </x:c>
      <x:c r="E227" s="3" t="inlineStr">
        <x:is>
          <x:t xml:space="preserve">G</x:t>
        </x:is>
      </x:c>
      <x:c r="F227" s="3" t="n">
        <x:v>1</x:v>
      </x:c>
      <x:c r="G227" s="3" t="inlineStr">
        <x:is>
          <x:t xml:space="preserve">-</x:t>
        </x:is>
      </x:c>
      <x:c r="H227" s="3" t="inlineStr">
        <x:is>
          <x:t xml:space="preserve"/>
        </x:is>
      </x:c>
      <x:c r="I227" s="3" t="inlineStr">
        <x:is>
          <x:t xml:space="preserve">Who in HR is accountable for coordinating insider-risk prevention and people-side investigations?</x:t>
        </x:is>
      </x:c>
      <x:c r="J227" s="3" t="inlineStr">
        <x:is>
          <x:t xml:space="preserve">Accountable = ultimately responsible for ensuring the process happens.</x:t>
        </x:is>
      </x:c>
      <x:c r="K227" s="3" t="inlineStr">
        <x:is>
          <x:t xml:space="preserve">Drill-down</x:t>
        </x:is>
      </x:c>
      <x:c r="L227" s="3" t="inlineStr">
        <x:is>
          <x:t xml:space="preserve">GOV_STD</x:t>
        </x:is>
      </x:c>
      <x:c r="M227" s="3" t="n">
        <x:v>1</x:v>
      </x:c>
      <x:c r="N227" s="3" t="n"/>
      <x:c r="O227" s="3" t="n"/>
      <x:c r="P227" s="3" t="inlineStr">
        <x:is>
          <x:t xml:space="preserve">HR-D1-Q03-A5</x:t>
        </x:is>
      </x:c>
      <x:c r="Q227" s="3" t="n">
        <x:v>5</x:v>
      </x:c>
      <x:c r="R227" s="3" t="inlineStr">
        <x:is>
          <x:t xml:space="preserve">Governed: accountability embedded in HR KPIs and reviewed with exec sponsor.</x:t>
        </x:is>
      </x:c>
      <x:c r="S227" s="3" t="n">
        <x:v>4</x:v>
      </x:c>
      <x:c r="T227" s="3" t="inlineStr">
        <x:is>
          <x:t xml:space="preserve"/>
        </x:is>
      </x:c>
      <x:c r="U227" s="3" t="inlineStr">
        <x:is>
          <x:t xml:space="preserve">Operating Model Gap</x:t>
        </x:is>
      </x:c>
      <x:c r="V227" s="3" t="inlineStr">
        <x:is>
          <x:t xml:space="preserve">Maintain governance cadence</x:t>
        </x:is>
      </x:c>
      <x:c r="W227" s="3" t="inlineStr">
        <x:is>
          <x:t xml:space="preserve">N</x:t>
        </x:is>
      </x:c>
      <x:c r="X227" s="3" t="inlineStr">
        <x:is>
          <x:t xml:space="preserve">Evidence: KPI pack / steering minutes.</x:t>
        </x:is>
      </x:c>
      <x:c r="Y227" s="6">
        <x:f>(S227*IF(E227="G",F227,0))+(S227*IF(G227="G",H227,0))</x:f>
      </x:c>
      <x:c r="Z227" s="6">
        <x:f>(S227*IF(E227="E",F227,0))+(S227*IF(G227="E",H227,0))</x:f>
      </x:c>
      <x:c r="AA227" s="6">
        <x:f>(S227*IF(E227="T",F227,0))+(S227*IF(G227="T",H227,0))</x:f>
      </x:c>
      <x:c r="AB227" s="6">
        <x:f>(S227*IF(E227="L",F227,0))+(S227*IF(G227="L",H227,0))</x:f>
      </x:c>
      <x:c r="AC227" s="6">
        <x:f>(S227*IF(E227="H",F227,0))+(S227*IF(G227="H",H227,0))</x:f>
      </x:c>
      <x:c r="AD227" s="6">
        <x:f>(S227*IF(E227="V",F227,0))+(S227*IF(G227="V",H227,0))</x:f>
      </x:c>
      <x:c r="AE227" s="6">
        <x:f>(S227*IF(E227="R",F227,0))+(S227*IF(G227="R",H227,0))</x:f>
      </x:c>
      <x:c r="AF227" s="6">
        <x:f>(S227*IF(E227="F",F227,0))+(S227*IF(G227="F",H227,0))</x:f>
      </x:c>
      <x:c r="AG227" s="6">
        <x:f>(S227*IF(E227="W",F227,0))+(S227*IF(G227="W",H227,0))</x:f>
      </x:c>
    </x:row>
    <x:row r="228">
      <x:c r="A228" s="3" t="inlineStr">
        <x:is>
          <x:t xml:space="preserve">HR</x:t>
        </x:is>
      </x:c>
      <x:c r="B228" s="3" t="inlineStr">
        <x:is>
          <x:t xml:space="preserve">HR-D1-Q04</x:t>
        </x:is>
      </x:c>
      <x:c r="C228" s="3" t="inlineStr">
        <x:is>
          <x:t xml:space="preserve">T3</x:t>
        </x:is>
      </x:c>
      <x:c r="D228" s="3" t="inlineStr">
        <x:is>
          <x:t xml:space="preserve">1. HR Operating Model</x:t>
        </x:is>
      </x:c>
      <x:c r="E228" s="3" t="inlineStr">
        <x:is>
          <x:t xml:space="preserve">R</x:t>
        </x:is>
      </x:c>
      <x:c r="F228" s="3" t="n">
        <x:v>0.5</x:v>
      </x:c>
      <x:c r="G228" s="3" t="inlineStr">
        <x:is>
          <x:t xml:space="preserve">L</x:t>
        </x:is>
      </x:c>
      <x:c r="H228" s="3" t="n">
        <x:v>0.5</x:v>
      </x:c>
      <x:c r="I228" s="3" t="inlineStr">
        <x:is>
          <x:t xml:space="preserve">Is there a documented, fair cross-functional case workflow (HR + Legal/Privacy + Security) with clear decision rights and timelines?</x:t>
        </x:is>
      </x:c>
      <x:c r="J228" s="3" t="inlineStr">
        <x:is>
          <x:t xml:space="preserve">Focus on fairness, confidentiality, proportionality, and approvals for sensitive data use.</x:t>
        </x:is>
      </x:c>
      <x:c r="K228" s="3" t="inlineStr">
        <x:is>
          <x:t xml:space="preserve">Business-proofing</x:t>
        </x:is>
      </x:c>
      <x:c r="L228" s="3" t="inlineStr">
        <x:is>
          <x:t xml:space="preserve">LEG_STRICT</x:t>
        </x:is>
      </x:c>
      <x:c r="M228" s="3" t="n">
        <x:v>1</x:v>
      </x:c>
      <x:c r="N228" s="3" t="n"/>
      <x:c r="O228" s="3" t="n"/>
      <x:c r="P228" s="3" t="inlineStr">
        <x:is>
          <x:t xml:space="preserve">HR-D1-Q04-A1</x:t>
        </x:is>
      </x:c>
      <x:c r="Q228" s="3" t="n">
        <x:v>1</x:v>
      </x:c>
      <x:c r="R228" s="3" t="inlineStr">
        <x:is>
          <x:t xml:space="preserve">None: every case is handled differently.</x:t>
        </x:is>
      </x:c>
      <x:c r="S228" s="3" t="n">
        <x:v>0</x:v>
      </x:c>
      <x:c r="T228" s="3" t="inlineStr">
        <x:is>
          <x:t xml:space="preserve">paper_dragon_signal</x:t>
        </x:is>
      </x:c>
      <x:c r="U228" s="3" t="inlineStr">
        <x:is>
          <x:t xml:space="preserve">Operating Model Gap</x:t>
        </x:is>
      </x:c>
      <x:c r="V228" s="3" t="inlineStr">
        <x:is>
          <x:t xml:space="preserve">Create case workflow</x:t>
        </x:is>
      </x:c>
      <x:c r="W228" s="3" t="inlineStr">
        <x:is>
          <x:t xml:space="preserve">N</x:t>
        </x:is>
      </x:c>
      <x:c r="X228" s="3" t="inlineStr">
        <x:is>
          <x:t xml:space="preserve"/>
        </x:is>
      </x:c>
      <x:c r="Y228" s="6">
        <x:f>(S228*IF(E228="G",F228,0))+(S228*IF(G228="G",H228,0))</x:f>
      </x:c>
      <x:c r="Z228" s="6">
        <x:f>(S228*IF(E228="E",F228,0))+(S228*IF(G228="E",H228,0))</x:f>
      </x:c>
      <x:c r="AA228" s="6">
        <x:f>(S228*IF(E228="T",F228,0))+(S228*IF(G228="T",H228,0))</x:f>
      </x:c>
      <x:c r="AB228" s="6">
        <x:f>(S228*IF(E228="L",F228,0))+(S228*IF(G228="L",H228,0))</x:f>
      </x:c>
      <x:c r="AC228" s="6">
        <x:f>(S228*IF(E228="H",F228,0))+(S228*IF(G228="H",H228,0))</x:f>
      </x:c>
      <x:c r="AD228" s="6">
        <x:f>(S228*IF(E228="V",F228,0))+(S228*IF(G228="V",H228,0))</x:f>
      </x:c>
      <x:c r="AE228" s="6">
        <x:f>(S228*IF(E228="R",F228,0))+(S228*IF(G228="R",H228,0))</x:f>
      </x:c>
      <x:c r="AF228" s="6">
        <x:f>(S228*IF(E228="F",F228,0))+(S228*IF(G228="F",H228,0))</x:f>
      </x:c>
      <x:c r="AG228" s="6">
        <x:f>(S228*IF(E228="W",F228,0))+(S228*IF(G228="W",H228,0))</x:f>
      </x:c>
    </x:row>
    <x:row r="229">
      <x:c r="A229" s="3" t="inlineStr">
        <x:is>
          <x:t xml:space="preserve">HR</x:t>
        </x:is>
      </x:c>
      <x:c r="B229" s="3" t="inlineStr">
        <x:is>
          <x:t xml:space="preserve">HR-D1-Q04</x:t>
        </x:is>
      </x:c>
      <x:c r="C229" s="3" t="inlineStr">
        <x:is>
          <x:t xml:space="preserve">T3</x:t>
        </x:is>
      </x:c>
      <x:c r="D229" s="3" t="inlineStr">
        <x:is>
          <x:t xml:space="preserve">1. HR Operating Model</x:t>
        </x:is>
      </x:c>
      <x:c r="E229" s="3" t="inlineStr">
        <x:is>
          <x:t xml:space="preserve">R</x:t>
        </x:is>
      </x:c>
      <x:c r="F229" s="3" t="n">
        <x:v>0.5</x:v>
      </x:c>
      <x:c r="G229" s="3" t="inlineStr">
        <x:is>
          <x:t xml:space="preserve">L</x:t>
        </x:is>
      </x:c>
      <x:c r="H229" s="3" t="n">
        <x:v>0.5</x:v>
      </x:c>
      <x:c r="I229" s="3" t="inlineStr">
        <x:is>
          <x:t xml:space="preserve">Is there a documented, fair cross-functional case workflow (HR + Legal/Privacy + Security) with clear decision rights and timelines?</x:t>
        </x:is>
      </x:c>
      <x:c r="J229" s="3" t="inlineStr">
        <x:is>
          <x:t xml:space="preserve">Focus on fairness, confidentiality, proportionality, and approvals for sensitive data use.</x:t>
        </x:is>
      </x:c>
      <x:c r="K229" s="3" t="inlineStr">
        <x:is>
          <x:t xml:space="preserve">Business-proofing</x:t>
        </x:is>
      </x:c>
      <x:c r="L229" s="3" t="inlineStr">
        <x:is>
          <x:t xml:space="preserve">LEG_STRICT</x:t>
        </x:is>
      </x:c>
      <x:c r="M229" s="3" t="n">
        <x:v>1</x:v>
      </x:c>
      <x:c r="N229" s="3" t="n"/>
      <x:c r="O229" s="3" t="n"/>
      <x:c r="P229" s="3" t="inlineStr">
        <x:is>
          <x:t xml:space="preserve">HR-D1-Q04-A2</x:t>
        </x:is>
      </x:c>
      <x:c r="Q229" s="3" t="n">
        <x:v>2</x:v>
      </x:c>
      <x:c r="R229" s="3" t="inlineStr">
        <x:is>
          <x:t xml:space="preserve">Ad-hoc: teams collaborate via email/chats; decisions are unclear.</x:t>
        </x:is>
      </x:c>
      <x:c r="S229" s="3" t="n">
        <x:v>1</x:v>
      </x:c>
      <x:c r="T229" s="3" t="inlineStr">
        <x:is>
          <x:t xml:space="preserve">shadow_mature_signal</x:t>
        </x:is>
      </x:c>
      <x:c r="U229" s="3" t="inlineStr">
        <x:is>
          <x:t xml:space="preserve">Operating Model Gap</x:t>
        </x:is>
      </x:c>
      <x:c r="V229" s="3" t="inlineStr">
        <x:is>
          <x:t xml:space="preserve">Define roles &amp; steps</x:t>
        </x:is>
      </x:c>
      <x:c r="W229" s="3" t="inlineStr">
        <x:is>
          <x:t xml:space="preserve">N</x:t>
        </x:is>
      </x:c>
      <x:c r="X229" s="3" t="inlineStr">
        <x:is>
          <x:t xml:space="preserve">Example: last case workflow.</x:t>
        </x:is>
      </x:c>
      <x:c r="Y229" s="6">
        <x:f>(S229*IF(E229="G",F229,0))+(S229*IF(G229="G",H229,0))</x:f>
      </x:c>
      <x:c r="Z229" s="6">
        <x:f>(S229*IF(E229="E",F229,0))+(S229*IF(G229="E",H229,0))</x:f>
      </x:c>
      <x:c r="AA229" s="6">
        <x:f>(S229*IF(E229="T",F229,0))+(S229*IF(G229="T",H229,0))</x:f>
      </x:c>
      <x:c r="AB229" s="6">
        <x:f>(S229*IF(E229="L",F229,0))+(S229*IF(G229="L",H229,0))</x:f>
      </x:c>
      <x:c r="AC229" s="6">
        <x:f>(S229*IF(E229="H",F229,0))+(S229*IF(G229="H",H229,0))</x:f>
      </x:c>
      <x:c r="AD229" s="6">
        <x:f>(S229*IF(E229="V",F229,0))+(S229*IF(G229="V",H229,0))</x:f>
      </x:c>
      <x:c r="AE229" s="6">
        <x:f>(S229*IF(E229="R",F229,0))+(S229*IF(G229="R",H229,0))</x:f>
      </x:c>
      <x:c r="AF229" s="6">
        <x:f>(S229*IF(E229="F",F229,0))+(S229*IF(G229="F",H229,0))</x:f>
      </x:c>
      <x:c r="AG229" s="6">
        <x:f>(S229*IF(E229="W",F229,0))+(S229*IF(G229="W",H229,0))</x:f>
      </x:c>
    </x:row>
    <x:row r="230">
      <x:c r="A230" s="3" t="inlineStr">
        <x:is>
          <x:t xml:space="preserve">HR</x:t>
        </x:is>
      </x:c>
      <x:c r="B230" s="3" t="inlineStr">
        <x:is>
          <x:t xml:space="preserve">HR-D1-Q04</x:t>
        </x:is>
      </x:c>
      <x:c r="C230" s="3" t="inlineStr">
        <x:is>
          <x:t xml:space="preserve">T3</x:t>
        </x:is>
      </x:c>
      <x:c r="D230" s="3" t="inlineStr">
        <x:is>
          <x:t xml:space="preserve">1. HR Operating Model</x:t>
        </x:is>
      </x:c>
      <x:c r="E230" s="3" t="inlineStr">
        <x:is>
          <x:t xml:space="preserve">R</x:t>
        </x:is>
      </x:c>
      <x:c r="F230" s="3" t="n">
        <x:v>0.5</x:v>
      </x:c>
      <x:c r="G230" s="3" t="inlineStr">
        <x:is>
          <x:t xml:space="preserve">L</x:t>
        </x:is>
      </x:c>
      <x:c r="H230" s="3" t="n">
        <x:v>0.5</x:v>
      </x:c>
      <x:c r="I230" s="3" t="inlineStr">
        <x:is>
          <x:t xml:space="preserve">Is there a documented, fair cross-functional case workflow (HR + Legal/Privacy + Security) with clear decision rights and timelines?</x:t>
        </x:is>
      </x:c>
      <x:c r="J230" s="3" t="inlineStr">
        <x:is>
          <x:t xml:space="preserve">Focus on fairness, confidentiality, proportionality, and approvals for sensitive data use.</x:t>
        </x:is>
      </x:c>
      <x:c r="K230" s="3" t="inlineStr">
        <x:is>
          <x:t xml:space="preserve">Business-proofing</x:t>
        </x:is>
      </x:c>
      <x:c r="L230" s="3" t="inlineStr">
        <x:is>
          <x:t xml:space="preserve">LEG_STRICT</x:t>
        </x:is>
      </x:c>
      <x:c r="M230" s="3" t="n">
        <x:v>1</x:v>
      </x:c>
      <x:c r="N230" s="3" t="n"/>
      <x:c r="O230" s="3" t="n"/>
      <x:c r="P230" s="3" t="inlineStr">
        <x:is>
          <x:t xml:space="preserve">HR-D1-Q04-A3</x:t>
        </x:is>
      </x:c>
      <x:c r="Q230" s="3" t="n">
        <x:v>3</x:v>
      </x:c>
      <x:c r="R230" s="3" t="inlineStr">
        <x:is>
          <x:t xml:space="preserve">Documented: workflow exists but not always followed.</x:t>
        </x:is>
      </x:c>
      <x:c r="S230" s="3" t="n">
        <x:v>2</x:v>
      </x:c>
      <x:c r="T230" s="3" t="inlineStr">
        <x:is>
          <x:t xml:space="preserve"/>
        </x:is>
      </x:c>
      <x:c r="U230" s="3" t="inlineStr">
        <x:is>
          <x:t xml:space="preserve">Operating Model Gap</x:t>
        </x:is>
      </x:c>
      <x:c r="V230" s="3" t="inlineStr">
        <x:is>
          <x:t xml:space="preserve">Improve adherence</x:t>
        </x:is>
      </x:c>
      <x:c r="W230" s="3" t="inlineStr">
        <x:is>
          <x:t xml:space="preserve">N</x:t>
        </x:is>
      </x:c>
      <x:c r="X230" s="3" t="inlineStr">
        <x:is>
          <x:t xml:space="preserve">Evidence: workflow doc, training.</x:t>
        </x:is>
      </x:c>
      <x:c r="Y230" s="6">
        <x:f>(S230*IF(E230="G",F230,0))+(S230*IF(G230="G",H230,0))</x:f>
      </x:c>
      <x:c r="Z230" s="6">
        <x:f>(S230*IF(E230="E",F230,0))+(S230*IF(G230="E",H230,0))</x:f>
      </x:c>
      <x:c r="AA230" s="6">
        <x:f>(S230*IF(E230="T",F230,0))+(S230*IF(G230="T",H230,0))</x:f>
      </x:c>
      <x:c r="AB230" s="6">
        <x:f>(S230*IF(E230="L",F230,0))+(S230*IF(G230="L",H230,0))</x:f>
      </x:c>
      <x:c r="AC230" s="6">
        <x:f>(S230*IF(E230="H",F230,0))+(S230*IF(G230="H",H230,0))</x:f>
      </x:c>
      <x:c r="AD230" s="6">
        <x:f>(S230*IF(E230="V",F230,0))+(S230*IF(G230="V",H230,0))</x:f>
      </x:c>
      <x:c r="AE230" s="6">
        <x:f>(S230*IF(E230="R",F230,0))+(S230*IF(G230="R",H230,0))</x:f>
      </x:c>
      <x:c r="AF230" s="6">
        <x:f>(S230*IF(E230="F",F230,0))+(S230*IF(G230="F",H230,0))</x:f>
      </x:c>
      <x:c r="AG230" s="6">
        <x:f>(S230*IF(E230="W",F230,0))+(S230*IF(G230="W",H230,0))</x:f>
      </x:c>
    </x:row>
    <x:row r="231">
      <x:c r="A231" s="3" t="inlineStr">
        <x:is>
          <x:t xml:space="preserve">HR</x:t>
        </x:is>
      </x:c>
      <x:c r="B231" s="3" t="inlineStr">
        <x:is>
          <x:t xml:space="preserve">HR-D1-Q04</x:t>
        </x:is>
      </x:c>
      <x:c r="C231" s="3" t="inlineStr">
        <x:is>
          <x:t xml:space="preserve">T3</x:t>
        </x:is>
      </x:c>
      <x:c r="D231" s="3" t="inlineStr">
        <x:is>
          <x:t xml:space="preserve">1. HR Operating Model</x:t>
        </x:is>
      </x:c>
      <x:c r="E231" s="3" t="inlineStr">
        <x:is>
          <x:t xml:space="preserve">R</x:t>
        </x:is>
      </x:c>
      <x:c r="F231" s="3" t="n">
        <x:v>0.5</x:v>
      </x:c>
      <x:c r="G231" s="3" t="inlineStr">
        <x:is>
          <x:t xml:space="preserve">L</x:t>
        </x:is>
      </x:c>
      <x:c r="H231" s="3" t="n">
        <x:v>0.5</x:v>
      </x:c>
      <x:c r="I231" s="3" t="inlineStr">
        <x:is>
          <x:t xml:space="preserve">Is there a documented, fair cross-functional case workflow (HR + Legal/Privacy + Security) with clear decision rights and timelines?</x:t>
        </x:is>
      </x:c>
      <x:c r="J231" s="3" t="inlineStr">
        <x:is>
          <x:t xml:space="preserve">Focus on fairness, confidentiality, proportionality, and approvals for sensitive data use.</x:t>
        </x:is>
      </x:c>
      <x:c r="K231" s="3" t="inlineStr">
        <x:is>
          <x:t xml:space="preserve">Business-proofing</x:t>
        </x:is>
      </x:c>
      <x:c r="L231" s="3" t="inlineStr">
        <x:is>
          <x:t xml:space="preserve">LEG_STRICT</x:t>
        </x:is>
      </x:c>
      <x:c r="M231" s="3" t="n">
        <x:v>1</x:v>
      </x:c>
      <x:c r="N231" s="3" t="n"/>
      <x:c r="O231" s="3" t="n"/>
      <x:c r="P231" s="3" t="inlineStr">
        <x:is>
          <x:t xml:space="preserve">HR-D1-Q04-A4</x:t>
        </x:is>
      </x:c>
      <x:c r="Q231" s="3" t="n">
        <x:v>4</x:v>
      </x:c>
      <x:c r="R231" s="3" t="inlineStr">
        <x:is>
          <x:t xml:space="preserve">Used: consistently followed with privacy/legal checkpoints.</x:t>
        </x:is>
      </x:c>
      <x:c r="S231" s="3" t="n">
        <x:v>3</x:v>
      </x:c>
      <x:c r="T231" s="3" t="inlineStr">
        <x:is>
          <x:t xml:space="preserve"/>
        </x:is>
      </x:c>
      <x:c r="U231" s="3" t="inlineStr">
        <x:is>
          <x:t xml:space="preserve">Legal Exposure</x:t>
        </x:is>
      </x:c>
      <x:c r="V231" s="3" t="inlineStr">
        <x:is>
          <x:t xml:space="preserve">Maintain and audit workflow</x:t>
        </x:is>
      </x:c>
      <x:c r="W231" s="3" t="inlineStr">
        <x:is>
          <x:t xml:space="preserve">N</x:t>
        </x:is>
      </x:c>
      <x:c r="X231" s="3" t="inlineStr">
        <x:is>
          <x:t xml:space="preserve">Evidence: redacted case checklist.</x:t>
        </x:is>
      </x:c>
      <x:c r="Y231" s="6">
        <x:f>(S231*IF(E231="G",F231,0))+(S231*IF(G231="G",H231,0))</x:f>
      </x:c>
      <x:c r="Z231" s="6">
        <x:f>(S231*IF(E231="E",F231,0))+(S231*IF(G231="E",H231,0))</x:f>
      </x:c>
      <x:c r="AA231" s="6">
        <x:f>(S231*IF(E231="T",F231,0))+(S231*IF(G231="T",H231,0))</x:f>
      </x:c>
      <x:c r="AB231" s="6">
        <x:f>(S231*IF(E231="L",F231,0))+(S231*IF(G231="L",H231,0))</x:f>
      </x:c>
      <x:c r="AC231" s="6">
        <x:f>(S231*IF(E231="H",F231,0))+(S231*IF(G231="H",H231,0))</x:f>
      </x:c>
      <x:c r="AD231" s="6">
        <x:f>(S231*IF(E231="V",F231,0))+(S231*IF(G231="V",H231,0))</x:f>
      </x:c>
      <x:c r="AE231" s="6">
        <x:f>(S231*IF(E231="R",F231,0))+(S231*IF(G231="R",H231,0))</x:f>
      </x:c>
      <x:c r="AF231" s="6">
        <x:f>(S231*IF(E231="F",F231,0))+(S231*IF(G231="F",H231,0))</x:f>
      </x:c>
      <x:c r="AG231" s="6">
        <x:f>(S231*IF(E231="W",F231,0))+(S231*IF(G231="W",H231,0))</x:f>
      </x:c>
    </x:row>
    <x:row r="232">
      <x:c r="A232" s="3" t="inlineStr">
        <x:is>
          <x:t xml:space="preserve">HR</x:t>
        </x:is>
      </x:c>
      <x:c r="B232" s="3" t="inlineStr">
        <x:is>
          <x:t xml:space="preserve">HR-D1-Q04</x:t>
        </x:is>
      </x:c>
      <x:c r="C232" s="3" t="inlineStr">
        <x:is>
          <x:t xml:space="preserve">T3</x:t>
        </x:is>
      </x:c>
      <x:c r="D232" s="3" t="inlineStr">
        <x:is>
          <x:t xml:space="preserve">1. HR Operating Model</x:t>
        </x:is>
      </x:c>
      <x:c r="E232" s="3" t="inlineStr">
        <x:is>
          <x:t xml:space="preserve">R</x:t>
        </x:is>
      </x:c>
      <x:c r="F232" s="3" t="n">
        <x:v>0.5</x:v>
      </x:c>
      <x:c r="G232" s="3" t="inlineStr">
        <x:is>
          <x:t xml:space="preserve">L</x:t>
        </x:is>
      </x:c>
      <x:c r="H232" s="3" t="n">
        <x:v>0.5</x:v>
      </x:c>
      <x:c r="I232" s="3" t="inlineStr">
        <x:is>
          <x:t xml:space="preserve">Is there a documented, fair cross-functional case workflow (HR + Legal/Privacy + Security) with clear decision rights and timelines?</x:t>
        </x:is>
      </x:c>
      <x:c r="J232" s="3" t="inlineStr">
        <x:is>
          <x:t xml:space="preserve">Focus on fairness, confidentiality, proportionality, and approvals for sensitive data use.</x:t>
        </x:is>
      </x:c>
      <x:c r="K232" s="3" t="inlineStr">
        <x:is>
          <x:t xml:space="preserve">Business-proofing</x:t>
        </x:is>
      </x:c>
      <x:c r="L232" s="3" t="inlineStr">
        <x:is>
          <x:t xml:space="preserve">LEG_STRICT</x:t>
        </x:is>
      </x:c>
      <x:c r="M232" s="3" t="n">
        <x:v>1</x:v>
      </x:c>
      <x:c r="N232" s="3" t="n"/>
      <x:c r="O232" s="3" t="n"/>
      <x:c r="P232" s="3" t="inlineStr">
        <x:is>
          <x:t xml:space="preserve">HR-D1-Q04-A5</x:t>
        </x:is>
      </x:c>
      <x:c r="Q232" s="3" t="n">
        <x:v>5</x:v>
      </x:c>
      <x:c r="R232" s="3" t="inlineStr">
        <x:is>
          <x:t xml:space="preserve">Audited: tested/audited and improved after cases or exercises.</x:t>
        </x:is>
      </x:c>
      <x:c r="S232" s="3" t="n">
        <x:v>4</x:v>
      </x:c>
      <x:c r="T232" s="3" t="inlineStr">
        <x:is>
          <x:t xml:space="preserve"/>
        </x:is>
      </x:c>
      <x:c r="U232" s="3" t="inlineStr">
        <x:is>
          <x:t xml:space="preserve">Legal Exposure</x:t>
        </x:is>
      </x:c>
      <x:c r="V232" s="3" t="inlineStr">
        <x:is>
          <x:t xml:space="preserve">Continue assurance</x:t>
        </x:is>
      </x:c>
      <x:c r="W232" s="3" t="inlineStr">
        <x:is>
          <x:t xml:space="preserve">N</x:t>
        </x:is>
      </x:c>
      <x:c r="X232" s="3" t="inlineStr">
        <x:is>
          <x:t xml:space="preserve">Evidence: audit/exercise notes.</x:t>
        </x:is>
      </x:c>
      <x:c r="Y232" s="6">
        <x:f>(S232*IF(E232="G",F232,0))+(S232*IF(G232="G",H232,0))</x:f>
      </x:c>
      <x:c r="Z232" s="6">
        <x:f>(S232*IF(E232="E",F232,0))+(S232*IF(G232="E",H232,0))</x:f>
      </x:c>
      <x:c r="AA232" s="6">
        <x:f>(S232*IF(E232="T",F232,0))+(S232*IF(G232="T",H232,0))</x:f>
      </x:c>
      <x:c r="AB232" s="6">
        <x:f>(S232*IF(E232="L",F232,0))+(S232*IF(G232="L",H232,0))</x:f>
      </x:c>
      <x:c r="AC232" s="6">
        <x:f>(S232*IF(E232="H",F232,0))+(S232*IF(G232="H",H232,0))</x:f>
      </x:c>
      <x:c r="AD232" s="6">
        <x:f>(S232*IF(E232="V",F232,0))+(S232*IF(G232="V",H232,0))</x:f>
      </x:c>
      <x:c r="AE232" s="6">
        <x:f>(S232*IF(E232="R",F232,0))+(S232*IF(G232="R",H232,0))</x:f>
      </x:c>
      <x:c r="AF232" s="6">
        <x:f>(S232*IF(E232="F",F232,0))+(S232*IF(G232="F",H232,0))</x:f>
      </x:c>
      <x:c r="AG232" s="6">
        <x:f>(S232*IF(E232="W",F232,0))+(S232*IF(G232="W",H232,0))</x:f>
      </x:c>
    </x:row>
    <x:row r="233">
      <x:c r="A233" s="3" t="inlineStr">
        <x:is>
          <x:t xml:space="preserve">HR</x:t>
        </x:is>
      </x:c>
      <x:c r="B233" s="3" t="inlineStr">
        <x:is>
          <x:t xml:space="preserve">HR-D2-Q05</x:t>
        </x:is>
      </x:c>
      <x:c r="C233" s="3" t="inlineStr">
        <x:is>
          <x:t xml:space="preserve">T1</x:t>
        </x:is>
      </x:c>
      <x:c r="D233" s="3" t="inlineStr">
        <x:is>
          <x:t xml:space="preserve">2. Protected Reporting</x:t>
        </x:is>
      </x:c>
      <x:c r="E233" s="3" t="inlineStr">
        <x:is>
          <x:t xml:space="preserve">H</x:t>
        </x:is>
      </x:c>
      <x:c r="F233" s="3" t="n">
        <x:v>0.6</x:v>
      </x:c>
      <x:c r="G233" s="3" t="inlineStr">
        <x:is>
          <x:t xml:space="preserve">L</x:t>
        </x:is>
      </x:c>
      <x:c r="H233" s="3" t="n">
        <x:v>0.4</x:v>
      </x:c>
      <x:c r="I233" s="3" t="inlineStr">
        <x:is>
          <x:t xml:space="preserve">Do employees and contractors have safe ways to raise concerns (including about peers or managers) and are they protected from retaliation?</x:t>
        </x:is>
      </x:c>
      <x:c r="J233" s="3" t="inlineStr">
        <x:is>
          <x:t xml:space="preserve">Include hotline/ombuds/HR channels. Protected = non-retaliation rules + process.</x:t>
        </x:is>
      </x:c>
      <x:c r="K233" s="3" t="inlineStr">
        <x:is>
          <x:t xml:space="preserve">Gatekeeper (If BaseScore &lt;2 → HR-D2-Q06; If ≥2 → HR-D2-Q07)</x:t>
        </x:is>
      </x:c>
      <x:c r="L233" s="3" t="inlineStr">
        <x:is>
          <x:t xml:space="preserve">LEG_STRICT</x:t>
        </x:is>
      </x:c>
      <x:c r="M233" s="3" t="n">
        <x:v>1</x:v>
      </x:c>
      <x:c r="N233" s="3" t="n"/>
      <x:c r="O233" s="3" t="n"/>
      <x:c r="P233" s="3" t="inlineStr">
        <x:is>
          <x:t xml:space="preserve">HR-D2-Q05-A0</x:t>
        </x:is>
      </x:c>
      <x:c r="Q233" s="3" t="n">
        <x:v>1</x:v>
      </x:c>
      <x:c r="R233" s="3" t="inlineStr">
        <x:is>
          <x:t xml:space="preserve">I don't know / Not sure.</x:t>
        </x:is>
      </x:c>
      <x:c r="S233" s="3" t="n">
        <x:v>0</x:v>
      </x:c>
      <x:c r="T233" s="3" t="inlineStr">
        <x:is>
          <x:t xml:space="preserve">low-confidence</x:t>
        </x:is>
      </x:c>
      <x:c r="U233" s="3" t="inlineStr">
        <x:is>
          <x:t xml:space="preserve">Culture Risk</x:t>
        </x:is>
      </x:c>
      <x:c r="V233" s="3" t="inlineStr">
        <x:is>
          <x:t xml:space="preserve">Clarify channels</x:t>
        </x:is>
      </x:c>
      <x:c r="W233" s="3" t="inlineStr">
        <x:is>
          <x:t xml:space="preserve">N</x:t>
        </x:is>
      </x:c>
      <x:c r="X233" s="3" t="inlineStr">
        <x:is>
          <x:t xml:space="preserve"/>
        </x:is>
      </x:c>
      <x:c r="Y233" s="6">
        <x:f>(S233*IF(E233="G",F233,0))+(S233*IF(G233="G",H233,0))</x:f>
      </x:c>
      <x:c r="Z233" s="6">
        <x:f>(S233*IF(E233="E",F233,0))+(S233*IF(G233="E",H233,0))</x:f>
      </x:c>
      <x:c r="AA233" s="6">
        <x:f>(S233*IF(E233="T",F233,0))+(S233*IF(G233="T",H233,0))</x:f>
      </x:c>
      <x:c r="AB233" s="6">
        <x:f>(S233*IF(E233="L",F233,0))+(S233*IF(G233="L",H233,0))</x:f>
      </x:c>
      <x:c r="AC233" s="6">
        <x:f>(S233*IF(E233="H",F233,0))+(S233*IF(G233="H",H233,0))</x:f>
      </x:c>
      <x:c r="AD233" s="6">
        <x:f>(S233*IF(E233="V",F233,0))+(S233*IF(G233="V",H233,0))</x:f>
      </x:c>
      <x:c r="AE233" s="6">
        <x:f>(S233*IF(E233="R",F233,0))+(S233*IF(G233="R",H233,0))</x:f>
      </x:c>
      <x:c r="AF233" s="6">
        <x:f>(S233*IF(E233="F",F233,0))+(S233*IF(G233="F",H233,0))</x:f>
      </x:c>
      <x:c r="AG233" s="6">
        <x:f>(S233*IF(E233="W",F233,0))+(S233*IF(G233="W",H233,0))</x:f>
      </x:c>
    </x:row>
    <x:row r="234">
      <x:c r="A234" s="3" t="inlineStr">
        <x:is>
          <x:t xml:space="preserve">HR</x:t>
        </x:is>
      </x:c>
      <x:c r="B234" s="3" t="inlineStr">
        <x:is>
          <x:t xml:space="preserve">HR-D2-Q05</x:t>
        </x:is>
      </x:c>
      <x:c r="C234" s="3" t="inlineStr">
        <x:is>
          <x:t xml:space="preserve">T1</x:t>
        </x:is>
      </x:c>
      <x:c r="D234" s="3" t="inlineStr">
        <x:is>
          <x:t xml:space="preserve">2. Protected Reporting</x:t>
        </x:is>
      </x:c>
      <x:c r="E234" s="3" t="inlineStr">
        <x:is>
          <x:t xml:space="preserve">H</x:t>
        </x:is>
      </x:c>
      <x:c r="F234" s="3" t="n">
        <x:v>0.6</x:v>
      </x:c>
      <x:c r="G234" s="3" t="inlineStr">
        <x:is>
          <x:t xml:space="preserve">L</x:t>
        </x:is>
      </x:c>
      <x:c r="H234" s="3" t="n">
        <x:v>0.4</x:v>
      </x:c>
      <x:c r="I234" s="3" t="inlineStr">
        <x:is>
          <x:t xml:space="preserve">Do employees and contractors have safe ways to raise concerns (including about peers or managers) and are they protected from retaliation?</x:t>
        </x:is>
      </x:c>
      <x:c r="J234" s="3" t="inlineStr">
        <x:is>
          <x:t xml:space="preserve">Include hotline/ombuds/HR channels. Protected = non-retaliation rules + process.</x:t>
        </x:is>
      </x:c>
      <x:c r="K234" s="3" t="inlineStr">
        <x:is>
          <x:t xml:space="preserve">Gatekeeper (If BaseScore &lt;2 → HR-D2-Q06; If ≥2 → HR-D2-Q07)</x:t>
        </x:is>
      </x:c>
      <x:c r="L234" s="3" t="inlineStr">
        <x:is>
          <x:t xml:space="preserve">LEG_STRICT</x:t>
        </x:is>
      </x:c>
      <x:c r="M234" s="3" t="n">
        <x:v>1</x:v>
      </x:c>
      <x:c r="N234" s="3" t="n"/>
      <x:c r="O234" s="3" t="n"/>
      <x:c r="P234" s="3" t="inlineStr">
        <x:is>
          <x:t xml:space="preserve">HR-D2-Q05-A1</x:t>
        </x:is>
      </x:c>
      <x:c r="Q234" s="3" t="n">
        <x:v>2</x:v>
      </x:c>
      <x:c r="R234" s="3" t="inlineStr">
        <x:is>
          <x:t xml:space="preserve">No: people mostly stay silent or only talk informally.</x:t>
        </x:is>
      </x:c>
      <x:c r="S234" s="3" t="n">
        <x:v>0</x:v>
      </x:c>
      <x:c r="T234" s="3" t="inlineStr">
        <x:is>
          <x:t xml:space="preserve">culture_risk,toxic_enforcer_signal</x:t>
        </x:is>
      </x:c>
      <x:c r="U234" s="3" t="inlineStr">
        <x:is>
          <x:t xml:space="preserve">Culture Risk</x:t>
        </x:is>
      </x:c>
      <x:c r="V234" s="3" t="inlineStr">
        <x:is>
          <x:t xml:space="preserve">Design protected reporting</x:t>
        </x:is>
      </x:c>
      <x:c r="W234" s="3" t="inlineStr">
        <x:is>
          <x:t xml:space="preserve">N</x:t>
        </x:is>
      </x:c>
      <x:c r="X234" s="3" t="inlineStr">
        <x:is>
          <x:t xml:space="preserve"/>
        </x:is>
      </x:c>
      <x:c r="Y234" s="6">
        <x:f>(S234*IF(E234="G",F234,0))+(S234*IF(G234="G",H234,0))</x:f>
      </x:c>
      <x:c r="Z234" s="6">
        <x:f>(S234*IF(E234="E",F234,0))+(S234*IF(G234="E",H234,0))</x:f>
      </x:c>
      <x:c r="AA234" s="6">
        <x:f>(S234*IF(E234="T",F234,0))+(S234*IF(G234="T",H234,0))</x:f>
      </x:c>
      <x:c r="AB234" s="6">
        <x:f>(S234*IF(E234="L",F234,0))+(S234*IF(G234="L",H234,0))</x:f>
      </x:c>
      <x:c r="AC234" s="6">
        <x:f>(S234*IF(E234="H",F234,0))+(S234*IF(G234="H",H234,0))</x:f>
      </x:c>
      <x:c r="AD234" s="6">
        <x:f>(S234*IF(E234="V",F234,0))+(S234*IF(G234="V",H234,0))</x:f>
      </x:c>
      <x:c r="AE234" s="6">
        <x:f>(S234*IF(E234="R",F234,0))+(S234*IF(G234="R",H234,0))</x:f>
      </x:c>
      <x:c r="AF234" s="6">
        <x:f>(S234*IF(E234="F",F234,0))+(S234*IF(G234="F",H234,0))</x:f>
      </x:c>
      <x:c r="AG234" s="6">
        <x:f>(S234*IF(E234="W",F234,0))+(S234*IF(G234="W",H234,0))</x:f>
      </x:c>
    </x:row>
    <x:row r="235">
      <x:c r="A235" s="3" t="inlineStr">
        <x:is>
          <x:t xml:space="preserve">HR</x:t>
        </x:is>
      </x:c>
      <x:c r="B235" s="3" t="inlineStr">
        <x:is>
          <x:t xml:space="preserve">HR-D2-Q05</x:t>
        </x:is>
      </x:c>
      <x:c r="C235" s="3" t="inlineStr">
        <x:is>
          <x:t xml:space="preserve">T1</x:t>
        </x:is>
      </x:c>
      <x:c r="D235" s="3" t="inlineStr">
        <x:is>
          <x:t xml:space="preserve">2. Protected Reporting</x:t>
        </x:is>
      </x:c>
      <x:c r="E235" s="3" t="inlineStr">
        <x:is>
          <x:t xml:space="preserve">H</x:t>
        </x:is>
      </x:c>
      <x:c r="F235" s="3" t="n">
        <x:v>0.6</x:v>
      </x:c>
      <x:c r="G235" s="3" t="inlineStr">
        <x:is>
          <x:t xml:space="preserve">L</x:t>
        </x:is>
      </x:c>
      <x:c r="H235" s="3" t="n">
        <x:v>0.4</x:v>
      </x:c>
      <x:c r="I235" s="3" t="inlineStr">
        <x:is>
          <x:t xml:space="preserve">Do employees and contractors have safe ways to raise concerns (including about peers or managers) and are they protected from retaliation?</x:t>
        </x:is>
      </x:c>
      <x:c r="J235" s="3" t="inlineStr">
        <x:is>
          <x:t xml:space="preserve">Include hotline/ombuds/HR channels. Protected = non-retaliation rules + process.</x:t>
        </x:is>
      </x:c>
      <x:c r="K235" s="3" t="inlineStr">
        <x:is>
          <x:t xml:space="preserve">Gatekeeper (If BaseScore &lt;2 → HR-D2-Q06; If ≥2 → HR-D2-Q07)</x:t>
        </x:is>
      </x:c>
      <x:c r="L235" s="3" t="inlineStr">
        <x:is>
          <x:t xml:space="preserve">LEG_STRICT</x:t>
        </x:is>
      </x:c>
      <x:c r="M235" s="3" t="n">
        <x:v>1</x:v>
      </x:c>
      <x:c r="N235" s="3" t="n"/>
      <x:c r="O235" s="3" t="n"/>
      <x:c r="P235" s="3" t="inlineStr">
        <x:is>
          <x:t xml:space="preserve">HR-D2-Q05-A2</x:t>
        </x:is>
      </x:c>
      <x:c r="Q235" s="3" t="n">
        <x:v>3</x:v>
      </x:c>
      <x:c r="R235" s="3" t="inlineStr">
        <x:is>
          <x:t xml:space="preserve">Basic: a channel exists, but people fear consequences or don't trust it.</x:t>
        </x:is>
      </x:c>
      <x:c r="S235" s="3" t="n">
        <x:v>1</x:v>
      </x:c>
      <x:c r="T235" s="3" t="inlineStr">
        <x:is>
          <x:t xml:space="preserve">culture_risk</x:t>
        </x:is>
      </x:c>
      <x:c r="U235" s="3" t="inlineStr">
        <x:is>
          <x:t xml:space="preserve">Culture Risk</x:t>
        </x:is>
      </x:c>
      <x:c r="V235" s="3" t="inlineStr">
        <x:is>
          <x:t xml:space="preserve">Improve trust &amp; protections</x:t>
        </x:is>
      </x:c>
      <x:c r="W235" s="3" t="inlineStr">
        <x:is>
          <x:t xml:space="preserve">N</x:t>
        </x:is>
      </x:c>
      <x:c r="X235" s="3" t="inlineStr">
        <x:is>
          <x:t xml:space="preserve">Evidence: channel description, communications.</x:t>
        </x:is>
      </x:c>
      <x:c r="Y235" s="6">
        <x:f>(S235*IF(E235="G",F235,0))+(S235*IF(G235="G",H235,0))</x:f>
      </x:c>
      <x:c r="Z235" s="6">
        <x:f>(S235*IF(E235="E",F235,0))+(S235*IF(G235="E",H235,0))</x:f>
      </x:c>
      <x:c r="AA235" s="6">
        <x:f>(S235*IF(E235="T",F235,0))+(S235*IF(G235="T",H235,0))</x:f>
      </x:c>
      <x:c r="AB235" s="6">
        <x:f>(S235*IF(E235="L",F235,0))+(S235*IF(G235="L",H235,0))</x:f>
      </x:c>
      <x:c r="AC235" s="6">
        <x:f>(S235*IF(E235="H",F235,0))+(S235*IF(G235="H",H235,0))</x:f>
      </x:c>
      <x:c r="AD235" s="6">
        <x:f>(S235*IF(E235="V",F235,0))+(S235*IF(G235="V",H235,0))</x:f>
      </x:c>
      <x:c r="AE235" s="6">
        <x:f>(S235*IF(E235="R",F235,0))+(S235*IF(G235="R",H235,0))</x:f>
      </x:c>
      <x:c r="AF235" s="6">
        <x:f>(S235*IF(E235="F",F235,0))+(S235*IF(G235="F",H235,0))</x:f>
      </x:c>
      <x:c r="AG235" s="6">
        <x:f>(S235*IF(E235="W",F235,0))+(S235*IF(G235="W",H235,0))</x:f>
      </x:c>
    </x:row>
    <x:row r="236">
      <x:c r="A236" s="3" t="inlineStr">
        <x:is>
          <x:t xml:space="preserve">HR</x:t>
        </x:is>
      </x:c>
      <x:c r="B236" s="3" t="inlineStr">
        <x:is>
          <x:t xml:space="preserve">HR-D2-Q05</x:t>
        </x:is>
      </x:c>
      <x:c r="C236" s="3" t="inlineStr">
        <x:is>
          <x:t xml:space="preserve">T1</x:t>
        </x:is>
      </x:c>
      <x:c r="D236" s="3" t="inlineStr">
        <x:is>
          <x:t xml:space="preserve">2. Protected Reporting</x:t>
        </x:is>
      </x:c>
      <x:c r="E236" s="3" t="inlineStr">
        <x:is>
          <x:t xml:space="preserve">H</x:t>
        </x:is>
      </x:c>
      <x:c r="F236" s="3" t="n">
        <x:v>0.6</x:v>
      </x:c>
      <x:c r="G236" s="3" t="inlineStr">
        <x:is>
          <x:t xml:space="preserve">L</x:t>
        </x:is>
      </x:c>
      <x:c r="H236" s="3" t="n">
        <x:v>0.4</x:v>
      </x:c>
      <x:c r="I236" s="3" t="inlineStr">
        <x:is>
          <x:t xml:space="preserve">Do employees and contractors have safe ways to raise concerns (including about peers or managers) and are they protected from retaliation?</x:t>
        </x:is>
      </x:c>
      <x:c r="J236" s="3" t="inlineStr">
        <x:is>
          <x:t xml:space="preserve">Include hotline/ombuds/HR channels. Protected = non-retaliation rules + process.</x:t>
        </x:is>
      </x:c>
      <x:c r="K236" s="3" t="inlineStr">
        <x:is>
          <x:t xml:space="preserve">Gatekeeper (If BaseScore &lt;2 → HR-D2-Q06; If ≥2 → HR-D2-Q07)</x:t>
        </x:is>
      </x:c>
      <x:c r="L236" s="3" t="inlineStr">
        <x:is>
          <x:t xml:space="preserve">LEG_STRICT</x:t>
        </x:is>
      </x:c>
      <x:c r="M236" s="3" t="n">
        <x:v>1</x:v>
      </x:c>
      <x:c r="N236" s="3" t="n"/>
      <x:c r="O236" s="3" t="n"/>
      <x:c r="P236" s="3" t="inlineStr">
        <x:is>
          <x:t xml:space="preserve">HR-D2-Q05-A3</x:t>
        </x:is>
      </x:c>
      <x:c r="Q236" s="3" t="n">
        <x:v>4</x:v>
      </x:c>
      <x:c r="R236" s="3" t="inlineStr">
        <x:is>
          <x:t xml:space="preserve">Defined: multiple channels exist and non-retaliation is communicated, but quality varies.</x:t>
        </x:is>
      </x:c>
      <x:c r="S236" s="3" t="n">
        <x:v>2</x:v>
      </x:c>
      <x:c r="T236" s="3" t="inlineStr">
        <x:is>
          <x:t xml:space="preserve"/>
        </x:is>
      </x:c>
      <x:c r="U236" s="3" t="inlineStr">
        <x:is>
          <x:t xml:space="preserve">Culture Risk</x:t>
        </x:is>
      </x:c>
      <x:c r="V236" s="3" t="inlineStr">
        <x:is>
          <x:t xml:space="preserve">Strengthen triage &amp; feedback</x:t>
        </x:is>
      </x:c>
      <x:c r="W236" s="3" t="inlineStr">
        <x:is>
          <x:t xml:space="preserve">N</x:t>
        </x:is>
      </x:c>
      <x:c r="X236" s="3" t="inlineStr">
        <x:is>
          <x:t xml:space="preserve">Evidence: policy + comms.</x:t>
        </x:is>
      </x:c>
      <x:c r="Y236" s="6">
        <x:f>(S236*IF(E236="G",F236,0))+(S236*IF(G236="G",H236,0))</x:f>
      </x:c>
      <x:c r="Z236" s="6">
        <x:f>(S236*IF(E236="E",F236,0))+(S236*IF(G236="E",H236,0))</x:f>
      </x:c>
      <x:c r="AA236" s="6">
        <x:f>(S236*IF(E236="T",F236,0))+(S236*IF(G236="T",H236,0))</x:f>
      </x:c>
      <x:c r="AB236" s="6">
        <x:f>(S236*IF(E236="L",F236,0))+(S236*IF(G236="L",H236,0))</x:f>
      </x:c>
      <x:c r="AC236" s="6">
        <x:f>(S236*IF(E236="H",F236,0))+(S236*IF(G236="H",H236,0))</x:f>
      </x:c>
      <x:c r="AD236" s="6">
        <x:f>(S236*IF(E236="V",F236,0))+(S236*IF(G236="V",H236,0))</x:f>
      </x:c>
      <x:c r="AE236" s="6">
        <x:f>(S236*IF(E236="R",F236,0))+(S236*IF(G236="R",H236,0))</x:f>
      </x:c>
      <x:c r="AF236" s="6">
        <x:f>(S236*IF(E236="F",F236,0))+(S236*IF(G236="F",H236,0))</x:f>
      </x:c>
      <x:c r="AG236" s="6">
        <x:f>(S236*IF(E236="W",F236,0))+(S236*IF(G236="W",H236,0))</x:f>
      </x:c>
    </x:row>
    <x:row r="237">
      <x:c r="A237" s="3" t="inlineStr">
        <x:is>
          <x:t xml:space="preserve">HR</x:t>
        </x:is>
      </x:c>
      <x:c r="B237" s="3" t="inlineStr">
        <x:is>
          <x:t xml:space="preserve">HR-D2-Q05</x:t>
        </x:is>
      </x:c>
      <x:c r="C237" s="3" t="inlineStr">
        <x:is>
          <x:t xml:space="preserve">T1</x:t>
        </x:is>
      </x:c>
      <x:c r="D237" s="3" t="inlineStr">
        <x:is>
          <x:t xml:space="preserve">2. Protected Reporting</x:t>
        </x:is>
      </x:c>
      <x:c r="E237" s="3" t="inlineStr">
        <x:is>
          <x:t xml:space="preserve">H</x:t>
        </x:is>
      </x:c>
      <x:c r="F237" s="3" t="n">
        <x:v>0.6</x:v>
      </x:c>
      <x:c r="G237" s="3" t="inlineStr">
        <x:is>
          <x:t xml:space="preserve">L</x:t>
        </x:is>
      </x:c>
      <x:c r="H237" s="3" t="n">
        <x:v>0.4</x:v>
      </x:c>
      <x:c r="I237" s="3" t="inlineStr">
        <x:is>
          <x:t xml:space="preserve">Do employees and contractors have safe ways to raise concerns (including about peers or managers) and are they protected from retaliation?</x:t>
        </x:is>
      </x:c>
      <x:c r="J237" s="3" t="inlineStr">
        <x:is>
          <x:t xml:space="preserve">Include hotline/ombuds/HR channels. Protected = non-retaliation rules + process.</x:t>
        </x:is>
      </x:c>
      <x:c r="K237" s="3" t="inlineStr">
        <x:is>
          <x:t xml:space="preserve">Gatekeeper (If BaseScore &lt;2 → HR-D2-Q06; If ≥2 → HR-D2-Q07)</x:t>
        </x:is>
      </x:c>
      <x:c r="L237" s="3" t="inlineStr">
        <x:is>
          <x:t xml:space="preserve">LEG_STRICT</x:t>
        </x:is>
      </x:c>
      <x:c r="M237" s="3" t="n">
        <x:v>1</x:v>
      </x:c>
      <x:c r="N237" s="3" t="n"/>
      <x:c r="O237" s="3" t="n"/>
      <x:c r="P237" s="3" t="inlineStr">
        <x:is>
          <x:t xml:space="preserve">HR-D2-Q05-A4</x:t>
        </x:is>
      </x:c>
      <x:c r="Q237" s="3" t="n">
        <x:v>5</x:v>
      </x:c>
      <x:c r="R237" s="3" t="inlineStr">
        <x:is>
          <x:t xml:space="preserve">Trusted: channels are used; confidentiality respected; retaliation investigated.</x:t>
        </x:is>
      </x:c>
      <x:c r="S237" s="3" t="n">
        <x:v>3</x:v>
      </x:c>
      <x:c r="T237" s="3" t="inlineStr">
        <x:is>
          <x:t xml:space="preserve"/>
        </x:is>
      </x:c>
      <x:c r="U237" s="3" t="inlineStr">
        <x:is>
          <x:t xml:space="preserve">Culture Risk</x:t>
        </x:is>
      </x:c>
      <x:c r="V237" s="3" t="inlineStr">
        <x:is>
          <x:t xml:space="preserve">Maintain and measure trust</x:t>
        </x:is>
      </x:c>
      <x:c r="W237" s="3" t="inlineStr">
        <x:is>
          <x:t xml:space="preserve">N</x:t>
        </x:is>
      </x:c>
      <x:c r="X237" s="3" t="inlineStr">
        <x:is>
          <x:t xml:space="preserve">Evidence: anonymized metrics on reports/retaliation.</x:t>
        </x:is>
      </x:c>
      <x:c r="Y237" s="6">
        <x:f>(S237*IF(E237="G",F237,0))+(S237*IF(G237="G",H237,0))</x:f>
      </x:c>
      <x:c r="Z237" s="6">
        <x:f>(S237*IF(E237="E",F237,0))+(S237*IF(G237="E",H237,0))</x:f>
      </x:c>
      <x:c r="AA237" s="6">
        <x:f>(S237*IF(E237="T",F237,0))+(S237*IF(G237="T",H237,0))</x:f>
      </x:c>
      <x:c r="AB237" s="6">
        <x:f>(S237*IF(E237="L",F237,0))+(S237*IF(G237="L",H237,0))</x:f>
      </x:c>
      <x:c r="AC237" s="6">
        <x:f>(S237*IF(E237="H",F237,0))+(S237*IF(G237="H",H237,0))</x:f>
      </x:c>
      <x:c r="AD237" s="6">
        <x:f>(S237*IF(E237="V",F237,0))+(S237*IF(G237="V",H237,0))</x:f>
      </x:c>
      <x:c r="AE237" s="6">
        <x:f>(S237*IF(E237="R",F237,0))+(S237*IF(G237="R",H237,0))</x:f>
      </x:c>
      <x:c r="AF237" s="6">
        <x:f>(S237*IF(E237="F",F237,0))+(S237*IF(G237="F",H237,0))</x:f>
      </x:c>
      <x:c r="AG237" s="6">
        <x:f>(S237*IF(E237="W",F237,0))+(S237*IF(G237="W",H237,0))</x:f>
      </x:c>
    </x:row>
    <x:row r="238">
      <x:c r="A238" s="3" t="inlineStr">
        <x:is>
          <x:t xml:space="preserve">HR</x:t>
        </x:is>
      </x:c>
      <x:c r="B238" s="3" t="inlineStr">
        <x:is>
          <x:t xml:space="preserve">HR-D2-Q05</x:t>
        </x:is>
      </x:c>
      <x:c r="C238" s="3" t="inlineStr">
        <x:is>
          <x:t xml:space="preserve">T1</x:t>
        </x:is>
      </x:c>
      <x:c r="D238" s="3" t="inlineStr">
        <x:is>
          <x:t xml:space="preserve">2. Protected Reporting</x:t>
        </x:is>
      </x:c>
      <x:c r="E238" s="3" t="inlineStr">
        <x:is>
          <x:t xml:space="preserve">H</x:t>
        </x:is>
      </x:c>
      <x:c r="F238" s="3" t="n">
        <x:v>0.6</x:v>
      </x:c>
      <x:c r="G238" s="3" t="inlineStr">
        <x:is>
          <x:t xml:space="preserve">L</x:t>
        </x:is>
      </x:c>
      <x:c r="H238" s="3" t="n">
        <x:v>0.4</x:v>
      </x:c>
      <x:c r="I238" s="3" t="inlineStr">
        <x:is>
          <x:t xml:space="preserve">Do employees and contractors have safe ways to raise concerns (including about peers or managers) and are they protected from retaliation?</x:t>
        </x:is>
      </x:c>
      <x:c r="J238" s="3" t="inlineStr">
        <x:is>
          <x:t xml:space="preserve">Include hotline/ombuds/HR channels. Protected = non-retaliation rules + process.</x:t>
        </x:is>
      </x:c>
      <x:c r="K238" s="3" t="inlineStr">
        <x:is>
          <x:t xml:space="preserve">Gatekeeper (If BaseScore &lt;2 → HR-D2-Q06; If ≥2 → HR-D2-Q07)</x:t>
        </x:is>
      </x:c>
      <x:c r="L238" s="3" t="inlineStr">
        <x:is>
          <x:t xml:space="preserve">LEG_STRICT</x:t>
        </x:is>
      </x:c>
      <x:c r="M238" s="3" t="n">
        <x:v>1</x:v>
      </x:c>
      <x:c r="N238" s="3" t="n"/>
      <x:c r="O238" s="3" t="n"/>
      <x:c r="P238" s="3" t="inlineStr">
        <x:is>
          <x:t xml:space="preserve">HR-D2-Q05-A5</x:t>
        </x:is>
      </x:c>
      <x:c r="Q238" s="3" t="n">
        <x:v>6</x:v>
      </x:c>
      <x:c r="R238" s="3" t="inlineStr">
        <x:is>
          <x:t xml:space="preserve">High trust: people report early; outcomes drive improvements; trust is measured.</x:t>
        </x:is>
      </x:c>
      <x:c r="S238" s="3" t="n">
        <x:v>4</x:v>
      </x:c>
      <x:c r="T238" s="3" t="inlineStr">
        <x:is>
          <x:t xml:space="preserve"/>
        </x:is>
      </x:c>
      <x:c r="U238" s="3" t="inlineStr">
        <x:is>
          <x:t xml:space="preserve">Culture Risk</x:t>
        </x:is>
      </x:c>
      <x:c r="V238" s="3" t="inlineStr">
        <x:is>
          <x:t xml:space="preserve">Maintain maturity</x:t>
        </x:is>
      </x:c>
      <x:c r="W238" s="3" t="inlineStr">
        <x:is>
          <x:t xml:space="preserve">N</x:t>
        </x:is>
      </x:c>
      <x:c r="X238" s="3" t="inlineStr">
        <x:is>
          <x:t xml:space="preserve">Evidence: trends + action plans.</x:t>
        </x:is>
      </x:c>
      <x:c r="Y238" s="6">
        <x:f>(S238*IF(E238="G",F238,0))+(S238*IF(G238="G",H238,0))</x:f>
      </x:c>
      <x:c r="Z238" s="6">
        <x:f>(S238*IF(E238="E",F238,0))+(S238*IF(G238="E",H238,0))</x:f>
      </x:c>
      <x:c r="AA238" s="6">
        <x:f>(S238*IF(E238="T",F238,0))+(S238*IF(G238="T",H238,0))</x:f>
      </x:c>
      <x:c r="AB238" s="6">
        <x:f>(S238*IF(E238="L",F238,0))+(S238*IF(G238="L",H238,0))</x:f>
      </x:c>
      <x:c r="AC238" s="6">
        <x:f>(S238*IF(E238="H",F238,0))+(S238*IF(G238="H",H238,0))</x:f>
      </x:c>
      <x:c r="AD238" s="6">
        <x:f>(S238*IF(E238="V",F238,0))+(S238*IF(G238="V",H238,0))</x:f>
      </x:c>
      <x:c r="AE238" s="6">
        <x:f>(S238*IF(E238="R",F238,0))+(S238*IF(G238="R",H238,0))</x:f>
      </x:c>
      <x:c r="AF238" s="6">
        <x:f>(S238*IF(E238="F",F238,0))+(S238*IF(G238="F",H238,0))</x:f>
      </x:c>
      <x:c r="AG238" s="6">
        <x:f>(S238*IF(E238="W",F238,0))+(S238*IF(G238="W",H238,0))</x:f>
      </x:c>
    </x:row>
    <x:row r="239">
      <x:c r="A239" s="3" t="inlineStr">
        <x:is>
          <x:t xml:space="preserve">HR</x:t>
        </x:is>
      </x:c>
      <x:c r="B239" s="3" t="inlineStr">
        <x:is>
          <x:t xml:space="preserve">HR-D2-Q06</x:t>
        </x:is>
      </x:c>
      <x:c r="C239" s="3" t="inlineStr">
        <x:is>
          <x:t xml:space="preserve">T2</x:t>
        </x:is>
      </x:c>
      <x:c r="D239" s="3" t="inlineStr">
        <x:is>
          <x:t xml:space="preserve">2. Protected Reporting</x:t>
        </x:is>
      </x:c>
      <x:c r="E239" s="3" t="inlineStr">
        <x:is>
          <x:t xml:space="preserve">H</x:t>
        </x:is>
      </x:c>
      <x:c r="F239" s="3" t="n">
        <x:v>1</x:v>
      </x:c>
      <x:c r="G239" s="3" t="inlineStr">
        <x:is>
          <x:t xml:space="preserve">-</x:t>
        </x:is>
      </x:c>
      <x:c r="H239" s="3" t="inlineStr">
        <x:is>
          <x:t xml:space="preserve"/>
        </x:is>
      </x:c>
      <x:c r="I239" s="3" t="inlineStr">
        <x:is>
          <x:t xml:space="preserve">(Shadow probe) If there is no formal channel, how do concerns actually get raised today?</x:t>
        </x:is>
      </x:c>
      <x:c r="J239" s="3" t="inlineStr">
        <x:is>
          <x:t xml:space="preserve">Captures practical reality in low-maturity settings.</x:t>
        </x:is>
      </x:c>
      <x:c r="K239" s="3" t="inlineStr">
        <x:is>
          <x:t xml:space="preserve">Shadow fallback (Then → HR-D3-Q09)</x:t>
        </x:is>
      </x:c>
      <x:c r="L239" s="3" t="inlineStr">
        <x:is>
          <x:t xml:space="preserve">CULT_SOFT</x:t>
        </x:is>
      </x:c>
      <x:c r="M239" s="3" t="n">
        <x:v>1.5</x:v>
      </x:c>
      <x:c r="N239" s="3" t="n">
        <x:v>0.5</x:v>
      </x:c>
      <x:c r="O239" s="3" t="n"/>
      <x:c r="P239" s="3" t="inlineStr">
        <x:is>
          <x:t xml:space="preserve">HR-D2-Q06-A1</x:t>
        </x:is>
      </x:c>
      <x:c r="Q239" s="3" t="n">
        <x:v>1</x:v>
      </x:c>
      <x:c r="R239" s="3" t="inlineStr">
        <x:is>
          <x:t xml:space="preserve">They usually aren’t raised; people avoid speaking up.</x:t>
        </x:is>
      </x:c>
      <x:c r="S239" s="3" t="n">
        <x:v>0</x:v>
      </x:c>
      <x:c r="T239" s="3" t="inlineStr">
        <x:is>
          <x:t xml:space="preserve">culture_risk</x:t>
        </x:is>
      </x:c>
      <x:c r="U239" s="3" t="inlineStr">
        <x:is>
          <x:t xml:space="preserve">Culture Risk</x:t>
        </x:is>
      </x:c>
      <x:c r="V239" s="3" t="inlineStr">
        <x:is>
          <x:t xml:space="preserve">Implement channels</x:t>
        </x:is>
      </x:c>
      <x:c r="W239" s="3" t="inlineStr">
        <x:is>
          <x:t xml:space="preserve">N</x:t>
        </x:is>
      </x:c>
      <x:c r="X239" s="3" t="inlineStr">
        <x:is>
          <x:t xml:space="preserve"/>
        </x:is>
      </x:c>
      <x:c r="Y239" s="6">
        <x:f>(S239*IF(E239="G",F239,0))+(S239*IF(G239="G",H239,0))</x:f>
      </x:c>
      <x:c r="Z239" s="6">
        <x:f>(S239*IF(E239="E",F239,0))+(S239*IF(G239="E",H239,0))</x:f>
      </x:c>
      <x:c r="AA239" s="6">
        <x:f>(S239*IF(E239="T",F239,0))+(S239*IF(G239="T",H239,0))</x:f>
      </x:c>
      <x:c r="AB239" s="6">
        <x:f>(S239*IF(E239="L",F239,0))+(S239*IF(G239="L",H239,0))</x:f>
      </x:c>
      <x:c r="AC239" s="6">
        <x:f>(S239*IF(E239="H",F239,0))+(S239*IF(G239="H",H239,0))</x:f>
      </x:c>
      <x:c r="AD239" s="6">
        <x:f>(S239*IF(E239="V",F239,0))+(S239*IF(G239="V",H239,0))</x:f>
      </x:c>
      <x:c r="AE239" s="6">
        <x:f>(S239*IF(E239="R",F239,0))+(S239*IF(G239="R",H239,0))</x:f>
      </x:c>
      <x:c r="AF239" s="6">
        <x:f>(S239*IF(E239="F",F239,0))+(S239*IF(G239="F",H239,0))</x:f>
      </x:c>
      <x:c r="AG239" s="6">
        <x:f>(S239*IF(E239="W",F239,0))+(S239*IF(G239="W",H239,0))</x:f>
      </x:c>
    </x:row>
    <x:row r="240">
      <x:c r="A240" s="3" t="inlineStr">
        <x:is>
          <x:t xml:space="preserve">HR</x:t>
        </x:is>
      </x:c>
      <x:c r="B240" s="3" t="inlineStr">
        <x:is>
          <x:t xml:space="preserve">HR-D2-Q06</x:t>
        </x:is>
      </x:c>
      <x:c r="C240" s="3" t="inlineStr">
        <x:is>
          <x:t xml:space="preserve">T2</x:t>
        </x:is>
      </x:c>
      <x:c r="D240" s="3" t="inlineStr">
        <x:is>
          <x:t xml:space="preserve">2. Protected Reporting</x:t>
        </x:is>
      </x:c>
      <x:c r="E240" s="3" t="inlineStr">
        <x:is>
          <x:t xml:space="preserve">H</x:t>
        </x:is>
      </x:c>
      <x:c r="F240" s="3" t="n">
        <x:v>1</x:v>
      </x:c>
      <x:c r="G240" s="3" t="inlineStr">
        <x:is>
          <x:t xml:space="preserve">-</x:t>
        </x:is>
      </x:c>
      <x:c r="H240" s="3" t="inlineStr">
        <x:is>
          <x:t xml:space="preserve"/>
        </x:is>
      </x:c>
      <x:c r="I240" s="3" t="inlineStr">
        <x:is>
          <x:t xml:space="preserve">(Shadow probe) If there is no formal channel, how do concerns actually get raised today?</x:t>
        </x:is>
      </x:c>
      <x:c r="J240" s="3" t="inlineStr">
        <x:is>
          <x:t xml:space="preserve">Captures practical reality in low-maturity settings.</x:t>
        </x:is>
      </x:c>
      <x:c r="K240" s="3" t="inlineStr">
        <x:is>
          <x:t xml:space="preserve">Shadow fallback (Then → HR-D3-Q09)</x:t>
        </x:is>
      </x:c>
      <x:c r="L240" s="3" t="inlineStr">
        <x:is>
          <x:t xml:space="preserve">CULT_SOFT</x:t>
        </x:is>
      </x:c>
      <x:c r="M240" s="3" t="n">
        <x:v>1.5</x:v>
      </x:c>
      <x:c r="N240" s="3" t="n">
        <x:v>0.5</x:v>
      </x:c>
      <x:c r="O240" s="3" t="n"/>
      <x:c r="P240" s="3" t="inlineStr">
        <x:is>
          <x:t xml:space="preserve">HR-D2-Q06-A2</x:t>
        </x:is>
      </x:c>
      <x:c r="Q240" s="3" t="n">
        <x:v>2</x:v>
      </x:c>
      <x:c r="R240" s="3" t="inlineStr">
        <x:is>
          <x:t xml:space="preserve">Only to a trusted manager/HR contact; depends on relationships.</x:t>
        </x:is>
      </x:c>
      <x:c r="S240" s="3" t="n">
        <x:v>1</x:v>
      </x:c>
      <x:c r="T240" s="3" t="inlineStr">
        <x:is>
          <x:t xml:space="preserve">key_person_dependency</x:t>
        </x:is>
      </x:c>
      <x:c r="U240" s="3" t="inlineStr">
        <x:is>
          <x:t xml:space="preserve">Culture Risk</x:t>
        </x:is>
      </x:c>
      <x:c r="V240" s="3" t="inlineStr">
        <x:is>
          <x:t xml:space="preserve">Create consistent process</x:t>
        </x:is>
      </x:c>
      <x:c r="W240" s="3" t="inlineStr">
        <x:is>
          <x:t xml:space="preserve">N</x:t>
        </x:is>
      </x:c>
      <x:c r="X240" s="3" t="inlineStr">
        <x:is>
          <x:t xml:space="preserve"/>
        </x:is>
      </x:c>
      <x:c r="Y240" s="6">
        <x:f>(S240*IF(E240="G",F240,0))+(S240*IF(G240="G",H240,0))</x:f>
      </x:c>
      <x:c r="Z240" s="6">
        <x:f>(S240*IF(E240="E",F240,0))+(S240*IF(G240="E",H240,0))</x:f>
      </x:c>
      <x:c r="AA240" s="6">
        <x:f>(S240*IF(E240="T",F240,0))+(S240*IF(G240="T",H240,0))</x:f>
      </x:c>
      <x:c r="AB240" s="6">
        <x:f>(S240*IF(E240="L",F240,0))+(S240*IF(G240="L",H240,0))</x:f>
      </x:c>
      <x:c r="AC240" s="6">
        <x:f>(S240*IF(E240="H",F240,0))+(S240*IF(G240="H",H240,0))</x:f>
      </x:c>
      <x:c r="AD240" s="6">
        <x:f>(S240*IF(E240="V",F240,0))+(S240*IF(G240="V",H240,0))</x:f>
      </x:c>
      <x:c r="AE240" s="6">
        <x:f>(S240*IF(E240="R",F240,0))+(S240*IF(G240="R",H240,0))</x:f>
      </x:c>
      <x:c r="AF240" s="6">
        <x:f>(S240*IF(E240="F",F240,0))+(S240*IF(G240="F",H240,0))</x:f>
      </x:c>
      <x:c r="AG240" s="6">
        <x:f>(S240*IF(E240="W",F240,0))+(S240*IF(G240="W",H240,0))</x:f>
      </x:c>
    </x:row>
    <x:row r="241">
      <x:c r="A241" s="3" t="inlineStr">
        <x:is>
          <x:t xml:space="preserve">HR</x:t>
        </x:is>
      </x:c>
      <x:c r="B241" s="3" t="inlineStr">
        <x:is>
          <x:t xml:space="preserve">HR-D2-Q06</x:t>
        </x:is>
      </x:c>
      <x:c r="C241" s="3" t="inlineStr">
        <x:is>
          <x:t xml:space="preserve">T2</x:t>
        </x:is>
      </x:c>
      <x:c r="D241" s="3" t="inlineStr">
        <x:is>
          <x:t xml:space="preserve">2. Protected Reporting</x:t>
        </x:is>
      </x:c>
      <x:c r="E241" s="3" t="inlineStr">
        <x:is>
          <x:t xml:space="preserve">H</x:t>
        </x:is>
      </x:c>
      <x:c r="F241" s="3" t="n">
        <x:v>1</x:v>
      </x:c>
      <x:c r="G241" s="3" t="inlineStr">
        <x:is>
          <x:t xml:space="preserve">-</x:t>
        </x:is>
      </x:c>
      <x:c r="H241" s="3" t="inlineStr">
        <x:is>
          <x:t xml:space="preserve"/>
        </x:is>
      </x:c>
      <x:c r="I241" s="3" t="inlineStr">
        <x:is>
          <x:t xml:space="preserve">(Shadow probe) If there is no formal channel, how do concerns actually get raised today?</x:t>
        </x:is>
      </x:c>
      <x:c r="J241" s="3" t="inlineStr">
        <x:is>
          <x:t xml:space="preserve">Captures practical reality in low-maturity settings.</x:t>
        </x:is>
      </x:c>
      <x:c r="K241" s="3" t="inlineStr">
        <x:is>
          <x:t xml:space="preserve">Shadow fallback (Then → HR-D3-Q09)</x:t>
        </x:is>
      </x:c>
      <x:c r="L241" s="3" t="inlineStr">
        <x:is>
          <x:t xml:space="preserve">CULT_SOFT</x:t>
        </x:is>
      </x:c>
      <x:c r="M241" s="3" t="n">
        <x:v>1.5</x:v>
      </x:c>
      <x:c r="N241" s="3" t="n">
        <x:v>0.5</x:v>
      </x:c>
      <x:c r="O241" s="3" t="n"/>
      <x:c r="P241" s="3" t="inlineStr">
        <x:is>
          <x:t xml:space="preserve">HR-D2-Q06-A3</x:t>
        </x:is>
      </x:c>
      <x:c r="Q241" s="3" t="n">
        <x:v>3</x:v>
      </x:c>
      <x:c r="R241" s="3" t="inlineStr">
        <x:is>
          <x:t xml:space="preserve">Sometimes reported, but follow-up is inconsistent and not documented.</x:t>
        </x:is>
      </x:c>
      <x:c r="S241" s="3" t="n">
        <x:v>2</x:v>
      </x:c>
      <x:c r="T241" s="3" t="inlineStr">
        <x:is>
          <x:t xml:space="preserve">shadow_mature_signal</x:t>
        </x:is>
      </x:c>
      <x:c r="U241" s="3" t="inlineStr">
        <x:is>
          <x:t xml:space="preserve">Operating Model Gap</x:t>
        </x:is>
      </x:c>
      <x:c r="V241" s="3" t="inlineStr">
        <x:is>
          <x:t xml:space="preserve">Standardize triage</x:t>
        </x:is>
      </x:c>
      <x:c r="W241" s="3" t="inlineStr">
        <x:is>
          <x:t xml:space="preserve">N</x:t>
        </x:is>
      </x:c>
      <x:c r="X241" s="3" t="inlineStr">
        <x:is>
          <x:t xml:space="preserve"/>
        </x:is>
      </x:c>
      <x:c r="Y241" s="6">
        <x:f>(S241*IF(E241="G",F241,0))+(S241*IF(G241="G",H241,0))</x:f>
      </x:c>
      <x:c r="Z241" s="6">
        <x:f>(S241*IF(E241="E",F241,0))+(S241*IF(G241="E",H241,0))</x:f>
      </x:c>
      <x:c r="AA241" s="6">
        <x:f>(S241*IF(E241="T",F241,0))+(S241*IF(G241="T",H241,0))</x:f>
      </x:c>
      <x:c r="AB241" s="6">
        <x:f>(S241*IF(E241="L",F241,0))+(S241*IF(G241="L",H241,0))</x:f>
      </x:c>
      <x:c r="AC241" s="6">
        <x:f>(S241*IF(E241="H",F241,0))+(S241*IF(G241="H",H241,0))</x:f>
      </x:c>
      <x:c r="AD241" s="6">
        <x:f>(S241*IF(E241="V",F241,0))+(S241*IF(G241="V",H241,0))</x:f>
      </x:c>
      <x:c r="AE241" s="6">
        <x:f>(S241*IF(E241="R",F241,0))+(S241*IF(G241="R",H241,0))</x:f>
      </x:c>
      <x:c r="AF241" s="6">
        <x:f>(S241*IF(E241="F",F241,0))+(S241*IF(G241="F",H241,0))</x:f>
      </x:c>
      <x:c r="AG241" s="6">
        <x:f>(S241*IF(E241="W",F241,0))+(S241*IF(G241="W",H241,0))</x:f>
      </x:c>
    </x:row>
    <x:row r="242">
      <x:c r="A242" s="3" t="inlineStr">
        <x:is>
          <x:t xml:space="preserve">HR</x:t>
        </x:is>
      </x:c>
      <x:c r="B242" s="3" t="inlineStr">
        <x:is>
          <x:t xml:space="preserve">HR-D2-Q06</x:t>
        </x:is>
      </x:c>
      <x:c r="C242" s="3" t="inlineStr">
        <x:is>
          <x:t xml:space="preserve">T2</x:t>
        </x:is>
      </x:c>
      <x:c r="D242" s="3" t="inlineStr">
        <x:is>
          <x:t xml:space="preserve">2. Protected Reporting</x:t>
        </x:is>
      </x:c>
      <x:c r="E242" s="3" t="inlineStr">
        <x:is>
          <x:t xml:space="preserve">H</x:t>
        </x:is>
      </x:c>
      <x:c r="F242" s="3" t="n">
        <x:v>1</x:v>
      </x:c>
      <x:c r="G242" s="3" t="inlineStr">
        <x:is>
          <x:t xml:space="preserve">-</x:t>
        </x:is>
      </x:c>
      <x:c r="H242" s="3" t="inlineStr">
        <x:is>
          <x:t xml:space="preserve"/>
        </x:is>
      </x:c>
      <x:c r="I242" s="3" t="inlineStr">
        <x:is>
          <x:t xml:space="preserve">(Shadow probe) If there is no formal channel, how do concerns actually get raised today?</x:t>
        </x:is>
      </x:c>
      <x:c r="J242" s="3" t="inlineStr">
        <x:is>
          <x:t xml:space="preserve">Captures practical reality in low-maturity settings.</x:t>
        </x:is>
      </x:c>
      <x:c r="K242" s="3" t="inlineStr">
        <x:is>
          <x:t xml:space="preserve">Shadow fallback (Then → HR-D3-Q09)</x:t>
        </x:is>
      </x:c>
      <x:c r="L242" s="3" t="inlineStr">
        <x:is>
          <x:t xml:space="preserve">CULT_SOFT</x:t>
        </x:is>
      </x:c>
      <x:c r="M242" s="3" t="n">
        <x:v>1.5</x:v>
      </x:c>
      <x:c r="N242" s="3" t="n">
        <x:v>0.5</x:v>
      </x:c>
      <x:c r="O242" s="3" t="n"/>
      <x:c r="P242" s="3" t="inlineStr">
        <x:is>
          <x:t xml:space="preserve">HR-D2-Q06-A4</x:t>
        </x:is>
      </x:c>
      <x:c r="Q242" s="3" t="n">
        <x:v>4</x:v>
      </x:c>
      <x:c r="R242" s="3" t="inlineStr">
        <x:is>
          <x:t xml:space="preserve">Raised and acted on quickly even if informal; patterns discussed.</x:t>
        </x:is>
      </x:c>
      <x:c r="S242" s="3" t="n">
        <x:v>3</x:v>
      </x:c>
      <x:c r="T242" s="3" t="inlineStr">
        <x:is>
          <x:t xml:space="preserve">shadow_mature_signal</x:t>
        </x:is>
      </x:c>
      <x:c r="U242" s="3" t="inlineStr">
        <x:is>
          <x:t xml:space="preserve">Culture Risk</x:t>
        </x:is>
      </x:c>
      <x:c r="V242" s="3" t="inlineStr">
        <x:is>
          <x:t xml:space="preserve">Formalize without harming trust</x:t>
        </x:is>
      </x:c>
      <x:c r="W242" s="3" t="inlineStr">
        <x:is>
          <x:t xml:space="preserve">N</x:t>
        </x:is>
      </x:c>
      <x:c r="X242" s="3" t="inlineStr">
        <x:is>
          <x:t xml:space="preserve">Example: concerns per quarter.</x:t>
        </x:is>
      </x:c>
      <x:c r="Y242" s="6">
        <x:f>(S242*IF(E242="G",F242,0))+(S242*IF(G242="G",H242,0))</x:f>
      </x:c>
      <x:c r="Z242" s="6">
        <x:f>(S242*IF(E242="E",F242,0))+(S242*IF(G242="E",H242,0))</x:f>
      </x:c>
      <x:c r="AA242" s="6">
        <x:f>(S242*IF(E242="T",F242,0))+(S242*IF(G242="T",H242,0))</x:f>
      </x:c>
      <x:c r="AB242" s="6">
        <x:f>(S242*IF(E242="L",F242,0))+(S242*IF(G242="L",H242,0))</x:f>
      </x:c>
      <x:c r="AC242" s="6">
        <x:f>(S242*IF(E242="H",F242,0))+(S242*IF(G242="H",H242,0))</x:f>
      </x:c>
      <x:c r="AD242" s="6">
        <x:f>(S242*IF(E242="V",F242,0))+(S242*IF(G242="V",H242,0))</x:f>
      </x:c>
      <x:c r="AE242" s="6">
        <x:f>(S242*IF(E242="R",F242,0))+(S242*IF(G242="R",H242,0))</x:f>
      </x:c>
      <x:c r="AF242" s="6">
        <x:f>(S242*IF(E242="F",F242,0))+(S242*IF(G242="F",H242,0))</x:f>
      </x:c>
      <x:c r="AG242" s="6">
        <x:f>(S242*IF(E242="W",F242,0))+(S242*IF(G242="W",H242,0))</x:f>
      </x:c>
    </x:row>
    <x:row r="243">
      <x:c r="A243" s="3" t="inlineStr">
        <x:is>
          <x:t xml:space="preserve">HR</x:t>
        </x:is>
      </x:c>
      <x:c r="B243" s="3" t="inlineStr">
        <x:is>
          <x:t xml:space="preserve">HR-D2-Q07</x:t>
        </x:is>
      </x:c>
      <x:c r="C243" s="3" t="inlineStr">
        <x:is>
          <x:t xml:space="preserve">T2</x:t>
        </x:is>
      </x:c>
      <x:c r="D243" s="3" t="inlineStr">
        <x:is>
          <x:t xml:space="preserve">2. Protected Reporting</x:t>
        </x:is>
      </x:c>
      <x:c r="E243" s="3" t="inlineStr">
        <x:is>
          <x:t xml:space="preserve">L</x:t>
        </x:is>
      </x:c>
      <x:c r="F243" s="3" t="n">
        <x:v>0.5</x:v>
      </x:c>
      <x:c r="G243" s="3" t="inlineStr">
        <x:is>
          <x:t xml:space="preserve">H</x:t>
        </x:is>
      </x:c>
      <x:c r="H243" s="3" t="n">
        <x:v>0.5</x:v>
      </x:c>
      <x:c r="I243" s="3" t="inlineStr">
        <x:is>
          <x:t xml:space="preserve">How do you prevent and respond to retaliation against reporters (or witnesses)?</x:t>
        </x:is>
      </x:c>
      <x:c r="J243" s="3" t="inlineStr">
        <x:is>
          <x:t xml:space="preserve">Include policy, manager training, investigation steps, and consequences.</x:t>
        </x:is>
      </x:c>
      <x:c r="K243" s="3" t="inlineStr">
        <x:is>
          <x:t xml:space="preserve">Drill-down</x:t>
        </x:is>
      </x:c>
      <x:c r="L243" s="3" t="inlineStr">
        <x:is>
          <x:t xml:space="preserve">LEG_STRICT</x:t>
        </x:is>
      </x:c>
      <x:c r="M243" s="3" t="n">
        <x:v>1.5</x:v>
      </x:c>
      <x:c r="N243" s="3" t="n">
        <x:v>0.5</x:v>
      </x:c>
      <x:c r="O243" s="3" t="n"/>
      <x:c r="P243" s="3" t="inlineStr">
        <x:is>
          <x:t xml:space="preserve">HR-D2-Q07-A1</x:t>
        </x:is>
      </x:c>
      <x:c r="Q243" s="3" t="n">
        <x:v>1</x:v>
      </x:c>
      <x:c r="R243" s="3" t="inlineStr">
        <x:is>
          <x:t xml:space="preserve">No explicit protection; handled like any other conflict.</x:t>
        </x:is>
      </x:c>
      <x:c r="S243" s="3" t="n">
        <x:v>0</x:v>
      </x:c>
      <x:c r="T243" s="3" t="inlineStr">
        <x:is>
          <x:t xml:space="preserve">legal_exposure,culture_risk</x:t>
        </x:is>
      </x:c>
      <x:c r="U243" s="3" t="inlineStr">
        <x:is>
          <x:t xml:space="preserve">Legal Exposure</x:t>
        </x:is>
      </x:c>
      <x:c r="V243" s="3" t="inlineStr">
        <x:is>
          <x:t xml:space="preserve">Define non-retaliation policy</x:t>
        </x:is>
      </x:c>
      <x:c r="W243" s="3" t="inlineStr">
        <x:is>
          <x:t xml:space="preserve">N</x:t>
        </x:is>
      </x:c>
      <x:c r="X243" s="3" t="inlineStr">
        <x:is>
          <x:t xml:space="preserve"/>
        </x:is>
      </x:c>
      <x:c r="Y243" s="6">
        <x:f>(S243*IF(E243="G",F243,0))+(S243*IF(G243="G",H243,0))</x:f>
      </x:c>
      <x:c r="Z243" s="6">
        <x:f>(S243*IF(E243="E",F243,0))+(S243*IF(G243="E",H243,0))</x:f>
      </x:c>
      <x:c r="AA243" s="6">
        <x:f>(S243*IF(E243="T",F243,0))+(S243*IF(G243="T",H243,0))</x:f>
      </x:c>
      <x:c r="AB243" s="6">
        <x:f>(S243*IF(E243="L",F243,0))+(S243*IF(G243="L",H243,0))</x:f>
      </x:c>
      <x:c r="AC243" s="6">
        <x:f>(S243*IF(E243="H",F243,0))+(S243*IF(G243="H",H243,0))</x:f>
      </x:c>
      <x:c r="AD243" s="6">
        <x:f>(S243*IF(E243="V",F243,0))+(S243*IF(G243="V",H243,0))</x:f>
      </x:c>
      <x:c r="AE243" s="6">
        <x:f>(S243*IF(E243="R",F243,0))+(S243*IF(G243="R",H243,0))</x:f>
      </x:c>
      <x:c r="AF243" s="6">
        <x:f>(S243*IF(E243="F",F243,0))+(S243*IF(G243="F",H243,0))</x:f>
      </x:c>
      <x:c r="AG243" s="6">
        <x:f>(S243*IF(E243="W",F243,0))+(S243*IF(G243="W",H243,0))</x:f>
      </x:c>
    </x:row>
    <x:row r="244">
      <x:c r="A244" s="3" t="inlineStr">
        <x:is>
          <x:t xml:space="preserve">HR</x:t>
        </x:is>
      </x:c>
      <x:c r="B244" s="3" t="inlineStr">
        <x:is>
          <x:t xml:space="preserve">HR-D2-Q07</x:t>
        </x:is>
      </x:c>
      <x:c r="C244" s="3" t="inlineStr">
        <x:is>
          <x:t xml:space="preserve">T2</x:t>
        </x:is>
      </x:c>
      <x:c r="D244" s="3" t="inlineStr">
        <x:is>
          <x:t xml:space="preserve">2. Protected Reporting</x:t>
        </x:is>
      </x:c>
      <x:c r="E244" s="3" t="inlineStr">
        <x:is>
          <x:t xml:space="preserve">L</x:t>
        </x:is>
      </x:c>
      <x:c r="F244" s="3" t="n">
        <x:v>0.5</x:v>
      </x:c>
      <x:c r="G244" s="3" t="inlineStr">
        <x:is>
          <x:t xml:space="preserve">H</x:t>
        </x:is>
      </x:c>
      <x:c r="H244" s="3" t="n">
        <x:v>0.5</x:v>
      </x:c>
      <x:c r="I244" s="3" t="inlineStr">
        <x:is>
          <x:t xml:space="preserve">How do you prevent and respond to retaliation against reporters (or witnesses)?</x:t>
        </x:is>
      </x:c>
      <x:c r="J244" s="3" t="inlineStr">
        <x:is>
          <x:t xml:space="preserve">Include policy, manager training, investigation steps, and consequences.</x:t>
        </x:is>
      </x:c>
      <x:c r="K244" s="3" t="inlineStr">
        <x:is>
          <x:t xml:space="preserve">Drill-down</x:t>
        </x:is>
      </x:c>
      <x:c r="L244" s="3" t="inlineStr">
        <x:is>
          <x:t xml:space="preserve">LEG_STRICT</x:t>
        </x:is>
      </x:c>
      <x:c r="M244" s="3" t="n">
        <x:v>1.5</x:v>
      </x:c>
      <x:c r="N244" s="3" t="n">
        <x:v>0.5</x:v>
      </x:c>
      <x:c r="O244" s="3" t="n"/>
      <x:c r="P244" s="3" t="inlineStr">
        <x:is>
          <x:t xml:space="preserve">HR-D2-Q07-A2</x:t>
        </x:is>
      </x:c>
      <x:c r="Q244" s="3" t="n">
        <x:v>2</x:v>
      </x:c>
      <x:c r="R244" s="3" t="inlineStr">
        <x:is>
          <x:t xml:space="preserve">Policy exists but not well-known; enforcement inconsistent.</x:t>
        </x:is>
      </x:c>
      <x:c r="S244" s="3" t="n">
        <x:v>1</x:v>
      </x:c>
      <x:c r="T244" s="3" t="inlineStr">
        <x:is>
          <x:t xml:space="preserve">paper_dragon_signal</x:t>
        </x:is>
      </x:c>
      <x:c r="U244" s="3" t="inlineStr">
        <x:is>
          <x:t xml:space="preserve">Paper Dragon</x:t>
        </x:is>
      </x:c>
      <x:c r="V244" s="3" t="inlineStr">
        <x:is>
          <x:t xml:space="preserve">Improve training &amp; enforcement</x:t>
        </x:is>
      </x:c>
      <x:c r="W244" s="3" t="inlineStr">
        <x:is>
          <x:t xml:space="preserve">N</x:t>
        </x:is>
      </x:c>
      <x:c r="X244" s="3" t="inlineStr">
        <x:is>
          <x:t xml:space="preserve">Evidence: policy and comms.</x:t>
        </x:is>
      </x:c>
      <x:c r="Y244" s="6">
        <x:f>(S244*IF(E244="G",F244,0))+(S244*IF(G244="G",H244,0))</x:f>
      </x:c>
      <x:c r="Z244" s="6">
        <x:f>(S244*IF(E244="E",F244,0))+(S244*IF(G244="E",H244,0))</x:f>
      </x:c>
      <x:c r="AA244" s="6">
        <x:f>(S244*IF(E244="T",F244,0))+(S244*IF(G244="T",H244,0))</x:f>
      </x:c>
      <x:c r="AB244" s="6">
        <x:f>(S244*IF(E244="L",F244,0))+(S244*IF(G244="L",H244,0))</x:f>
      </x:c>
      <x:c r="AC244" s="6">
        <x:f>(S244*IF(E244="H",F244,0))+(S244*IF(G244="H",H244,0))</x:f>
      </x:c>
      <x:c r="AD244" s="6">
        <x:f>(S244*IF(E244="V",F244,0))+(S244*IF(G244="V",H244,0))</x:f>
      </x:c>
      <x:c r="AE244" s="6">
        <x:f>(S244*IF(E244="R",F244,0))+(S244*IF(G244="R",H244,0))</x:f>
      </x:c>
      <x:c r="AF244" s="6">
        <x:f>(S244*IF(E244="F",F244,0))+(S244*IF(G244="F",H244,0))</x:f>
      </x:c>
      <x:c r="AG244" s="6">
        <x:f>(S244*IF(E244="W",F244,0))+(S244*IF(G244="W",H244,0))</x:f>
      </x:c>
    </x:row>
    <x:row r="245">
      <x:c r="A245" s="3" t="inlineStr">
        <x:is>
          <x:t xml:space="preserve">HR</x:t>
        </x:is>
      </x:c>
      <x:c r="B245" s="3" t="inlineStr">
        <x:is>
          <x:t xml:space="preserve">HR-D2-Q07</x:t>
        </x:is>
      </x:c>
      <x:c r="C245" s="3" t="inlineStr">
        <x:is>
          <x:t xml:space="preserve">T2</x:t>
        </x:is>
      </x:c>
      <x:c r="D245" s="3" t="inlineStr">
        <x:is>
          <x:t xml:space="preserve">2. Protected Reporting</x:t>
        </x:is>
      </x:c>
      <x:c r="E245" s="3" t="inlineStr">
        <x:is>
          <x:t xml:space="preserve">L</x:t>
        </x:is>
      </x:c>
      <x:c r="F245" s="3" t="n">
        <x:v>0.5</x:v>
      </x:c>
      <x:c r="G245" s="3" t="inlineStr">
        <x:is>
          <x:t xml:space="preserve">H</x:t>
        </x:is>
      </x:c>
      <x:c r="H245" s="3" t="n">
        <x:v>0.5</x:v>
      </x:c>
      <x:c r="I245" s="3" t="inlineStr">
        <x:is>
          <x:t xml:space="preserve">How do you prevent and respond to retaliation against reporters (or witnesses)?</x:t>
        </x:is>
      </x:c>
      <x:c r="J245" s="3" t="inlineStr">
        <x:is>
          <x:t xml:space="preserve">Include policy, manager training, investigation steps, and consequences.</x:t>
        </x:is>
      </x:c>
      <x:c r="K245" s="3" t="inlineStr">
        <x:is>
          <x:t xml:space="preserve">Drill-down</x:t>
        </x:is>
      </x:c>
      <x:c r="L245" s="3" t="inlineStr">
        <x:is>
          <x:t xml:space="preserve">LEG_STRICT</x:t>
        </x:is>
      </x:c>
      <x:c r="M245" s="3" t="n">
        <x:v>1.5</x:v>
      </x:c>
      <x:c r="N245" s="3" t="n">
        <x:v>0.5</x:v>
      </x:c>
      <x:c r="O245" s="3" t="n"/>
      <x:c r="P245" s="3" t="inlineStr">
        <x:is>
          <x:t xml:space="preserve">HR-D2-Q07-A3</x:t>
        </x:is>
      </x:c>
      <x:c r="Q245" s="3" t="n">
        <x:v>3</x:v>
      </x:c>
      <x:c r="R245" s="3" t="inlineStr">
        <x:is>
          <x:t xml:space="preserve">Managers trained; retaliation checks part of investigations.</x:t>
        </x:is>
      </x:c>
      <x:c r="S245" s="3" t="n">
        <x:v>2</x:v>
      </x:c>
      <x:c r="T245" s="3" t="inlineStr">
        <x:is>
          <x:t xml:space="preserve"/>
        </x:is>
      </x:c>
      <x:c r="U245" s="3" t="inlineStr">
        <x:is>
          <x:t xml:space="preserve">Culture Risk</x:t>
        </x:is>
      </x:c>
      <x:c r="V245" s="3" t="inlineStr">
        <x:is>
          <x:t xml:space="preserve">Improve monitoring &amp; metrics</x:t>
        </x:is>
      </x:c>
      <x:c r="W245" s="3" t="inlineStr">
        <x:is>
          <x:t xml:space="preserve">N</x:t>
        </x:is>
      </x:c>
      <x:c r="X245" s="3" t="inlineStr">
        <x:is>
          <x:t xml:space="preserve">Evidence: training completion.</x:t>
        </x:is>
      </x:c>
      <x:c r="Y245" s="6">
        <x:f>(S245*IF(E245="G",F245,0))+(S245*IF(G245="G",H245,0))</x:f>
      </x:c>
      <x:c r="Z245" s="6">
        <x:f>(S245*IF(E245="E",F245,0))+(S245*IF(G245="E",H245,0))</x:f>
      </x:c>
      <x:c r="AA245" s="6">
        <x:f>(S245*IF(E245="T",F245,0))+(S245*IF(G245="T",H245,0))</x:f>
      </x:c>
      <x:c r="AB245" s="6">
        <x:f>(S245*IF(E245="L",F245,0))+(S245*IF(G245="L",H245,0))</x:f>
      </x:c>
      <x:c r="AC245" s="6">
        <x:f>(S245*IF(E245="H",F245,0))+(S245*IF(G245="H",H245,0))</x:f>
      </x:c>
      <x:c r="AD245" s="6">
        <x:f>(S245*IF(E245="V",F245,0))+(S245*IF(G245="V",H245,0))</x:f>
      </x:c>
      <x:c r="AE245" s="6">
        <x:f>(S245*IF(E245="R",F245,0))+(S245*IF(G245="R",H245,0))</x:f>
      </x:c>
      <x:c r="AF245" s="6">
        <x:f>(S245*IF(E245="F",F245,0))+(S245*IF(G245="F",H245,0))</x:f>
      </x:c>
      <x:c r="AG245" s="6">
        <x:f>(S245*IF(E245="W",F245,0))+(S245*IF(G245="W",H245,0))</x:f>
      </x:c>
    </x:row>
    <x:row r="246">
      <x:c r="A246" s="3" t="inlineStr">
        <x:is>
          <x:t xml:space="preserve">HR</x:t>
        </x:is>
      </x:c>
      <x:c r="B246" s="3" t="inlineStr">
        <x:is>
          <x:t xml:space="preserve">HR-D2-Q07</x:t>
        </x:is>
      </x:c>
      <x:c r="C246" s="3" t="inlineStr">
        <x:is>
          <x:t xml:space="preserve">T2</x:t>
        </x:is>
      </x:c>
      <x:c r="D246" s="3" t="inlineStr">
        <x:is>
          <x:t xml:space="preserve">2. Protected Reporting</x:t>
        </x:is>
      </x:c>
      <x:c r="E246" s="3" t="inlineStr">
        <x:is>
          <x:t xml:space="preserve">L</x:t>
        </x:is>
      </x:c>
      <x:c r="F246" s="3" t="n">
        <x:v>0.5</x:v>
      </x:c>
      <x:c r="G246" s="3" t="inlineStr">
        <x:is>
          <x:t xml:space="preserve">H</x:t>
        </x:is>
      </x:c>
      <x:c r="H246" s="3" t="n">
        <x:v>0.5</x:v>
      </x:c>
      <x:c r="I246" s="3" t="inlineStr">
        <x:is>
          <x:t xml:space="preserve">How do you prevent and respond to retaliation against reporters (or witnesses)?</x:t>
        </x:is>
      </x:c>
      <x:c r="J246" s="3" t="inlineStr">
        <x:is>
          <x:t xml:space="preserve">Include policy, manager training, investigation steps, and consequences.</x:t>
        </x:is>
      </x:c>
      <x:c r="K246" s="3" t="inlineStr">
        <x:is>
          <x:t xml:space="preserve">Drill-down</x:t>
        </x:is>
      </x:c>
      <x:c r="L246" s="3" t="inlineStr">
        <x:is>
          <x:t xml:space="preserve">LEG_STRICT</x:t>
        </x:is>
      </x:c>
      <x:c r="M246" s="3" t="n">
        <x:v>1.5</x:v>
      </x:c>
      <x:c r="N246" s="3" t="n">
        <x:v>0.5</x:v>
      </x:c>
      <x:c r="O246" s="3" t="n"/>
      <x:c r="P246" s="3" t="inlineStr">
        <x:is>
          <x:t xml:space="preserve">HR-D2-Q07-A4</x:t>
        </x:is>
      </x:c>
      <x:c r="Q246" s="3" t="n">
        <x:v>4</x:v>
      </x:c>
      <x:c r="R246" s="3" t="inlineStr">
        <x:is>
          <x:t xml:space="preserve">Active monitoring: retaliation claims tracked and escalated; outcomes documented.</x:t>
        </x:is>
      </x:c>
      <x:c r="S246" s="3" t="n">
        <x:v>3</x:v>
      </x:c>
      <x:c r="T246" s="3" t="inlineStr">
        <x:is>
          <x:t xml:space="preserve"/>
        </x:is>
      </x:c>
      <x:c r="U246" s="3" t="inlineStr">
        <x:is>
          <x:t xml:space="preserve">Culture Risk</x:t>
        </x:is>
      </x:c>
      <x:c r="V246" s="3" t="inlineStr">
        <x:is>
          <x:t xml:space="preserve">Maintain assurance</x:t>
        </x:is>
      </x:c>
      <x:c r="W246" s="3" t="inlineStr">
        <x:is>
          <x:t xml:space="preserve">N</x:t>
        </x:is>
      </x:c>
      <x:c r="X246" s="3" t="inlineStr">
        <x:is>
          <x:t xml:space="preserve">Evidence: anonymized retaliation metrics.</x:t>
        </x:is>
      </x:c>
      <x:c r="Y246" s="6">
        <x:f>(S246*IF(E246="G",F246,0))+(S246*IF(G246="G",H246,0))</x:f>
      </x:c>
      <x:c r="Z246" s="6">
        <x:f>(S246*IF(E246="E",F246,0))+(S246*IF(G246="E",H246,0))</x:f>
      </x:c>
      <x:c r="AA246" s="6">
        <x:f>(S246*IF(E246="T",F246,0))+(S246*IF(G246="T",H246,0))</x:f>
      </x:c>
      <x:c r="AB246" s="6">
        <x:f>(S246*IF(E246="L",F246,0))+(S246*IF(G246="L",H246,0))</x:f>
      </x:c>
      <x:c r="AC246" s="6">
        <x:f>(S246*IF(E246="H",F246,0))+(S246*IF(G246="H",H246,0))</x:f>
      </x:c>
      <x:c r="AD246" s="6">
        <x:f>(S246*IF(E246="V",F246,0))+(S246*IF(G246="V",H246,0))</x:f>
      </x:c>
      <x:c r="AE246" s="6">
        <x:f>(S246*IF(E246="R",F246,0))+(S246*IF(G246="R",H246,0))</x:f>
      </x:c>
      <x:c r="AF246" s="6">
        <x:f>(S246*IF(E246="F",F246,0))+(S246*IF(G246="F",H246,0))</x:f>
      </x:c>
      <x:c r="AG246" s="6">
        <x:f>(S246*IF(E246="W",F246,0))+(S246*IF(G246="W",H246,0))</x:f>
      </x:c>
    </x:row>
    <x:row r="247">
      <x:c r="A247" s="3" t="inlineStr">
        <x:is>
          <x:t xml:space="preserve">HR</x:t>
        </x:is>
      </x:c>
      <x:c r="B247" s="3" t="inlineStr">
        <x:is>
          <x:t xml:space="preserve">HR-D2-Q07</x:t>
        </x:is>
      </x:c>
      <x:c r="C247" s="3" t="inlineStr">
        <x:is>
          <x:t xml:space="preserve">T2</x:t>
        </x:is>
      </x:c>
      <x:c r="D247" s="3" t="inlineStr">
        <x:is>
          <x:t xml:space="preserve">2. Protected Reporting</x:t>
        </x:is>
      </x:c>
      <x:c r="E247" s="3" t="inlineStr">
        <x:is>
          <x:t xml:space="preserve">L</x:t>
        </x:is>
      </x:c>
      <x:c r="F247" s="3" t="n">
        <x:v>0.5</x:v>
      </x:c>
      <x:c r="G247" s="3" t="inlineStr">
        <x:is>
          <x:t xml:space="preserve">H</x:t>
        </x:is>
      </x:c>
      <x:c r="H247" s="3" t="n">
        <x:v>0.5</x:v>
      </x:c>
      <x:c r="I247" s="3" t="inlineStr">
        <x:is>
          <x:t xml:space="preserve">How do you prevent and respond to retaliation against reporters (or witnesses)?</x:t>
        </x:is>
      </x:c>
      <x:c r="J247" s="3" t="inlineStr">
        <x:is>
          <x:t xml:space="preserve">Include policy, manager training, investigation steps, and consequences.</x:t>
        </x:is>
      </x:c>
      <x:c r="K247" s="3" t="inlineStr">
        <x:is>
          <x:t xml:space="preserve">Drill-down</x:t>
        </x:is>
      </x:c>
      <x:c r="L247" s="3" t="inlineStr">
        <x:is>
          <x:t xml:space="preserve">LEG_STRICT</x:t>
        </x:is>
      </x:c>
      <x:c r="M247" s="3" t="n">
        <x:v>1.5</x:v>
      </x:c>
      <x:c r="N247" s="3" t="n">
        <x:v>0.5</x:v>
      </x:c>
      <x:c r="O247" s="3" t="n"/>
      <x:c r="P247" s="3" t="inlineStr">
        <x:is>
          <x:t xml:space="preserve">HR-D2-Q07-A5</x:t>
        </x:is>
      </x:c>
      <x:c r="Q247" s="3" t="n">
        <x:v>5</x:v>
      </x:c>
      <x:c r="R247" s="3" t="inlineStr">
        <x:is>
          <x:t xml:space="preserve">Independent oversight reviews retaliation handling.</x:t>
        </x:is>
      </x:c>
      <x:c r="S247" s="3" t="n">
        <x:v>4</x:v>
      </x:c>
      <x:c r="T247" s="3" t="inlineStr">
        <x:is>
          <x:t xml:space="preserve"/>
        </x:is>
      </x:c>
      <x:c r="U247" s="3" t="inlineStr">
        <x:is>
          <x:t xml:space="preserve">Culture Risk</x:t>
        </x:is>
      </x:c>
      <x:c r="V247" s="3" t="inlineStr">
        <x:is>
          <x:t xml:space="preserve">Maintain oversight</x:t>
        </x:is>
      </x:c>
      <x:c r="W247" s="3" t="inlineStr">
        <x:is>
          <x:t xml:space="preserve">N</x:t>
        </x:is>
      </x:c>
      <x:c r="X247" s="3" t="inlineStr">
        <x:is>
          <x:t xml:space="preserve">Evidence: oversight process.</x:t>
        </x:is>
      </x:c>
      <x:c r="Y247" s="6">
        <x:f>(S247*IF(E247="G",F247,0))+(S247*IF(G247="G",H247,0))</x:f>
      </x:c>
      <x:c r="Z247" s="6">
        <x:f>(S247*IF(E247="E",F247,0))+(S247*IF(G247="E",H247,0))</x:f>
      </x:c>
      <x:c r="AA247" s="6">
        <x:f>(S247*IF(E247="T",F247,0))+(S247*IF(G247="T",H247,0))</x:f>
      </x:c>
      <x:c r="AB247" s="6">
        <x:f>(S247*IF(E247="L",F247,0))+(S247*IF(G247="L",H247,0))</x:f>
      </x:c>
      <x:c r="AC247" s="6">
        <x:f>(S247*IF(E247="H",F247,0))+(S247*IF(G247="H",H247,0))</x:f>
      </x:c>
      <x:c r="AD247" s="6">
        <x:f>(S247*IF(E247="V",F247,0))+(S247*IF(G247="V",H247,0))</x:f>
      </x:c>
      <x:c r="AE247" s="6">
        <x:f>(S247*IF(E247="R",F247,0))+(S247*IF(G247="R",H247,0))</x:f>
      </x:c>
      <x:c r="AF247" s="6">
        <x:f>(S247*IF(E247="F",F247,0))+(S247*IF(G247="F",H247,0))</x:f>
      </x:c>
      <x:c r="AG247" s="6">
        <x:f>(S247*IF(E247="W",F247,0))+(S247*IF(G247="W",H247,0))</x:f>
      </x:c>
    </x:row>
    <x:row r="248">
      <x:c r="A248" s="3" t="inlineStr">
        <x:is>
          <x:t xml:space="preserve">HR</x:t>
        </x:is>
      </x:c>
      <x:c r="B248" s="3" t="inlineStr">
        <x:is>
          <x:t xml:space="preserve">HR-D2-Q08</x:t>
        </x:is>
      </x:c>
      <x:c r="C248" s="3" t="inlineStr">
        <x:is>
          <x:t xml:space="preserve">T3</x:t>
        </x:is>
      </x:c>
      <x:c r="D248" s="3" t="inlineStr">
        <x:is>
          <x:t xml:space="preserve">2. Protected Reporting</x:t>
        </x:is>
      </x:c>
      <x:c r="E248" s="3" t="inlineStr">
        <x:is>
          <x:t xml:space="preserve">E</x:t>
        </x:is>
      </x:c>
      <x:c r="F248" s="3" t="n">
        <x:v>1</x:v>
      </x:c>
      <x:c r="G248" s="3" t="inlineStr">
        <x:is>
          <x:t xml:space="preserve">-</x:t>
        </x:is>
      </x:c>
      <x:c r="H248" s="3" t="inlineStr">
        <x:is>
          <x:t xml:space="preserve"/>
        </x:is>
      </x:c>
      <x:c r="I248" s="3" t="inlineStr">
        <x:is>
          <x:t xml:space="preserve">When a report is made, how quickly is it acknowledged, triaged, and progressed (with appropriate confidentiality)?</x:t>
        </x:is>
      </x:c>
      <x:c r="J248" s="3" t="inlineStr">
        <x:is>
          <x:t xml:space="preserve">Focus on typical timelines; aggregated evidence is sufficient.</x:t>
        </x:is>
      </x:c>
      <x:c r="K248" s="3" t="inlineStr">
        <x:is>
          <x:t xml:space="preserve">Business-proofing</x:t>
        </x:is>
      </x:c>
      <x:c r="L248" s="3" t="inlineStr">
        <x:is>
          <x:t xml:space="preserve">OPS_STD</x:t>
        </x:is>
      </x:c>
      <x:c r="M248" s="3" t="n">
        <x:v>1</x:v>
      </x:c>
      <x:c r="N248" s="3" t="n"/>
      <x:c r="O248" s="3" t="n"/>
      <x:c r="P248" s="3" t="inlineStr">
        <x:is>
          <x:t xml:space="preserve">HR-D2-Q08-A1</x:t>
        </x:is>
      </x:c>
      <x:c r="Q248" s="3" t="n">
        <x:v>1</x:v>
      </x:c>
      <x:c r="R248" s="3" t="inlineStr">
        <x:is>
          <x:t xml:space="preserve">Unclear: reporters often hear nothing back.</x:t>
        </x:is>
      </x:c>
      <x:c r="S248" s="3" t="n">
        <x:v>0</x:v>
      </x:c>
      <x:c r="T248" s="3" t="inlineStr">
        <x:is>
          <x:t xml:space="preserve">culture_risk</x:t>
        </x:is>
      </x:c>
      <x:c r="U248" s="3" t="inlineStr">
        <x:is>
          <x:t xml:space="preserve">Culture Risk</x:t>
        </x:is>
      </x:c>
      <x:c r="V248" s="3" t="inlineStr">
        <x:is>
          <x:t xml:space="preserve">Define SLAs and tracking</x:t>
        </x:is>
      </x:c>
      <x:c r="W248" s="3" t="inlineStr">
        <x:is>
          <x:t xml:space="preserve">N</x:t>
        </x:is>
      </x:c>
      <x:c r="X248" s="3" t="inlineStr">
        <x:is>
          <x:t xml:space="preserve"/>
        </x:is>
      </x:c>
      <x:c r="Y248" s="6">
        <x:f>(S248*IF(E248="G",F248,0))+(S248*IF(G248="G",H248,0))</x:f>
      </x:c>
      <x:c r="Z248" s="6">
        <x:f>(S248*IF(E248="E",F248,0))+(S248*IF(G248="E",H248,0))</x:f>
      </x:c>
      <x:c r="AA248" s="6">
        <x:f>(S248*IF(E248="T",F248,0))+(S248*IF(G248="T",H248,0))</x:f>
      </x:c>
      <x:c r="AB248" s="6">
        <x:f>(S248*IF(E248="L",F248,0))+(S248*IF(G248="L",H248,0))</x:f>
      </x:c>
      <x:c r="AC248" s="6">
        <x:f>(S248*IF(E248="H",F248,0))+(S248*IF(G248="H",H248,0))</x:f>
      </x:c>
      <x:c r="AD248" s="6">
        <x:f>(S248*IF(E248="V",F248,0))+(S248*IF(G248="V",H248,0))</x:f>
      </x:c>
      <x:c r="AE248" s="6">
        <x:f>(S248*IF(E248="R",F248,0))+(S248*IF(G248="R",H248,0))</x:f>
      </x:c>
      <x:c r="AF248" s="6">
        <x:f>(S248*IF(E248="F",F248,0))+(S248*IF(G248="F",H248,0))</x:f>
      </x:c>
      <x:c r="AG248" s="6">
        <x:f>(S248*IF(E248="W",F248,0))+(S248*IF(G248="W",H248,0))</x:f>
      </x:c>
    </x:row>
    <x:row r="249">
      <x:c r="A249" s="3" t="inlineStr">
        <x:is>
          <x:t xml:space="preserve">HR</x:t>
        </x:is>
      </x:c>
      <x:c r="B249" s="3" t="inlineStr">
        <x:is>
          <x:t xml:space="preserve">HR-D2-Q08</x:t>
        </x:is>
      </x:c>
      <x:c r="C249" s="3" t="inlineStr">
        <x:is>
          <x:t xml:space="preserve">T3</x:t>
        </x:is>
      </x:c>
      <x:c r="D249" s="3" t="inlineStr">
        <x:is>
          <x:t xml:space="preserve">2. Protected Reporting</x:t>
        </x:is>
      </x:c>
      <x:c r="E249" s="3" t="inlineStr">
        <x:is>
          <x:t xml:space="preserve">E</x:t>
        </x:is>
      </x:c>
      <x:c r="F249" s="3" t="n">
        <x:v>1</x:v>
      </x:c>
      <x:c r="G249" s="3" t="inlineStr">
        <x:is>
          <x:t xml:space="preserve">-</x:t>
        </x:is>
      </x:c>
      <x:c r="H249" s="3" t="inlineStr">
        <x:is>
          <x:t xml:space="preserve"/>
        </x:is>
      </x:c>
      <x:c r="I249" s="3" t="inlineStr">
        <x:is>
          <x:t xml:space="preserve">When a report is made, how quickly is it acknowledged, triaged, and progressed (with appropriate confidentiality)?</x:t>
        </x:is>
      </x:c>
      <x:c r="J249" s="3" t="inlineStr">
        <x:is>
          <x:t xml:space="preserve">Focus on typical timelines; aggregated evidence is sufficient.</x:t>
        </x:is>
      </x:c>
      <x:c r="K249" s="3" t="inlineStr">
        <x:is>
          <x:t xml:space="preserve">Business-proofing</x:t>
        </x:is>
      </x:c>
      <x:c r="L249" s="3" t="inlineStr">
        <x:is>
          <x:t xml:space="preserve">OPS_STD</x:t>
        </x:is>
      </x:c>
      <x:c r="M249" s="3" t="n">
        <x:v>1</x:v>
      </x:c>
      <x:c r="N249" s="3" t="n"/>
      <x:c r="O249" s="3" t="n"/>
      <x:c r="P249" s="3" t="inlineStr">
        <x:is>
          <x:t xml:space="preserve">HR-D2-Q08-A2</x:t>
        </x:is>
      </x:c>
      <x:c r="Q249" s="3" t="n">
        <x:v>2</x:v>
      </x:c>
      <x:c r="R249" s="3" t="inlineStr">
        <x:is>
          <x:t xml:space="preserve">Slow: depends on workload; no tracking.</x:t>
        </x:is>
      </x:c>
      <x:c r="S249" s="3" t="n">
        <x:v>1</x:v>
      </x:c>
      <x:c r="T249" s="3" t="inlineStr">
        <x:is>
          <x:t xml:space="preserve">operating_model_gap</x:t>
        </x:is>
      </x:c>
      <x:c r="U249" s="3" t="inlineStr">
        <x:is>
          <x:t xml:space="preserve">Operating Model Gap</x:t>
        </x:is>
      </x:c>
      <x:c r="V249" s="3" t="inlineStr">
        <x:is>
          <x:t xml:space="preserve">Introduce case tracking</x:t>
        </x:is>
      </x:c>
      <x:c r="W249" s="3" t="inlineStr">
        <x:is>
          <x:t xml:space="preserve">N</x:t>
        </x:is>
      </x:c>
      <x:c r="X249" s="3" t="inlineStr">
        <x:is>
          <x:t xml:space="preserve"/>
        </x:is>
      </x:c>
      <x:c r="Y249" s="6">
        <x:f>(S249*IF(E249="G",F249,0))+(S249*IF(G249="G",H249,0))</x:f>
      </x:c>
      <x:c r="Z249" s="6">
        <x:f>(S249*IF(E249="E",F249,0))+(S249*IF(G249="E",H249,0))</x:f>
      </x:c>
      <x:c r="AA249" s="6">
        <x:f>(S249*IF(E249="T",F249,0))+(S249*IF(G249="T",H249,0))</x:f>
      </x:c>
      <x:c r="AB249" s="6">
        <x:f>(S249*IF(E249="L",F249,0))+(S249*IF(G249="L",H249,0))</x:f>
      </x:c>
      <x:c r="AC249" s="6">
        <x:f>(S249*IF(E249="H",F249,0))+(S249*IF(G249="H",H249,0))</x:f>
      </x:c>
      <x:c r="AD249" s="6">
        <x:f>(S249*IF(E249="V",F249,0))+(S249*IF(G249="V",H249,0))</x:f>
      </x:c>
      <x:c r="AE249" s="6">
        <x:f>(S249*IF(E249="R",F249,0))+(S249*IF(G249="R",H249,0))</x:f>
      </x:c>
      <x:c r="AF249" s="6">
        <x:f>(S249*IF(E249="F",F249,0))+(S249*IF(G249="F",H249,0))</x:f>
      </x:c>
      <x:c r="AG249" s="6">
        <x:f>(S249*IF(E249="W",F249,0))+(S249*IF(G249="W",H249,0))</x:f>
      </x:c>
    </x:row>
    <x:row r="250">
      <x:c r="A250" s="3" t="inlineStr">
        <x:is>
          <x:t xml:space="preserve">HR</x:t>
        </x:is>
      </x:c>
      <x:c r="B250" s="3" t="inlineStr">
        <x:is>
          <x:t xml:space="preserve">HR-D2-Q08</x:t>
        </x:is>
      </x:c>
      <x:c r="C250" s="3" t="inlineStr">
        <x:is>
          <x:t xml:space="preserve">T3</x:t>
        </x:is>
      </x:c>
      <x:c r="D250" s="3" t="inlineStr">
        <x:is>
          <x:t xml:space="preserve">2. Protected Reporting</x:t>
        </x:is>
      </x:c>
      <x:c r="E250" s="3" t="inlineStr">
        <x:is>
          <x:t xml:space="preserve">E</x:t>
        </x:is>
      </x:c>
      <x:c r="F250" s="3" t="n">
        <x:v>1</x:v>
      </x:c>
      <x:c r="G250" s="3" t="inlineStr">
        <x:is>
          <x:t xml:space="preserve">-</x:t>
        </x:is>
      </x:c>
      <x:c r="H250" s="3" t="inlineStr">
        <x:is>
          <x:t xml:space="preserve"/>
        </x:is>
      </x:c>
      <x:c r="I250" s="3" t="inlineStr">
        <x:is>
          <x:t xml:space="preserve">When a report is made, how quickly is it acknowledged, triaged, and progressed (with appropriate confidentiality)?</x:t>
        </x:is>
      </x:c>
      <x:c r="J250" s="3" t="inlineStr">
        <x:is>
          <x:t xml:space="preserve">Focus on typical timelines; aggregated evidence is sufficient.</x:t>
        </x:is>
      </x:c>
      <x:c r="K250" s="3" t="inlineStr">
        <x:is>
          <x:t xml:space="preserve">Business-proofing</x:t>
        </x:is>
      </x:c>
      <x:c r="L250" s="3" t="inlineStr">
        <x:is>
          <x:t xml:space="preserve">OPS_STD</x:t>
        </x:is>
      </x:c>
      <x:c r="M250" s="3" t="n">
        <x:v>1</x:v>
      </x:c>
      <x:c r="N250" s="3" t="n"/>
      <x:c r="O250" s="3" t="n"/>
      <x:c r="P250" s="3" t="inlineStr">
        <x:is>
          <x:t xml:space="preserve">HR-D2-Q08-A3</x:t>
        </x:is>
      </x:c>
      <x:c r="Q250" s="3" t="n">
        <x:v>3</x:v>
      </x:c>
      <x:c r="R250" s="3" t="inlineStr">
        <x:is>
          <x:t xml:space="preserve">Basic: acknowledgement within ~1–2 weeks; tracking not consistent.</x:t>
        </x:is>
      </x:c>
      <x:c r="S250" s="3" t="n">
        <x:v>2</x:v>
      </x:c>
      <x:c r="T250" s="3" t="inlineStr">
        <x:is>
          <x:t xml:space="preserve"/>
        </x:is>
      </x:c>
      <x:c r="U250" s="3" t="inlineStr">
        <x:is>
          <x:t xml:space="preserve">Operating Model Gap</x:t>
        </x:is>
      </x:c>
      <x:c r="V250" s="3" t="inlineStr">
        <x:is>
          <x:t xml:space="preserve">Improve SLAs</x:t>
        </x:is>
      </x:c>
      <x:c r="W250" s="3" t="inlineStr">
        <x:is>
          <x:t xml:space="preserve">N</x:t>
        </x:is>
      </x:c>
      <x:c r="X250" s="3" t="inlineStr">
        <x:is>
          <x:t xml:space="preserve">Evidence: redacted timestamps.</x:t>
        </x:is>
      </x:c>
      <x:c r="Y250" s="6">
        <x:f>(S250*IF(E250="G",F250,0))+(S250*IF(G250="G",H250,0))</x:f>
      </x:c>
      <x:c r="Z250" s="6">
        <x:f>(S250*IF(E250="E",F250,0))+(S250*IF(G250="E",H250,0))</x:f>
      </x:c>
      <x:c r="AA250" s="6">
        <x:f>(S250*IF(E250="T",F250,0))+(S250*IF(G250="T",H250,0))</x:f>
      </x:c>
      <x:c r="AB250" s="6">
        <x:f>(S250*IF(E250="L",F250,0))+(S250*IF(G250="L",H250,0))</x:f>
      </x:c>
      <x:c r="AC250" s="6">
        <x:f>(S250*IF(E250="H",F250,0))+(S250*IF(G250="H",H250,0))</x:f>
      </x:c>
      <x:c r="AD250" s="6">
        <x:f>(S250*IF(E250="V",F250,0))+(S250*IF(G250="V",H250,0))</x:f>
      </x:c>
      <x:c r="AE250" s="6">
        <x:f>(S250*IF(E250="R",F250,0))+(S250*IF(G250="R",H250,0))</x:f>
      </x:c>
      <x:c r="AF250" s="6">
        <x:f>(S250*IF(E250="F",F250,0))+(S250*IF(G250="F",H250,0))</x:f>
      </x:c>
      <x:c r="AG250" s="6">
        <x:f>(S250*IF(E250="W",F250,0))+(S250*IF(G250="W",H250,0))</x:f>
      </x:c>
    </x:row>
    <x:row r="251">
      <x:c r="A251" s="3" t="inlineStr">
        <x:is>
          <x:t xml:space="preserve">HR</x:t>
        </x:is>
      </x:c>
      <x:c r="B251" s="3" t="inlineStr">
        <x:is>
          <x:t xml:space="preserve">HR-D2-Q08</x:t>
        </x:is>
      </x:c>
      <x:c r="C251" s="3" t="inlineStr">
        <x:is>
          <x:t xml:space="preserve">T3</x:t>
        </x:is>
      </x:c>
      <x:c r="D251" s="3" t="inlineStr">
        <x:is>
          <x:t xml:space="preserve">2. Protected Reporting</x:t>
        </x:is>
      </x:c>
      <x:c r="E251" s="3" t="inlineStr">
        <x:is>
          <x:t xml:space="preserve">E</x:t>
        </x:is>
      </x:c>
      <x:c r="F251" s="3" t="n">
        <x:v>1</x:v>
      </x:c>
      <x:c r="G251" s="3" t="inlineStr">
        <x:is>
          <x:t xml:space="preserve">-</x:t>
        </x:is>
      </x:c>
      <x:c r="H251" s="3" t="inlineStr">
        <x:is>
          <x:t xml:space="preserve"/>
        </x:is>
      </x:c>
      <x:c r="I251" s="3" t="inlineStr">
        <x:is>
          <x:t xml:space="preserve">When a report is made, how quickly is it acknowledged, triaged, and progressed (with appropriate confidentiality)?</x:t>
        </x:is>
      </x:c>
      <x:c r="J251" s="3" t="inlineStr">
        <x:is>
          <x:t xml:space="preserve">Focus on typical timelines; aggregated evidence is sufficient.</x:t>
        </x:is>
      </x:c>
      <x:c r="K251" s="3" t="inlineStr">
        <x:is>
          <x:t xml:space="preserve">Business-proofing</x:t>
        </x:is>
      </x:c>
      <x:c r="L251" s="3" t="inlineStr">
        <x:is>
          <x:t xml:space="preserve">OPS_STD</x:t>
        </x:is>
      </x:c>
      <x:c r="M251" s="3" t="n">
        <x:v>1</x:v>
      </x:c>
      <x:c r="N251" s="3" t="n"/>
      <x:c r="O251" s="3" t="n"/>
      <x:c r="P251" s="3" t="inlineStr">
        <x:is>
          <x:t xml:space="preserve">HR-D2-Q08-A4</x:t>
        </x:is>
      </x:c>
      <x:c r="Q251" s="3" t="n">
        <x:v>4</x:v>
      </x:c>
      <x:c r="R251" s="3" t="inlineStr">
        <x:is>
          <x:t xml:space="preserve">Managed: acknowledgement within 2–3 days; triage within a week; documented routing.</x:t>
        </x:is>
      </x:c>
      <x:c r="S251" s="3" t="n">
        <x:v>3</x:v>
      </x:c>
      <x:c r="T251" s="3" t="inlineStr">
        <x:is>
          <x:t xml:space="preserve"/>
        </x:is>
      </x:c>
      <x:c r="U251" s="3" t="inlineStr">
        <x:is>
          <x:t xml:space="preserve">Operating Model Gap</x:t>
        </x:is>
      </x:c>
      <x:c r="V251" s="3" t="inlineStr">
        <x:is>
          <x:t xml:space="preserve">Maintain and monitor</x:t>
        </x:is>
      </x:c>
      <x:c r="W251" s="3" t="inlineStr">
        <x:is>
          <x:t xml:space="preserve">N</x:t>
        </x:is>
      </x:c>
      <x:c r="X251" s="3" t="inlineStr">
        <x:is>
          <x:t xml:space="preserve">Evidence: workflow metrics.</x:t>
        </x:is>
      </x:c>
      <x:c r="Y251" s="6">
        <x:f>(S251*IF(E251="G",F251,0))+(S251*IF(G251="G",H251,0))</x:f>
      </x:c>
      <x:c r="Z251" s="6">
        <x:f>(S251*IF(E251="E",F251,0))+(S251*IF(G251="E",H251,0))</x:f>
      </x:c>
      <x:c r="AA251" s="6">
        <x:f>(S251*IF(E251="T",F251,0))+(S251*IF(G251="T",H251,0))</x:f>
      </x:c>
      <x:c r="AB251" s="6">
        <x:f>(S251*IF(E251="L",F251,0))+(S251*IF(G251="L",H251,0))</x:f>
      </x:c>
      <x:c r="AC251" s="6">
        <x:f>(S251*IF(E251="H",F251,0))+(S251*IF(G251="H",H251,0))</x:f>
      </x:c>
      <x:c r="AD251" s="6">
        <x:f>(S251*IF(E251="V",F251,0))+(S251*IF(G251="V",H251,0))</x:f>
      </x:c>
      <x:c r="AE251" s="6">
        <x:f>(S251*IF(E251="R",F251,0))+(S251*IF(G251="R",H251,0))</x:f>
      </x:c>
      <x:c r="AF251" s="6">
        <x:f>(S251*IF(E251="F",F251,0))+(S251*IF(G251="F",H251,0))</x:f>
      </x:c>
      <x:c r="AG251" s="6">
        <x:f>(S251*IF(E251="W",F251,0))+(S251*IF(G251="W",H251,0))</x:f>
      </x:c>
    </x:row>
    <x:row r="252">
      <x:c r="A252" s="3" t="inlineStr">
        <x:is>
          <x:t xml:space="preserve">HR</x:t>
        </x:is>
      </x:c>
      <x:c r="B252" s="3" t="inlineStr">
        <x:is>
          <x:t xml:space="preserve">HR-D2-Q08</x:t>
        </x:is>
      </x:c>
      <x:c r="C252" s="3" t="inlineStr">
        <x:is>
          <x:t xml:space="preserve">T3</x:t>
        </x:is>
      </x:c>
      <x:c r="D252" s="3" t="inlineStr">
        <x:is>
          <x:t xml:space="preserve">2. Protected Reporting</x:t>
        </x:is>
      </x:c>
      <x:c r="E252" s="3" t="inlineStr">
        <x:is>
          <x:t xml:space="preserve">E</x:t>
        </x:is>
      </x:c>
      <x:c r="F252" s="3" t="n">
        <x:v>1</x:v>
      </x:c>
      <x:c r="G252" s="3" t="inlineStr">
        <x:is>
          <x:t xml:space="preserve">-</x:t>
        </x:is>
      </x:c>
      <x:c r="H252" s="3" t="inlineStr">
        <x:is>
          <x:t xml:space="preserve"/>
        </x:is>
      </x:c>
      <x:c r="I252" s="3" t="inlineStr">
        <x:is>
          <x:t xml:space="preserve">When a report is made, how quickly is it acknowledged, triaged, and progressed (with appropriate confidentiality)?</x:t>
        </x:is>
      </x:c>
      <x:c r="J252" s="3" t="inlineStr">
        <x:is>
          <x:t xml:space="preserve">Focus on typical timelines; aggregated evidence is sufficient.</x:t>
        </x:is>
      </x:c>
      <x:c r="K252" s="3" t="inlineStr">
        <x:is>
          <x:t xml:space="preserve">Business-proofing</x:t>
        </x:is>
      </x:c>
      <x:c r="L252" s="3" t="inlineStr">
        <x:is>
          <x:t xml:space="preserve">OPS_STD</x:t>
        </x:is>
      </x:c>
      <x:c r="M252" s="3" t="n">
        <x:v>1</x:v>
      </x:c>
      <x:c r="N252" s="3" t="n"/>
      <x:c r="O252" s="3" t="n"/>
      <x:c r="P252" s="3" t="inlineStr">
        <x:is>
          <x:t xml:space="preserve">HR-D2-Q08-A5</x:t>
        </x:is>
      </x:c>
      <x:c r="Q252" s="3" t="n">
        <x:v>5</x:v>
      </x:c>
      <x:c r="R252" s="3" t="inlineStr">
        <x:is>
          <x:t xml:space="preserve">Optimized: SLAs monitored; backlog managed; appropriate status updates provided.</x:t>
        </x:is>
      </x:c>
      <x:c r="S252" s="3" t="n">
        <x:v>4</x:v>
      </x:c>
      <x:c r="T252" s="3" t="inlineStr">
        <x:is>
          <x:t xml:space="preserve"/>
        </x:is>
      </x:c>
      <x:c r="U252" s="3" t="inlineStr">
        <x:is>
          <x:t xml:space="preserve">Operating Model Gap</x:t>
        </x:is>
      </x:c>
      <x:c r="V252" s="3" t="inlineStr">
        <x:is>
          <x:t xml:space="preserve">Continuous improvement</x:t>
        </x:is>
      </x:c>
      <x:c r="W252" s="3" t="inlineStr">
        <x:is>
          <x:t xml:space="preserve">N</x:t>
        </x:is>
      </x:c>
      <x:c r="X252" s="3" t="inlineStr">
        <x:is>
          <x:t xml:space="preserve">Evidence: anonymized KPI dashboard.</x:t>
        </x:is>
      </x:c>
      <x:c r="Y252" s="6">
        <x:f>(S252*IF(E252="G",F252,0))+(S252*IF(G252="G",H252,0))</x:f>
      </x:c>
      <x:c r="Z252" s="6">
        <x:f>(S252*IF(E252="E",F252,0))+(S252*IF(G252="E",H252,0))</x:f>
      </x:c>
      <x:c r="AA252" s="6">
        <x:f>(S252*IF(E252="T",F252,0))+(S252*IF(G252="T",H252,0))</x:f>
      </x:c>
      <x:c r="AB252" s="6">
        <x:f>(S252*IF(E252="L",F252,0))+(S252*IF(G252="L",H252,0))</x:f>
      </x:c>
      <x:c r="AC252" s="6">
        <x:f>(S252*IF(E252="H",F252,0))+(S252*IF(G252="H",H252,0))</x:f>
      </x:c>
      <x:c r="AD252" s="6">
        <x:f>(S252*IF(E252="V",F252,0))+(S252*IF(G252="V",H252,0))</x:f>
      </x:c>
      <x:c r="AE252" s="6">
        <x:f>(S252*IF(E252="R",F252,0))+(S252*IF(G252="R",H252,0))</x:f>
      </x:c>
      <x:c r="AF252" s="6">
        <x:f>(S252*IF(E252="F",F252,0))+(S252*IF(G252="F",H252,0))</x:f>
      </x:c>
      <x:c r="AG252" s="6">
        <x:f>(S252*IF(E252="W",F252,0))+(S252*IF(G252="W",H252,0))</x:f>
      </x:c>
    </x:row>
    <x:row r="253">
      <x:c r="A253" s="3" t="inlineStr">
        <x:is>
          <x:t xml:space="preserve">HR</x:t>
        </x:is>
      </x:c>
      <x:c r="B253" s="3" t="inlineStr">
        <x:is>
          <x:t xml:space="preserve">HR-D3-Q09</x:t>
        </x:is>
      </x:c>
      <x:c r="C253" s="3" t="inlineStr">
        <x:is>
          <x:t xml:space="preserve">T1</x:t>
        </x:is>
      </x:c>
      <x:c r="D253" s="3" t="inlineStr">
        <x:is>
          <x:t xml:space="preserve">3. Manager Capability &amp; Culture</x:t>
        </x:is>
      </x:c>
      <x:c r="E253" s="3" t="inlineStr">
        <x:is>
          <x:t xml:space="preserve">H</x:t>
        </x:is>
      </x:c>
      <x:c r="F253" s="3" t="n">
        <x:v>0.5</x:v>
      </x:c>
      <x:c r="G253" s="3" t="inlineStr">
        <x:is>
          <x:t xml:space="preserve">E</x:t>
        </x:is>
      </x:c>
      <x:c r="H253" s="3" t="n">
        <x:v>0.5</x:v>
      </x:c>
      <x:c r="I253" s="3" t="inlineStr">
        <x:is>
          <x:t xml:space="preserve">Are managers trained and expected to escalate people-related risk signals (conflict, distress, policy breaches) in a consistent way?</x:t>
        </x:is>
      </x:c>
      <x:c r="J253" s="3" t="inlineStr">
        <x:is>
          <x:t xml:space="preserve">Early intervention + knowing who to contact; avoid clinical labels.</x:t>
        </x:is>
      </x:c>
      <x:c r="K253" s="3" t="inlineStr">
        <x:is>
          <x:t xml:space="preserve">Gatekeeper (If BaseScore &lt;2 → HR-D3-Q10; If ≥2 → HR-D3-Q11)</x:t>
        </x:is>
      </x:c>
      <x:c r="L253" s="3" t="inlineStr">
        <x:is>
          <x:t xml:space="preserve">CULT_SOFT</x:t>
        </x:is>
      </x:c>
      <x:c r="M253" s="3" t="n">
        <x:v>1</x:v>
      </x:c>
      <x:c r="N253" s="3" t="n"/>
      <x:c r="O253" s="3" t="n"/>
      <x:c r="P253" s="3" t="inlineStr">
        <x:is>
          <x:t xml:space="preserve">HR-D3-Q09-A0</x:t>
        </x:is>
      </x:c>
      <x:c r="Q253" s="3" t="n">
        <x:v>1</x:v>
      </x:c>
      <x:c r="R253" s="3" t="inlineStr">
        <x:is>
          <x:t xml:space="preserve">I don't know / Not sure.</x:t>
        </x:is>
      </x:c>
      <x:c r="S253" s="3" t="n">
        <x:v>0</x:v>
      </x:c>
      <x:c r="T253" s="3" t="inlineStr">
        <x:is>
          <x:t xml:space="preserve">low-confidence</x:t>
        </x:is>
      </x:c>
      <x:c r="U253" s="3" t="inlineStr">
        <x:is>
          <x:t xml:space="preserve">Culture Risk</x:t>
        </x:is>
      </x:c>
      <x:c r="V253" s="3" t="inlineStr">
        <x:is>
          <x:t xml:space="preserve">Clarify manager support</x:t>
        </x:is>
      </x:c>
      <x:c r="W253" s="3" t="inlineStr">
        <x:is>
          <x:t xml:space="preserve">N</x:t>
        </x:is>
      </x:c>
      <x:c r="X253" s="3" t="inlineStr">
        <x:is>
          <x:t xml:space="preserve"/>
        </x:is>
      </x:c>
      <x:c r="Y253" s="6">
        <x:f>(S253*IF(E253="G",F253,0))+(S253*IF(G253="G",H253,0))</x:f>
      </x:c>
      <x:c r="Z253" s="6">
        <x:f>(S253*IF(E253="E",F253,0))+(S253*IF(G253="E",H253,0))</x:f>
      </x:c>
      <x:c r="AA253" s="6">
        <x:f>(S253*IF(E253="T",F253,0))+(S253*IF(G253="T",H253,0))</x:f>
      </x:c>
      <x:c r="AB253" s="6">
        <x:f>(S253*IF(E253="L",F253,0))+(S253*IF(G253="L",H253,0))</x:f>
      </x:c>
      <x:c r="AC253" s="6">
        <x:f>(S253*IF(E253="H",F253,0))+(S253*IF(G253="H",H253,0))</x:f>
      </x:c>
      <x:c r="AD253" s="6">
        <x:f>(S253*IF(E253="V",F253,0))+(S253*IF(G253="V",H253,0))</x:f>
      </x:c>
      <x:c r="AE253" s="6">
        <x:f>(S253*IF(E253="R",F253,0))+(S253*IF(G253="R",H253,0))</x:f>
      </x:c>
      <x:c r="AF253" s="6">
        <x:f>(S253*IF(E253="F",F253,0))+(S253*IF(G253="F",H253,0))</x:f>
      </x:c>
      <x:c r="AG253" s="6">
        <x:f>(S253*IF(E253="W",F253,0))+(S253*IF(G253="W",H253,0))</x:f>
      </x:c>
    </x:row>
    <x:row r="254">
      <x:c r="A254" s="3" t="inlineStr">
        <x:is>
          <x:t xml:space="preserve">HR</x:t>
        </x:is>
      </x:c>
      <x:c r="B254" s="3" t="inlineStr">
        <x:is>
          <x:t xml:space="preserve">HR-D3-Q09</x:t>
        </x:is>
      </x:c>
      <x:c r="C254" s="3" t="inlineStr">
        <x:is>
          <x:t xml:space="preserve">T1</x:t>
        </x:is>
      </x:c>
      <x:c r="D254" s="3" t="inlineStr">
        <x:is>
          <x:t xml:space="preserve">3. Manager Capability &amp; Culture</x:t>
        </x:is>
      </x:c>
      <x:c r="E254" s="3" t="inlineStr">
        <x:is>
          <x:t xml:space="preserve">H</x:t>
        </x:is>
      </x:c>
      <x:c r="F254" s="3" t="n">
        <x:v>0.5</x:v>
      </x:c>
      <x:c r="G254" s="3" t="inlineStr">
        <x:is>
          <x:t xml:space="preserve">E</x:t>
        </x:is>
      </x:c>
      <x:c r="H254" s="3" t="n">
        <x:v>0.5</x:v>
      </x:c>
      <x:c r="I254" s="3" t="inlineStr">
        <x:is>
          <x:t xml:space="preserve">Are managers trained and expected to escalate people-related risk signals (conflict, distress, policy breaches) in a consistent way?</x:t>
        </x:is>
      </x:c>
      <x:c r="J254" s="3" t="inlineStr">
        <x:is>
          <x:t xml:space="preserve">Early intervention + knowing who to contact; avoid clinical labels.</x:t>
        </x:is>
      </x:c>
      <x:c r="K254" s="3" t="inlineStr">
        <x:is>
          <x:t xml:space="preserve">Gatekeeper (If BaseScore &lt;2 → HR-D3-Q10; If ≥2 → HR-D3-Q11)</x:t>
        </x:is>
      </x:c>
      <x:c r="L254" s="3" t="inlineStr">
        <x:is>
          <x:t xml:space="preserve">CULT_SOFT</x:t>
        </x:is>
      </x:c>
      <x:c r="M254" s="3" t="n">
        <x:v>1</x:v>
      </x:c>
      <x:c r="N254" s="3" t="n"/>
      <x:c r="O254" s="3" t="n"/>
      <x:c r="P254" s="3" t="inlineStr">
        <x:is>
          <x:t xml:space="preserve">HR-D3-Q09-A1</x:t>
        </x:is>
      </x:c>
      <x:c r="Q254" s="3" t="n">
        <x:v>2</x:v>
      </x:c>
      <x:c r="R254" s="3" t="inlineStr">
        <x:is>
          <x:t xml:space="preserve">No: managers handle issues individually; escalation is rare or avoided.</x:t>
        </x:is>
      </x:c>
      <x:c r="S254" s="3" t="n">
        <x:v>0</x:v>
      </x:c>
      <x:c r="T254" s="3" t="inlineStr">
        <x:is>
          <x:t xml:space="preserve">culture_risk</x:t>
        </x:is>
      </x:c>
      <x:c r="U254" s="3" t="inlineStr">
        <x:is>
          <x:t xml:space="preserve">Culture Risk</x:t>
        </x:is>
      </x:c>
      <x:c r="V254" s="3" t="inlineStr">
        <x:is>
          <x:t xml:space="preserve">Design escalation pathways</x:t>
        </x:is>
      </x:c>
      <x:c r="W254" s="3" t="inlineStr">
        <x:is>
          <x:t xml:space="preserve">N</x:t>
        </x:is>
      </x:c>
      <x:c r="X254" s="3" t="inlineStr">
        <x:is>
          <x:t xml:space="preserve"/>
        </x:is>
      </x:c>
      <x:c r="Y254" s="6">
        <x:f>(S254*IF(E254="G",F254,0))+(S254*IF(G254="G",H254,0))</x:f>
      </x:c>
      <x:c r="Z254" s="6">
        <x:f>(S254*IF(E254="E",F254,0))+(S254*IF(G254="E",H254,0))</x:f>
      </x:c>
      <x:c r="AA254" s="6">
        <x:f>(S254*IF(E254="T",F254,0))+(S254*IF(G254="T",H254,0))</x:f>
      </x:c>
      <x:c r="AB254" s="6">
        <x:f>(S254*IF(E254="L",F254,0))+(S254*IF(G254="L",H254,0))</x:f>
      </x:c>
      <x:c r="AC254" s="6">
        <x:f>(S254*IF(E254="H",F254,0))+(S254*IF(G254="H",H254,0))</x:f>
      </x:c>
      <x:c r="AD254" s="6">
        <x:f>(S254*IF(E254="V",F254,0))+(S254*IF(G254="V",H254,0))</x:f>
      </x:c>
      <x:c r="AE254" s="6">
        <x:f>(S254*IF(E254="R",F254,0))+(S254*IF(G254="R",H254,0))</x:f>
      </x:c>
      <x:c r="AF254" s="6">
        <x:f>(S254*IF(E254="F",F254,0))+(S254*IF(G254="F",H254,0))</x:f>
      </x:c>
      <x:c r="AG254" s="6">
        <x:f>(S254*IF(E254="W",F254,0))+(S254*IF(G254="W",H254,0))</x:f>
      </x:c>
    </x:row>
    <x:row r="255">
      <x:c r="A255" s="3" t="inlineStr">
        <x:is>
          <x:t xml:space="preserve">HR</x:t>
        </x:is>
      </x:c>
      <x:c r="B255" s="3" t="inlineStr">
        <x:is>
          <x:t xml:space="preserve">HR-D3-Q09</x:t>
        </x:is>
      </x:c>
      <x:c r="C255" s="3" t="inlineStr">
        <x:is>
          <x:t xml:space="preserve">T1</x:t>
        </x:is>
      </x:c>
      <x:c r="D255" s="3" t="inlineStr">
        <x:is>
          <x:t xml:space="preserve">3. Manager Capability &amp; Culture</x:t>
        </x:is>
      </x:c>
      <x:c r="E255" s="3" t="inlineStr">
        <x:is>
          <x:t xml:space="preserve">H</x:t>
        </x:is>
      </x:c>
      <x:c r="F255" s="3" t="n">
        <x:v>0.5</x:v>
      </x:c>
      <x:c r="G255" s="3" t="inlineStr">
        <x:is>
          <x:t xml:space="preserve">E</x:t>
        </x:is>
      </x:c>
      <x:c r="H255" s="3" t="n">
        <x:v>0.5</x:v>
      </x:c>
      <x:c r="I255" s="3" t="inlineStr">
        <x:is>
          <x:t xml:space="preserve">Are managers trained and expected to escalate people-related risk signals (conflict, distress, policy breaches) in a consistent way?</x:t>
        </x:is>
      </x:c>
      <x:c r="J255" s="3" t="inlineStr">
        <x:is>
          <x:t xml:space="preserve">Early intervention + knowing who to contact; avoid clinical labels.</x:t>
        </x:is>
      </x:c>
      <x:c r="K255" s="3" t="inlineStr">
        <x:is>
          <x:t xml:space="preserve">Gatekeeper (If BaseScore &lt;2 → HR-D3-Q10; If ≥2 → HR-D3-Q11)</x:t>
        </x:is>
      </x:c>
      <x:c r="L255" s="3" t="inlineStr">
        <x:is>
          <x:t xml:space="preserve">CULT_SOFT</x:t>
        </x:is>
      </x:c>
      <x:c r="M255" s="3" t="n">
        <x:v>1</x:v>
      </x:c>
      <x:c r="N255" s="3" t="n"/>
      <x:c r="O255" s="3" t="n"/>
      <x:c r="P255" s="3" t="inlineStr">
        <x:is>
          <x:t xml:space="preserve">HR-D3-Q09-A2</x:t>
        </x:is>
      </x:c>
      <x:c r="Q255" s="3" t="n">
        <x:v>3</x:v>
      </x:c>
      <x:c r="R255" s="3" t="inlineStr">
        <x:is>
          <x:t xml:space="preserve">Ad-hoc: some escalate, others don’t; no shared guidance.</x:t>
        </x:is>
      </x:c>
      <x:c r="S255" s="3" t="n">
        <x:v>1</x:v>
      </x:c>
      <x:c r="T255" s="3" t="inlineStr">
        <x:is>
          <x:t xml:space="preserve">key_person_dependency</x:t>
        </x:is>
      </x:c>
      <x:c r="U255" s="3" t="inlineStr">
        <x:is>
          <x:t xml:space="preserve">Operating Model Gap</x:t>
        </x:is>
      </x:c>
      <x:c r="V255" s="3" t="inlineStr">
        <x:is>
          <x:t xml:space="preserve">Standardize guidance</x:t>
        </x:is>
      </x:c>
      <x:c r="W255" s="3" t="inlineStr">
        <x:is>
          <x:t xml:space="preserve">N</x:t>
        </x:is>
      </x:c>
      <x:c r="X255" s="3" t="inlineStr">
        <x:is>
          <x:t xml:space="preserve"/>
        </x:is>
      </x:c>
      <x:c r="Y255" s="6">
        <x:f>(S255*IF(E255="G",F255,0))+(S255*IF(G255="G",H255,0))</x:f>
      </x:c>
      <x:c r="Z255" s="6">
        <x:f>(S255*IF(E255="E",F255,0))+(S255*IF(G255="E",H255,0))</x:f>
      </x:c>
      <x:c r="AA255" s="6">
        <x:f>(S255*IF(E255="T",F255,0))+(S255*IF(G255="T",H255,0))</x:f>
      </x:c>
      <x:c r="AB255" s="6">
        <x:f>(S255*IF(E255="L",F255,0))+(S255*IF(G255="L",H255,0))</x:f>
      </x:c>
      <x:c r="AC255" s="6">
        <x:f>(S255*IF(E255="H",F255,0))+(S255*IF(G255="H",H255,0))</x:f>
      </x:c>
      <x:c r="AD255" s="6">
        <x:f>(S255*IF(E255="V",F255,0))+(S255*IF(G255="V",H255,0))</x:f>
      </x:c>
      <x:c r="AE255" s="6">
        <x:f>(S255*IF(E255="R",F255,0))+(S255*IF(G255="R",H255,0))</x:f>
      </x:c>
      <x:c r="AF255" s="6">
        <x:f>(S255*IF(E255="F",F255,0))+(S255*IF(G255="F",H255,0))</x:f>
      </x:c>
      <x:c r="AG255" s="6">
        <x:f>(S255*IF(E255="W",F255,0))+(S255*IF(G255="W",H255,0))</x:f>
      </x:c>
    </x:row>
    <x:row r="256">
      <x:c r="A256" s="3" t="inlineStr">
        <x:is>
          <x:t xml:space="preserve">HR</x:t>
        </x:is>
      </x:c>
      <x:c r="B256" s="3" t="inlineStr">
        <x:is>
          <x:t xml:space="preserve">HR-D3-Q09</x:t>
        </x:is>
      </x:c>
      <x:c r="C256" s="3" t="inlineStr">
        <x:is>
          <x:t xml:space="preserve">T1</x:t>
        </x:is>
      </x:c>
      <x:c r="D256" s="3" t="inlineStr">
        <x:is>
          <x:t xml:space="preserve">3. Manager Capability &amp; Culture</x:t>
        </x:is>
      </x:c>
      <x:c r="E256" s="3" t="inlineStr">
        <x:is>
          <x:t xml:space="preserve">H</x:t>
        </x:is>
      </x:c>
      <x:c r="F256" s="3" t="n">
        <x:v>0.5</x:v>
      </x:c>
      <x:c r="G256" s="3" t="inlineStr">
        <x:is>
          <x:t xml:space="preserve">E</x:t>
        </x:is>
      </x:c>
      <x:c r="H256" s="3" t="n">
        <x:v>0.5</x:v>
      </x:c>
      <x:c r="I256" s="3" t="inlineStr">
        <x:is>
          <x:t xml:space="preserve">Are managers trained and expected to escalate people-related risk signals (conflict, distress, policy breaches) in a consistent way?</x:t>
        </x:is>
      </x:c>
      <x:c r="J256" s="3" t="inlineStr">
        <x:is>
          <x:t xml:space="preserve">Early intervention + knowing who to contact; avoid clinical labels.</x:t>
        </x:is>
      </x:c>
      <x:c r="K256" s="3" t="inlineStr">
        <x:is>
          <x:t xml:space="preserve">Gatekeeper (If BaseScore &lt;2 → HR-D3-Q10; If ≥2 → HR-D3-Q11)</x:t>
        </x:is>
      </x:c>
      <x:c r="L256" s="3" t="inlineStr">
        <x:is>
          <x:t xml:space="preserve">CULT_SOFT</x:t>
        </x:is>
      </x:c>
      <x:c r="M256" s="3" t="n">
        <x:v>1</x:v>
      </x:c>
      <x:c r="N256" s="3" t="n"/>
      <x:c r="O256" s="3" t="n"/>
      <x:c r="P256" s="3" t="inlineStr">
        <x:is>
          <x:t xml:space="preserve">HR-D3-Q09-A3</x:t>
        </x:is>
      </x:c>
      <x:c r="Q256" s="3" t="n">
        <x:v>4</x:v>
      </x:c>
      <x:c r="R256" s="3" t="inlineStr">
        <x:is>
          <x:t xml:space="preserve">Defined: guidance exists but training is limited.</x:t>
        </x:is>
      </x:c>
      <x:c r="S256" s="3" t="n">
        <x:v>2</x:v>
      </x:c>
      <x:c r="T256" s="3" t="inlineStr">
        <x:is>
          <x:t xml:space="preserve">paper_dragon_signal</x:t>
        </x:is>
      </x:c>
      <x:c r="U256" s="3" t="inlineStr">
        <x:is>
          <x:t xml:space="preserve">Paper Dragon</x:t>
        </x:is>
      </x:c>
      <x:c r="V256" s="3" t="inlineStr">
        <x:is>
          <x:t xml:space="preserve">Expand training</x:t>
        </x:is>
      </x:c>
      <x:c r="W256" s="3" t="inlineStr">
        <x:is>
          <x:t xml:space="preserve">N</x:t>
        </x:is>
      </x:c>
      <x:c r="X256" s="3" t="inlineStr">
        <x:is>
          <x:t xml:space="preserve">Evidence: guidance doc.</x:t>
        </x:is>
      </x:c>
      <x:c r="Y256" s="6">
        <x:f>(S256*IF(E256="G",F256,0))+(S256*IF(G256="G",H256,0))</x:f>
      </x:c>
      <x:c r="Z256" s="6">
        <x:f>(S256*IF(E256="E",F256,0))+(S256*IF(G256="E",H256,0))</x:f>
      </x:c>
      <x:c r="AA256" s="6">
        <x:f>(S256*IF(E256="T",F256,0))+(S256*IF(G256="T",H256,0))</x:f>
      </x:c>
      <x:c r="AB256" s="6">
        <x:f>(S256*IF(E256="L",F256,0))+(S256*IF(G256="L",H256,0))</x:f>
      </x:c>
      <x:c r="AC256" s="6">
        <x:f>(S256*IF(E256="H",F256,0))+(S256*IF(G256="H",H256,0))</x:f>
      </x:c>
      <x:c r="AD256" s="6">
        <x:f>(S256*IF(E256="V",F256,0))+(S256*IF(G256="V",H256,0))</x:f>
      </x:c>
      <x:c r="AE256" s="6">
        <x:f>(S256*IF(E256="R",F256,0))+(S256*IF(G256="R",H256,0))</x:f>
      </x:c>
      <x:c r="AF256" s="6">
        <x:f>(S256*IF(E256="F",F256,0))+(S256*IF(G256="F",H256,0))</x:f>
      </x:c>
      <x:c r="AG256" s="6">
        <x:f>(S256*IF(E256="W",F256,0))+(S256*IF(G256="W",H256,0))</x:f>
      </x:c>
    </x:row>
    <x:row r="257">
      <x:c r="A257" s="3" t="inlineStr">
        <x:is>
          <x:t xml:space="preserve">HR</x:t>
        </x:is>
      </x:c>
      <x:c r="B257" s="3" t="inlineStr">
        <x:is>
          <x:t xml:space="preserve">HR-D3-Q09</x:t>
        </x:is>
      </x:c>
      <x:c r="C257" s="3" t="inlineStr">
        <x:is>
          <x:t xml:space="preserve">T1</x:t>
        </x:is>
      </x:c>
      <x:c r="D257" s="3" t="inlineStr">
        <x:is>
          <x:t xml:space="preserve">3. Manager Capability &amp; Culture</x:t>
        </x:is>
      </x:c>
      <x:c r="E257" s="3" t="inlineStr">
        <x:is>
          <x:t xml:space="preserve">H</x:t>
        </x:is>
      </x:c>
      <x:c r="F257" s="3" t="n">
        <x:v>0.5</x:v>
      </x:c>
      <x:c r="G257" s="3" t="inlineStr">
        <x:is>
          <x:t xml:space="preserve">E</x:t>
        </x:is>
      </x:c>
      <x:c r="H257" s="3" t="n">
        <x:v>0.5</x:v>
      </x:c>
      <x:c r="I257" s="3" t="inlineStr">
        <x:is>
          <x:t xml:space="preserve">Are managers trained and expected to escalate people-related risk signals (conflict, distress, policy breaches) in a consistent way?</x:t>
        </x:is>
      </x:c>
      <x:c r="J257" s="3" t="inlineStr">
        <x:is>
          <x:t xml:space="preserve">Early intervention + knowing who to contact; avoid clinical labels.</x:t>
        </x:is>
      </x:c>
      <x:c r="K257" s="3" t="inlineStr">
        <x:is>
          <x:t xml:space="preserve">Gatekeeper (If BaseScore &lt;2 → HR-D3-Q10; If ≥2 → HR-D3-Q11)</x:t>
        </x:is>
      </x:c>
      <x:c r="L257" s="3" t="inlineStr">
        <x:is>
          <x:t xml:space="preserve">CULT_SOFT</x:t>
        </x:is>
      </x:c>
      <x:c r="M257" s="3" t="n">
        <x:v>1</x:v>
      </x:c>
      <x:c r="N257" s="3" t="n"/>
      <x:c r="O257" s="3" t="n"/>
      <x:c r="P257" s="3" t="inlineStr">
        <x:is>
          <x:t xml:space="preserve">HR-D3-Q09-A4</x:t>
        </x:is>
      </x:c>
      <x:c r="Q257" s="3" t="n">
        <x:v>5</x:v>
      </x:c>
      <x:c r="R257" s="3" t="inlineStr">
        <x:is>
          <x:t xml:space="preserve">Trained: managers receive training and use a clear escalation path.</x:t>
        </x:is>
      </x:c>
      <x:c r="S257" s="3" t="n">
        <x:v>3</x:v>
      </x:c>
      <x:c r="T257" s="3" t="inlineStr">
        <x:is>
          <x:t xml:space="preserve"/>
        </x:is>
      </x:c>
      <x:c r="U257" s="3" t="inlineStr">
        <x:is>
          <x:t xml:space="preserve">Culture Risk</x:t>
        </x:is>
      </x:c>
      <x:c r="V257" s="3" t="inlineStr">
        <x:is>
          <x:t xml:space="preserve">Maintain training cadence</x:t>
        </x:is>
      </x:c>
      <x:c r="W257" s="3" t="inlineStr">
        <x:is>
          <x:t xml:space="preserve">N</x:t>
        </x:is>
      </x:c>
      <x:c r="X257" s="3" t="inlineStr">
        <x:is>
          <x:t xml:space="preserve">Evidence: training completion.</x:t>
        </x:is>
      </x:c>
      <x:c r="Y257" s="6">
        <x:f>(S257*IF(E257="G",F257,0))+(S257*IF(G257="G",H257,0))</x:f>
      </x:c>
      <x:c r="Z257" s="6">
        <x:f>(S257*IF(E257="E",F257,0))+(S257*IF(G257="E",H257,0))</x:f>
      </x:c>
      <x:c r="AA257" s="6">
        <x:f>(S257*IF(E257="T",F257,0))+(S257*IF(G257="T",H257,0))</x:f>
      </x:c>
      <x:c r="AB257" s="6">
        <x:f>(S257*IF(E257="L",F257,0))+(S257*IF(G257="L",H257,0))</x:f>
      </x:c>
      <x:c r="AC257" s="6">
        <x:f>(S257*IF(E257="H",F257,0))+(S257*IF(G257="H",H257,0))</x:f>
      </x:c>
      <x:c r="AD257" s="6">
        <x:f>(S257*IF(E257="V",F257,0))+(S257*IF(G257="V",H257,0))</x:f>
      </x:c>
      <x:c r="AE257" s="6">
        <x:f>(S257*IF(E257="R",F257,0))+(S257*IF(G257="R",H257,0))</x:f>
      </x:c>
      <x:c r="AF257" s="6">
        <x:f>(S257*IF(E257="F",F257,0))+(S257*IF(G257="F",H257,0))</x:f>
      </x:c>
      <x:c r="AG257" s="6">
        <x:f>(S257*IF(E257="W",F257,0))+(S257*IF(G257="W",H257,0))</x:f>
      </x:c>
    </x:row>
    <x:row r="258">
      <x:c r="A258" s="3" t="inlineStr">
        <x:is>
          <x:t xml:space="preserve">HR</x:t>
        </x:is>
      </x:c>
      <x:c r="B258" s="3" t="inlineStr">
        <x:is>
          <x:t xml:space="preserve">HR-D3-Q09</x:t>
        </x:is>
      </x:c>
      <x:c r="C258" s="3" t="inlineStr">
        <x:is>
          <x:t xml:space="preserve">T1</x:t>
        </x:is>
      </x:c>
      <x:c r="D258" s="3" t="inlineStr">
        <x:is>
          <x:t xml:space="preserve">3. Manager Capability &amp; Culture</x:t>
        </x:is>
      </x:c>
      <x:c r="E258" s="3" t="inlineStr">
        <x:is>
          <x:t xml:space="preserve">H</x:t>
        </x:is>
      </x:c>
      <x:c r="F258" s="3" t="n">
        <x:v>0.5</x:v>
      </x:c>
      <x:c r="G258" s="3" t="inlineStr">
        <x:is>
          <x:t xml:space="preserve">E</x:t>
        </x:is>
      </x:c>
      <x:c r="H258" s="3" t="n">
        <x:v>0.5</x:v>
      </x:c>
      <x:c r="I258" s="3" t="inlineStr">
        <x:is>
          <x:t xml:space="preserve">Are managers trained and expected to escalate people-related risk signals (conflict, distress, policy breaches) in a consistent way?</x:t>
        </x:is>
      </x:c>
      <x:c r="J258" s="3" t="inlineStr">
        <x:is>
          <x:t xml:space="preserve">Early intervention + knowing who to contact; avoid clinical labels.</x:t>
        </x:is>
      </x:c>
      <x:c r="K258" s="3" t="inlineStr">
        <x:is>
          <x:t xml:space="preserve">Gatekeeper (If BaseScore &lt;2 → HR-D3-Q10; If ≥2 → HR-D3-Q11)</x:t>
        </x:is>
      </x:c>
      <x:c r="L258" s="3" t="inlineStr">
        <x:is>
          <x:t xml:space="preserve">CULT_SOFT</x:t>
        </x:is>
      </x:c>
      <x:c r="M258" s="3" t="n">
        <x:v>1</x:v>
      </x:c>
      <x:c r="N258" s="3" t="n"/>
      <x:c r="O258" s="3" t="n"/>
      <x:c r="P258" s="3" t="inlineStr">
        <x:is>
          <x:t xml:space="preserve">HR-D3-Q09-A5</x:t>
        </x:is>
      </x:c>
      <x:c r="Q258" s="3" t="n">
        <x:v>6</x:v>
      </x:c>
      <x:c r="R258" s="3" t="inlineStr">
        <x:is>
          <x:t xml:space="preserve">Embedded: escalation expectations in manager KPIs; audited for consistency.</x:t>
        </x:is>
      </x:c>
      <x:c r="S258" s="3" t="n">
        <x:v>4</x:v>
      </x:c>
      <x:c r="T258" s="3" t="inlineStr">
        <x:is>
          <x:t xml:space="preserve"/>
        </x:is>
      </x:c>
      <x:c r="U258" s="3" t="inlineStr">
        <x:is>
          <x:t xml:space="preserve">Culture Risk</x:t>
        </x:is>
      </x:c>
      <x:c r="V258" s="3" t="inlineStr">
        <x:is>
          <x:t xml:space="preserve">Maintain assurance</x:t>
        </x:is>
      </x:c>
      <x:c r="W258" s="3" t="inlineStr">
        <x:is>
          <x:t xml:space="preserve">N</x:t>
        </x:is>
      </x:c>
      <x:c r="X258" s="3" t="inlineStr">
        <x:is>
          <x:t xml:space="preserve">Evidence: KPI or audit outputs.</x:t>
        </x:is>
      </x:c>
      <x:c r="Y258" s="6">
        <x:f>(S258*IF(E258="G",F258,0))+(S258*IF(G258="G",H258,0))</x:f>
      </x:c>
      <x:c r="Z258" s="6">
        <x:f>(S258*IF(E258="E",F258,0))+(S258*IF(G258="E",H258,0))</x:f>
      </x:c>
      <x:c r="AA258" s="6">
        <x:f>(S258*IF(E258="T",F258,0))+(S258*IF(G258="T",H258,0))</x:f>
      </x:c>
      <x:c r="AB258" s="6">
        <x:f>(S258*IF(E258="L",F258,0))+(S258*IF(G258="L",H258,0))</x:f>
      </x:c>
      <x:c r="AC258" s="6">
        <x:f>(S258*IF(E258="H",F258,0))+(S258*IF(G258="H",H258,0))</x:f>
      </x:c>
      <x:c r="AD258" s="6">
        <x:f>(S258*IF(E258="V",F258,0))+(S258*IF(G258="V",H258,0))</x:f>
      </x:c>
      <x:c r="AE258" s="6">
        <x:f>(S258*IF(E258="R",F258,0))+(S258*IF(G258="R",H258,0))</x:f>
      </x:c>
      <x:c r="AF258" s="6">
        <x:f>(S258*IF(E258="F",F258,0))+(S258*IF(G258="F",H258,0))</x:f>
      </x:c>
      <x:c r="AG258" s="6">
        <x:f>(S258*IF(E258="W",F258,0))+(S258*IF(G258="W",H258,0))</x:f>
      </x:c>
    </x:row>
    <x:row r="259">
      <x:c r="A259" s="3" t="inlineStr">
        <x:is>
          <x:t xml:space="preserve">HR</x:t>
        </x:is>
      </x:c>
      <x:c r="B259" s="3" t="inlineStr">
        <x:is>
          <x:t xml:space="preserve">HR-D3-Q10</x:t>
        </x:is>
      </x:c>
      <x:c r="C259" s="3" t="inlineStr">
        <x:is>
          <x:t xml:space="preserve">T2</x:t>
        </x:is>
      </x:c>
      <x:c r="D259" s="3" t="inlineStr">
        <x:is>
          <x:t xml:space="preserve">3. Manager Capability &amp; Culture</x:t>
        </x:is>
      </x:c>
      <x:c r="E259" s="3" t="inlineStr">
        <x:is>
          <x:t xml:space="preserve">E</x:t>
        </x:is>
      </x:c>
      <x:c r="F259" s="3" t="n">
        <x:v>1</x:v>
      </x:c>
      <x:c r="G259" s="3" t="inlineStr">
        <x:is>
          <x:t xml:space="preserve">-</x:t>
        </x:is>
      </x:c>
      <x:c r="H259" s="3" t="inlineStr">
        <x:is>
          <x:t xml:space="preserve"/>
        </x:is>
      </x:c>
      <x:c r="I259" s="3" t="inlineStr">
        <x:is>
          <x:t xml:space="preserve">(Shadow probe) In practice, do managers know who to contact and do they use that path when something is 'off'?</x:t>
        </x:is>
      </x:c>
      <x:c r="J259" s="3" t="inlineStr">
        <x:is>
          <x:t xml:space="preserve">Checks whether escalation works in real life.</x:t>
        </x:is>
      </x:c>
      <x:c r="K259" s="3" t="inlineStr">
        <x:is>
          <x:t xml:space="preserve">Shadow fallback (Then → HR-D4-Q13)</x:t>
        </x:is>
      </x:c>
      <x:c r="L259" s="3" t="inlineStr">
        <x:is>
          <x:t xml:space="preserve">OPS_STD</x:t>
        </x:is>
      </x:c>
      <x:c r="M259" s="3" t="n">
        <x:v>1</x:v>
      </x:c>
      <x:c r="N259" s="3" t="n"/>
      <x:c r="O259" s="3" t="n"/>
      <x:c r="P259" s="3" t="inlineStr">
        <x:is>
          <x:t xml:space="preserve">HR-D3-Q10-A1</x:t>
        </x:is>
      </x:c>
      <x:c r="Q259" s="3" t="n">
        <x:v>1</x:v>
      </x:c>
      <x:c r="R259" s="3" t="inlineStr">
        <x:is>
          <x:t xml:space="preserve">No: escalation unclear; handled locally or ignored.</x:t>
        </x:is>
      </x:c>
      <x:c r="S259" s="3" t="n">
        <x:v>0</x:v>
      </x:c>
      <x:c r="T259" s="3" t="inlineStr">
        <x:is>
          <x:t xml:space="preserve">culture_risk</x:t>
        </x:is>
      </x:c>
      <x:c r="U259" s="3" t="inlineStr">
        <x:is>
          <x:t xml:space="preserve">Operating Model Gap</x:t>
        </x:is>
      </x:c>
      <x:c r="V259" s="3" t="inlineStr">
        <x:is>
          <x:t xml:space="preserve">Define escalation route</x:t>
        </x:is>
      </x:c>
      <x:c r="W259" s="3" t="inlineStr">
        <x:is>
          <x:t xml:space="preserve">N</x:t>
        </x:is>
      </x:c>
      <x:c r="X259" s="3" t="inlineStr">
        <x:is>
          <x:t xml:space="preserve"/>
        </x:is>
      </x:c>
      <x:c r="Y259" s="6">
        <x:f>(S259*IF(E259="G",F259,0))+(S259*IF(G259="G",H259,0))</x:f>
      </x:c>
      <x:c r="Z259" s="6">
        <x:f>(S259*IF(E259="E",F259,0))+(S259*IF(G259="E",H259,0))</x:f>
      </x:c>
      <x:c r="AA259" s="6">
        <x:f>(S259*IF(E259="T",F259,0))+(S259*IF(G259="T",H259,0))</x:f>
      </x:c>
      <x:c r="AB259" s="6">
        <x:f>(S259*IF(E259="L",F259,0))+(S259*IF(G259="L",H259,0))</x:f>
      </x:c>
      <x:c r="AC259" s="6">
        <x:f>(S259*IF(E259="H",F259,0))+(S259*IF(G259="H",H259,0))</x:f>
      </x:c>
      <x:c r="AD259" s="6">
        <x:f>(S259*IF(E259="V",F259,0))+(S259*IF(G259="V",H259,0))</x:f>
      </x:c>
      <x:c r="AE259" s="6">
        <x:f>(S259*IF(E259="R",F259,0))+(S259*IF(G259="R",H259,0))</x:f>
      </x:c>
      <x:c r="AF259" s="6">
        <x:f>(S259*IF(E259="F",F259,0))+(S259*IF(G259="F",H259,0))</x:f>
      </x:c>
      <x:c r="AG259" s="6">
        <x:f>(S259*IF(E259="W",F259,0))+(S259*IF(G259="W",H259,0))</x:f>
      </x:c>
    </x:row>
    <x:row r="260">
      <x:c r="A260" s="3" t="inlineStr">
        <x:is>
          <x:t xml:space="preserve">HR</x:t>
        </x:is>
      </x:c>
      <x:c r="B260" s="3" t="inlineStr">
        <x:is>
          <x:t xml:space="preserve">HR-D3-Q10</x:t>
        </x:is>
      </x:c>
      <x:c r="C260" s="3" t="inlineStr">
        <x:is>
          <x:t xml:space="preserve">T2</x:t>
        </x:is>
      </x:c>
      <x:c r="D260" s="3" t="inlineStr">
        <x:is>
          <x:t xml:space="preserve">3. Manager Capability &amp; Culture</x:t>
        </x:is>
      </x:c>
      <x:c r="E260" s="3" t="inlineStr">
        <x:is>
          <x:t xml:space="preserve">E</x:t>
        </x:is>
      </x:c>
      <x:c r="F260" s="3" t="n">
        <x:v>1</x:v>
      </x:c>
      <x:c r="G260" s="3" t="inlineStr">
        <x:is>
          <x:t xml:space="preserve">-</x:t>
        </x:is>
      </x:c>
      <x:c r="H260" s="3" t="inlineStr">
        <x:is>
          <x:t xml:space="preserve"/>
        </x:is>
      </x:c>
      <x:c r="I260" s="3" t="inlineStr">
        <x:is>
          <x:t xml:space="preserve">(Shadow probe) In practice, do managers know who to contact and do they use that path when something is 'off'?</x:t>
        </x:is>
      </x:c>
      <x:c r="J260" s="3" t="inlineStr">
        <x:is>
          <x:t xml:space="preserve">Checks whether escalation works in real life.</x:t>
        </x:is>
      </x:c>
      <x:c r="K260" s="3" t="inlineStr">
        <x:is>
          <x:t xml:space="preserve">Shadow fallback (Then → HR-D4-Q13)</x:t>
        </x:is>
      </x:c>
      <x:c r="L260" s="3" t="inlineStr">
        <x:is>
          <x:t xml:space="preserve">OPS_STD</x:t>
        </x:is>
      </x:c>
      <x:c r="M260" s="3" t="n">
        <x:v>1</x:v>
      </x:c>
      <x:c r="N260" s="3" t="n"/>
      <x:c r="O260" s="3" t="n"/>
      <x:c r="P260" s="3" t="inlineStr">
        <x:is>
          <x:t xml:space="preserve">HR-D3-Q10-A2</x:t>
        </x:is>
      </x:c>
      <x:c r="Q260" s="3" t="n">
        <x:v>2</x:v>
      </x:c>
      <x:c r="R260" s="3" t="inlineStr">
        <x:is>
          <x:t xml:space="preserve">Sometimes: depends on networks; not documented.</x:t>
        </x:is>
      </x:c>
      <x:c r="S260" s="3" t="n">
        <x:v>1</x:v>
      </x:c>
      <x:c r="T260" s="3" t="inlineStr">
        <x:is>
          <x:t xml:space="preserve">key_person_dependency,shadow_mature_signal</x:t>
        </x:is>
      </x:c>
      <x:c r="U260" s="3" t="inlineStr">
        <x:is>
          <x:t xml:space="preserve">Operating Model Gap</x:t>
        </x:is>
      </x:c>
      <x:c r="V260" s="3" t="inlineStr">
        <x:is>
          <x:t xml:space="preserve">Document and socialize path</x:t>
        </x:is>
      </x:c>
      <x:c r="W260" s="3" t="inlineStr">
        <x:is>
          <x:t xml:space="preserve">N</x:t>
        </x:is>
      </x:c>
      <x:c r="X260" s="3" t="inlineStr">
        <x:is>
          <x:t xml:space="preserve"/>
        </x:is>
      </x:c>
      <x:c r="Y260" s="6">
        <x:f>(S260*IF(E260="G",F260,0))+(S260*IF(G260="G",H260,0))</x:f>
      </x:c>
      <x:c r="Z260" s="6">
        <x:f>(S260*IF(E260="E",F260,0))+(S260*IF(G260="E",H260,0))</x:f>
      </x:c>
      <x:c r="AA260" s="6">
        <x:f>(S260*IF(E260="T",F260,0))+(S260*IF(G260="T",H260,0))</x:f>
      </x:c>
      <x:c r="AB260" s="6">
        <x:f>(S260*IF(E260="L",F260,0))+(S260*IF(G260="L",H260,0))</x:f>
      </x:c>
      <x:c r="AC260" s="6">
        <x:f>(S260*IF(E260="H",F260,0))+(S260*IF(G260="H",H260,0))</x:f>
      </x:c>
      <x:c r="AD260" s="6">
        <x:f>(S260*IF(E260="V",F260,0))+(S260*IF(G260="V",H260,0))</x:f>
      </x:c>
      <x:c r="AE260" s="6">
        <x:f>(S260*IF(E260="R",F260,0))+(S260*IF(G260="R",H260,0))</x:f>
      </x:c>
      <x:c r="AF260" s="6">
        <x:f>(S260*IF(E260="F",F260,0))+(S260*IF(G260="F",H260,0))</x:f>
      </x:c>
      <x:c r="AG260" s="6">
        <x:f>(S260*IF(E260="W",F260,0))+(S260*IF(G260="W",H260,0))</x:f>
      </x:c>
    </x:row>
    <x:row r="261">
      <x:c r="A261" s="3" t="inlineStr">
        <x:is>
          <x:t xml:space="preserve">HR</x:t>
        </x:is>
      </x:c>
      <x:c r="B261" s="3" t="inlineStr">
        <x:is>
          <x:t xml:space="preserve">HR-D3-Q10</x:t>
        </x:is>
      </x:c>
      <x:c r="C261" s="3" t="inlineStr">
        <x:is>
          <x:t xml:space="preserve">T2</x:t>
        </x:is>
      </x:c>
      <x:c r="D261" s="3" t="inlineStr">
        <x:is>
          <x:t xml:space="preserve">3. Manager Capability &amp; Culture</x:t>
        </x:is>
      </x:c>
      <x:c r="E261" s="3" t="inlineStr">
        <x:is>
          <x:t xml:space="preserve">E</x:t>
        </x:is>
      </x:c>
      <x:c r="F261" s="3" t="n">
        <x:v>1</x:v>
      </x:c>
      <x:c r="G261" s="3" t="inlineStr">
        <x:is>
          <x:t xml:space="preserve">-</x:t>
        </x:is>
      </x:c>
      <x:c r="H261" s="3" t="inlineStr">
        <x:is>
          <x:t xml:space="preserve"/>
        </x:is>
      </x:c>
      <x:c r="I261" s="3" t="inlineStr">
        <x:is>
          <x:t xml:space="preserve">(Shadow probe) In practice, do managers know who to contact and do they use that path when something is 'off'?</x:t>
        </x:is>
      </x:c>
      <x:c r="J261" s="3" t="inlineStr">
        <x:is>
          <x:t xml:space="preserve">Checks whether escalation works in real life.</x:t>
        </x:is>
      </x:c>
      <x:c r="K261" s="3" t="inlineStr">
        <x:is>
          <x:t xml:space="preserve">Shadow fallback (Then → HR-D4-Q13)</x:t>
        </x:is>
      </x:c>
      <x:c r="L261" s="3" t="inlineStr">
        <x:is>
          <x:t xml:space="preserve">OPS_STD</x:t>
        </x:is>
      </x:c>
      <x:c r="M261" s="3" t="n">
        <x:v>1</x:v>
      </x:c>
      <x:c r="N261" s="3" t="n"/>
      <x:c r="O261" s="3" t="n"/>
      <x:c r="P261" s="3" t="inlineStr">
        <x:is>
          <x:t xml:space="preserve">HR-D3-Q10-A3</x:t>
        </x:is>
      </x:c>
      <x:c r="Q261" s="3" t="n">
        <x:v>3</x:v>
      </x:c>
      <x:c r="R261" s="3" t="inlineStr">
        <x:is>
          <x:t xml:space="preserve">Yes, usually: managers know contacts and escalate within a reasonable time.</x:t>
        </x:is>
      </x:c>
      <x:c r="S261" s="3" t="n">
        <x:v>2</x:v>
      </x:c>
      <x:c r="T261" s="3" t="inlineStr">
        <x:is>
          <x:t xml:space="preserve">shadow_mature_signal</x:t>
        </x:is>
      </x:c>
      <x:c r="U261" s="3" t="inlineStr">
        <x:is>
          <x:t xml:space="preserve">Operating Model Gap</x:t>
        </x:is>
      </x:c>
      <x:c r="V261" s="3" t="inlineStr">
        <x:is>
          <x:t xml:space="preserve">Formalize and measure</x:t>
        </x:is>
      </x:c>
      <x:c r="W261" s="3" t="inlineStr">
        <x:is>
          <x:t xml:space="preserve">N</x:t>
        </x:is>
      </x:c>
      <x:c r="X261" s="3" t="inlineStr">
        <x:is>
          <x:t xml:space="preserve">Typical time to escalate.</x:t>
        </x:is>
      </x:c>
      <x:c r="Y261" s="6">
        <x:f>(S261*IF(E261="G",F261,0))+(S261*IF(G261="G",H261,0))</x:f>
      </x:c>
      <x:c r="Z261" s="6">
        <x:f>(S261*IF(E261="E",F261,0))+(S261*IF(G261="E",H261,0))</x:f>
      </x:c>
      <x:c r="AA261" s="6">
        <x:f>(S261*IF(E261="T",F261,0))+(S261*IF(G261="T",H261,0))</x:f>
      </x:c>
      <x:c r="AB261" s="6">
        <x:f>(S261*IF(E261="L",F261,0))+(S261*IF(G261="L",H261,0))</x:f>
      </x:c>
      <x:c r="AC261" s="6">
        <x:f>(S261*IF(E261="H",F261,0))+(S261*IF(G261="H",H261,0))</x:f>
      </x:c>
      <x:c r="AD261" s="6">
        <x:f>(S261*IF(E261="V",F261,0))+(S261*IF(G261="V",H261,0))</x:f>
      </x:c>
      <x:c r="AE261" s="6">
        <x:f>(S261*IF(E261="R",F261,0))+(S261*IF(G261="R",H261,0))</x:f>
      </x:c>
      <x:c r="AF261" s="6">
        <x:f>(S261*IF(E261="F",F261,0))+(S261*IF(G261="F",H261,0))</x:f>
      </x:c>
      <x:c r="AG261" s="6">
        <x:f>(S261*IF(E261="W",F261,0))+(S261*IF(G261="W",H261,0))</x:f>
      </x:c>
    </x:row>
    <x:row r="262">
      <x:c r="A262" s="3" t="inlineStr">
        <x:is>
          <x:t xml:space="preserve">HR</x:t>
        </x:is>
      </x:c>
      <x:c r="B262" s="3" t="inlineStr">
        <x:is>
          <x:t xml:space="preserve">HR-D3-Q10</x:t>
        </x:is>
      </x:c>
      <x:c r="C262" s="3" t="inlineStr">
        <x:is>
          <x:t xml:space="preserve">T2</x:t>
        </x:is>
      </x:c>
      <x:c r="D262" s="3" t="inlineStr">
        <x:is>
          <x:t xml:space="preserve">3. Manager Capability &amp; Culture</x:t>
        </x:is>
      </x:c>
      <x:c r="E262" s="3" t="inlineStr">
        <x:is>
          <x:t xml:space="preserve">E</x:t>
        </x:is>
      </x:c>
      <x:c r="F262" s="3" t="n">
        <x:v>1</x:v>
      </x:c>
      <x:c r="G262" s="3" t="inlineStr">
        <x:is>
          <x:t xml:space="preserve">-</x:t>
        </x:is>
      </x:c>
      <x:c r="H262" s="3" t="inlineStr">
        <x:is>
          <x:t xml:space="preserve"/>
        </x:is>
      </x:c>
      <x:c r="I262" s="3" t="inlineStr">
        <x:is>
          <x:t xml:space="preserve">(Shadow probe) In practice, do managers know who to contact and do they use that path when something is 'off'?</x:t>
        </x:is>
      </x:c>
      <x:c r="J262" s="3" t="inlineStr">
        <x:is>
          <x:t xml:space="preserve">Checks whether escalation works in real life.</x:t>
        </x:is>
      </x:c>
      <x:c r="K262" s="3" t="inlineStr">
        <x:is>
          <x:t xml:space="preserve">Shadow fallback (Then → HR-D4-Q13)</x:t>
        </x:is>
      </x:c>
      <x:c r="L262" s="3" t="inlineStr">
        <x:is>
          <x:t xml:space="preserve">OPS_STD</x:t>
        </x:is>
      </x:c>
      <x:c r="M262" s="3" t="n">
        <x:v>1</x:v>
      </x:c>
      <x:c r="N262" s="3" t="n"/>
      <x:c r="O262" s="3" t="n"/>
      <x:c r="P262" s="3" t="inlineStr">
        <x:is>
          <x:t xml:space="preserve">HR-D3-Q10-A4</x:t>
        </x:is>
      </x:c>
      <x:c r="Q262" s="3" t="n">
        <x:v>4</x:v>
      </x:c>
      <x:c r="R262" s="3" t="inlineStr">
        <x:is>
          <x:t xml:space="preserve">Yes, consistently: escalation is used and tracked (without over-monitoring).</x:t>
        </x:is>
      </x:c>
      <x:c r="S262" s="3" t="n">
        <x:v>3</x:v>
      </x:c>
      <x:c r="T262" s="3" t="inlineStr">
        <x:is>
          <x:t xml:space="preserve"/>
        </x:is>
      </x:c>
      <x:c r="U262" s="3" t="inlineStr">
        <x:is>
          <x:t xml:space="preserve">Operating Model Gap</x:t>
        </x:is>
      </x:c>
      <x:c r="V262" s="3" t="inlineStr">
        <x:is>
          <x:t xml:space="preserve">Maintain tracking</x:t>
        </x:is>
      </x:c>
      <x:c r="W262" s="3" t="inlineStr">
        <x:is>
          <x:t xml:space="preserve">N</x:t>
        </x:is>
      </x:c>
      <x:c r="X262" s="3" t="inlineStr">
        <x:is>
          <x:t xml:space="preserve">Evidence: anonymized escalation metrics.</x:t>
        </x:is>
      </x:c>
      <x:c r="Y262" s="6">
        <x:f>(S262*IF(E262="G",F262,0))+(S262*IF(G262="G",H262,0))</x:f>
      </x:c>
      <x:c r="Z262" s="6">
        <x:f>(S262*IF(E262="E",F262,0))+(S262*IF(G262="E",H262,0))</x:f>
      </x:c>
      <x:c r="AA262" s="6">
        <x:f>(S262*IF(E262="T",F262,0))+(S262*IF(G262="T",H262,0))</x:f>
      </x:c>
      <x:c r="AB262" s="6">
        <x:f>(S262*IF(E262="L",F262,0))+(S262*IF(G262="L",H262,0))</x:f>
      </x:c>
      <x:c r="AC262" s="6">
        <x:f>(S262*IF(E262="H",F262,0))+(S262*IF(G262="H",H262,0))</x:f>
      </x:c>
      <x:c r="AD262" s="6">
        <x:f>(S262*IF(E262="V",F262,0))+(S262*IF(G262="V",H262,0))</x:f>
      </x:c>
      <x:c r="AE262" s="6">
        <x:f>(S262*IF(E262="R",F262,0))+(S262*IF(G262="R",H262,0))</x:f>
      </x:c>
      <x:c r="AF262" s="6">
        <x:f>(S262*IF(E262="F",F262,0))+(S262*IF(G262="F",H262,0))</x:f>
      </x:c>
      <x:c r="AG262" s="6">
        <x:f>(S262*IF(E262="W",F262,0))+(S262*IF(G262="W",H262,0))</x:f>
      </x:c>
    </x:row>
    <x:row r="263">
      <x:c r="A263" s="3" t="inlineStr">
        <x:is>
          <x:t xml:space="preserve">HR</x:t>
        </x:is>
      </x:c>
      <x:c r="B263" s="3" t="inlineStr">
        <x:is>
          <x:t xml:space="preserve">HR-D3-Q11</x:t>
        </x:is>
      </x:c>
      <x:c r="C263" s="3" t="inlineStr">
        <x:is>
          <x:t xml:space="preserve">T2</x:t>
        </x:is>
      </x:c>
      <x:c r="D263" s="3" t="inlineStr">
        <x:is>
          <x:t xml:space="preserve">3. Manager Capability &amp; Culture</x:t>
        </x:is>
      </x:c>
      <x:c r="E263" s="3" t="inlineStr">
        <x:is>
          <x:t xml:space="preserve">H</x:t>
        </x:is>
      </x:c>
      <x:c r="F263" s="3" t="n">
        <x:v>1</x:v>
      </x:c>
      <x:c r="G263" s="3" t="inlineStr">
        <x:is>
          <x:t xml:space="preserve">-</x:t>
        </x:is>
      </x:c>
      <x:c r="H263" s="3" t="inlineStr">
        <x:is>
          <x:t xml:space="preserve"/>
        </x:is>
      </x:c>
      <x:c r="I263" s="3" t="inlineStr">
        <x:is>
          <x:t xml:space="preserve">Do you measure speak-up / trust / psychological safety and act on results?</x:t>
        </x:is>
      </x:c>
      <x:c r="J263" s="3" t="inlineStr">
        <x:is>
          <x:t xml:space="preserve">Measurement without action is not mature.</x:t>
        </x:is>
      </x:c>
      <x:c r="K263" s="3" t="inlineStr">
        <x:is>
          <x:t xml:space="preserve">Drill-down</x:t>
        </x:is>
      </x:c>
      <x:c r="L263" s="3" t="inlineStr">
        <x:is>
          <x:t xml:space="preserve">CULT_SOFT</x:t>
        </x:is>
      </x:c>
      <x:c r="M263" s="3" t="n">
        <x:v>1.5</x:v>
      </x:c>
      <x:c r="N263" s="3" t="n">
        <x:v>0.5</x:v>
      </x:c>
      <x:c r="O263" s="3" t="n"/>
      <x:c r="P263" s="3" t="inlineStr">
        <x:is>
          <x:t xml:space="preserve">HR-D3-Q11-A1</x:t>
        </x:is>
      </x:c>
      <x:c r="Q263" s="3" t="n">
        <x:v>1</x:v>
      </x:c>
      <x:c r="R263" s="3" t="inlineStr">
        <x:is>
          <x:t xml:space="preserve">No measurement; leadership relies on anecdotes.</x:t>
        </x:is>
      </x:c>
      <x:c r="S263" s="3" t="n">
        <x:v>0</x:v>
      </x:c>
      <x:c r="T263" s="3" t="inlineStr">
        <x:is>
          <x:t xml:space="preserve">culture_risk</x:t>
        </x:is>
      </x:c>
      <x:c r="U263" s="3" t="inlineStr">
        <x:is>
          <x:t xml:space="preserve">Culture Risk</x:t>
        </x:is>
      </x:c>
      <x:c r="V263" s="3" t="inlineStr">
        <x:is>
          <x:t xml:space="preserve">Introduce measurement</x:t>
        </x:is>
      </x:c>
      <x:c r="W263" s="3" t="inlineStr">
        <x:is>
          <x:t xml:space="preserve">N</x:t>
        </x:is>
      </x:c>
      <x:c r="X263" s="3" t="inlineStr">
        <x:is>
          <x:t xml:space="preserve"/>
        </x:is>
      </x:c>
      <x:c r="Y263" s="6">
        <x:f>(S263*IF(E263="G",F263,0))+(S263*IF(G263="G",H263,0))</x:f>
      </x:c>
      <x:c r="Z263" s="6">
        <x:f>(S263*IF(E263="E",F263,0))+(S263*IF(G263="E",H263,0))</x:f>
      </x:c>
      <x:c r="AA263" s="6">
        <x:f>(S263*IF(E263="T",F263,0))+(S263*IF(G263="T",H263,0))</x:f>
      </x:c>
      <x:c r="AB263" s="6">
        <x:f>(S263*IF(E263="L",F263,0))+(S263*IF(G263="L",H263,0))</x:f>
      </x:c>
      <x:c r="AC263" s="6">
        <x:f>(S263*IF(E263="H",F263,0))+(S263*IF(G263="H",H263,0))</x:f>
      </x:c>
      <x:c r="AD263" s="6">
        <x:f>(S263*IF(E263="V",F263,0))+(S263*IF(G263="V",H263,0))</x:f>
      </x:c>
      <x:c r="AE263" s="6">
        <x:f>(S263*IF(E263="R",F263,0))+(S263*IF(G263="R",H263,0))</x:f>
      </x:c>
      <x:c r="AF263" s="6">
        <x:f>(S263*IF(E263="F",F263,0))+(S263*IF(G263="F",H263,0))</x:f>
      </x:c>
      <x:c r="AG263" s="6">
        <x:f>(S263*IF(E263="W",F263,0))+(S263*IF(G263="W",H263,0))</x:f>
      </x:c>
    </x:row>
    <x:row r="264">
      <x:c r="A264" s="3" t="inlineStr">
        <x:is>
          <x:t xml:space="preserve">HR</x:t>
        </x:is>
      </x:c>
      <x:c r="B264" s="3" t="inlineStr">
        <x:is>
          <x:t xml:space="preserve">HR-D3-Q11</x:t>
        </x:is>
      </x:c>
      <x:c r="C264" s="3" t="inlineStr">
        <x:is>
          <x:t xml:space="preserve">T2</x:t>
        </x:is>
      </x:c>
      <x:c r="D264" s="3" t="inlineStr">
        <x:is>
          <x:t xml:space="preserve">3. Manager Capability &amp; Culture</x:t>
        </x:is>
      </x:c>
      <x:c r="E264" s="3" t="inlineStr">
        <x:is>
          <x:t xml:space="preserve">H</x:t>
        </x:is>
      </x:c>
      <x:c r="F264" s="3" t="n">
        <x:v>1</x:v>
      </x:c>
      <x:c r="G264" s="3" t="inlineStr">
        <x:is>
          <x:t xml:space="preserve">-</x:t>
        </x:is>
      </x:c>
      <x:c r="H264" s="3" t="inlineStr">
        <x:is>
          <x:t xml:space="preserve"/>
        </x:is>
      </x:c>
      <x:c r="I264" s="3" t="inlineStr">
        <x:is>
          <x:t xml:space="preserve">Do you measure speak-up / trust / psychological safety and act on results?</x:t>
        </x:is>
      </x:c>
      <x:c r="J264" s="3" t="inlineStr">
        <x:is>
          <x:t xml:space="preserve">Measurement without action is not mature.</x:t>
        </x:is>
      </x:c>
      <x:c r="K264" s="3" t="inlineStr">
        <x:is>
          <x:t xml:space="preserve">Drill-down</x:t>
        </x:is>
      </x:c>
      <x:c r="L264" s="3" t="inlineStr">
        <x:is>
          <x:t xml:space="preserve">CULT_SOFT</x:t>
        </x:is>
      </x:c>
      <x:c r="M264" s="3" t="n">
        <x:v>1.5</x:v>
      </x:c>
      <x:c r="N264" s="3" t="n">
        <x:v>0.5</x:v>
      </x:c>
      <x:c r="O264" s="3" t="n"/>
      <x:c r="P264" s="3" t="inlineStr">
        <x:is>
          <x:t xml:space="preserve">HR-D3-Q11-A2</x:t>
        </x:is>
      </x:c>
      <x:c r="Q264" s="3" t="n">
        <x:v>2</x:v>
      </x:c>
      <x:c r="R264" s="3" t="inlineStr">
        <x:is>
          <x:t xml:space="preserve">Occasional survey; results not acted on.</x:t>
        </x:is>
      </x:c>
      <x:c r="S264" s="3" t="n">
        <x:v>1</x:v>
      </x:c>
      <x:c r="T264" s="3" t="inlineStr">
        <x:is>
          <x:t xml:space="preserve">paper_dragon_signal</x:t>
        </x:is>
      </x:c>
      <x:c r="U264" s="3" t="inlineStr">
        <x:is>
          <x:t xml:space="preserve">Paper Dragon</x:t>
        </x:is>
      </x:c>
      <x:c r="V264" s="3" t="inlineStr">
        <x:is>
          <x:t xml:space="preserve">Create action plan cycle</x:t>
        </x:is>
      </x:c>
      <x:c r="W264" s="3" t="inlineStr">
        <x:is>
          <x:t xml:space="preserve">N</x:t>
        </x:is>
      </x:c>
      <x:c r="X264" s="3" t="inlineStr">
        <x:is>
          <x:t xml:space="preserve">Evidence: last survey date.</x:t>
        </x:is>
      </x:c>
      <x:c r="Y264" s="6">
        <x:f>(S264*IF(E264="G",F264,0))+(S264*IF(G264="G",H264,0))</x:f>
      </x:c>
      <x:c r="Z264" s="6">
        <x:f>(S264*IF(E264="E",F264,0))+(S264*IF(G264="E",H264,0))</x:f>
      </x:c>
      <x:c r="AA264" s="6">
        <x:f>(S264*IF(E264="T",F264,0))+(S264*IF(G264="T",H264,0))</x:f>
      </x:c>
      <x:c r="AB264" s="6">
        <x:f>(S264*IF(E264="L",F264,0))+(S264*IF(G264="L",H264,0))</x:f>
      </x:c>
      <x:c r="AC264" s="6">
        <x:f>(S264*IF(E264="H",F264,0))+(S264*IF(G264="H",H264,0))</x:f>
      </x:c>
      <x:c r="AD264" s="6">
        <x:f>(S264*IF(E264="V",F264,0))+(S264*IF(G264="V",H264,0))</x:f>
      </x:c>
      <x:c r="AE264" s="6">
        <x:f>(S264*IF(E264="R",F264,0))+(S264*IF(G264="R",H264,0))</x:f>
      </x:c>
      <x:c r="AF264" s="6">
        <x:f>(S264*IF(E264="F",F264,0))+(S264*IF(G264="F",H264,0))</x:f>
      </x:c>
      <x:c r="AG264" s="6">
        <x:f>(S264*IF(E264="W",F264,0))+(S264*IF(G264="W",H264,0))</x:f>
      </x:c>
    </x:row>
    <x:row r="265">
      <x:c r="A265" s="3" t="inlineStr">
        <x:is>
          <x:t xml:space="preserve">HR</x:t>
        </x:is>
      </x:c>
      <x:c r="B265" s="3" t="inlineStr">
        <x:is>
          <x:t xml:space="preserve">HR-D3-Q11</x:t>
        </x:is>
      </x:c>
      <x:c r="C265" s="3" t="inlineStr">
        <x:is>
          <x:t xml:space="preserve">T2</x:t>
        </x:is>
      </x:c>
      <x:c r="D265" s="3" t="inlineStr">
        <x:is>
          <x:t xml:space="preserve">3. Manager Capability &amp; Culture</x:t>
        </x:is>
      </x:c>
      <x:c r="E265" s="3" t="inlineStr">
        <x:is>
          <x:t xml:space="preserve">H</x:t>
        </x:is>
      </x:c>
      <x:c r="F265" s="3" t="n">
        <x:v>1</x:v>
      </x:c>
      <x:c r="G265" s="3" t="inlineStr">
        <x:is>
          <x:t xml:space="preserve">-</x:t>
        </x:is>
      </x:c>
      <x:c r="H265" s="3" t="inlineStr">
        <x:is>
          <x:t xml:space="preserve"/>
        </x:is>
      </x:c>
      <x:c r="I265" s="3" t="inlineStr">
        <x:is>
          <x:t xml:space="preserve">Do you measure speak-up / trust / psychological safety and act on results?</x:t>
        </x:is>
      </x:c>
      <x:c r="J265" s="3" t="inlineStr">
        <x:is>
          <x:t xml:space="preserve">Measurement without action is not mature.</x:t>
        </x:is>
      </x:c>
      <x:c r="K265" s="3" t="inlineStr">
        <x:is>
          <x:t xml:space="preserve">Drill-down</x:t>
        </x:is>
      </x:c>
      <x:c r="L265" s="3" t="inlineStr">
        <x:is>
          <x:t xml:space="preserve">CULT_SOFT</x:t>
        </x:is>
      </x:c>
      <x:c r="M265" s="3" t="n">
        <x:v>1.5</x:v>
      </x:c>
      <x:c r="N265" s="3" t="n">
        <x:v>0.5</x:v>
      </x:c>
      <x:c r="O265" s="3" t="n"/>
      <x:c r="P265" s="3" t="inlineStr">
        <x:is>
          <x:t xml:space="preserve">HR-D3-Q11-A3</x:t>
        </x:is>
      </x:c>
      <x:c r="Q265" s="3" t="n">
        <x:v>3</x:v>
      </x:c>
      <x:c r="R265" s="3" t="inlineStr">
        <x:is>
          <x:t xml:space="preserve">Regular survey; some actions taken; follow-through varies.</x:t>
        </x:is>
      </x:c>
      <x:c r="S265" s="3" t="n">
        <x:v>2</x:v>
      </x:c>
      <x:c r="T265" s="3" t="inlineStr">
        <x:is>
          <x:t xml:space="preserve"/>
        </x:is>
      </x:c>
      <x:c r="U265" s="3" t="inlineStr">
        <x:is>
          <x:t xml:space="preserve">Culture Risk</x:t>
        </x:is>
      </x:c>
      <x:c r="V265" s="3" t="inlineStr">
        <x:is>
          <x:t xml:space="preserve">Strengthen action tracking</x:t>
        </x:is>
      </x:c>
      <x:c r="W265" s="3" t="inlineStr">
        <x:is>
          <x:t xml:space="preserve">N</x:t>
        </x:is>
      </x:c>
      <x:c r="X265" s="3" t="inlineStr">
        <x:is>
          <x:t xml:space="preserve">Evidence: action plan examples.</x:t>
        </x:is>
      </x:c>
      <x:c r="Y265" s="6">
        <x:f>(S265*IF(E265="G",F265,0))+(S265*IF(G265="G",H265,0))</x:f>
      </x:c>
      <x:c r="Z265" s="6">
        <x:f>(S265*IF(E265="E",F265,0))+(S265*IF(G265="E",H265,0))</x:f>
      </x:c>
      <x:c r="AA265" s="6">
        <x:f>(S265*IF(E265="T",F265,0))+(S265*IF(G265="T",H265,0))</x:f>
      </x:c>
      <x:c r="AB265" s="6">
        <x:f>(S265*IF(E265="L",F265,0))+(S265*IF(G265="L",H265,0))</x:f>
      </x:c>
      <x:c r="AC265" s="6">
        <x:f>(S265*IF(E265="H",F265,0))+(S265*IF(G265="H",H265,0))</x:f>
      </x:c>
      <x:c r="AD265" s="6">
        <x:f>(S265*IF(E265="V",F265,0))+(S265*IF(G265="V",H265,0))</x:f>
      </x:c>
      <x:c r="AE265" s="6">
        <x:f>(S265*IF(E265="R",F265,0))+(S265*IF(G265="R",H265,0))</x:f>
      </x:c>
      <x:c r="AF265" s="6">
        <x:f>(S265*IF(E265="F",F265,0))+(S265*IF(G265="F",H265,0))</x:f>
      </x:c>
      <x:c r="AG265" s="6">
        <x:f>(S265*IF(E265="W",F265,0))+(S265*IF(G265="W",H265,0))</x:f>
      </x:c>
    </x:row>
    <x:row r="266">
      <x:c r="A266" s="3" t="inlineStr">
        <x:is>
          <x:t xml:space="preserve">HR</x:t>
        </x:is>
      </x:c>
      <x:c r="B266" s="3" t="inlineStr">
        <x:is>
          <x:t xml:space="preserve">HR-D3-Q11</x:t>
        </x:is>
      </x:c>
      <x:c r="C266" s="3" t="inlineStr">
        <x:is>
          <x:t xml:space="preserve">T2</x:t>
        </x:is>
      </x:c>
      <x:c r="D266" s="3" t="inlineStr">
        <x:is>
          <x:t xml:space="preserve">3. Manager Capability &amp; Culture</x:t>
        </x:is>
      </x:c>
      <x:c r="E266" s="3" t="inlineStr">
        <x:is>
          <x:t xml:space="preserve">H</x:t>
        </x:is>
      </x:c>
      <x:c r="F266" s="3" t="n">
        <x:v>1</x:v>
      </x:c>
      <x:c r="G266" s="3" t="inlineStr">
        <x:is>
          <x:t xml:space="preserve">-</x:t>
        </x:is>
      </x:c>
      <x:c r="H266" s="3" t="inlineStr">
        <x:is>
          <x:t xml:space="preserve"/>
        </x:is>
      </x:c>
      <x:c r="I266" s="3" t="inlineStr">
        <x:is>
          <x:t xml:space="preserve">Do you measure speak-up / trust / psychological safety and act on results?</x:t>
        </x:is>
      </x:c>
      <x:c r="J266" s="3" t="inlineStr">
        <x:is>
          <x:t xml:space="preserve">Measurement without action is not mature.</x:t>
        </x:is>
      </x:c>
      <x:c r="K266" s="3" t="inlineStr">
        <x:is>
          <x:t xml:space="preserve">Drill-down</x:t>
        </x:is>
      </x:c>
      <x:c r="L266" s="3" t="inlineStr">
        <x:is>
          <x:t xml:space="preserve">CULT_SOFT</x:t>
        </x:is>
      </x:c>
      <x:c r="M266" s="3" t="n">
        <x:v>1.5</x:v>
      </x:c>
      <x:c r="N266" s="3" t="n">
        <x:v>0.5</x:v>
      </x:c>
      <x:c r="O266" s="3" t="n"/>
      <x:c r="P266" s="3" t="inlineStr">
        <x:is>
          <x:t xml:space="preserve">HR-D3-Q11-A4</x:t>
        </x:is>
      </x:c>
      <x:c r="Q266" s="3" t="n">
        <x:v>4</x:v>
      </x:c>
      <x:c r="R266" s="3" t="inlineStr">
        <x:is>
          <x:t xml:space="preserve">Measured + managed: results drive actions and progress is communicated.</x:t>
        </x:is>
      </x:c>
      <x:c r="S266" s="3" t="n">
        <x:v>3</x:v>
      </x:c>
      <x:c r="T266" s="3" t="inlineStr">
        <x:is>
          <x:t xml:space="preserve"/>
        </x:is>
      </x:c>
      <x:c r="U266" s="3" t="inlineStr">
        <x:is>
          <x:t xml:space="preserve">Culture Risk</x:t>
        </x:is>
      </x:c>
      <x:c r="V266" s="3" t="inlineStr">
        <x:is>
          <x:t xml:space="preserve">Maintain cadence</x:t>
        </x:is>
      </x:c>
      <x:c r="W266" s="3" t="inlineStr">
        <x:is>
          <x:t xml:space="preserve">N</x:t>
        </x:is>
      </x:c>
      <x:c r="X266" s="3" t="inlineStr">
        <x:is>
          <x:t xml:space="preserve">Evidence: action tracker.</x:t>
        </x:is>
      </x:c>
      <x:c r="Y266" s="6">
        <x:f>(S266*IF(E266="G",F266,0))+(S266*IF(G266="G",H266,0))</x:f>
      </x:c>
      <x:c r="Z266" s="6">
        <x:f>(S266*IF(E266="E",F266,0))+(S266*IF(G266="E",H266,0))</x:f>
      </x:c>
      <x:c r="AA266" s="6">
        <x:f>(S266*IF(E266="T",F266,0))+(S266*IF(G266="T",H266,0))</x:f>
      </x:c>
      <x:c r="AB266" s="6">
        <x:f>(S266*IF(E266="L",F266,0))+(S266*IF(G266="L",H266,0))</x:f>
      </x:c>
      <x:c r="AC266" s="6">
        <x:f>(S266*IF(E266="H",F266,0))+(S266*IF(G266="H",H266,0))</x:f>
      </x:c>
      <x:c r="AD266" s="6">
        <x:f>(S266*IF(E266="V",F266,0))+(S266*IF(G266="V",H266,0))</x:f>
      </x:c>
      <x:c r="AE266" s="6">
        <x:f>(S266*IF(E266="R",F266,0))+(S266*IF(G266="R",H266,0))</x:f>
      </x:c>
      <x:c r="AF266" s="6">
        <x:f>(S266*IF(E266="F",F266,0))+(S266*IF(G266="F",H266,0))</x:f>
      </x:c>
      <x:c r="AG266" s="6">
        <x:f>(S266*IF(E266="W",F266,0))+(S266*IF(G266="W",H266,0))</x:f>
      </x:c>
    </x:row>
    <x:row r="267">
      <x:c r="A267" s="3" t="inlineStr">
        <x:is>
          <x:t xml:space="preserve">HR</x:t>
        </x:is>
      </x:c>
      <x:c r="B267" s="3" t="inlineStr">
        <x:is>
          <x:t xml:space="preserve">HR-D3-Q11</x:t>
        </x:is>
      </x:c>
      <x:c r="C267" s="3" t="inlineStr">
        <x:is>
          <x:t xml:space="preserve">T2</x:t>
        </x:is>
      </x:c>
      <x:c r="D267" s="3" t="inlineStr">
        <x:is>
          <x:t xml:space="preserve">3. Manager Capability &amp; Culture</x:t>
        </x:is>
      </x:c>
      <x:c r="E267" s="3" t="inlineStr">
        <x:is>
          <x:t xml:space="preserve">H</x:t>
        </x:is>
      </x:c>
      <x:c r="F267" s="3" t="n">
        <x:v>1</x:v>
      </x:c>
      <x:c r="G267" s="3" t="inlineStr">
        <x:is>
          <x:t xml:space="preserve">-</x:t>
        </x:is>
      </x:c>
      <x:c r="H267" s="3" t="inlineStr">
        <x:is>
          <x:t xml:space="preserve"/>
        </x:is>
      </x:c>
      <x:c r="I267" s="3" t="inlineStr">
        <x:is>
          <x:t xml:space="preserve">Do you measure speak-up / trust / psychological safety and act on results?</x:t>
        </x:is>
      </x:c>
      <x:c r="J267" s="3" t="inlineStr">
        <x:is>
          <x:t xml:space="preserve">Measurement without action is not mature.</x:t>
        </x:is>
      </x:c>
      <x:c r="K267" s="3" t="inlineStr">
        <x:is>
          <x:t xml:space="preserve">Drill-down</x:t>
        </x:is>
      </x:c>
      <x:c r="L267" s="3" t="inlineStr">
        <x:is>
          <x:t xml:space="preserve">CULT_SOFT</x:t>
        </x:is>
      </x:c>
      <x:c r="M267" s="3" t="n">
        <x:v>1.5</x:v>
      </x:c>
      <x:c r="N267" s="3" t="n">
        <x:v>0.5</x:v>
      </x:c>
      <x:c r="O267" s="3" t="n"/>
      <x:c r="P267" s="3" t="inlineStr">
        <x:is>
          <x:t xml:space="preserve">HR-D3-Q11-A5</x:t>
        </x:is>
      </x:c>
      <x:c r="Q267" s="3" t="n">
        <x:v>5</x:v>
      </x:c>
      <x:c r="R267" s="3" t="inlineStr">
        <x:is>
          <x:t xml:space="preserve">Optimized: metrics tied to leadership objectives and continuous improvement.</x:t>
        </x:is>
      </x:c>
      <x:c r="S267" s="3" t="n">
        <x:v>4</x:v>
      </x:c>
      <x:c r="T267" s="3" t="inlineStr">
        <x:is>
          <x:t xml:space="preserve"/>
        </x:is>
      </x:c>
      <x:c r="U267" s="3" t="inlineStr">
        <x:is>
          <x:t xml:space="preserve">Culture Risk</x:t>
        </x:is>
      </x:c>
      <x:c r="V267" s="3" t="inlineStr">
        <x:is>
          <x:t xml:space="preserve">Maintain maturity</x:t>
        </x:is>
      </x:c>
      <x:c r="W267" s="3" t="inlineStr">
        <x:is>
          <x:t xml:space="preserve">N</x:t>
        </x:is>
      </x:c>
      <x:c r="X267" s="3" t="inlineStr">
        <x:is>
          <x:t xml:space="preserve">Evidence: KPI trends.</x:t>
        </x:is>
      </x:c>
      <x:c r="Y267" s="6">
        <x:f>(S267*IF(E267="G",F267,0))+(S267*IF(G267="G",H267,0))</x:f>
      </x:c>
      <x:c r="Z267" s="6">
        <x:f>(S267*IF(E267="E",F267,0))+(S267*IF(G267="E",H267,0))</x:f>
      </x:c>
      <x:c r="AA267" s="6">
        <x:f>(S267*IF(E267="T",F267,0))+(S267*IF(G267="T",H267,0))</x:f>
      </x:c>
      <x:c r="AB267" s="6">
        <x:f>(S267*IF(E267="L",F267,0))+(S267*IF(G267="L",H267,0))</x:f>
      </x:c>
      <x:c r="AC267" s="6">
        <x:f>(S267*IF(E267="H",F267,0))+(S267*IF(G267="H",H267,0))</x:f>
      </x:c>
      <x:c r="AD267" s="6">
        <x:f>(S267*IF(E267="V",F267,0))+(S267*IF(G267="V",H267,0))</x:f>
      </x:c>
      <x:c r="AE267" s="6">
        <x:f>(S267*IF(E267="R",F267,0))+(S267*IF(G267="R",H267,0))</x:f>
      </x:c>
      <x:c r="AF267" s="6">
        <x:f>(S267*IF(E267="F",F267,0))+(S267*IF(G267="F",H267,0))</x:f>
      </x:c>
      <x:c r="AG267" s="6">
        <x:f>(S267*IF(E267="W",F267,0))+(S267*IF(G267="W",H267,0))</x:f>
      </x:c>
    </x:row>
    <x:row r="268">
      <x:c r="A268" s="3" t="inlineStr">
        <x:is>
          <x:t xml:space="preserve">HR</x:t>
        </x:is>
      </x:c>
      <x:c r="B268" s="3" t="inlineStr">
        <x:is>
          <x:t xml:space="preserve">HR-D3-Q12</x:t>
        </x:is>
      </x:c>
      <x:c r="C268" s="3" t="inlineStr">
        <x:is>
          <x:t xml:space="preserve">T3</x:t>
        </x:is>
      </x:c>
      <x:c r="D268" s="3" t="inlineStr">
        <x:is>
          <x:t xml:space="preserve">3. Manager Capability &amp; Culture</x:t>
        </x:is>
      </x:c>
      <x:c r="E268" s="3" t="inlineStr">
        <x:is>
          <x:t xml:space="preserve">H</x:t>
        </x:is>
      </x:c>
      <x:c r="F268" s="3" t="n">
        <x:v>0.7</x:v>
      </x:c>
      <x:c r="G268" s="3" t="inlineStr">
        <x:is>
          <x:t xml:space="preserve">F</x:t>
        </x:is>
      </x:c>
      <x:c r="H268" s="3" t="n">
        <x:v>0.3</x:v>
      </x:c>
      <x:c r="I268" s="3" t="inlineStr">
        <x:is>
          <x:t xml:space="preserve">How is positive, risk-reducing behavior reinforced (e.g., reporting near-misses, using approved tools) without creating fear or blame?</x:t>
        </x:is>
      </x:c>
      <x:c r="J268" s="3" t="inlineStr">
        <x:is>
          <x:t xml:space="preserve">Recognition + learning loops; avoid name-and-shame.</x:t>
        </x:is>
      </x:c>
      <x:c r="K268" s="3" t="inlineStr">
        <x:is>
          <x:t xml:space="preserve">Business-proofing</x:t>
        </x:is>
      </x:c>
      <x:c r="L268" s="3" t="inlineStr">
        <x:is>
          <x:t xml:space="preserve">CULT_SOFT</x:t>
        </x:is>
      </x:c>
      <x:c r="M268" s="3" t="n">
        <x:v>1</x:v>
      </x:c>
      <x:c r="N268" s="3" t="n"/>
      <x:c r="O268" s="3" t="n"/>
      <x:c r="P268" s="3" t="inlineStr">
        <x:is>
          <x:t xml:space="preserve">HR-D3-Q12-A1</x:t>
        </x:is>
      </x:c>
      <x:c r="Q268" s="3" t="n">
        <x:v>1</x:v>
      </x:c>
      <x:c r="R268" s="3" t="inlineStr">
        <x:is>
          <x:t xml:space="preserve">Punitive: only bad behavior highlighted; people avoid reporting.</x:t>
        </x:is>
      </x:c>
      <x:c r="S268" s="3" t="n">
        <x:v>0</x:v>
      </x:c>
      <x:c r="T268" s="3" t="inlineStr">
        <x:is>
          <x:t xml:space="preserve">toxic_enforcer_signal,culture_risk</x:t>
        </x:is>
      </x:c>
      <x:c r="U268" s="3" t="inlineStr">
        <x:is>
          <x:t xml:space="preserve">Culture Risk</x:t>
        </x:is>
      </x:c>
      <x:c r="V268" s="3" t="inlineStr">
        <x:is>
          <x:t xml:space="preserve">Shift to positive reinforcement</x:t>
        </x:is>
      </x:c>
      <x:c r="W268" s="3" t="inlineStr">
        <x:is>
          <x:t xml:space="preserve">N</x:t>
        </x:is>
      </x:c>
      <x:c r="X268" s="3" t="inlineStr">
        <x:is>
          <x:t xml:space="preserve"/>
        </x:is>
      </x:c>
      <x:c r="Y268" s="6">
        <x:f>(S268*IF(E268="G",F268,0))+(S268*IF(G268="G",H268,0))</x:f>
      </x:c>
      <x:c r="Z268" s="6">
        <x:f>(S268*IF(E268="E",F268,0))+(S268*IF(G268="E",H268,0))</x:f>
      </x:c>
      <x:c r="AA268" s="6">
        <x:f>(S268*IF(E268="T",F268,0))+(S268*IF(G268="T",H268,0))</x:f>
      </x:c>
      <x:c r="AB268" s="6">
        <x:f>(S268*IF(E268="L",F268,0))+(S268*IF(G268="L",H268,0))</x:f>
      </x:c>
      <x:c r="AC268" s="6">
        <x:f>(S268*IF(E268="H",F268,0))+(S268*IF(G268="H",H268,0))</x:f>
      </x:c>
      <x:c r="AD268" s="6">
        <x:f>(S268*IF(E268="V",F268,0))+(S268*IF(G268="V",H268,0))</x:f>
      </x:c>
      <x:c r="AE268" s="6">
        <x:f>(S268*IF(E268="R",F268,0))+(S268*IF(G268="R",H268,0))</x:f>
      </x:c>
      <x:c r="AF268" s="6">
        <x:f>(S268*IF(E268="F",F268,0))+(S268*IF(G268="F",H268,0))</x:f>
      </x:c>
      <x:c r="AG268" s="6">
        <x:f>(S268*IF(E268="W",F268,0))+(S268*IF(G268="W",H268,0))</x:f>
      </x:c>
    </x:row>
    <x:row r="269">
      <x:c r="A269" s="3" t="inlineStr">
        <x:is>
          <x:t xml:space="preserve">HR</x:t>
        </x:is>
      </x:c>
      <x:c r="B269" s="3" t="inlineStr">
        <x:is>
          <x:t xml:space="preserve">HR-D3-Q12</x:t>
        </x:is>
      </x:c>
      <x:c r="C269" s="3" t="inlineStr">
        <x:is>
          <x:t xml:space="preserve">T3</x:t>
        </x:is>
      </x:c>
      <x:c r="D269" s="3" t="inlineStr">
        <x:is>
          <x:t xml:space="preserve">3. Manager Capability &amp; Culture</x:t>
        </x:is>
      </x:c>
      <x:c r="E269" s="3" t="inlineStr">
        <x:is>
          <x:t xml:space="preserve">H</x:t>
        </x:is>
      </x:c>
      <x:c r="F269" s="3" t="n">
        <x:v>0.7</x:v>
      </x:c>
      <x:c r="G269" s="3" t="inlineStr">
        <x:is>
          <x:t xml:space="preserve">F</x:t>
        </x:is>
      </x:c>
      <x:c r="H269" s="3" t="n">
        <x:v>0.3</x:v>
      </x:c>
      <x:c r="I269" s="3" t="inlineStr">
        <x:is>
          <x:t xml:space="preserve">How is positive, risk-reducing behavior reinforced (e.g., reporting near-misses, using approved tools) without creating fear or blame?</x:t>
        </x:is>
      </x:c>
      <x:c r="J269" s="3" t="inlineStr">
        <x:is>
          <x:t xml:space="preserve">Recognition + learning loops; avoid name-and-shame.</x:t>
        </x:is>
      </x:c>
      <x:c r="K269" s="3" t="inlineStr">
        <x:is>
          <x:t xml:space="preserve">Business-proofing</x:t>
        </x:is>
      </x:c>
      <x:c r="L269" s="3" t="inlineStr">
        <x:is>
          <x:t xml:space="preserve">CULT_SOFT</x:t>
        </x:is>
      </x:c>
      <x:c r="M269" s="3" t="n">
        <x:v>1</x:v>
      </x:c>
      <x:c r="N269" s="3" t="n"/>
      <x:c r="O269" s="3" t="n"/>
      <x:c r="P269" s="3" t="inlineStr">
        <x:is>
          <x:t xml:space="preserve">HR-D3-Q12-A2</x:t>
        </x:is>
      </x:c>
      <x:c r="Q269" s="3" t="n">
        <x:v>2</x:v>
      </x:c>
      <x:c r="R269" s="3" t="inlineStr">
        <x:is>
          <x:t xml:space="preserve">Informal thanks by managers; no consistent approach.</x:t>
        </x:is>
      </x:c>
      <x:c r="S269" s="3" t="n">
        <x:v>1</x:v>
      </x:c>
      <x:c r="T269" s="3" t="inlineStr">
        <x:is>
          <x:t xml:space="preserve">key_person_dependency</x:t>
        </x:is>
      </x:c>
      <x:c r="U269" s="3" t="inlineStr">
        <x:is>
          <x:t xml:space="preserve">Culture Risk</x:t>
        </x:is>
      </x:c>
      <x:c r="V269" s="3" t="inlineStr">
        <x:is>
          <x:t xml:space="preserve">Create lightweight recognition</x:t>
        </x:is>
      </x:c>
      <x:c r="W269" s="3" t="inlineStr">
        <x:is>
          <x:t xml:space="preserve">N</x:t>
        </x:is>
      </x:c>
      <x:c r="X269" s="3" t="inlineStr">
        <x:is>
          <x:t xml:space="preserve"/>
        </x:is>
      </x:c>
      <x:c r="Y269" s="6">
        <x:f>(S269*IF(E269="G",F269,0))+(S269*IF(G269="G",H269,0))</x:f>
      </x:c>
      <x:c r="Z269" s="6">
        <x:f>(S269*IF(E269="E",F269,0))+(S269*IF(G269="E",H269,0))</x:f>
      </x:c>
      <x:c r="AA269" s="6">
        <x:f>(S269*IF(E269="T",F269,0))+(S269*IF(G269="T",H269,0))</x:f>
      </x:c>
      <x:c r="AB269" s="6">
        <x:f>(S269*IF(E269="L",F269,0))+(S269*IF(G269="L",H269,0))</x:f>
      </x:c>
      <x:c r="AC269" s="6">
        <x:f>(S269*IF(E269="H",F269,0))+(S269*IF(G269="H",H269,0))</x:f>
      </x:c>
      <x:c r="AD269" s="6">
        <x:f>(S269*IF(E269="V",F269,0))+(S269*IF(G269="V",H269,0))</x:f>
      </x:c>
      <x:c r="AE269" s="6">
        <x:f>(S269*IF(E269="R",F269,0))+(S269*IF(G269="R",H269,0))</x:f>
      </x:c>
      <x:c r="AF269" s="6">
        <x:f>(S269*IF(E269="F",F269,0))+(S269*IF(G269="F",H269,0))</x:f>
      </x:c>
      <x:c r="AG269" s="6">
        <x:f>(S269*IF(E269="W",F269,0))+(S269*IF(G269="W",H269,0))</x:f>
      </x:c>
    </x:row>
    <x:row r="270">
      <x:c r="A270" s="3" t="inlineStr">
        <x:is>
          <x:t xml:space="preserve">HR</x:t>
        </x:is>
      </x:c>
      <x:c r="B270" s="3" t="inlineStr">
        <x:is>
          <x:t xml:space="preserve">HR-D3-Q12</x:t>
        </x:is>
      </x:c>
      <x:c r="C270" s="3" t="inlineStr">
        <x:is>
          <x:t xml:space="preserve">T3</x:t>
        </x:is>
      </x:c>
      <x:c r="D270" s="3" t="inlineStr">
        <x:is>
          <x:t xml:space="preserve">3. Manager Capability &amp; Culture</x:t>
        </x:is>
      </x:c>
      <x:c r="E270" s="3" t="inlineStr">
        <x:is>
          <x:t xml:space="preserve">H</x:t>
        </x:is>
      </x:c>
      <x:c r="F270" s="3" t="n">
        <x:v>0.7</x:v>
      </x:c>
      <x:c r="G270" s="3" t="inlineStr">
        <x:is>
          <x:t xml:space="preserve">F</x:t>
        </x:is>
      </x:c>
      <x:c r="H270" s="3" t="n">
        <x:v>0.3</x:v>
      </x:c>
      <x:c r="I270" s="3" t="inlineStr">
        <x:is>
          <x:t xml:space="preserve">How is positive, risk-reducing behavior reinforced (e.g., reporting near-misses, using approved tools) without creating fear or blame?</x:t>
        </x:is>
      </x:c>
      <x:c r="J270" s="3" t="inlineStr">
        <x:is>
          <x:t xml:space="preserve">Recognition + learning loops; avoid name-and-shame.</x:t>
        </x:is>
      </x:c>
      <x:c r="K270" s="3" t="inlineStr">
        <x:is>
          <x:t xml:space="preserve">Business-proofing</x:t>
        </x:is>
      </x:c>
      <x:c r="L270" s="3" t="inlineStr">
        <x:is>
          <x:t xml:space="preserve">CULT_SOFT</x:t>
        </x:is>
      </x:c>
      <x:c r="M270" s="3" t="n">
        <x:v>1</x:v>
      </x:c>
      <x:c r="N270" s="3" t="n"/>
      <x:c r="O270" s="3" t="n"/>
      <x:c r="P270" s="3" t="inlineStr">
        <x:is>
          <x:t xml:space="preserve">HR-D3-Q12-A3</x:t>
        </x:is>
      </x:c>
      <x:c r="Q270" s="3" t="n">
        <x:v>3</x:v>
      </x:c>
      <x:c r="R270" s="3" t="inlineStr">
        <x:is>
          <x:t xml:space="preserve">Campaigns exist but limited ongoing reinforcement.</x:t>
        </x:is>
      </x:c>
      <x:c r="S270" s="3" t="n">
        <x:v>2</x:v>
      </x:c>
      <x:c r="T270" s="3" t="inlineStr">
        <x:is>
          <x:t xml:space="preserve">paper_dragon_signal</x:t>
        </x:is>
      </x:c>
      <x:c r="U270" s="3" t="inlineStr">
        <x:is>
          <x:t xml:space="preserve">Paper Dragon</x:t>
        </x:is>
      </x:c>
      <x:c r="V270" s="3" t="inlineStr">
        <x:is>
          <x:t xml:space="preserve">Build continuous reinforcement</x:t>
        </x:is>
      </x:c>
      <x:c r="W270" s="3" t="inlineStr">
        <x:is>
          <x:t xml:space="preserve">N</x:t>
        </x:is>
      </x:c>
      <x:c r="X270" s="3" t="inlineStr">
        <x:is>
          <x:t xml:space="preserve"/>
        </x:is>
      </x:c>
      <x:c r="Y270" s="6">
        <x:f>(S270*IF(E270="G",F270,0))+(S270*IF(G270="G",H270,0))</x:f>
      </x:c>
      <x:c r="Z270" s="6">
        <x:f>(S270*IF(E270="E",F270,0))+(S270*IF(G270="E",H270,0))</x:f>
      </x:c>
      <x:c r="AA270" s="6">
        <x:f>(S270*IF(E270="T",F270,0))+(S270*IF(G270="T",H270,0))</x:f>
      </x:c>
      <x:c r="AB270" s="6">
        <x:f>(S270*IF(E270="L",F270,0))+(S270*IF(G270="L",H270,0))</x:f>
      </x:c>
      <x:c r="AC270" s="6">
        <x:f>(S270*IF(E270="H",F270,0))+(S270*IF(G270="H",H270,0))</x:f>
      </x:c>
      <x:c r="AD270" s="6">
        <x:f>(S270*IF(E270="V",F270,0))+(S270*IF(G270="V",H270,0))</x:f>
      </x:c>
      <x:c r="AE270" s="6">
        <x:f>(S270*IF(E270="R",F270,0))+(S270*IF(G270="R",H270,0))</x:f>
      </x:c>
      <x:c r="AF270" s="6">
        <x:f>(S270*IF(E270="F",F270,0))+(S270*IF(G270="F",H270,0))</x:f>
      </x:c>
      <x:c r="AG270" s="6">
        <x:f>(S270*IF(E270="W",F270,0))+(S270*IF(G270="W",H270,0))</x:f>
      </x:c>
    </x:row>
    <x:row r="271">
      <x:c r="A271" s="3" t="inlineStr">
        <x:is>
          <x:t xml:space="preserve">HR</x:t>
        </x:is>
      </x:c>
      <x:c r="B271" s="3" t="inlineStr">
        <x:is>
          <x:t xml:space="preserve">HR-D3-Q12</x:t>
        </x:is>
      </x:c>
      <x:c r="C271" s="3" t="inlineStr">
        <x:is>
          <x:t xml:space="preserve">T3</x:t>
        </x:is>
      </x:c>
      <x:c r="D271" s="3" t="inlineStr">
        <x:is>
          <x:t xml:space="preserve">3. Manager Capability &amp; Culture</x:t>
        </x:is>
      </x:c>
      <x:c r="E271" s="3" t="inlineStr">
        <x:is>
          <x:t xml:space="preserve">H</x:t>
        </x:is>
      </x:c>
      <x:c r="F271" s="3" t="n">
        <x:v>0.7</x:v>
      </x:c>
      <x:c r="G271" s="3" t="inlineStr">
        <x:is>
          <x:t xml:space="preserve">F</x:t>
        </x:is>
      </x:c>
      <x:c r="H271" s="3" t="n">
        <x:v>0.3</x:v>
      </x:c>
      <x:c r="I271" s="3" t="inlineStr">
        <x:is>
          <x:t xml:space="preserve">How is positive, risk-reducing behavior reinforced (e.g., reporting near-misses, using approved tools) without creating fear or blame?</x:t>
        </x:is>
      </x:c>
      <x:c r="J271" s="3" t="inlineStr">
        <x:is>
          <x:t xml:space="preserve">Recognition + learning loops; avoid name-and-shame.</x:t>
        </x:is>
      </x:c>
      <x:c r="K271" s="3" t="inlineStr">
        <x:is>
          <x:t xml:space="preserve">Business-proofing</x:t>
        </x:is>
      </x:c>
      <x:c r="L271" s="3" t="inlineStr">
        <x:is>
          <x:t xml:space="preserve">CULT_SOFT</x:t>
        </x:is>
      </x:c>
      <x:c r="M271" s="3" t="n">
        <x:v>1</x:v>
      </x:c>
      <x:c r="N271" s="3" t="n"/>
      <x:c r="O271" s="3" t="n"/>
      <x:c r="P271" s="3" t="inlineStr">
        <x:is>
          <x:t xml:space="preserve">HR-D3-Q12-A4</x:t>
        </x:is>
      </x:c>
      <x:c r="Q271" s="3" t="n">
        <x:v>4</x:v>
      </x:c>
      <x:c r="R271" s="3" t="inlineStr">
        <x:is>
          <x:t xml:space="preserve">Formal recognition for reporting concerns/near-misses; lessons shared.</x:t>
        </x:is>
      </x:c>
      <x:c r="S271" s="3" t="n">
        <x:v>3</x:v>
      </x:c>
      <x:c r="T271" s="3" t="inlineStr">
        <x:is>
          <x:t xml:space="preserve"/>
        </x:is>
      </x:c>
      <x:c r="U271" s="3" t="inlineStr">
        <x:is>
          <x:t xml:space="preserve">Culture Risk</x:t>
        </x:is>
      </x:c>
      <x:c r="V271" s="3" t="inlineStr">
        <x:is>
          <x:t xml:space="preserve">Maintain and measure</x:t>
        </x:is>
      </x:c>
      <x:c r="W271" s="3" t="inlineStr">
        <x:is>
          <x:t xml:space="preserve">N</x:t>
        </x:is>
      </x:c>
      <x:c r="X271" s="3" t="inlineStr">
        <x:is>
          <x:t xml:space="preserve">Evidence: comms examples.</x:t>
        </x:is>
      </x:c>
      <x:c r="Y271" s="6">
        <x:f>(S271*IF(E271="G",F271,0))+(S271*IF(G271="G",H271,0))</x:f>
      </x:c>
      <x:c r="Z271" s="6">
        <x:f>(S271*IF(E271="E",F271,0))+(S271*IF(G271="E",H271,0))</x:f>
      </x:c>
      <x:c r="AA271" s="6">
        <x:f>(S271*IF(E271="T",F271,0))+(S271*IF(G271="T",H271,0))</x:f>
      </x:c>
      <x:c r="AB271" s="6">
        <x:f>(S271*IF(E271="L",F271,0))+(S271*IF(G271="L",H271,0))</x:f>
      </x:c>
      <x:c r="AC271" s="6">
        <x:f>(S271*IF(E271="H",F271,0))+(S271*IF(G271="H",H271,0))</x:f>
      </x:c>
      <x:c r="AD271" s="6">
        <x:f>(S271*IF(E271="V",F271,0))+(S271*IF(G271="V",H271,0))</x:f>
      </x:c>
      <x:c r="AE271" s="6">
        <x:f>(S271*IF(E271="R",F271,0))+(S271*IF(G271="R",H271,0))</x:f>
      </x:c>
      <x:c r="AF271" s="6">
        <x:f>(S271*IF(E271="F",F271,0))+(S271*IF(G271="F",H271,0))</x:f>
      </x:c>
      <x:c r="AG271" s="6">
        <x:f>(S271*IF(E271="W",F271,0))+(S271*IF(G271="W",H271,0))</x:f>
      </x:c>
    </x:row>
    <x:row r="272">
      <x:c r="A272" s="3" t="inlineStr">
        <x:is>
          <x:t xml:space="preserve">HR</x:t>
        </x:is>
      </x:c>
      <x:c r="B272" s="3" t="inlineStr">
        <x:is>
          <x:t xml:space="preserve">HR-D3-Q12</x:t>
        </x:is>
      </x:c>
      <x:c r="C272" s="3" t="inlineStr">
        <x:is>
          <x:t xml:space="preserve">T3</x:t>
        </x:is>
      </x:c>
      <x:c r="D272" s="3" t="inlineStr">
        <x:is>
          <x:t xml:space="preserve">3. Manager Capability &amp; Culture</x:t>
        </x:is>
      </x:c>
      <x:c r="E272" s="3" t="inlineStr">
        <x:is>
          <x:t xml:space="preserve">H</x:t>
        </x:is>
      </x:c>
      <x:c r="F272" s="3" t="n">
        <x:v>0.7</x:v>
      </x:c>
      <x:c r="G272" s="3" t="inlineStr">
        <x:is>
          <x:t xml:space="preserve">F</x:t>
        </x:is>
      </x:c>
      <x:c r="H272" s="3" t="n">
        <x:v>0.3</x:v>
      </x:c>
      <x:c r="I272" s="3" t="inlineStr">
        <x:is>
          <x:t xml:space="preserve">How is positive, risk-reducing behavior reinforced (e.g., reporting near-misses, using approved tools) without creating fear or blame?</x:t>
        </x:is>
      </x:c>
      <x:c r="J272" s="3" t="inlineStr">
        <x:is>
          <x:t xml:space="preserve">Recognition + learning loops; avoid name-and-shame.</x:t>
        </x:is>
      </x:c>
      <x:c r="K272" s="3" t="inlineStr">
        <x:is>
          <x:t xml:space="preserve">Business-proofing</x:t>
        </x:is>
      </x:c>
      <x:c r="L272" s="3" t="inlineStr">
        <x:is>
          <x:t xml:space="preserve">CULT_SOFT</x:t>
        </x:is>
      </x:c>
      <x:c r="M272" s="3" t="n">
        <x:v>1</x:v>
      </x:c>
      <x:c r="N272" s="3" t="n"/>
      <x:c r="O272" s="3" t="n"/>
      <x:c r="P272" s="3" t="inlineStr">
        <x:is>
          <x:t xml:space="preserve">HR-D3-Q12-A5</x:t>
        </x:is>
      </x:c>
      <x:c r="Q272" s="3" t="n">
        <x:v>5</x:v>
      </x:c>
      <x:c r="R272" s="3" t="inlineStr">
        <x:is>
          <x:t xml:space="preserve">Mutual accountability; reporting is normal and psychologically safe.</x:t>
        </x:is>
      </x:c>
      <x:c r="S272" s="3" t="n">
        <x:v>4</x:v>
      </x:c>
      <x:c r="T272" s="3" t="inlineStr">
        <x:is>
          <x:t xml:space="preserve"/>
        </x:is>
      </x:c>
      <x:c r="U272" s="3" t="inlineStr">
        <x:is>
          <x:t xml:space="preserve">Culture Risk</x:t>
        </x:is>
      </x:c>
      <x:c r="V272" s="3" t="inlineStr">
        <x:is>
          <x:t xml:space="preserve">Maintain maturity</x:t>
        </x:is>
      </x:c>
      <x:c r="W272" s="3" t="inlineStr">
        <x:is>
          <x:t xml:space="preserve">N</x:t>
        </x:is>
      </x:c>
      <x:c r="X272" s="3" t="inlineStr">
        <x:is>
          <x:t xml:space="preserve">Evidence: survey + reporting trends.</x:t>
        </x:is>
      </x:c>
      <x:c r="Y272" s="6">
        <x:f>(S272*IF(E272="G",F272,0))+(S272*IF(G272="G",H272,0))</x:f>
      </x:c>
      <x:c r="Z272" s="6">
        <x:f>(S272*IF(E272="E",F272,0))+(S272*IF(G272="E",H272,0))</x:f>
      </x:c>
      <x:c r="AA272" s="6">
        <x:f>(S272*IF(E272="T",F272,0))+(S272*IF(G272="T",H272,0))</x:f>
      </x:c>
      <x:c r="AB272" s="6">
        <x:f>(S272*IF(E272="L",F272,0))+(S272*IF(G272="L",H272,0))</x:f>
      </x:c>
      <x:c r="AC272" s="6">
        <x:f>(S272*IF(E272="H",F272,0))+(S272*IF(G272="H",H272,0))</x:f>
      </x:c>
      <x:c r="AD272" s="6">
        <x:f>(S272*IF(E272="V",F272,0))+(S272*IF(G272="V",H272,0))</x:f>
      </x:c>
      <x:c r="AE272" s="6">
        <x:f>(S272*IF(E272="R",F272,0))+(S272*IF(G272="R",H272,0))</x:f>
      </x:c>
      <x:c r="AF272" s="6">
        <x:f>(S272*IF(E272="F",F272,0))+(S272*IF(G272="F",H272,0))</x:f>
      </x:c>
      <x:c r="AG272" s="6">
        <x:f>(S272*IF(E272="W",F272,0))+(S272*IF(G272="W",H272,0))</x:f>
      </x:c>
    </x:row>
    <x:row r="273">
      <x:c r="A273" s="3" t="inlineStr">
        <x:is>
          <x:t xml:space="preserve">HR</x:t>
        </x:is>
      </x:c>
      <x:c r="B273" s="3" t="inlineStr">
        <x:is>
          <x:t xml:space="preserve">HR-D4-Q13</x:t>
        </x:is>
      </x:c>
      <x:c r="C273" s="3" t="inlineStr">
        <x:is>
          <x:t xml:space="preserve">T1</x:t>
        </x:is>
      </x:c>
      <x:c r="D273" s="3" t="inlineStr">
        <x:is>
          <x:t xml:space="preserve">4. Joiner-Mover-Leaver</x:t>
        </x:is>
      </x:c>
      <x:c r="E273" s="3" t="inlineStr">
        <x:is>
          <x:t xml:space="preserve">E</x:t>
        </x:is>
      </x:c>
      <x:c r="F273" s="3" t="n">
        <x:v>0.8</x:v>
      </x:c>
      <x:c r="G273" s="3" t="inlineStr">
        <x:is>
          <x:t xml:space="preserve">R</x:t>
        </x:is>
      </x:c>
      <x:c r="H273" s="3" t="n">
        <x:v>0.2</x:v>
      </x:c>
      <x:c r="I273" s="3" t="inlineStr">
        <x:is>
          <x:t xml:space="preserve">How reliably are joiner/mover/leaver changes coordinated with IT/IAM so access is granted/changed/removed on time?</x:t>
        </x:is>
      </x:c>
      <x:c r="J273" s="3" t="inlineStr">
        <x:is>
          <x:t xml:space="preserve">Includes employees and contractors.</x:t>
        </x:is>
      </x:c>
      <x:c r="K273" s="3" t="inlineStr">
        <x:is>
          <x:t xml:space="preserve">Gatekeeper (If BaseScore &lt;2 → HR-D4-Q14; If ≥2 → HR-D4-Q15)</x:t>
        </x:is>
      </x:c>
      <x:c r="L273" s="3" t="inlineStr">
        <x:is>
          <x:t xml:space="preserve">OPS_STD</x:t>
        </x:is>
      </x:c>
      <x:c r="M273" s="3" t="n">
        <x:v>1</x:v>
      </x:c>
      <x:c r="N273" s="3" t="n"/>
      <x:c r="O273" s="3" t="n"/>
      <x:c r="P273" s="3" t="inlineStr">
        <x:is>
          <x:t xml:space="preserve">HR-D4-Q13-A0</x:t>
        </x:is>
      </x:c>
      <x:c r="Q273" s="3" t="n">
        <x:v>1</x:v>
      </x:c>
      <x:c r="R273" s="3" t="inlineStr">
        <x:is>
          <x:t xml:space="preserve">I don't know / Not sure.</x:t>
        </x:is>
      </x:c>
      <x:c r="S273" s="3" t="n">
        <x:v>0</x:v>
      </x:c>
      <x:c r="T273" s="3" t="inlineStr">
        <x:is>
          <x:t xml:space="preserve">low-confidence</x:t>
        </x:is>
      </x:c>
      <x:c r="U273" s="3" t="inlineStr">
        <x:is>
          <x:t xml:space="preserve">Operating Model Gap</x:t>
        </x:is>
      </x:c>
      <x:c r="V273" s="3" t="inlineStr">
        <x:is>
          <x:t xml:space="preserve">Clarify JML process</x:t>
        </x:is>
      </x:c>
      <x:c r="W273" s="3" t="inlineStr">
        <x:is>
          <x:t xml:space="preserve">N</x:t>
        </x:is>
      </x:c>
      <x:c r="X273" s="3" t="inlineStr">
        <x:is>
          <x:t xml:space="preserve"/>
        </x:is>
      </x:c>
      <x:c r="Y273" s="6">
        <x:f>(S273*IF(E273="G",F273,0))+(S273*IF(G273="G",H273,0))</x:f>
      </x:c>
      <x:c r="Z273" s="6">
        <x:f>(S273*IF(E273="E",F273,0))+(S273*IF(G273="E",H273,0))</x:f>
      </x:c>
      <x:c r="AA273" s="6">
        <x:f>(S273*IF(E273="T",F273,0))+(S273*IF(G273="T",H273,0))</x:f>
      </x:c>
      <x:c r="AB273" s="6">
        <x:f>(S273*IF(E273="L",F273,0))+(S273*IF(G273="L",H273,0))</x:f>
      </x:c>
      <x:c r="AC273" s="6">
        <x:f>(S273*IF(E273="H",F273,0))+(S273*IF(G273="H",H273,0))</x:f>
      </x:c>
      <x:c r="AD273" s="6">
        <x:f>(S273*IF(E273="V",F273,0))+(S273*IF(G273="V",H273,0))</x:f>
      </x:c>
      <x:c r="AE273" s="6">
        <x:f>(S273*IF(E273="R",F273,0))+(S273*IF(G273="R",H273,0))</x:f>
      </x:c>
      <x:c r="AF273" s="6">
        <x:f>(S273*IF(E273="F",F273,0))+(S273*IF(G273="F",H273,0))</x:f>
      </x:c>
      <x:c r="AG273" s="6">
        <x:f>(S273*IF(E273="W",F273,0))+(S273*IF(G273="W",H273,0))</x:f>
      </x:c>
    </x:row>
    <x:row r="274">
      <x:c r="A274" s="3" t="inlineStr">
        <x:is>
          <x:t xml:space="preserve">HR</x:t>
        </x:is>
      </x:c>
      <x:c r="B274" s="3" t="inlineStr">
        <x:is>
          <x:t xml:space="preserve">HR-D4-Q13</x:t>
        </x:is>
      </x:c>
      <x:c r="C274" s="3" t="inlineStr">
        <x:is>
          <x:t xml:space="preserve">T1</x:t>
        </x:is>
      </x:c>
      <x:c r="D274" s="3" t="inlineStr">
        <x:is>
          <x:t xml:space="preserve">4. Joiner-Mover-Leaver</x:t>
        </x:is>
      </x:c>
      <x:c r="E274" s="3" t="inlineStr">
        <x:is>
          <x:t xml:space="preserve">E</x:t>
        </x:is>
      </x:c>
      <x:c r="F274" s="3" t="n">
        <x:v>0.8</x:v>
      </x:c>
      <x:c r="G274" s="3" t="inlineStr">
        <x:is>
          <x:t xml:space="preserve">R</x:t>
        </x:is>
      </x:c>
      <x:c r="H274" s="3" t="n">
        <x:v>0.2</x:v>
      </x:c>
      <x:c r="I274" s="3" t="inlineStr">
        <x:is>
          <x:t xml:space="preserve">How reliably are joiner/mover/leaver changes coordinated with IT/IAM so access is granted/changed/removed on time?</x:t>
        </x:is>
      </x:c>
      <x:c r="J274" s="3" t="inlineStr">
        <x:is>
          <x:t xml:space="preserve">Includes employees and contractors.</x:t>
        </x:is>
      </x:c>
      <x:c r="K274" s="3" t="inlineStr">
        <x:is>
          <x:t xml:space="preserve">Gatekeeper (If BaseScore &lt;2 → HR-D4-Q14; If ≥2 → HR-D4-Q15)</x:t>
        </x:is>
      </x:c>
      <x:c r="L274" s="3" t="inlineStr">
        <x:is>
          <x:t xml:space="preserve">OPS_STD</x:t>
        </x:is>
      </x:c>
      <x:c r="M274" s="3" t="n">
        <x:v>1</x:v>
      </x:c>
      <x:c r="N274" s="3" t="n"/>
      <x:c r="O274" s="3" t="n"/>
      <x:c r="P274" s="3" t="inlineStr">
        <x:is>
          <x:t xml:space="preserve">HR-D4-Q13-A1</x:t>
        </x:is>
      </x:c>
      <x:c r="Q274" s="3" t="n">
        <x:v>2</x:v>
      </x:c>
      <x:c r="R274" s="3" t="inlineStr">
        <x:is>
          <x:t xml:space="preserve">Unreliable: access often stays too long or changes are missed.</x:t>
        </x:is>
      </x:c>
      <x:c r="S274" s="3" t="n">
        <x:v>0</x:v>
      </x:c>
      <x:c r="T274" s="3" t="inlineStr">
        <x:is>
          <x:t xml:space="preserve">control_lag,bypass_pressure</x:t>
        </x:is>
      </x:c>
      <x:c r="U274" s="3" t="inlineStr">
        <x:is>
          <x:t xml:space="preserve">Control Lag</x:t>
        </x:is>
      </x:c>
      <x:c r="V274" s="3" t="inlineStr">
        <x:is>
          <x:t xml:space="preserve">Stabilize JML</x:t>
        </x:is>
      </x:c>
      <x:c r="W274" s="3" t="inlineStr">
        <x:is>
          <x:t xml:space="preserve">N</x:t>
        </x:is>
      </x:c>
      <x:c r="X274" s="3" t="inlineStr">
        <x:is>
          <x:t xml:space="preserve"/>
        </x:is>
      </x:c>
      <x:c r="Y274" s="6">
        <x:f>(S274*IF(E274="G",F274,0))+(S274*IF(G274="G",H274,0))</x:f>
      </x:c>
      <x:c r="Z274" s="6">
        <x:f>(S274*IF(E274="E",F274,0))+(S274*IF(G274="E",H274,0))</x:f>
      </x:c>
      <x:c r="AA274" s="6">
        <x:f>(S274*IF(E274="T",F274,0))+(S274*IF(G274="T",H274,0))</x:f>
      </x:c>
      <x:c r="AB274" s="6">
        <x:f>(S274*IF(E274="L",F274,0))+(S274*IF(G274="L",H274,0))</x:f>
      </x:c>
      <x:c r="AC274" s="6">
        <x:f>(S274*IF(E274="H",F274,0))+(S274*IF(G274="H",H274,0))</x:f>
      </x:c>
      <x:c r="AD274" s="6">
        <x:f>(S274*IF(E274="V",F274,0))+(S274*IF(G274="V",H274,0))</x:f>
      </x:c>
      <x:c r="AE274" s="6">
        <x:f>(S274*IF(E274="R",F274,0))+(S274*IF(G274="R",H274,0))</x:f>
      </x:c>
      <x:c r="AF274" s="6">
        <x:f>(S274*IF(E274="F",F274,0))+(S274*IF(G274="F",H274,0))</x:f>
      </x:c>
      <x:c r="AG274" s="6">
        <x:f>(S274*IF(E274="W",F274,0))+(S274*IF(G274="W",H274,0))</x:f>
      </x:c>
    </x:row>
    <x:row r="275">
      <x:c r="A275" s="3" t="inlineStr">
        <x:is>
          <x:t xml:space="preserve">HR</x:t>
        </x:is>
      </x:c>
      <x:c r="B275" s="3" t="inlineStr">
        <x:is>
          <x:t xml:space="preserve">HR-D4-Q13</x:t>
        </x:is>
      </x:c>
      <x:c r="C275" s="3" t="inlineStr">
        <x:is>
          <x:t xml:space="preserve">T1</x:t>
        </x:is>
      </x:c>
      <x:c r="D275" s="3" t="inlineStr">
        <x:is>
          <x:t xml:space="preserve">4. Joiner-Mover-Leaver</x:t>
        </x:is>
      </x:c>
      <x:c r="E275" s="3" t="inlineStr">
        <x:is>
          <x:t xml:space="preserve">E</x:t>
        </x:is>
      </x:c>
      <x:c r="F275" s="3" t="n">
        <x:v>0.8</x:v>
      </x:c>
      <x:c r="G275" s="3" t="inlineStr">
        <x:is>
          <x:t xml:space="preserve">R</x:t>
        </x:is>
      </x:c>
      <x:c r="H275" s="3" t="n">
        <x:v>0.2</x:v>
      </x:c>
      <x:c r="I275" s="3" t="inlineStr">
        <x:is>
          <x:t xml:space="preserve">How reliably are joiner/mover/leaver changes coordinated with IT/IAM so access is granted/changed/removed on time?</x:t>
        </x:is>
      </x:c>
      <x:c r="J275" s="3" t="inlineStr">
        <x:is>
          <x:t xml:space="preserve">Includes employees and contractors.</x:t>
        </x:is>
      </x:c>
      <x:c r="K275" s="3" t="inlineStr">
        <x:is>
          <x:t xml:space="preserve">Gatekeeper (If BaseScore &lt;2 → HR-D4-Q14; If ≥2 → HR-D4-Q15)</x:t>
        </x:is>
      </x:c>
      <x:c r="L275" s="3" t="inlineStr">
        <x:is>
          <x:t xml:space="preserve">OPS_STD</x:t>
        </x:is>
      </x:c>
      <x:c r="M275" s="3" t="n">
        <x:v>1</x:v>
      </x:c>
      <x:c r="N275" s="3" t="n"/>
      <x:c r="O275" s="3" t="n"/>
      <x:c r="P275" s="3" t="inlineStr">
        <x:is>
          <x:t xml:space="preserve">HR-D4-Q13-A2</x:t>
        </x:is>
      </x:c>
      <x:c r="Q275" s="3" t="n">
        <x:v>3</x:v>
      </x:c>
      <x:c r="R275" s="3" t="inlineStr">
        <x:is>
          <x:t xml:space="preserve">Basic: HR notifies IT by email/spreadsheet; timeliness varies.</x:t>
        </x:is>
      </x:c>
      <x:c r="S275" s="3" t="n">
        <x:v>1</x:v>
      </x:c>
      <x:c r="T275" s="3" t="inlineStr">
        <x:is>
          <x:t xml:space="preserve">shadow_mature_signal</x:t>
        </x:is>
      </x:c>
      <x:c r="U275" s="3" t="inlineStr">
        <x:is>
          <x:t xml:space="preserve">Operating Model Gap</x:t>
        </x:is>
      </x:c>
      <x:c r="V275" s="3" t="inlineStr">
        <x:is>
          <x:t xml:space="preserve">Standardize and track</x:t>
        </x:is>
      </x:c>
      <x:c r="W275" s="3" t="inlineStr">
        <x:is>
          <x:t xml:space="preserve">N</x:t>
        </x:is>
      </x:c>
      <x:c r="X275" s="3" t="inlineStr">
        <x:is>
          <x:t xml:space="preserve"/>
        </x:is>
      </x:c>
      <x:c r="Y275" s="6">
        <x:f>(S275*IF(E275="G",F275,0))+(S275*IF(G275="G",H275,0))</x:f>
      </x:c>
      <x:c r="Z275" s="6">
        <x:f>(S275*IF(E275="E",F275,0))+(S275*IF(G275="E",H275,0))</x:f>
      </x:c>
      <x:c r="AA275" s="6">
        <x:f>(S275*IF(E275="T",F275,0))+(S275*IF(G275="T",H275,0))</x:f>
      </x:c>
      <x:c r="AB275" s="6">
        <x:f>(S275*IF(E275="L",F275,0))+(S275*IF(G275="L",H275,0))</x:f>
      </x:c>
      <x:c r="AC275" s="6">
        <x:f>(S275*IF(E275="H",F275,0))+(S275*IF(G275="H",H275,0))</x:f>
      </x:c>
      <x:c r="AD275" s="6">
        <x:f>(S275*IF(E275="V",F275,0))+(S275*IF(G275="V",H275,0))</x:f>
      </x:c>
      <x:c r="AE275" s="6">
        <x:f>(S275*IF(E275="R",F275,0))+(S275*IF(G275="R",H275,0))</x:f>
      </x:c>
      <x:c r="AF275" s="6">
        <x:f>(S275*IF(E275="F",F275,0))+(S275*IF(G275="F",H275,0))</x:f>
      </x:c>
      <x:c r="AG275" s="6">
        <x:f>(S275*IF(E275="W",F275,0))+(S275*IF(G275="W",H275,0))</x:f>
      </x:c>
    </x:row>
    <x:row r="276">
      <x:c r="A276" s="3" t="inlineStr">
        <x:is>
          <x:t xml:space="preserve">HR</x:t>
        </x:is>
      </x:c>
      <x:c r="B276" s="3" t="inlineStr">
        <x:is>
          <x:t xml:space="preserve">HR-D4-Q13</x:t>
        </x:is>
      </x:c>
      <x:c r="C276" s="3" t="inlineStr">
        <x:is>
          <x:t xml:space="preserve">T1</x:t>
        </x:is>
      </x:c>
      <x:c r="D276" s="3" t="inlineStr">
        <x:is>
          <x:t xml:space="preserve">4. Joiner-Mover-Leaver</x:t>
        </x:is>
      </x:c>
      <x:c r="E276" s="3" t="inlineStr">
        <x:is>
          <x:t xml:space="preserve">E</x:t>
        </x:is>
      </x:c>
      <x:c r="F276" s="3" t="n">
        <x:v>0.8</x:v>
      </x:c>
      <x:c r="G276" s="3" t="inlineStr">
        <x:is>
          <x:t xml:space="preserve">R</x:t>
        </x:is>
      </x:c>
      <x:c r="H276" s="3" t="n">
        <x:v>0.2</x:v>
      </x:c>
      <x:c r="I276" s="3" t="inlineStr">
        <x:is>
          <x:t xml:space="preserve">How reliably are joiner/mover/leaver changes coordinated with IT/IAM so access is granted/changed/removed on time?</x:t>
        </x:is>
      </x:c>
      <x:c r="J276" s="3" t="inlineStr">
        <x:is>
          <x:t xml:space="preserve">Includes employees and contractors.</x:t>
        </x:is>
      </x:c>
      <x:c r="K276" s="3" t="inlineStr">
        <x:is>
          <x:t xml:space="preserve">Gatekeeper (If BaseScore &lt;2 → HR-D4-Q14; If ≥2 → HR-D4-Q15)</x:t>
        </x:is>
      </x:c>
      <x:c r="L276" s="3" t="inlineStr">
        <x:is>
          <x:t xml:space="preserve">OPS_STD</x:t>
        </x:is>
      </x:c>
      <x:c r="M276" s="3" t="n">
        <x:v>1</x:v>
      </x:c>
      <x:c r="N276" s="3" t="n"/>
      <x:c r="O276" s="3" t="n"/>
      <x:c r="P276" s="3" t="inlineStr">
        <x:is>
          <x:t xml:space="preserve">HR-D4-Q13-A3</x:t>
        </x:is>
      </x:c>
      <x:c r="Q276" s="3" t="n">
        <x:v>4</x:v>
      </x:c>
      <x:c r="R276" s="3" t="inlineStr">
        <x:is>
          <x:t xml:space="preserve">Defined: standard forms/HRIS triggers; most changes processed within days.</x:t>
        </x:is>
      </x:c>
      <x:c r="S276" s="3" t="n">
        <x:v>2</x:v>
      </x:c>
      <x:c r="T276" s="3" t="inlineStr">
        <x:is>
          <x:t xml:space="preserve"/>
        </x:is>
      </x:c>
      <x:c r="U276" s="3" t="inlineStr">
        <x:is>
          <x:t xml:space="preserve">Operating Model Gap</x:t>
        </x:is>
      </x:c>
      <x:c r="V276" s="3" t="inlineStr">
        <x:is>
          <x:t xml:space="preserve">Improve SLAs</x:t>
        </x:is>
      </x:c>
      <x:c r="W276" s="3" t="inlineStr">
        <x:is>
          <x:t xml:space="preserve">N</x:t>
        </x:is>
      </x:c>
      <x:c r="X276" s="3" t="inlineStr">
        <x:is>
          <x:t xml:space="preserve">Evidence: process or SLA.</x:t>
        </x:is>
      </x:c>
      <x:c r="Y276" s="6">
        <x:f>(S276*IF(E276="G",F276,0))+(S276*IF(G276="G",H276,0))</x:f>
      </x:c>
      <x:c r="Z276" s="6">
        <x:f>(S276*IF(E276="E",F276,0))+(S276*IF(G276="E",H276,0))</x:f>
      </x:c>
      <x:c r="AA276" s="6">
        <x:f>(S276*IF(E276="T",F276,0))+(S276*IF(G276="T",H276,0))</x:f>
      </x:c>
      <x:c r="AB276" s="6">
        <x:f>(S276*IF(E276="L",F276,0))+(S276*IF(G276="L",H276,0))</x:f>
      </x:c>
      <x:c r="AC276" s="6">
        <x:f>(S276*IF(E276="H",F276,0))+(S276*IF(G276="H",H276,0))</x:f>
      </x:c>
      <x:c r="AD276" s="6">
        <x:f>(S276*IF(E276="V",F276,0))+(S276*IF(G276="V",H276,0))</x:f>
      </x:c>
      <x:c r="AE276" s="6">
        <x:f>(S276*IF(E276="R",F276,0))+(S276*IF(G276="R",H276,0))</x:f>
      </x:c>
      <x:c r="AF276" s="6">
        <x:f>(S276*IF(E276="F",F276,0))+(S276*IF(G276="F",H276,0))</x:f>
      </x:c>
      <x:c r="AG276" s="6">
        <x:f>(S276*IF(E276="W",F276,0))+(S276*IF(G276="W",H276,0))</x:f>
      </x:c>
    </x:row>
    <x:row r="277">
      <x:c r="A277" s="3" t="inlineStr">
        <x:is>
          <x:t xml:space="preserve">HR</x:t>
        </x:is>
      </x:c>
      <x:c r="B277" s="3" t="inlineStr">
        <x:is>
          <x:t xml:space="preserve">HR-D4-Q13</x:t>
        </x:is>
      </x:c>
      <x:c r="C277" s="3" t="inlineStr">
        <x:is>
          <x:t xml:space="preserve">T1</x:t>
        </x:is>
      </x:c>
      <x:c r="D277" s="3" t="inlineStr">
        <x:is>
          <x:t xml:space="preserve">4. Joiner-Mover-Leaver</x:t>
        </x:is>
      </x:c>
      <x:c r="E277" s="3" t="inlineStr">
        <x:is>
          <x:t xml:space="preserve">E</x:t>
        </x:is>
      </x:c>
      <x:c r="F277" s="3" t="n">
        <x:v>0.8</x:v>
      </x:c>
      <x:c r="G277" s="3" t="inlineStr">
        <x:is>
          <x:t xml:space="preserve">R</x:t>
        </x:is>
      </x:c>
      <x:c r="H277" s="3" t="n">
        <x:v>0.2</x:v>
      </x:c>
      <x:c r="I277" s="3" t="inlineStr">
        <x:is>
          <x:t xml:space="preserve">How reliably are joiner/mover/leaver changes coordinated with IT/IAM so access is granted/changed/removed on time?</x:t>
        </x:is>
      </x:c>
      <x:c r="J277" s="3" t="inlineStr">
        <x:is>
          <x:t xml:space="preserve">Includes employees and contractors.</x:t>
        </x:is>
      </x:c>
      <x:c r="K277" s="3" t="inlineStr">
        <x:is>
          <x:t xml:space="preserve">Gatekeeper (If BaseScore &lt;2 → HR-D4-Q14; If ≥2 → HR-D4-Q15)</x:t>
        </x:is>
      </x:c>
      <x:c r="L277" s="3" t="inlineStr">
        <x:is>
          <x:t xml:space="preserve">OPS_STD</x:t>
        </x:is>
      </x:c>
      <x:c r="M277" s="3" t="n">
        <x:v>1</x:v>
      </x:c>
      <x:c r="N277" s="3" t="n"/>
      <x:c r="O277" s="3" t="n"/>
      <x:c r="P277" s="3" t="inlineStr">
        <x:is>
          <x:t xml:space="preserve">HR-D4-Q13-A4</x:t>
        </x:is>
      </x:c>
      <x:c r="Q277" s="3" t="n">
        <x:v>5</x:v>
      </x:c>
      <x:c r="R277" s="3" t="inlineStr">
        <x:is>
          <x:t xml:space="preserve">Managed: SLAs monitored; leaver removal time-bound and audited.</x:t>
        </x:is>
      </x:c>
      <x:c r="S277" s="3" t="n">
        <x:v>3</x:v>
      </x:c>
      <x:c r="T277" s="3" t="inlineStr">
        <x:is>
          <x:t xml:space="preserve"/>
        </x:is>
      </x:c>
      <x:c r="U277" s="3" t="inlineStr">
        <x:is>
          <x:t xml:space="preserve">Operating Model Gap</x:t>
        </x:is>
      </x:c>
      <x:c r="V277" s="3" t="inlineStr">
        <x:is>
          <x:t xml:space="preserve">Maintain assurance</x:t>
        </x:is>
      </x:c>
      <x:c r="W277" s="3" t="inlineStr">
        <x:is>
          <x:t xml:space="preserve">N</x:t>
        </x:is>
      </x:c>
      <x:c r="X277" s="3" t="inlineStr">
        <x:is>
          <x:t xml:space="preserve">Evidence: audit sample.</x:t>
        </x:is>
      </x:c>
      <x:c r="Y277" s="6">
        <x:f>(S277*IF(E277="G",F277,0))+(S277*IF(G277="G",H277,0))</x:f>
      </x:c>
      <x:c r="Z277" s="6">
        <x:f>(S277*IF(E277="E",F277,0))+(S277*IF(G277="E",H277,0))</x:f>
      </x:c>
      <x:c r="AA277" s="6">
        <x:f>(S277*IF(E277="T",F277,0))+(S277*IF(G277="T",H277,0))</x:f>
      </x:c>
      <x:c r="AB277" s="6">
        <x:f>(S277*IF(E277="L",F277,0))+(S277*IF(G277="L",H277,0))</x:f>
      </x:c>
      <x:c r="AC277" s="6">
        <x:f>(S277*IF(E277="H",F277,0))+(S277*IF(G277="H",H277,0))</x:f>
      </x:c>
      <x:c r="AD277" s="6">
        <x:f>(S277*IF(E277="V",F277,0))+(S277*IF(G277="V",H277,0))</x:f>
      </x:c>
      <x:c r="AE277" s="6">
        <x:f>(S277*IF(E277="R",F277,0))+(S277*IF(G277="R",H277,0))</x:f>
      </x:c>
      <x:c r="AF277" s="6">
        <x:f>(S277*IF(E277="F",F277,0))+(S277*IF(G277="F",H277,0))</x:f>
      </x:c>
      <x:c r="AG277" s="6">
        <x:f>(S277*IF(E277="W",F277,0))+(S277*IF(G277="W",H277,0))</x:f>
      </x:c>
    </x:row>
    <x:row r="278">
      <x:c r="A278" s="3" t="inlineStr">
        <x:is>
          <x:t xml:space="preserve">HR</x:t>
        </x:is>
      </x:c>
      <x:c r="B278" s="3" t="inlineStr">
        <x:is>
          <x:t xml:space="preserve">HR-D4-Q13</x:t>
        </x:is>
      </x:c>
      <x:c r="C278" s="3" t="inlineStr">
        <x:is>
          <x:t xml:space="preserve">T1</x:t>
        </x:is>
      </x:c>
      <x:c r="D278" s="3" t="inlineStr">
        <x:is>
          <x:t xml:space="preserve">4. Joiner-Mover-Leaver</x:t>
        </x:is>
      </x:c>
      <x:c r="E278" s="3" t="inlineStr">
        <x:is>
          <x:t xml:space="preserve">E</x:t>
        </x:is>
      </x:c>
      <x:c r="F278" s="3" t="n">
        <x:v>0.8</x:v>
      </x:c>
      <x:c r="G278" s="3" t="inlineStr">
        <x:is>
          <x:t xml:space="preserve">R</x:t>
        </x:is>
      </x:c>
      <x:c r="H278" s="3" t="n">
        <x:v>0.2</x:v>
      </x:c>
      <x:c r="I278" s="3" t="inlineStr">
        <x:is>
          <x:t xml:space="preserve">How reliably are joiner/mover/leaver changes coordinated with IT/IAM so access is granted/changed/removed on time?</x:t>
        </x:is>
      </x:c>
      <x:c r="J278" s="3" t="inlineStr">
        <x:is>
          <x:t xml:space="preserve">Includes employees and contractors.</x:t>
        </x:is>
      </x:c>
      <x:c r="K278" s="3" t="inlineStr">
        <x:is>
          <x:t xml:space="preserve">Gatekeeper (If BaseScore &lt;2 → HR-D4-Q14; If ≥2 → HR-D4-Q15)</x:t>
        </x:is>
      </x:c>
      <x:c r="L278" s="3" t="inlineStr">
        <x:is>
          <x:t xml:space="preserve">OPS_STD</x:t>
        </x:is>
      </x:c>
      <x:c r="M278" s="3" t="n">
        <x:v>1</x:v>
      </x:c>
      <x:c r="N278" s="3" t="n"/>
      <x:c r="O278" s="3" t="n"/>
      <x:c r="P278" s="3" t="inlineStr">
        <x:is>
          <x:t xml:space="preserve">HR-D4-Q13-A5</x:t>
        </x:is>
      </x:c>
      <x:c r="Q278" s="3" t="n">
        <x:v>6</x:v>
      </x:c>
      <x:c r="R278" s="3" t="inlineStr">
        <x:is>
          <x:t xml:space="preserve">Optimized: near-real-time updates for critical roles; exceptions controlled.</x:t>
        </x:is>
      </x:c>
      <x:c r="S278" s="3" t="n">
        <x:v>4</x:v>
      </x:c>
      <x:c r="T278" s="3" t="inlineStr">
        <x:is>
          <x:t xml:space="preserve"/>
        </x:is>
      </x:c>
      <x:c r="U278" s="3" t="inlineStr">
        <x:is>
          <x:t xml:space="preserve">Operating Model Gap</x:t>
        </x:is>
      </x:c>
      <x:c r="V278" s="3" t="inlineStr">
        <x:is>
          <x:t xml:space="preserve">Maintain maturity</x:t>
        </x:is>
      </x:c>
      <x:c r="W278" s="3" t="inlineStr">
        <x:is>
          <x:t xml:space="preserve">N</x:t>
        </x:is>
      </x:c>
      <x:c r="X278" s="3" t="inlineStr">
        <x:is>
          <x:t xml:space="preserve">Evidence: timeliness metrics.</x:t>
        </x:is>
      </x:c>
      <x:c r="Y278" s="6">
        <x:f>(S278*IF(E278="G",F278,0))+(S278*IF(G278="G",H278,0))</x:f>
      </x:c>
      <x:c r="Z278" s="6">
        <x:f>(S278*IF(E278="E",F278,0))+(S278*IF(G278="E",H278,0))</x:f>
      </x:c>
      <x:c r="AA278" s="6">
        <x:f>(S278*IF(E278="T",F278,0))+(S278*IF(G278="T",H278,0))</x:f>
      </x:c>
      <x:c r="AB278" s="6">
        <x:f>(S278*IF(E278="L",F278,0))+(S278*IF(G278="L",H278,0))</x:f>
      </x:c>
      <x:c r="AC278" s="6">
        <x:f>(S278*IF(E278="H",F278,0))+(S278*IF(G278="H",H278,0))</x:f>
      </x:c>
      <x:c r="AD278" s="6">
        <x:f>(S278*IF(E278="V",F278,0))+(S278*IF(G278="V",H278,0))</x:f>
      </x:c>
      <x:c r="AE278" s="6">
        <x:f>(S278*IF(E278="R",F278,0))+(S278*IF(G278="R",H278,0))</x:f>
      </x:c>
      <x:c r="AF278" s="6">
        <x:f>(S278*IF(E278="F",F278,0))+(S278*IF(G278="F",H278,0))</x:f>
      </x:c>
      <x:c r="AG278" s="6">
        <x:f>(S278*IF(E278="W",F278,0))+(S278*IF(G278="W",H278,0))</x:f>
      </x:c>
    </x:row>
    <x:row r="279">
      <x:c r="A279" s="3" t="inlineStr">
        <x:is>
          <x:t xml:space="preserve">HR</x:t>
        </x:is>
      </x:c>
      <x:c r="B279" s="3" t="inlineStr">
        <x:is>
          <x:t xml:space="preserve">HR-D4-Q14</x:t>
        </x:is>
      </x:c>
      <x:c r="C279" s="3" t="inlineStr">
        <x:is>
          <x:t xml:space="preserve">T2</x:t>
        </x:is>
      </x:c>
      <x:c r="D279" s="3" t="inlineStr">
        <x:is>
          <x:t xml:space="preserve">4. Joiner-Mover-Leaver</x:t>
        </x:is>
      </x:c>
      <x:c r="E279" s="3" t="inlineStr">
        <x:is>
          <x:t xml:space="preserve">E</x:t>
        </x:is>
      </x:c>
      <x:c r="F279" s="3" t="n">
        <x:v>1</x:v>
      </x:c>
      <x:c r="G279" s="3" t="inlineStr">
        <x:is>
          <x:t xml:space="preserve">-</x:t>
        </x:is>
      </x:c>
      <x:c r="H279" s="3" t="inlineStr">
        <x:is>
          <x:t xml:space="preserve"/>
        </x:is>
      </x:c>
      <x:c r="I279" s="3" t="inlineStr">
        <x:is>
          <x:t xml:space="preserve">(Shadow probe) If the process is informal, how do you ensure leaver/role-change access is removed quickly in practice?</x:t>
        </x:is>
      </x:c>
      <x:c r="J279" s="3" t="inlineStr">
        <x:is>
          <x:t xml:space="preserve">Captures reality: who calls whom and typical time to remove access.</x:t>
        </x:is>
      </x:c>
      <x:c r="K279" s="3" t="inlineStr">
        <x:is>
          <x:t xml:space="preserve">Shadow fallback (Then → HR-D5-Q17)</x:t>
        </x:is>
      </x:c>
      <x:c r="L279" s="3" t="inlineStr">
        <x:is>
          <x:t xml:space="preserve">OPS_STD</x:t>
        </x:is>
      </x:c>
      <x:c r="M279" s="3" t="n">
        <x:v>1</x:v>
      </x:c>
      <x:c r="N279" s="3" t="n"/>
      <x:c r="O279" s="3" t="n"/>
      <x:c r="P279" s="3" t="inlineStr">
        <x:is>
          <x:t xml:space="preserve">HR-D4-Q14-A1</x:t>
        </x:is>
      </x:c>
      <x:c r="Q279" s="3" t="n">
        <x:v>1</x:v>
      </x:c>
      <x:c r="R279" s="3" t="inlineStr">
        <x:is>
          <x:t xml:space="preserve">Not reliable; depends on someone noticing.</x:t>
        </x:is>
      </x:c>
      <x:c r="S279" s="3" t="n">
        <x:v>0</x:v>
      </x:c>
      <x:c r="T279" s="3" t="inlineStr">
        <x:is>
          <x:t xml:space="preserve">control_lag</x:t>
        </x:is>
      </x:c>
      <x:c r="U279" s="3" t="inlineStr">
        <x:is>
          <x:t xml:space="preserve">Control Lag</x:t>
        </x:is>
      </x:c>
      <x:c r="V279" s="3" t="inlineStr">
        <x:is>
          <x:t xml:space="preserve">Implement leaver checklist</x:t>
        </x:is>
      </x:c>
      <x:c r="W279" s="3" t="inlineStr">
        <x:is>
          <x:t xml:space="preserve">N</x:t>
        </x:is>
      </x:c>
      <x:c r="X279" s="3" t="inlineStr">
        <x:is>
          <x:t xml:space="preserve"/>
        </x:is>
      </x:c>
      <x:c r="Y279" s="6">
        <x:f>(S279*IF(E279="G",F279,0))+(S279*IF(G279="G",H279,0))</x:f>
      </x:c>
      <x:c r="Z279" s="6">
        <x:f>(S279*IF(E279="E",F279,0))+(S279*IF(G279="E",H279,0))</x:f>
      </x:c>
      <x:c r="AA279" s="6">
        <x:f>(S279*IF(E279="T",F279,0))+(S279*IF(G279="T",H279,0))</x:f>
      </x:c>
      <x:c r="AB279" s="6">
        <x:f>(S279*IF(E279="L",F279,0))+(S279*IF(G279="L",H279,0))</x:f>
      </x:c>
      <x:c r="AC279" s="6">
        <x:f>(S279*IF(E279="H",F279,0))+(S279*IF(G279="H",H279,0))</x:f>
      </x:c>
      <x:c r="AD279" s="6">
        <x:f>(S279*IF(E279="V",F279,0))+(S279*IF(G279="V",H279,0))</x:f>
      </x:c>
      <x:c r="AE279" s="6">
        <x:f>(S279*IF(E279="R",F279,0))+(S279*IF(G279="R",H279,0))</x:f>
      </x:c>
      <x:c r="AF279" s="6">
        <x:f>(S279*IF(E279="F",F279,0))+(S279*IF(G279="F",H279,0))</x:f>
      </x:c>
      <x:c r="AG279" s="6">
        <x:f>(S279*IF(E279="W",F279,0))+(S279*IF(G279="W",H279,0))</x:f>
      </x:c>
    </x:row>
    <x:row r="280">
      <x:c r="A280" s="3" t="inlineStr">
        <x:is>
          <x:t xml:space="preserve">HR</x:t>
        </x:is>
      </x:c>
      <x:c r="B280" s="3" t="inlineStr">
        <x:is>
          <x:t xml:space="preserve">HR-D4-Q14</x:t>
        </x:is>
      </x:c>
      <x:c r="C280" s="3" t="inlineStr">
        <x:is>
          <x:t xml:space="preserve">T2</x:t>
        </x:is>
      </x:c>
      <x:c r="D280" s="3" t="inlineStr">
        <x:is>
          <x:t xml:space="preserve">4. Joiner-Mover-Leaver</x:t>
        </x:is>
      </x:c>
      <x:c r="E280" s="3" t="inlineStr">
        <x:is>
          <x:t xml:space="preserve">E</x:t>
        </x:is>
      </x:c>
      <x:c r="F280" s="3" t="n">
        <x:v>1</x:v>
      </x:c>
      <x:c r="G280" s="3" t="inlineStr">
        <x:is>
          <x:t xml:space="preserve">-</x:t>
        </x:is>
      </x:c>
      <x:c r="H280" s="3" t="inlineStr">
        <x:is>
          <x:t xml:space="preserve"/>
        </x:is>
      </x:c>
      <x:c r="I280" s="3" t="inlineStr">
        <x:is>
          <x:t xml:space="preserve">(Shadow probe) If the process is informal, how do you ensure leaver/role-change access is removed quickly in practice?</x:t>
        </x:is>
      </x:c>
      <x:c r="J280" s="3" t="inlineStr">
        <x:is>
          <x:t xml:space="preserve">Captures reality: who calls whom and typical time to remove access.</x:t>
        </x:is>
      </x:c>
      <x:c r="K280" s="3" t="inlineStr">
        <x:is>
          <x:t xml:space="preserve">Shadow fallback (Then → HR-D5-Q17)</x:t>
        </x:is>
      </x:c>
      <x:c r="L280" s="3" t="inlineStr">
        <x:is>
          <x:t xml:space="preserve">OPS_STD</x:t>
        </x:is>
      </x:c>
      <x:c r="M280" s="3" t="n">
        <x:v>1</x:v>
      </x:c>
      <x:c r="N280" s="3" t="n"/>
      <x:c r="O280" s="3" t="n"/>
      <x:c r="P280" s="3" t="inlineStr">
        <x:is>
          <x:t xml:space="preserve">HR-D4-Q14-A2</x:t>
        </x:is>
      </x:c>
      <x:c r="Q280" s="3" t="n">
        <x:v>2</x:v>
      </x:c>
      <x:c r="R280" s="3" t="inlineStr">
        <x:is>
          <x:t xml:space="preserve">Managers/HR call IT when they remember; timing varies widely.</x:t>
        </x:is>
      </x:c>
      <x:c r="S280" s="3" t="n">
        <x:v>1</x:v>
      </x:c>
      <x:c r="T280" s="3" t="inlineStr">
        <x:is>
          <x:t xml:space="preserve">key_person_dependency,shadow_mature_signal</x:t>
        </x:is>
      </x:c>
      <x:c r="U280" s="3" t="inlineStr">
        <x:is>
          <x:t xml:space="preserve">Control Lag</x:t>
        </x:is>
      </x:c>
      <x:c r="V280" s="3" t="inlineStr">
        <x:is>
          <x:t xml:space="preserve">Create triggers and SLAs</x:t>
        </x:is>
      </x:c>
      <x:c r="W280" s="3" t="inlineStr">
        <x:is>
          <x:t xml:space="preserve">N</x:t>
        </x:is>
      </x:c>
      <x:c r="X280" s="3" t="inlineStr">
        <x:is>
          <x:t xml:space="preserve"/>
        </x:is>
      </x:c>
      <x:c r="Y280" s="6">
        <x:f>(S280*IF(E280="G",F280,0))+(S280*IF(G280="G",H280,0))</x:f>
      </x:c>
      <x:c r="Z280" s="6">
        <x:f>(S280*IF(E280="E",F280,0))+(S280*IF(G280="E",H280,0))</x:f>
      </x:c>
      <x:c r="AA280" s="6">
        <x:f>(S280*IF(E280="T",F280,0))+(S280*IF(G280="T",H280,0))</x:f>
      </x:c>
      <x:c r="AB280" s="6">
        <x:f>(S280*IF(E280="L",F280,0))+(S280*IF(G280="L",H280,0))</x:f>
      </x:c>
      <x:c r="AC280" s="6">
        <x:f>(S280*IF(E280="H",F280,0))+(S280*IF(G280="H",H280,0))</x:f>
      </x:c>
      <x:c r="AD280" s="6">
        <x:f>(S280*IF(E280="V",F280,0))+(S280*IF(G280="V",H280,0))</x:f>
      </x:c>
      <x:c r="AE280" s="6">
        <x:f>(S280*IF(E280="R",F280,0))+(S280*IF(G280="R",H280,0))</x:f>
      </x:c>
      <x:c r="AF280" s="6">
        <x:f>(S280*IF(E280="F",F280,0))+(S280*IF(G280="F",H280,0))</x:f>
      </x:c>
      <x:c r="AG280" s="6">
        <x:f>(S280*IF(E280="W",F280,0))+(S280*IF(G280="W",H280,0))</x:f>
      </x:c>
    </x:row>
    <x:row r="281">
      <x:c r="A281" s="3" t="inlineStr">
        <x:is>
          <x:t xml:space="preserve">HR</x:t>
        </x:is>
      </x:c>
      <x:c r="B281" s="3" t="inlineStr">
        <x:is>
          <x:t xml:space="preserve">HR-D4-Q14</x:t>
        </x:is>
      </x:c>
      <x:c r="C281" s="3" t="inlineStr">
        <x:is>
          <x:t xml:space="preserve">T2</x:t>
        </x:is>
      </x:c>
      <x:c r="D281" s="3" t="inlineStr">
        <x:is>
          <x:t xml:space="preserve">4. Joiner-Mover-Leaver</x:t>
        </x:is>
      </x:c>
      <x:c r="E281" s="3" t="inlineStr">
        <x:is>
          <x:t xml:space="preserve">E</x:t>
        </x:is>
      </x:c>
      <x:c r="F281" s="3" t="n">
        <x:v>1</x:v>
      </x:c>
      <x:c r="G281" s="3" t="inlineStr">
        <x:is>
          <x:t xml:space="preserve">-</x:t>
        </x:is>
      </x:c>
      <x:c r="H281" s="3" t="inlineStr">
        <x:is>
          <x:t xml:space="preserve"/>
        </x:is>
      </x:c>
      <x:c r="I281" s="3" t="inlineStr">
        <x:is>
          <x:t xml:space="preserve">(Shadow probe) If the process is informal, how do you ensure leaver/role-change access is removed quickly in practice?</x:t>
        </x:is>
      </x:c>
      <x:c r="J281" s="3" t="inlineStr">
        <x:is>
          <x:t xml:space="preserve">Captures reality: who calls whom and typical time to remove access.</x:t>
        </x:is>
      </x:c>
      <x:c r="K281" s="3" t="inlineStr">
        <x:is>
          <x:t xml:space="preserve">Shadow fallback (Then → HR-D5-Q17)</x:t>
        </x:is>
      </x:c>
      <x:c r="L281" s="3" t="inlineStr">
        <x:is>
          <x:t xml:space="preserve">OPS_STD</x:t>
        </x:is>
      </x:c>
      <x:c r="M281" s="3" t="n">
        <x:v>1</x:v>
      </x:c>
      <x:c r="N281" s="3" t="n"/>
      <x:c r="O281" s="3" t="n"/>
      <x:c r="P281" s="3" t="inlineStr">
        <x:is>
          <x:t xml:space="preserve">HR-D4-Q14-A3</x:t>
        </x:is>
      </x:c>
      <x:c r="Q281" s="3" t="n">
        <x:v>3</x:v>
      </x:c>
      <x:c r="R281" s="3" t="inlineStr">
        <x:is>
          <x:t xml:space="preserve">HR sends a daily/weekly leaver list; not always complete.</x:t>
        </x:is>
      </x:c>
      <x:c r="S281" s="3" t="n">
        <x:v>2</x:v>
      </x:c>
      <x:c r="T281" s="3" t="inlineStr">
        <x:is>
          <x:t xml:space="preserve"/>
        </x:is>
      </x:c>
      <x:c r="U281" s="3" t="inlineStr">
        <x:is>
          <x:t xml:space="preserve">Operating Model Gap</x:t>
        </x:is>
      </x:c>
      <x:c r="V281" s="3" t="inlineStr">
        <x:is>
          <x:t xml:space="preserve">Improve completeness</x:t>
        </x:is>
      </x:c>
      <x:c r="W281" s="3" t="inlineStr">
        <x:is>
          <x:t xml:space="preserve">N</x:t>
        </x:is>
      </x:c>
      <x:c r="X281" s="3" t="inlineStr">
        <x:is>
          <x:t xml:space="preserve">Evidence: sample leaver list.</x:t>
        </x:is>
      </x:c>
      <x:c r="Y281" s="6">
        <x:f>(S281*IF(E281="G",F281,0))+(S281*IF(G281="G",H281,0))</x:f>
      </x:c>
      <x:c r="Z281" s="6">
        <x:f>(S281*IF(E281="E",F281,0))+(S281*IF(G281="E",H281,0))</x:f>
      </x:c>
      <x:c r="AA281" s="6">
        <x:f>(S281*IF(E281="T",F281,0))+(S281*IF(G281="T",H281,0))</x:f>
      </x:c>
      <x:c r="AB281" s="6">
        <x:f>(S281*IF(E281="L",F281,0))+(S281*IF(G281="L",H281,0))</x:f>
      </x:c>
      <x:c r="AC281" s="6">
        <x:f>(S281*IF(E281="H",F281,0))+(S281*IF(G281="H",H281,0))</x:f>
      </x:c>
      <x:c r="AD281" s="6">
        <x:f>(S281*IF(E281="V",F281,0))+(S281*IF(G281="V",H281,0))</x:f>
      </x:c>
      <x:c r="AE281" s="6">
        <x:f>(S281*IF(E281="R",F281,0))+(S281*IF(G281="R",H281,0))</x:f>
      </x:c>
      <x:c r="AF281" s="6">
        <x:f>(S281*IF(E281="F",F281,0))+(S281*IF(G281="F",H281,0))</x:f>
      </x:c>
      <x:c r="AG281" s="6">
        <x:f>(S281*IF(E281="W",F281,0))+(S281*IF(G281="W",H281,0))</x:f>
      </x:c>
    </x:row>
    <x:row r="282">
      <x:c r="A282" s="3" t="inlineStr">
        <x:is>
          <x:t xml:space="preserve">HR</x:t>
        </x:is>
      </x:c>
      <x:c r="B282" s="3" t="inlineStr">
        <x:is>
          <x:t xml:space="preserve">HR-D4-Q14</x:t>
        </x:is>
      </x:c>
      <x:c r="C282" s="3" t="inlineStr">
        <x:is>
          <x:t xml:space="preserve">T2</x:t>
        </x:is>
      </x:c>
      <x:c r="D282" s="3" t="inlineStr">
        <x:is>
          <x:t xml:space="preserve">4. Joiner-Mover-Leaver</x:t>
        </x:is>
      </x:c>
      <x:c r="E282" s="3" t="inlineStr">
        <x:is>
          <x:t xml:space="preserve">E</x:t>
        </x:is>
      </x:c>
      <x:c r="F282" s="3" t="n">
        <x:v>1</x:v>
      </x:c>
      <x:c r="G282" s="3" t="inlineStr">
        <x:is>
          <x:t xml:space="preserve">-</x:t>
        </x:is>
      </x:c>
      <x:c r="H282" s="3" t="inlineStr">
        <x:is>
          <x:t xml:space="preserve"/>
        </x:is>
      </x:c>
      <x:c r="I282" s="3" t="inlineStr">
        <x:is>
          <x:t xml:space="preserve">(Shadow probe) If the process is informal, how do you ensure leaver/role-change access is removed quickly in practice?</x:t>
        </x:is>
      </x:c>
      <x:c r="J282" s="3" t="inlineStr">
        <x:is>
          <x:t xml:space="preserve">Captures reality: who calls whom and typical time to remove access.</x:t>
        </x:is>
      </x:c>
      <x:c r="K282" s="3" t="inlineStr">
        <x:is>
          <x:t xml:space="preserve">Shadow fallback (Then → HR-D5-Q17)</x:t>
        </x:is>
      </x:c>
      <x:c r="L282" s="3" t="inlineStr">
        <x:is>
          <x:t xml:space="preserve">OPS_STD</x:t>
        </x:is>
      </x:c>
      <x:c r="M282" s="3" t="n">
        <x:v>1</x:v>
      </x:c>
      <x:c r="N282" s="3" t="n"/>
      <x:c r="O282" s="3" t="n"/>
      <x:c r="P282" s="3" t="inlineStr">
        <x:is>
          <x:t xml:space="preserve">HR-D4-Q14-A4</x:t>
        </x:is>
      </x:c>
      <x:c r="Q282" s="3" t="n">
        <x:v>4</x:v>
      </x:c>
      <x:c r="R282" s="3" t="inlineStr">
        <x:is>
          <x:t xml:space="preserve">Consistent same-day/next-day removal for most cases.</x:t>
        </x:is>
      </x:c>
      <x:c r="S282" s="3" t="n">
        <x:v>3</x:v>
      </x:c>
      <x:c r="T282" s="3" t="inlineStr">
        <x:is>
          <x:t xml:space="preserve"/>
        </x:is>
      </x:c>
      <x:c r="U282" s="3" t="inlineStr">
        <x:is>
          <x:t xml:space="preserve">Operating Model Gap</x:t>
        </x:is>
      </x:c>
      <x:c r="V282" s="3" t="inlineStr">
        <x:is>
          <x:t xml:space="preserve">Formalize and audit</x:t>
        </x:is>
      </x:c>
      <x:c r="W282" s="3" t="inlineStr">
        <x:is>
          <x:t xml:space="preserve">N</x:t>
        </x:is>
      </x:c>
      <x:c r="X282" s="3" t="inlineStr">
        <x:is>
          <x:t xml:space="preserve">Evidence: ticket timestamps (redacted).</x:t>
        </x:is>
      </x:c>
      <x:c r="Y282" s="6">
        <x:f>(S282*IF(E282="G",F282,0))+(S282*IF(G282="G",H282,0))</x:f>
      </x:c>
      <x:c r="Z282" s="6">
        <x:f>(S282*IF(E282="E",F282,0))+(S282*IF(G282="E",H282,0))</x:f>
      </x:c>
      <x:c r="AA282" s="6">
        <x:f>(S282*IF(E282="T",F282,0))+(S282*IF(G282="T",H282,0))</x:f>
      </x:c>
      <x:c r="AB282" s="6">
        <x:f>(S282*IF(E282="L",F282,0))+(S282*IF(G282="L",H282,0))</x:f>
      </x:c>
      <x:c r="AC282" s="6">
        <x:f>(S282*IF(E282="H",F282,0))+(S282*IF(G282="H",H282,0))</x:f>
      </x:c>
      <x:c r="AD282" s="6">
        <x:f>(S282*IF(E282="V",F282,0))+(S282*IF(G282="V",H282,0))</x:f>
      </x:c>
      <x:c r="AE282" s="6">
        <x:f>(S282*IF(E282="R",F282,0))+(S282*IF(G282="R",H282,0))</x:f>
      </x:c>
      <x:c r="AF282" s="6">
        <x:f>(S282*IF(E282="F",F282,0))+(S282*IF(G282="F",H282,0))</x:f>
      </x:c>
      <x:c r="AG282" s="6">
        <x:f>(S282*IF(E282="W",F282,0))+(S282*IF(G282="W",H282,0))</x:f>
      </x:c>
    </x:row>
    <x:row r="283">
      <x:c r="A283" s="3" t="inlineStr">
        <x:is>
          <x:t xml:space="preserve">HR</x:t>
        </x:is>
      </x:c>
      <x:c r="B283" s="3" t="inlineStr">
        <x:is>
          <x:t xml:space="preserve">HR-D4-Q15</x:t>
        </x:is>
      </x:c>
      <x:c r="C283" s="3" t="inlineStr">
        <x:is>
          <x:t xml:space="preserve">T2</x:t>
        </x:is>
      </x:c>
      <x:c r="D283" s="3" t="inlineStr">
        <x:is>
          <x:t xml:space="preserve">4. Joiner-Mover-Leaver</x:t>
        </x:is>
      </x:c>
      <x:c r="E283" s="3" t="inlineStr">
        <x:is>
          <x:t xml:space="preserve">W</x:t>
        </x:is>
      </x:c>
      <x:c r="F283" s="3" t="n">
        <x:v>0.6</x:v>
      </x:c>
      <x:c r="G283" s="3" t="inlineStr">
        <x:is>
          <x:t xml:space="preserve">L</x:t>
        </x:is>
      </x:c>
      <x:c r="H283" s="3" t="n">
        <x:v>0.4</x:v>
      </x:c>
      <x:c r="I283" s="3" t="inlineStr">
        <x:is>
          <x:t xml:space="preserve">Do you have a defined process for higher-risk departures or role changes (e.g., privileged users, finance, R&amp;D, disputes)?</x:t>
        </x:is>
      </x:c>
      <x:c r="J283" s="3" t="inlineStr">
        <x:is>
          <x:t xml:space="preserve">Higher-risk = access to sensitive systems/data or elevated conflict. Keep proportionality and fairness.</x:t>
        </x:is>
      </x:c>
      <x:c r="K283" s="3" t="inlineStr">
        <x:is>
          <x:t xml:space="preserve">Drill-down</x:t>
        </x:is>
      </x:c>
      <x:c r="L283" s="3" t="inlineStr">
        <x:is>
          <x:t xml:space="preserve">RISK_STD</x:t>
        </x:is>
      </x:c>
      <x:c r="M283" s="3" t="n">
        <x:v>1.5</x:v>
      </x:c>
      <x:c r="N283" s="3" t="n">
        <x:v>0.5</x:v>
      </x:c>
      <x:c r="O283" s="3" t="n"/>
      <x:c r="P283" s="3" t="inlineStr">
        <x:is>
          <x:t xml:space="preserve">HR-D4-Q15-A1</x:t>
        </x:is>
      </x:c>
      <x:c r="Q283" s="3" t="n">
        <x:v>1</x:v>
      </x:c>
      <x:c r="R283" s="3" t="inlineStr">
        <x:is>
          <x:t xml:space="preserve">No: all departures treated the same.</x:t>
        </x:is>
      </x:c>
      <x:c r="S283" s="3" t="n">
        <x:v>0</x:v>
      </x:c>
      <x:c r="T283" s="3" t="inlineStr">
        <x:is>
          <x:t xml:space="preserve">control_lag</x:t>
        </x:is>
      </x:c>
      <x:c r="U283" s="3" t="inlineStr">
        <x:is>
          <x:t xml:space="preserve">Control Lag</x:t>
        </x:is>
      </x:c>
      <x:c r="V283" s="3" t="inlineStr">
        <x:is>
          <x:t xml:space="preserve">Define risk-based leaver process</x:t>
        </x:is>
      </x:c>
      <x:c r="W283" s="3" t="inlineStr">
        <x:is>
          <x:t xml:space="preserve">N</x:t>
        </x:is>
      </x:c>
      <x:c r="X283" s="3" t="inlineStr">
        <x:is>
          <x:t xml:space="preserve"/>
        </x:is>
      </x:c>
      <x:c r="Y283" s="6">
        <x:f>(S283*IF(E283="G",F283,0))+(S283*IF(G283="G",H283,0))</x:f>
      </x:c>
      <x:c r="Z283" s="6">
        <x:f>(S283*IF(E283="E",F283,0))+(S283*IF(G283="E",H283,0))</x:f>
      </x:c>
      <x:c r="AA283" s="6">
        <x:f>(S283*IF(E283="T",F283,0))+(S283*IF(G283="T",H283,0))</x:f>
      </x:c>
      <x:c r="AB283" s="6">
        <x:f>(S283*IF(E283="L",F283,0))+(S283*IF(G283="L",H283,0))</x:f>
      </x:c>
      <x:c r="AC283" s="6">
        <x:f>(S283*IF(E283="H",F283,0))+(S283*IF(G283="H",H283,0))</x:f>
      </x:c>
      <x:c r="AD283" s="6">
        <x:f>(S283*IF(E283="V",F283,0))+(S283*IF(G283="V",H283,0))</x:f>
      </x:c>
      <x:c r="AE283" s="6">
        <x:f>(S283*IF(E283="R",F283,0))+(S283*IF(G283="R",H283,0))</x:f>
      </x:c>
      <x:c r="AF283" s="6">
        <x:f>(S283*IF(E283="F",F283,0))+(S283*IF(G283="F",H283,0))</x:f>
      </x:c>
      <x:c r="AG283" s="6">
        <x:f>(S283*IF(E283="W",F283,0))+(S283*IF(G283="W",H283,0))</x:f>
      </x:c>
    </x:row>
    <x:row r="284">
      <x:c r="A284" s="3" t="inlineStr">
        <x:is>
          <x:t xml:space="preserve">HR</x:t>
        </x:is>
      </x:c>
      <x:c r="B284" s="3" t="inlineStr">
        <x:is>
          <x:t xml:space="preserve">HR-D4-Q15</x:t>
        </x:is>
      </x:c>
      <x:c r="C284" s="3" t="inlineStr">
        <x:is>
          <x:t xml:space="preserve">T2</x:t>
        </x:is>
      </x:c>
      <x:c r="D284" s="3" t="inlineStr">
        <x:is>
          <x:t xml:space="preserve">4. Joiner-Mover-Leaver</x:t>
        </x:is>
      </x:c>
      <x:c r="E284" s="3" t="inlineStr">
        <x:is>
          <x:t xml:space="preserve">W</x:t>
        </x:is>
      </x:c>
      <x:c r="F284" s="3" t="n">
        <x:v>0.6</x:v>
      </x:c>
      <x:c r="G284" s="3" t="inlineStr">
        <x:is>
          <x:t xml:space="preserve">L</x:t>
        </x:is>
      </x:c>
      <x:c r="H284" s="3" t="n">
        <x:v>0.4</x:v>
      </x:c>
      <x:c r="I284" s="3" t="inlineStr">
        <x:is>
          <x:t xml:space="preserve">Do you have a defined process for higher-risk departures or role changes (e.g., privileged users, finance, R&amp;D, disputes)?</x:t>
        </x:is>
      </x:c>
      <x:c r="J284" s="3" t="inlineStr">
        <x:is>
          <x:t xml:space="preserve">Higher-risk = access to sensitive systems/data or elevated conflict. Keep proportionality and fairness.</x:t>
        </x:is>
      </x:c>
      <x:c r="K284" s="3" t="inlineStr">
        <x:is>
          <x:t xml:space="preserve">Drill-down</x:t>
        </x:is>
      </x:c>
      <x:c r="L284" s="3" t="inlineStr">
        <x:is>
          <x:t xml:space="preserve">RISK_STD</x:t>
        </x:is>
      </x:c>
      <x:c r="M284" s="3" t="n">
        <x:v>1.5</x:v>
      </x:c>
      <x:c r="N284" s="3" t="n">
        <x:v>0.5</x:v>
      </x:c>
      <x:c r="O284" s="3" t="n"/>
      <x:c r="P284" s="3" t="inlineStr">
        <x:is>
          <x:t xml:space="preserve">HR-D4-Q15-A2</x:t>
        </x:is>
      </x:c>
      <x:c r="Q284" s="3" t="n">
        <x:v>2</x:v>
      </x:c>
      <x:c r="R284" s="3" t="inlineStr">
        <x:is>
          <x:t xml:space="preserve">Ad-hoc: extra checks sometimes happen; no criteria.</x:t>
        </x:is>
      </x:c>
      <x:c r="S284" s="3" t="n">
        <x:v>1</x:v>
      </x:c>
      <x:c r="T284" s="3" t="inlineStr">
        <x:is>
          <x:t xml:space="preserve">shadow_mature_signal</x:t>
        </x:is>
      </x:c>
      <x:c r="U284" s="3" t="inlineStr">
        <x:is>
          <x:t xml:space="preserve">Operating Model Gap</x:t>
        </x:is>
      </x:c>
      <x:c r="V284" s="3" t="inlineStr">
        <x:is>
          <x:t xml:space="preserve">Define criteria and approvals</x:t>
        </x:is>
      </x:c>
      <x:c r="W284" s="3" t="inlineStr">
        <x:is>
          <x:t xml:space="preserve">N</x:t>
        </x:is>
      </x:c>
      <x:c r="X284" s="3" t="inlineStr">
        <x:is>
          <x:t xml:space="preserve"/>
        </x:is>
      </x:c>
      <x:c r="Y284" s="6">
        <x:f>(S284*IF(E284="G",F284,0))+(S284*IF(G284="G",H284,0))</x:f>
      </x:c>
      <x:c r="Z284" s="6">
        <x:f>(S284*IF(E284="E",F284,0))+(S284*IF(G284="E",H284,0))</x:f>
      </x:c>
      <x:c r="AA284" s="6">
        <x:f>(S284*IF(E284="T",F284,0))+(S284*IF(G284="T",H284,0))</x:f>
      </x:c>
      <x:c r="AB284" s="6">
        <x:f>(S284*IF(E284="L",F284,0))+(S284*IF(G284="L",H284,0))</x:f>
      </x:c>
      <x:c r="AC284" s="6">
        <x:f>(S284*IF(E284="H",F284,0))+(S284*IF(G284="H",H284,0))</x:f>
      </x:c>
      <x:c r="AD284" s="6">
        <x:f>(S284*IF(E284="V",F284,0))+(S284*IF(G284="V",H284,0))</x:f>
      </x:c>
      <x:c r="AE284" s="6">
        <x:f>(S284*IF(E284="R",F284,0))+(S284*IF(G284="R",H284,0))</x:f>
      </x:c>
      <x:c r="AF284" s="6">
        <x:f>(S284*IF(E284="F",F284,0))+(S284*IF(G284="F",H284,0))</x:f>
      </x:c>
      <x:c r="AG284" s="6">
        <x:f>(S284*IF(E284="W",F284,0))+(S284*IF(G284="W",H284,0))</x:f>
      </x:c>
    </x:row>
    <x:row r="285">
      <x:c r="A285" s="3" t="inlineStr">
        <x:is>
          <x:t xml:space="preserve">HR</x:t>
        </x:is>
      </x:c>
      <x:c r="B285" s="3" t="inlineStr">
        <x:is>
          <x:t xml:space="preserve">HR-D4-Q15</x:t>
        </x:is>
      </x:c>
      <x:c r="C285" s="3" t="inlineStr">
        <x:is>
          <x:t xml:space="preserve">T2</x:t>
        </x:is>
      </x:c>
      <x:c r="D285" s="3" t="inlineStr">
        <x:is>
          <x:t xml:space="preserve">4. Joiner-Mover-Leaver</x:t>
        </x:is>
      </x:c>
      <x:c r="E285" s="3" t="inlineStr">
        <x:is>
          <x:t xml:space="preserve">W</x:t>
        </x:is>
      </x:c>
      <x:c r="F285" s="3" t="n">
        <x:v>0.6</x:v>
      </x:c>
      <x:c r="G285" s="3" t="inlineStr">
        <x:is>
          <x:t xml:space="preserve">L</x:t>
        </x:is>
      </x:c>
      <x:c r="H285" s="3" t="n">
        <x:v>0.4</x:v>
      </x:c>
      <x:c r="I285" s="3" t="inlineStr">
        <x:is>
          <x:t xml:space="preserve">Do you have a defined process for higher-risk departures or role changes (e.g., privileged users, finance, R&amp;D, disputes)?</x:t>
        </x:is>
      </x:c>
      <x:c r="J285" s="3" t="inlineStr">
        <x:is>
          <x:t xml:space="preserve">Higher-risk = access to sensitive systems/data or elevated conflict. Keep proportionality and fairness.</x:t>
        </x:is>
      </x:c>
      <x:c r="K285" s="3" t="inlineStr">
        <x:is>
          <x:t xml:space="preserve">Drill-down</x:t>
        </x:is>
      </x:c>
      <x:c r="L285" s="3" t="inlineStr">
        <x:is>
          <x:t xml:space="preserve">RISK_STD</x:t>
        </x:is>
      </x:c>
      <x:c r="M285" s="3" t="n">
        <x:v>1.5</x:v>
      </x:c>
      <x:c r="N285" s="3" t="n">
        <x:v>0.5</x:v>
      </x:c>
      <x:c r="O285" s="3" t="n"/>
      <x:c r="P285" s="3" t="inlineStr">
        <x:is>
          <x:t xml:space="preserve">HR-D4-Q15-A3</x:t>
        </x:is>
      </x:c>
      <x:c r="Q285" s="3" t="n">
        <x:v>3</x:v>
      </x:c>
      <x:c r="R285" s="3" t="inlineStr">
        <x:is>
          <x:t xml:space="preserve">Criteria exist but execution inconsistent.</x:t>
        </x:is>
      </x:c>
      <x:c r="S285" s="3" t="n">
        <x:v>2</x:v>
      </x:c>
      <x:c r="T285" s="3" t="inlineStr">
        <x:is>
          <x:t xml:space="preserve">paper_dragon_signal</x:t>
        </x:is>
      </x:c>
      <x:c r="U285" s="3" t="inlineStr">
        <x:is>
          <x:t xml:space="preserve">Paper Dragon</x:t>
        </x:is>
      </x:c>
      <x:c r="V285" s="3" t="inlineStr">
        <x:is>
          <x:t xml:space="preserve">Improve adherence</x:t>
        </x:is>
      </x:c>
      <x:c r="W285" s="3" t="inlineStr">
        <x:is>
          <x:t xml:space="preserve">N</x:t>
        </x:is>
      </x:c>
      <x:c r="X285" s="3" t="inlineStr">
        <x:is>
          <x:t xml:space="preserve">Evidence: criteria list.</x:t>
        </x:is>
      </x:c>
      <x:c r="Y285" s="6">
        <x:f>(S285*IF(E285="G",F285,0))+(S285*IF(G285="G",H285,0))</x:f>
      </x:c>
      <x:c r="Z285" s="6">
        <x:f>(S285*IF(E285="E",F285,0))+(S285*IF(G285="E",H285,0))</x:f>
      </x:c>
      <x:c r="AA285" s="6">
        <x:f>(S285*IF(E285="T",F285,0))+(S285*IF(G285="T",H285,0))</x:f>
      </x:c>
      <x:c r="AB285" s="6">
        <x:f>(S285*IF(E285="L",F285,0))+(S285*IF(G285="L",H285,0))</x:f>
      </x:c>
      <x:c r="AC285" s="6">
        <x:f>(S285*IF(E285="H",F285,0))+(S285*IF(G285="H",H285,0))</x:f>
      </x:c>
      <x:c r="AD285" s="6">
        <x:f>(S285*IF(E285="V",F285,0))+(S285*IF(G285="V",H285,0))</x:f>
      </x:c>
      <x:c r="AE285" s="6">
        <x:f>(S285*IF(E285="R",F285,0))+(S285*IF(G285="R",H285,0))</x:f>
      </x:c>
      <x:c r="AF285" s="6">
        <x:f>(S285*IF(E285="F",F285,0))+(S285*IF(G285="F",H285,0))</x:f>
      </x:c>
      <x:c r="AG285" s="6">
        <x:f>(S285*IF(E285="W",F285,0))+(S285*IF(G285="W",H285,0))</x:f>
      </x:c>
    </x:row>
    <x:row r="286">
      <x:c r="A286" s="3" t="inlineStr">
        <x:is>
          <x:t xml:space="preserve">HR</x:t>
        </x:is>
      </x:c>
      <x:c r="B286" s="3" t="inlineStr">
        <x:is>
          <x:t xml:space="preserve">HR-D4-Q15</x:t>
        </x:is>
      </x:c>
      <x:c r="C286" s="3" t="inlineStr">
        <x:is>
          <x:t xml:space="preserve">T2</x:t>
        </x:is>
      </x:c>
      <x:c r="D286" s="3" t="inlineStr">
        <x:is>
          <x:t xml:space="preserve">4. Joiner-Mover-Leaver</x:t>
        </x:is>
      </x:c>
      <x:c r="E286" s="3" t="inlineStr">
        <x:is>
          <x:t xml:space="preserve">W</x:t>
        </x:is>
      </x:c>
      <x:c r="F286" s="3" t="n">
        <x:v>0.6</x:v>
      </x:c>
      <x:c r="G286" s="3" t="inlineStr">
        <x:is>
          <x:t xml:space="preserve">L</x:t>
        </x:is>
      </x:c>
      <x:c r="H286" s="3" t="n">
        <x:v>0.4</x:v>
      </x:c>
      <x:c r="I286" s="3" t="inlineStr">
        <x:is>
          <x:t xml:space="preserve">Do you have a defined process for higher-risk departures or role changes (e.g., privileged users, finance, R&amp;D, disputes)?</x:t>
        </x:is>
      </x:c>
      <x:c r="J286" s="3" t="inlineStr">
        <x:is>
          <x:t xml:space="preserve">Higher-risk = access to sensitive systems/data or elevated conflict. Keep proportionality and fairness.</x:t>
        </x:is>
      </x:c>
      <x:c r="K286" s="3" t="inlineStr">
        <x:is>
          <x:t xml:space="preserve">Drill-down</x:t>
        </x:is>
      </x:c>
      <x:c r="L286" s="3" t="inlineStr">
        <x:is>
          <x:t xml:space="preserve">RISK_STD</x:t>
        </x:is>
      </x:c>
      <x:c r="M286" s="3" t="n">
        <x:v>1.5</x:v>
      </x:c>
      <x:c r="N286" s="3" t="n">
        <x:v>0.5</x:v>
      </x:c>
      <x:c r="O286" s="3" t="n"/>
      <x:c r="P286" s="3" t="inlineStr">
        <x:is>
          <x:t xml:space="preserve">HR-D4-Q15-A4</x:t>
        </x:is>
      </x:c>
      <x:c r="Q286" s="3" t="n">
        <x:v>4</x:v>
      </x:c>
      <x:c r="R286" s="3" t="inlineStr">
        <x:is>
          <x:t xml:space="preserve">Risk-based steps applied consistently and proportionately.</x:t>
        </x:is>
      </x:c>
      <x:c r="S286" s="3" t="n">
        <x:v>3</x:v>
      </x:c>
      <x:c r="T286" s="3" t="inlineStr">
        <x:is>
          <x:t xml:space="preserve"/>
        </x:is>
      </x:c>
      <x:c r="U286" s="3" t="inlineStr">
        <x:is>
          <x:t xml:space="preserve">Control Lag</x:t>
        </x:is>
      </x:c>
      <x:c r="V286" s="3" t="inlineStr">
        <x:is>
          <x:t xml:space="preserve">Maintain and audit</x:t>
        </x:is>
      </x:c>
      <x:c r="W286" s="3" t="inlineStr">
        <x:is>
          <x:t xml:space="preserve">N</x:t>
        </x:is>
      </x:c>
      <x:c r="X286" s="3" t="inlineStr">
        <x:is>
          <x:t xml:space="preserve">Evidence: checklist sample.</x:t>
        </x:is>
      </x:c>
      <x:c r="Y286" s="6">
        <x:f>(S286*IF(E286="G",F286,0))+(S286*IF(G286="G",H286,0))</x:f>
      </x:c>
      <x:c r="Z286" s="6">
        <x:f>(S286*IF(E286="E",F286,0))+(S286*IF(G286="E",H286,0))</x:f>
      </x:c>
      <x:c r="AA286" s="6">
        <x:f>(S286*IF(E286="T",F286,0))+(S286*IF(G286="T",H286,0))</x:f>
      </x:c>
      <x:c r="AB286" s="6">
        <x:f>(S286*IF(E286="L",F286,0))+(S286*IF(G286="L",H286,0))</x:f>
      </x:c>
      <x:c r="AC286" s="6">
        <x:f>(S286*IF(E286="H",F286,0))+(S286*IF(G286="H",H286,0))</x:f>
      </x:c>
      <x:c r="AD286" s="6">
        <x:f>(S286*IF(E286="V",F286,0))+(S286*IF(G286="V",H286,0))</x:f>
      </x:c>
      <x:c r="AE286" s="6">
        <x:f>(S286*IF(E286="R",F286,0))+(S286*IF(G286="R",H286,0))</x:f>
      </x:c>
      <x:c r="AF286" s="6">
        <x:f>(S286*IF(E286="F",F286,0))+(S286*IF(G286="F",H286,0))</x:f>
      </x:c>
      <x:c r="AG286" s="6">
        <x:f>(S286*IF(E286="W",F286,0))+(S286*IF(G286="W",H286,0))</x:f>
      </x:c>
    </x:row>
    <x:row r="287">
      <x:c r="A287" s="3" t="inlineStr">
        <x:is>
          <x:t xml:space="preserve">HR</x:t>
        </x:is>
      </x:c>
      <x:c r="B287" s="3" t="inlineStr">
        <x:is>
          <x:t xml:space="preserve">HR-D4-Q15</x:t>
        </x:is>
      </x:c>
      <x:c r="C287" s="3" t="inlineStr">
        <x:is>
          <x:t xml:space="preserve">T2</x:t>
        </x:is>
      </x:c>
      <x:c r="D287" s="3" t="inlineStr">
        <x:is>
          <x:t xml:space="preserve">4. Joiner-Mover-Leaver</x:t>
        </x:is>
      </x:c>
      <x:c r="E287" s="3" t="inlineStr">
        <x:is>
          <x:t xml:space="preserve">W</x:t>
        </x:is>
      </x:c>
      <x:c r="F287" s="3" t="n">
        <x:v>0.6</x:v>
      </x:c>
      <x:c r="G287" s="3" t="inlineStr">
        <x:is>
          <x:t xml:space="preserve">L</x:t>
        </x:is>
      </x:c>
      <x:c r="H287" s="3" t="n">
        <x:v>0.4</x:v>
      </x:c>
      <x:c r="I287" s="3" t="inlineStr">
        <x:is>
          <x:t xml:space="preserve">Do you have a defined process for higher-risk departures or role changes (e.g., privileged users, finance, R&amp;D, disputes)?</x:t>
        </x:is>
      </x:c>
      <x:c r="J287" s="3" t="inlineStr">
        <x:is>
          <x:t xml:space="preserve">Higher-risk = access to sensitive systems/data or elevated conflict. Keep proportionality and fairness.</x:t>
        </x:is>
      </x:c>
      <x:c r="K287" s="3" t="inlineStr">
        <x:is>
          <x:t xml:space="preserve">Drill-down</x:t>
        </x:is>
      </x:c>
      <x:c r="L287" s="3" t="inlineStr">
        <x:is>
          <x:t xml:space="preserve">RISK_STD</x:t>
        </x:is>
      </x:c>
      <x:c r="M287" s="3" t="n">
        <x:v>1.5</x:v>
      </x:c>
      <x:c r="N287" s="3" t="n">
        <x:v>0.5</x:v>
      </x:c>
      <x:c r="O287" s="3" t="n"/>
      <x:c r="P287" s="3" t="inlineStr">
        <x:is>
          <x:t xml:space="preserve">HR-D4-Q15-A5</x:t>
        </x:is>
      </x:c>
      <x:c r="Q287" s="3" t="n">
        <x:v>5</x:v>
      </x:c>
      <x:c r="R287" s="3" t="inlineStr">
        <x:is>
          <x:t xml:space="preserve">Optimized: rapid access changes + comms + legal/privacy review when needed.</x:t>
        </x:is>
      </x:c>
      <x:c r="S287" s="3" t="n">
        <x:v>4</x:v>
      </x:c>
      <x:c r="T287" s="3" t="inlineStr">
        <x:is>
          <x:t xml:space="preserve"/>
        </x:is>
      </x:c>
      <x:c r="U287" s="3" t="inlineStr">
        <x:is>
          <x:t xml:space="preserve">Legal Exposure</x:t>
        </x:is>
      </x:c>
      <x:c r="V287" s="3" t="inlineStr">
        <x:is>
          <x:t xml:space="preserve">Maintain maturity</x:t>
        </x:is>
      </x:c>
      <x:c r="W287" s="3" t="inlineStr">
        <x:is>
          <x:t xml:space="preserve">N</x:t>
        </x:is>
      </x:c>
      <x:c r="X287" s="3" t="inlineStr">
        <x:is>
          <x:t xml:space="preserve">Evidence: playbook.</x:t>
        </x:is>
      </x:c>
      <x:c r="Y287" s="6">
        <x:f>(S287*IF(E287="G",F287,0))+(S287*IF(G287="G",H287,0))</x:f>
      </x:c>
      <x:c r="Z287" s="6">
        <x:f>(S287*IF(E287="E",F287,0))+(S287*IF(G287="E",H287,0))</x:f>
      </x:c>
      <x:c r="AA287" s="6">
        <x:f>(S287*IF(E287="T",F287,0))+(S287*IF(G287="T",H287,0))</x:f>
      </x:c>
      <x:c r="AB287" s="6">
        <x:f>(S287*IF(E287="L",F287,0))+(S287*IF(G287="L",H287,0))</x:f>
      </x:c>
      <x:c r="AC287" s="6">
        <x:f>(S287*IF(E287="H",F287,0))+(S287*IF(G287="H",H287,0))</x:f>
      </x:c>
      <x:c r="AD287" s="6">
        <x:f>(S287*IF(E287="V",F287,0))+(S287*IF(G287="V",H287,0))</x:f>
      </x:c>
      <x:c r="AE287" s="6">
        <x:f>(S287*IF(E287="R",F287,0))+(S287*IF(G287="R",H287,0))</x:f>
      </x:c>
      <x:c r="AF287" s="6">
        <x:f>(S287*IF(E287="F",F287,0))+(S287*IF(G287="F",H287,0))</x:f>
      </x:c>
      <x:c r="AG287" s="6">
        <x:f>(S287*IF(E287="W",F287,0))+(S287*IF(G287="W",H287,0))</x:f>
      </x:c>
    </x:row>
    <x:row r="288">
      <x:c r="A288" s="3" t="inlineStr">
        <x:is>
          <x:t xml:space="preserve">HR</x:t>
        </x:is>
      </x:c>
      <x:c r="B288" s="3" t="inlineStr">
        <x:is>
          <x:t xml:space="preserve">HR-D4-Q16</x:t>
        </x:is>
      </x:c>
      <x:c r="C288" s="3" t="inlineStr">
        <x:is>
          <x:t xml:space="preserve">T3</x:t>
        </x:is>
      </x:c>
      <x:c r="D288" s="3" t="inlineStr">
        <x:is>
          <x:t xml:space="preserve">4. Joiner-Mover-Leaver</x:t>
        </x:is>
      </x:c>
      <x:c r="E288" s="3" t="inlineStr">
        <x:is>
          <x:t xml:space="preserve">L</x:t>
        </x:is>
      </x:c>
      <x:c r="F288" s="3" t="n">
        <x:v>0.6</x:v>
      </x:c>
      <x:c r="G288" s="3" t="inlineStr">
        <x:is>
          <x:t xml:space="preserve">H</x:t>
        </x:is>
      </x:c>
      <x:c r="H288" s="3" t="n">
        <x:v>0.4</x:v>
      </x:c>
      <x:c r="I288" s="3" t="inlineStr">
        <x:is>
          <x:t xml:space="preserve">How do you confirm departing staff understand ongoing obligations (confidentiality, data return) in clear, plain language?</x:t>
        </x:is>
      </x:c>
      <x:c r="J288" s="3" t="inlineStr">
        <x:is>
          <x:t xml:space="preserve">Not legalese: clarity + fairness + return verification.</x:t>
        </x:is>
      </x:c>
      <x:c r="K288" s="3" t="inlineStr">
        <x:is>
          <x:t xml:space="preserve">Business-proofing</x:t>
        </x:is>
      </x:c>
      <x:c r="L288" s="3" t="inlineStr">
        <x:is>
          <x:t xml:space="preserve">LEG_STRICT</x:t>
        </x:is>
      </x:c>
      <x:c r="M288" s="3" t="n">
        <x:v>1.5</x:v>
      </x:c>
      <x:c r="N288" s="3" t="n">
        <x:v>0.5</x:v>
      </x:c>
      <x:c r="O288" s="3" t="n"/>
      <x:c r="P288" s="3" t="inlineStr">
        <x:is>
          <x:t xml:space="preserve">HR-D4-Q16-A1</x:t>
        </x:is>
      </x:c>
      <x:c r="Q288" s="3" t="n">
        <x:v>1</x:v>
      </x:c>
      <x:c r="R288" s="3" t="inlineStr">
        <x:is>
          <x:t xml:space="preserve">We don't address this explicitly.</x:t>
        </x:is>
      </x:c>
      <x:c r="S288" s="3" t="n">
        <x:v>0</x:v>
      </x:c>
      <x:c r="T288" s="3" t="inlineStr">
        <x:is>
          <x:t xml:space="preserve">legal_exposure</x:t>
        </x:is>
      </x:c>
      <x:c r="U288" s="3" t="inlineStr">
        <x:is>
          <x:t xml:space="preserve">Legal Exposure</x:t>
        </x:is>
      </x:c>
      <x:c r="V288" s="3" t="inlineStr">
        <x:is>
          <x:t xml:space="preserve">Add plain-language offboarding comms</x:t>
        </x:is>
      </x:c>
      <x:c r="W288" s="3" t="inlineStr">
        <x:is>
          <x:t xml:space="preserve">N</x:t>
        </x:is>
      </x:c>
      <x:c r="X288" s="3" t="inlineStr">
        <x:is>
          <x:t xml:space="preserve"/>
        </x:is>
      </x:c>
      <x:c r="Y288" s="6">
        <x:f>(S288*IF(E288="G",F288,0))+(S288*IF(G288="G",H288,0))</x:f>
      </x:c>
      <x:c r="Z288" s="6">
        <x:f>(S288*IF(E288="E",F288,0))+(S288*IF(G288="E",H288,0))</x:f>
      </x:c>
      <x:c r="AA288" s="6">
        <x:f>(S288*IF(E288="T",F288,0))+(S288*IF(G288="T",H288,0))</x:f>
      </x:c>
      <x:c r="AB288" s="6">
        <x:f>(S288*IF(E288="L",F288,0))+(S288*IF(G288="L",H288,0))</x:f>
      </x:c>
      <x:c r="AC288" s="6">
        <x:f>(S288*IF(E288="H",F288,0))+(S288*IF(G288="H",H288,0))</x:f>
      </x:c>
      <x:c r="AD288" s="6">
        <x:f>(S288*IF(E288="V",F288,0))+(S288*IF(G288="V",H288,0))</x:f>
      </x:c>
      <x:c r="AE288" s="6">
        <x:f>(S288*IF(E288="R",F288,0))+(S288*IF(G288="R",H288,0))</x:f>
      </x:c>
      <x:c r="AF288" s="6">
        <x:f>(S288*IF(E288="F",F288,0))+(S288*IF(G288="F",H288,0))</x:f>
      </x:c>
      <x:c r="AG288" s="6">
        <x:f>(S288*IF(E288="W",F288,0))+(S288*IF(G288="W",H288,0))</x:f>
      </x:c>
    </x:row>
    <x:row r="289">
      <x:c r="A289" s="3" t="inlineStr">
        <x:is>
          <x:t xml:space="preserve">HR</x:t>
        </x:is>
      </x:c>
      <x:c r="B289" s="3" t="inlineStr">
        <x:is>
          <x:t xml:space="preserve">HR-D4-Q16</x:t>
        </x:is>
      </x:c>
      <x:c r="C289" s="3" t="inlineStr">
        <x:is>
          <x:t xml:space="preserve">T3</x:t>
        </x:is>
      </x:c>
      <x:c r="D289" s="3" t="inlineStr">
        <x:is>
          <x:t xml:space="preserve">4. Joiner-Mover-Leaver</x:t>
        </x:is>
      </x:c>
      <x:c r="E289" s="3" t="inlineStr">
        <x:is>
          <x:t xml:space="preserve">L</x:t>
        </x:is>
      </x:c>
      <x:c r="F289" s="3" t="n">
        <x:v>0.6</x:v>
      </x:c>
      <x:c r="G289" s="3" t="inlineStr">
        <x:is>
          <x:t xml:space="preserve">H</x:t>
        </x:is>
      </x:c>
      <x:c r="H289" s="3" t="n">
        <x:v>0.4</x:v>
      </x:c>
      <x:c r="I289" s="3" t="inlineStr">
        <x:is>
          <x:t xml:space="preserve">How do you confirm departing staff understand ongoing obligations (confidentiality, data return) in clear, plain language?</x:t>
        </x:is>
      </x:c>
      <x:c r="J289" s="3" t="inlineStr">
        <x:is>
          <x:t xml:space="preserve">Not legalese: clarity + fairness + return verification.</x:t>
        </x:is>
      </x:c>
      <x:c r="K289" s="3" t="inlineStr">
        <x:is>
          <x:t xml:space="preserve">Business-proofing</x:t>
        </x:is>
      </x:c>
      <x:c r="L289" s="3" t="inlineStr">
        <x:is>
          <x:t xml:space="preserve">LEG_STRICT</x:t>
        </x:is>
      </x:c>
      <x:c r="M289" s="3" t="n">
        <x:v>1.5</x:v>
      </x:c>
      <x:c r="N289" s="3" t="n">
        <x:v>0.5</x:v>
      </x:c>
      <x:c r="O289" s="3" t="n"/>
      <x:c r="P289" s="3" t="inlineStr">
        <x:is>
          <x:t xml:space="preserve">HR-D4-Q16-A2</x:t>
        </x:is>
      </x:c>
      <x:c r="Q289" s="3" t="n">
        <x:v>2</x:v>
      </x:c>
      <x:c r="R289" s="3" t="inlineStr">
        <x:is>
          <x:t xml:space="preserve">Buried in contracts/policies; no explicit conversation.</x:t>
        </x:is>
      </x:c>
      <x:c r="S289" s="3" t="n">
        <x:v>1</x:v>
      </x:c>
      <x:c r="T289" s="3" t="inlineStr">
        <x:is>
          <x:t xml:space="preserve">paper_dragon_signal</x:t>
        </x:is>
      </x:c>
      <x:c r="U289" s="3" t="inlineStr">
        <x:is>
          <x:t xml:space="preserve">Paper Dragon</x:t>
        </x:is>
      </x:c>
      <x:c r="V289" s="3" t="inlineStr">
        <x:is>
          <x:t xml:space="preserve">Improve clarity and acknowledgment</x:t>
        </x:is>
      </x:c>
      <x:c r="W289" s="3" t="inlineStr">
        <x:is>
          <x:t xml:space="preserve">N</x:t>
        </x:is>
      </x:c>
      <x:c r="X289" s="3" t="inlineStr">
        <x:is>
          <x:t xml:space="preserve">Evidence: clause reference.</x:t>
        </x:is>
      </x:c>
      <x:c r="Y289" s="6">
        <x:f>(S289*IF(E289="G",F289,0))+(S289*IF(G289="G",H289,0))</x:f>
      </x:c>
      <x:c r="Z289" s="6">
        <x:f>(S289*IF(E289="E",F289,0))+(S289*IF(G289="E",H289,0))</x:f>
      </x:c>
      <x:c r="AA289" s="6">
        <x:f>(S289*IF(E289="T",F289,0))+(S289*IF(G289="T",H289,0))</x:f>
      </x:c>
      <x:c r="AB289" s="6">
        <x:f>(S289*IF(E289="L",F289,0))+(S289*IF(G289="L",H289,0))</x:f>
      </x:c>
      <x:c r="AC289" s="6">
        <x:f>(S289*IF(E289="H",F289,0))+(S289*IF(G289="H",H289,0))</x:f>
      </x:c>
      <x:c r="AD289" s="6">
        <x:f>(S289*IF(E289="V",F289,0))+(S289*IF(G289="V",H289,0))</x:f>
      </x:c>
      <x:c r="AE289" s="6">
        <x:f>(S289*IF(E289="R",F289,0))+(S289*IF(G289="R",H289,0))</x:f>
      </x:c>
      <x:c r="AF289" s="6">
        <x:f>(S289*IF(E289="F",F289,0))+(S289*IF(G289="F",H289,0))</x:f>
      </x:c>
      <x:c r="AG289" s="6">
        <x:f>(S289*IF(E289="W",F289,0))+(S289*IF(G289="W",H289,0))</x:f>
      </x:c>
    </x:row>
    <x:row r="290">
      <x:c r="A290" s="3" t="inlineStr">
        <x:is>
          <x:t xml:space="preserve">HR</x:t>
        </x:is>
      </x:c>
      <x:c r="B290" s="3" t="inlineStr">
        <x:is>
          <x:t xml:space="preserve">HR-D4-Q16</x:t>
        </x:is>
      </x:c>
      <x:c r="C290" s="3" t="inlineStr">
        <x:is>
          <x:t xml:space="preserve">T3</x:t>
        </x:is>
      </x:c>
      <x:c r="D290" s="3" t="inlineStr">
        <x:is>
          <x:t xml:space="preserve">4. Joiner-Mover-Leaver</x:t>
        </x:is>
      </x:c>
      <x:c r="E290" s="3" t="inlineStr">
        <x:is>
          <x:t xml:space="preserve">L</x:t>
        </x:is>
      </x:c>
      <x:c r="F290" s="3" t="n">
        <x:v>0.6</x:v>
      </x:c>
      <x:c r="G290" s="3" t="inlineStr">
        <x:is>
          <x:t xml:space="preserve">H</x:t>
        </x:is>
      </x:c>
      <x:c r="H290" s="3" t="n">
        <x:v>0.4</x:v>
      </x:c>
      <x:c r="I290" s="3" t="inlineStr">
        <x:is>
          <x:t xml:space="preserve">How do you confirm departing staff understand ongoing obligations (confidentiality, data return) in clear, plain language?</x:t>
        </x:is>
      </x:c>
      <x:c r="J290" s="3" t="inlineStr">
        <x:is>
          <x:t xml:space="preserve">Not legalese: clarity + fairness + return verification.</x:t>
        </x:is>
      </x:c>
      <x:c r="K290" s="3" t="inlineStr">
        <x:is>
          <x:t xml:space="preserve">Business-proofing</x:t>
        </x:is>
      </x:c>
      <x:c r="L290" s="3" t="inlineStr">
        <x:is>
          <x:t xml:space="preserve">LEG_STRICT</x:t>
        </x:is>
      </x:c>
      <x:c r="M290" s="3" t="n">
        <x:v>1.5</x:v>
      </x:c>
      <x:c r="N290" s="3" t="n">
        <x:v>0.5</x:v>
      </x:c>
      <x:c r="O290" s="3" t="n"/>
      <x:c r="P290" s="3" t="inlineStr">
        <x:is>
          <x:t xml:space="preserve">HR-D4-Q16-A3</x:t>
        </x:is>
      </x:c>
      <x:c r="Q290" s="3" t="n">
        <x:v>3</x:v>
      </x:c>
      <x:c r="R290" s="3" t="inlineStr">
        <x:is>
          <x:t xml:space="preserve">Exit reminder exists but not consistently documented.</x:t>
        </x:is>
      </x:c>
      <x:c r="S290" s="3" t="n">
        <x:v>2</x:v>
      </x:c>
      <x:c r="T290" s="3" t="inlineStr">
        <x:is>
          <x:t xml:space="preserve"/>
        </x:is>
      </x:c>
      <x:c r="U290" s="3" t="inlineStr">
        <x:is>
          <x:t xml:space="preserve">Legal Exposure</x:t>
        </x:is>
      </x:c>
      <x:c r="V290" s="3" t="inlineStr">
        <x:is>
          <x:t xml:space="preserve">Standardize exit acknowledgment</x:t>
        </x:is>
      </x:c>
      <x:c r="W290" s="3" t="inlineStr">
        <x:is>
          <x:t xml:space="preserve">N</x:t>
        </x:is>
      </x:c>
      <x:c r="X290" s="3" t="inlineStr">
        <x:is>
          <x:t xml:space="preserve"/>
        </x:is>
      </x:c>
      <x:c r="Y290" s="6">
        <x:f>(S290*IF(E290="G",F290,0))+(S290*IF(G290="G",H290,0))</x:f>
      </x:c>
      <x:c r="Z290" s="6">
        <x:f>(S290*IF(E290="E",F290,0))+(S290*IF(G290="E",H290,0))</x:f>
      </x:c>
      <x:c r="AA290" s="6">
        <x:f>(S290*IF(E290="T",F290,0))+(S290*IF(G290="T",H290,0))</x:f>
      </x:c>
      <x:c r="AB290" s="6">
        <x:f>(S290*IF(E290="L",F290,0))+(S290*IF(G290="L",H290,0))</x:f>
      </x:c>
      <x:c r="AC290" s="6">
        <x:f>(S290*IF(E290="H",F290,0))+(S290*IF(G290="H",H290,0))</x:f>
      </x:c>
      <x:c r="AD290" s="6">
        <x:f>(S290*IF(E290="V",F290,0))+(S290*IF(G290="V",H290,0))</x:f>
      </x:c>
      <x:c r="AE290" s="6">
        <x:f>(S290*IF(E290="R",F290,0))+(S290*IF(G290="R",H290,0))</x:f>
      </x:c>
      <x:c r="AF290" s="6">
        <x:f>(S290*IF(E290="F",F290,0))+(S290*IF(G290="F",H290,0))</x:f>
      </x:c>
      <x:c r="AG290" s="6">
        <x:f>(S290*IF(E290="W",F290,0))+(S290*IF(G290="W",H290,0))</x:f>
      </x:c>
    </x:row>
    <x:row r="291">
      <x:c r="A291" s="3" t="inlineStr">
        <x:is>
          <x:t xml:space="preserve">HR</x:t>
        </x:is>
      </x:c>
      <x:c r="B291" s="3" t="inlineStr">
        <x:is>
          <x:t xml:space="preserve">HR-D4-Q16</x:t>
        </x:is>
      </x:c>
      <x:c r="C291" s="3" t="inlineStr">
        <x:is>
          <x:t xml:space="preserve">T3</x:t>
        </x:is>
      </x:c>
      <x:c r="D291" s="3" t="inlineStr">
        <x:is>
          <x:t xml:space="preserve">4. Joiner-Mover-Leaver</x:t>
        </x:is>
      </x:c>
      <x:c r="E291" s="3" t="inlineStr">
        <x:is>
          <x:t xml:space="preserve">L</x:t>
        </x:is>
      </x:c>
      <x:c r="F291" s="3" t="n">
        <x:v>0.6</x:v>
      </x:c>
      <x:c r="G291" s="3" t="inlineStr">
        <x:is>
          <x:t xml:space="preserve">H</x:t>
        </x:is>
      </x:c>
      <x:c r="H291" s="3" t="n">
        <x:v>0.4</x:v>
      </x:c>
      <x:c r="I291" s="3" t="inlineStr">
        <x:is>
          <x:t xml:space="preserve">How do you confirm departing staff understand ongoing obligations (confidentiality, data return) in clear, plain language?</x:t>
        </x:is>
      </x:c>
      <x:c r="J291" s="3" t="inlineStr">
        <x:is>
          <x:t xml:space="preserve">Not legalese: clarity + fairness + return verification.</x:t>
        </x:is>
      </x:c>
      <x:c r="K291" s="3" t="inlineStr">
        <x:is>
          <x:t xml:space="preserve">Business-proofing</x:t>
        </x:is>
      </x:c>
      <x:c r="L291" s="3" t="inlineStr">
        <x:is>
          <x:t xml:space="preserve">LEG_STRICT</x:t>
        </x:is>
      </x:c>
      <x:c r="M291" s="3" t="n">
        <x:v>1.5</x:v>
      </x:c>
      <x:c r="N291" s="3" t="n">
        <x:v>0.5</x:v>
      </x:c>
      <x:c r="O291" s="3" t="n"/>
      <x:c r="P291" s="3" t="inlineStr">
        <x:is>
          <x:t xml:space="preserve">HR-D4-Q16-A4</x:t>
        </x:is>
      </x:c>
      <x:c r="Q291" s="3" t="n">
        <x:v>4</x:v>
      </x:c>
      <x:c r="R291" s="3" t="inlineStr">
        <x:is>
          <x:t xml:space="preserve">Exit checklist with acknowledgement and asset/data return steps.</x:t>
        </x:is>
      </x:c>
      <x:c r="S291" s="3" t="n">
        <x:v>3</x:v>
      </x:c>
      <x:c r="T291" s="3" t="inlineStr">
        <x:is>
          <x:t xml:space="preserve"/>
        </x:is>
      </x:c>
      <x:c r="U291" s="3" t="inlineStr">
        <x:is>
          <x:t xml:space="preserve">Legal Exposure</x:t>
        </x:is>
      </x:c>
      <x:c r="V291" s="3" t="inlineStr">
        <x:is>
          <x:t xml:space="preserve">Maintain adherence</x:t>
        </x:is>
      </x:c>
      <x:c r="W291" s="3" t="inlineStr">
        <x:is>
          <x:t xml:space="preserve">N</x:t>
        </x:is>
      </x:c>
      <x:c r="X291" s="3" t="inlineStr">
        <x:is>
          <x:t xml:space="preserve">Evidence: checklist template.</x:t>
        </x:is>
      </x:c>
      <x:c r="Y291" s="6">
        <x:f>(S291*IF(E291="G",F291,0))+(S291*IF(G291="G",H291,0))</x:f>
      </x:c>
      <x:c r="Z291" s="6">
        <x:f>(S291*IF(E291="E",F291,0))+(S291*IF(G291="E",H291,0))</x:f>
      </x:c>
      <x:c r="AA291" s="6">
        <x:f>(S291*IF(E291="T",F291,0))+(S291*IF(G291="T",H291,0))</x:f>
      </x:c>
      <x:c r="AB291" s="6">
        <x:f>(S291*IF(E291="L",F291,0))+(S291*IF(G291="L",H291,0))</x:f>
      </x:c>
      <x:c r="AC291" s="6">
        <x:f>(S291*IF(E291="H",F291,0))+(S291*IF(G291="H",H291,0))</x:f>
      </x:c>
      <x:c r="AD291" s="6">
        <x:f>(S291*IF(E291="V",F291,0))+(S291*IF(G291="V",H291,0))</x:f>
      </x:c>
      <x:c r="AE291" s="6">
        <x:f>(S291*IF(E291="R",F291,0))+(S291*IF(G291="R",H291,0))</x:f>
      </x:c>
      <x:c r="AF291" s="6">
        <x:f>(S291*IF(E291="F",F291,0))+(S291*IF(G291="F",H291,0))</x:f>
      </x:c>
      <x:c r="AG291" s="6">
        <x:f>(S291*IF(E291="W",F291,0))+(S291*IF(G291="W",H291,0))</x:f>
      </x:c>
    </x:row>
    <x:row r="292">
      <x:c r="A292" s="3" t="inlineStr">
        <x:is>
          <x:t xml:space="preserve">HR</x:t>
        </x:is>
      </x:c>
      <x:c r="B292" s="3" t="inlineStr">
        <x:is>
          <x:t xml:space="preserve">HR-D4-Q16</x:t>
        </x:is>
      </x:c>
      <x:c r="C292" s="3" t="inlineStr">
        <x:is>
          <x:t xml:space="preserve">T3</x:t>
        </x:is>
      </x:c>
      <x:c r="D292" s="3" t="inlineStr">
        <x:is>
          <x:t xml:space="preserve">4. Joiner-Mover-Leaver</x:t>
        </x:is>
      </x:c>
      <x:c r="E292" s="3" t="inlineStr">
        <x:is>
          <x:t xml:space="preserve">L</x:t>
        </x:is>
      </x:c>
      <x:c r="F292" s="3" t="n">
        <x:v>0.6</x:v>
      </x:c>
      <x:c r="G292" s="3" t="inlineStr">
        <x:is>
          <x:t xml:space="preserve">H</x:t>
        </x:is>
      </x:c>
      <x:c r="H292" s="3" t="n">
        <x:v>0.4</x:v>
      </x:c>
      <x:c r="I292" s="3" t="inlineStr">
        <x:is>
          <x:t xml:space="preserve">How do you confirm departing staff understand ongoing obligations (confidentiality, data return) in clear, plain language?</x:t>
        </x:is>
      </x:c>
      <x:c r="J292" s="3" t="inlineStr">
        <x:is>
          <x:t xml:space="preserve">Not legalese: clarity + fairness + return verification.</x:t>
        </x:is>
      </x:c>
      <x:c r="K292" s="3" t="inlineStr">
        <x:is>
          <x:t xml:space="preserve">Business-proofing</x:t>
        </x:is>
      </x:c>
      <x:c r="L292" s="3" t="inlineStr">
        <x:is>
          <x:t xml:space="preserve">LEG_STRICT</x:t>
        </x:is>
      </x:c>
      <x:c r="M292" s="3" t="n">
        <x:v>1.5</x:v>
      </x:c>
      <x:c r="N292" s="3" t="n">
        <x:v>0.5</x:v>
      </x:c>
      <x:c r="O292" s="3" t="n"/>
      <x:c r="P292" s="3" t="inlineStr">
        <x:is>
          <x:t xml:space="preserve">HR-D4-Q16-A5</x:t>
        </x:is>
      </x:c>
      <x:c r="Q292" s="3" t="n">
        <x:v>5</x:v>
      </x:c>
      <x:c r="R292" s="3" t="inlineStr">
        <x:is>
          <x:t xml:space="preserve">Optimized: tailored reminders for high-risk roles + verified return/handover.</x:t>
        </x:is>
      </x:c>
      <x:c r="S292" s="3" t="n">
        <x:v>4</x:v>
      </x:c>
      <x:c r="T292" s="3" t="inlineStr">
        <x:is>
          <x:t xml:space="preserve"/>
        </x:is>
      </x:c>
      <x:c r="U292" s="3" t="inlineStr">
        <x:is>
          <x:t xml:space="preserve">Legal Exposure</x:t>
        </x:is>
      </x:c>
      <x:c r="V292" s="3" t="inlineStr">
        <x:is>
          <x:t xml:space="preserve">Maintain maturity</x:t>
        </x:is>
      </x:c>
      <x:c r="W292" s="3" t="inlineStr">
        <x:is>
          <x:t xml:space="preserve">N</x:t>
        </x:is>
      </x:c>
      <x:c r="X292" s="3" t="inlineStr">
        <x:is>
          <x:t xml:space="preserve">Evidence: role-based checklist.</x:t>
        </x:is>
      </x:c>
      <x:c r="Y292" s="6">
        <x:f>(S292*IF(E292="G",F292,0))+(S292*IF(G292="G",H292,0))</x:f>
      </x:c>
      <x:c r="Z292" s="6">
        <x:f>(S292*IF(E292="E",F292,0))+(S292*IF(G292="E",H292,0))</x:f>
      </x:c>
      <x:c r="AA292" s="6">
        <x:f>(S292*IF(E292="T",F292,0))+(S292*IF(G292="T",H292,0))</x:f>
      </x:c>
      <x:c r="AB292" s="6">
        <x:f>(S292*IF(E292="L",F292,0))+(S292*IF(G292="L",H292,0))</x:f>
      </x:c>
      <x:c r="AC292" s="6">
        <x:f>(S292*IF(E292="H",F292,0))+(S292*IF(G292="H",H292,0))</x:f>
      </x:c>
      <x:c r="AD292" s="6">
        <x:f>(S292*IF(E292="V",F292,0))+(S292*IF(G292="V",H292,0))</x:f>
      </x:c>
      <x:c r="AE292" s="6">
        <x:f>(S292*IF(E292="R",F292,0))+(S292*IF(G292="R",H292,0))</x:f>
      </x:c>
      <x:c r="AF292" s="6">
        <x:f>(S292*IF(E292="F",F292,0))+(S292*IF(G292="F",H292,0))</x:f>
      </x:c>
      <x:c r="AG292" s="6">
        <x:f>(S292*IF(E292="W",F292,0))+(S292*IF(G292="W",H292,0))</x:f>
      </x:c>
    </x:row>
    <x:row r="293">
      <x:c r="A293" s="3" t="inlineStr">
        <x:is>
          <x:t xml:space="preserve">HR</x:t>
        </x:is>
      </x:c>
      <x:c r="B293" s="3" t="inlineStr">
        <x:is>
          <x:t xml:space="preserve">HR-D5-Q17</x:t>
        </x:is>
      </x:c>
      <x:c r="C293" s="3" t="inlineStr">
        <x:is>
          <x:t xml:space="preserve">T1</x:t>
        </x:is>
      </x:c>
      <x:c r="D293" s="3" t="inlineStr">
        <x:is>
          <x:t xml:space="preserve">5. Friction &amp; Workarounds</x:t>
        </x:is>
      </x:c>
      <x:c r="E293" s="3" t="inlineStr">
        <x:is>
          <x:t xml:space="preserve">F</x:t>
        </x:is>
      </x:c>
      <x:c r="F293" s="3" t="n">
        <x:v>1</x:v>
      </x:c>
      <x:c r="G293" s="3" t="inlineStr">
        <x:is>
          <x:t xml:space="preserve">-</x:t>
        </x:is>
      </x:c>
      <x:c r="H293" s="3" t="inlineStr">
        <x:is>
          <x:t xml:space="preserve"/>
        </x:is>
      </x:c>
      <x:c r="I293" s="3" t="inlineStr">
        <x:is>
          <x:t xml:space="preserve">Do security controls create productivity issues that lead to workarounds, and is there a way to fix root causes quickly?</x:t>
        </x:is>
      </x:c>
      <x:c r="J293" s="3" t="inlineStr">
        <x:is>
          <x:t xml:space="preserve">Friction management = listen, prioritise fixes, reduce bypass pressure.</x:t>
        </x:is>
      </x:c>
      <x:c r="K293" s="3" t="inlineStr">
        <x:is>
          <x:t xml:space="preserve">Gatekeeper (If BaseScore &lt;2 → HR-D5-Q18; If ≥2 → HR-D5-Q19)</x:t>
        </x:is>
      </x:c>
      <x:c r="L293" s="3" t="inlineStr">
        <x:is>
          <x:t xml:space="preserve">OPS_STD</x:t>
        </x:is>
      </x:c>
      <x:c r="M293" s="3" t="n">
        <x:v>1</x:v>
      </x:c>
      <x:c r="N293" s="3" t="n"/>
      <x:c r="O293" s="3" t="n"/>
      <x:c r="P293" s="3" t="inlineStr">
        <x:is>
          <x:t xml:space="preserve">HR-D5-Q17-A0</x:t>
        </x:is>
      </x:c>
      <x:c r="Q293" s="3" t="n">
        <x:v>1</x:v>
      </x:c>
      <x:c r="R293" s="3" t="inlineStr">
        <x:is>
          <x:t xml:space="preserve">I don't know / Not sure.</x:t>
        </x:is>
      </x:c>
      <x:c r="S293" s="3" t="n">
        <x:v>0</x:v>
      </x:c>
      <x:c r="T293" s="3" t="inlineStr">
        <x:is>
          <x:t xml:space="preserve">low-confidence</x:t>
        </x:is>
      </x:c>
      <x:c r="U293" s="3" t="inlineStr">
        <x:is>
          <x:t xml:space="preserve">Bypass Pressure</x:t>
        </x:is>
      </x:c>
      <x:c r="V293" s="3" t="inlineStr">
        <x:is>
          <x:t xml:space="preserve">Clarify bypass signals</x:t>
        </x:is>
      </x:c>
      <x:c r="W293" s="3" t="inlineStr">
        <x:is>
          <x:t xml:space="preserve">N</x:t>
        </x:is>
      </x:c>
      <x:c r="X293" s="3" t="inlineStr">
        <x:is>
          <x:t xml:space="preserve"/>
        </x:is>
      </x:c>
      <x:c r="Y293" s="6">
        <x:f>(S293*IF(E293="G",F293,0))+(S293*IF(G293="G",H293,0))</x:f>
      </x:c>
      <x:c r="Z293" s="6">
        <x:f>(S293*IF(E293="E",F293,0))+(S293*IF(G293="E",H293,0))</x:f>
      </x:c>
      <x:c r="AA293" s="6">
        <x:f>(S293*IF(E293="T",F293,0))+(S293*IF(G293="T",H293,0))</x:f>
      </x:c>
      <x:c r="AB293" s="6">
        <x:f>(S293*IF(E293="L",F293,0))+(S293*IF(G293="L",H293,0))</x:f>
      </x:c>
      <x:c r="AC293" s="6">
        <x:f>(S293*IF(E293="H",F293,0))+(S293*IF(G293="H",H293,0))</x:f>
      </x:c>
      <x:c r="AD293" s="6">
        <x:f>(S293*IF(E293="V",F293,0))+(S293*IF(G293="V",H293,0))</x:f>
      </x:c>
      <x:c r="AE293" s="6">
        <x:f>(S293*IF(E293="R",F293,0))+(S293*IF(G293="R",H293,0))</x:f>
      </x:c>
      <x:c r="AF293" s="6">
        <x:f>(S293*IF(E293="F",F293,0))+(S293*IF(G293="F",H293,0))</x:f>
      </x:c>
      <x:c r="AG293" s="6">
        <x:f>(S293*IF(E293="W",F293,0))+(S293*IF(G293="W",H293,0))</x:f>
      </x:c>
    </x:row>
    <x:row r="294">
      <x:c r="A294" s="3" t="inlineStr">
        <x:is>
          <x:t xml:space="preserve">HR</x:t>
        </x:is>
      </x:c>
      <x:c r="B294" s="3" t="inlineStr">
        <x:is>
          <x:t xml:space="preserve">HR-D5-Q17</x:t>
        </x:is>
      </x:c>
      <x:c r="C294" s="3" t="inlineStr">
        <x:is>
          <x:t xml:space="preserve">T1</x:t>
        </x:is>
      </x:c>
      <x:c r="D294" s="3" t="inlineStr">
        <x:is>
          <x:t xml:space="preserve">5. Friction &amp; Workarounds</x:t>
        </x:is>
      </x:c>
      <x:c r="E294" s="3" t="inlineStr">
        <x:is>
          <x:t xml:space="preserve">F</x:t>
        </x:is>
      </x:c>
      <x:c r="F294" s="3" t="n">
        <x:v>1</x:v>
      </x:c>
      <x:c r="G294" s="3" t="inlineStr">
        <x:is>
          <x:t xml:space="preserve">-</x:t>
        </x:is>
      </x:c>
      <x:c r="H294" s="3" t="inlineStr">
        <x:is>
          <x:t xml:space="preserve"/>
        </x:is>
      </x:c>
      <x:c r="I294" s="3" t="inlineStr">
        <x:is>
          <x:t xml:space="preserve">Do security controls create productivity issues that lead to workarounds, and is there a way to fix root causes quickly?</x:t>
        </x:is>
      </x:c>
      <x:c r="J294" s="3" t="inlineStr">
        <x:is>
          <x:t xml:space="preserve">Friction management = listen, prioritise fixes, reduce bypass pressure.</x:t>
        </x:is>
      </x:c>
      <x:c r="K294" s="3" t="inlineStr">
        <x:is>
          <x:t xml:space="preserve">Gatekeeper (If BaseScore &lt;2 → HR-D5-Q18; If ≥2 → HR-D5-Q19)</x:t>
        </x:is>
      </x:c>
      <x:c r="L294" s="3" t="inlineStr">
        <x:is>
          <x:t xml:space="preserve">OPS_STD</x:t>
        </x:is>
      </x:c>
      <x:c r="M294" s="3" t="n">
        <x:v>1</x:v>
      </x:c>
      <x:c r="N294" s="3" t="n"/>
      <x:c r="O294" s="3" t="n"/>
      <x:c r="P294" s="3" t="inlineStr">
        <x:is>
          <x:t xml:space="preserve">HR-D5-Q17-A1</x:t>
        </x:is>
      </x:c>
      <x:c r="Q294" s="3" t="n">
        <x:v>2</x:v>
      </x:c>
      <x:c r="R294" s="3" t="inlineStr">
        <x:is>
          <x:t xml:space="preserve">No process: workarounds happen and are 'normal'.</x:t>
        </x:is>
      </x:c>
      <x:c r="S294" s="3" t="n">
        <x:v>0</x:v>
      </x:c>
      <x:c r="T294" s="3" t="inlineStr">
        <x:is>
          <x:t xml:space="preserve">bypass_pressure</x:t>
        </x:is>
      </x:c>
      <x:c r="U294" s="3" t="inlineStr">
        <x:is>
          <x:t xml:space="preserve">Bypass Pressure</x:t>
        </x:is>
      </x:c>
      <x:c r="V294" s="3" t="inlineStr">
        <x:is>
          <x:t xml:space="preserve">Implement friction intake</x:t>
        </x:is>
      </x:c>
      <x:c r="W294" s="3" t="inlineStr">
        <x:is>
          <x:t xml:space="preserve">N</x:t>
        </x:is>
      </x:c>
      <x:c r="X294" s="3" t="inlineStr">
        <x:is>
          <x:t xml:space="preserve"/>
        </x:is>
      </x:c>
      <x:c r="Y294" s="6">
        <x:f>(S294*IF(E294="G",F294,0))+(S294*IF(G294="G",H294,0))</x:f>
      </x:c>
      <x:c r="Z294" s="6">
        <x:f>(S294*IF(E294="E",F294,0))+(S294*IF(G294="E",H294,0))</x:f>
      </x:c>
      <x:c r="AA294" s="6">
        <x:f>(S294*IF(E294="T",F294,0))+(S294*IF(G294="T",H294,0))</x:f>
      </x:c>
      <x:c r="AB294" s="6">
        <x:f>(S294*IF(E294="L",F294,0))+(S294*IF(G294="L",H294,0))</x:f>
      </x:c>
      <x:c r="AC294" s="6">
        <x:f>(S294*IF(E294="H",F294,0))+(S294*IF(G294="H",H294,0))</x:f>
      </x:c>
      <x:c r="AD294" s="6">
        <x:f>(S294*IF(E294="V",F294,0))+(S294*IF(G294="V",H294,0))</x:f>
      </x:c>
      <x:c r="AE294" s="6">
        <x:f>(S294*IF(E294="R",F294,0))+(S294*IF(G294="R",H294,0))</x:f>
      </x:c>
      <x:c r="AF294" s="6">
        <x:f>(S294*IF(E294="F",F294,0))+(S294*IF(G294="F",H294,0))</x:f>
      </x:c>
      <x:c r="AG294" s="6">
        <x:f>(S294*IF(E294="W",F294,0))+(S294*IF(G294="W",H294,0))</x:f>
      </x:c>
    </x:row>
    <x:row r="295">
      <x:c r="A295" s="3" t="inlineStr">
        <x:is>
          <x:t xml:space="preserve">HR</x:t>
        </x:is>
      </x:c>
      <x:c r="B295" s="3" t="inlineStr">
        <x:is>
          <x:t xml:space="preserve">HR-D5-Q17</x:t>
        </x:is>
      </x:c>
      <x:c r="C295" s="3" t="inlineStr">
        <x:is>
          <x:t xml:space="preserve">T1</x:t>
        </x:is>
      </x:c>
      <x:c r="D295" s="3" t="inlineStr">
        <x:is>
          <x:t xml:space="preserve">5. Friction &amp; Workarounds</x:t>
        </x:is>
      </x:c>
      <x:c r="E295" s="3" t="inlineStr">
        <x:is>
          <x:t xml:space="preserve">F</x:t>
        </x:is>
      </x:c>
      <x:c r="F295" s="3" t="n">
        <x:v>1</x:v>
      </x:c>
      <x:c r="G295" s="3" t="inlineStr">
        <x:is>
          <x:t xml:space="preserve">-</x:t>
        </x:is>
      </x:c>
      <x:c r="H295" s="3" t="inlineStr">
        <x:is>
          <x:t xml:space="preserve"/>
        </x:is>
      </x:c>
      <x:c r="I295" s="3" t="inlineStr">
        <x:is>
          <x:t xml:space="preserve">Do security controls create productivity issues that lead to workarounds, and is there a way to fix root causes quickly?</x:t>
        </x:is>
      </x:c>
      <x:c r="J295" s="3" t="inlineStr">
        <x:is>
          <x:t xml:space="preserve">Friction management = listen, prioritise fixes, reduce bypass pressure.</x:t>
        </x:is>
      </x:c>
      <x:c r="K295" s="3" t="inlineStr">
        <x:is>
          <x:t xml:space="preserve">Gatekeeper (If BaseScore &lt;2 → HR-D5-Q18; If ≥2 → HR-D5-Q19)</x:t>
        </x:is>
      </x:c>
      <x:c r="L295" s="3" t="inlineStr">
        <x:is>
          <x:t xml:space="preserve">OPS_STD</x:t>
        </x:is>
      </x:c>
      <x:c r="M295" s="3" t="n">
        <x:v>1</x:v>
      </x:c>
      <x:c r="N295" s="3" t="n"/>
      <x:c r="O295" s="3" t="n"/>
      <x:c r="P295" s="3" t="inlineStr">
        <x:is>
          <x:t xml:space="preserve">HR-D5-Q17-A2</x:t>
        </x:is>
      </x:c>
      <x:c r="Q295" s="3" t="n">
        <x:v>3</x:v>
      </x:c>
      <x:c r="R295" s="3" t="inlineStr">
        <x:is>
          <x:t xml:space="preserve">Ad-hoc: complaints handled case-by-case; root causes rarely fixed.</x:t>
        </x:is>
      </x:c>
      <x:c r="S295" s="3" t="n">
        <x:v>1</x:v>
      </x:c>
      <x:c r="T295" s="3" t="inlineStr">
        <x:is>
          <x:t xml:space="preserve">shadow_mature_signal</x:t>
        </x:is>
      </x:c>
      <x:c r="U295" s="3" t="inlineStr">
        <x:is>
          <x:t xml:space="preserve">Bypass Pressure</x:t>
        </x:is>
      </x:c>
      <x:c r="V295" s="3" t="inlineStr">
        <x:is>
          <x:t xml:space="preserve">Create backlog and owners</x:t>
        </x:is>
      </x:c>
      <x:c r="W295" s="3" t="inlineStr">
        <x:is>
          <x:t xml:space="preserve">N</x:t>
        </x:is>
      </x:c>
      <x:c r="X295" s="3" t="inlineStr">
        <x:is>
          <x:t xml:space="preserve"/>
        </x:is>
      </x:c>
      <x:c r="Y295" s="6">
        <x:f>(S295*IF(E295="G",F295,0))+(S295*IF(G295="G",H295,0))</x:f>
      </x:c>
      <x:c r="Z295" s="6">
        <x:f>(S295*IF(E295="E",F295,0))+(S295*IF(G295="E",H295,0))</x:f>
      </x:c>
      <x:c r="AA295" s="6">
        <x:f>(S295*IF(E295="T",F295,0))+(S295*IF(G295="T",H295,0))</x:f>
      </x:c>
      <x:c r="AB295" s="6">
        <x:f>(S295*IF(E295="L",F295,0))+(S295*IF(G295="L",H295,0))</x:f>
      </x:c>
      <x:c r="AC295" s="6">
        <x:f>(S295*IF(E295="H",F295,0))+(S295*IF(G295="H",H295,0))</x:f>
      </x:c>
      <x:c r="AD295" s="6">
        <x:f>(S295*IF(E295="V",F295,0))+(S295*IF(G295="V",H295,0))</x:f>
      </x:c>
      <x:c r="AE295" s="6">
        <x:f>(S295*IF(E295="R",F295,0))+(S295*IF(G295="R",H295,0))</x:f>
      </x:c>
      <x:c r="AF295" s="6">
        <x:f>(S295*IF(E295="F",F295,0))+(S295*IF(G295="F",H295,0))</x:f>
      </x:c>
      <x:c r="AG295" s="6">
        <x:f>(S295*IF(E295="W",F295,0))+(S295*IF(G295="W",H295,0))</x:f>
      </x:c>
    </x:row>
    <x:row r="296">
      <x:c r="A296" s="3" t="inlineStr">
        <x:is>
          <x:t xml:space="preserve">HR</x:t>
        </x:is>
      </x:c>
      <x:c r="B296" s="3" t="inlineStr">
        <x:is>
          <x:t xml:space="preserve">HR-D5-Q17</x:t>
        </x:is>
      </x:c>
      <x:c r="C296" s="3" t="inlineStr">
        <x:is>
          <x:t xml:space="preserve">T1</x:t>
        </x:is>
      </x:c>
      <x:c r="D296" s="3" t="inlineStr">
        <x:is>
          <x:t xml:space="preserve">5. Friction &amp; Workarounds</x:t>
        </x:is>
      </x:c>
      <x:c r="E296" s="3" t="inlineStr">
        <x:is>
          <x:t xml:space="preserve">F</x:t>
        </x:is>
      </x:c>
      <x:c r="F296" s="3" t="n">
        <x:v>1</x:v>
      </x:c>
      <x:c r="G296" s="3" t="inlineStr">
        <x:is>
          <x:t xml:space="preserve">-</x:t>
        </x:is>
      </x:c>
      <x:c r="H296" s="3" t="inlineStr">
        <x:is>
          <x:t xml:space="preserve"/>
        </x:is>
      </x:c>
      <x:c r="I296" s="3" t="inlineStr">
        <x:is>
          <x:t xml:space="preserve">Do security controls create productivity issues that lead to workarounds, and is there a way to fix root causes quickly?</x:t>
        </x:is>
      </x:c>
      <x:c r="J296" s="3" t="inlineStr">
        <x:is>
          <x:t xml:space="preserve">Friction management = listen, prioritise fixes, reduce bypass pressure.</x:t>
        </x:is>
      </x:c>
      <x:c r="K296" s="3" t="inlineStr">
        <x:is>
          <x:t xml:space="preserve">Gatekeeper (If BaseScore &lt;2 → HR-D5-Q18; If ≥2 → HR-D5-Q19)</x:t>
        </x:is>
      </x:c>
      <x:c r="L296" s="3" t="inlineStr">
        <x:is>
          <x:t xml:space="preserve">OPS_STD</x:t>
        </x:is>
      </x:c>
      <x:c r="M296" s="3" t="n">
        <x:v>1</x:v>
      </x:c>
      <x:c r="N296" s="3" t="n"/>
      <x:c r="O296" s="3" t="n"/>
      <x:c r="P296" s="3" t="inlineStr">
        <x:is>
          <x:t xml:space="preserve">HR-D5-Q17-A3</x:t>
        </x:is>
      </x:c>
      <x:c r="Q296" s="3" t="n">
        <x:v>4</x:v>
      </x:c>
      <x:c r="R296" s="3" t="inlineStr">
        <x:is>
          <x:t xml:space="preserve">Defined: a channel exists; some fixes prioritised.</x:t>
        </x:is>
      </x:c>
      <x:c r="S296" s="3" t="n">
        <x:v>2</x:v>
      </x:c>
      <x:c r="T296" s="3" t="inlineStr">
        <x:is>
          <x:t xml:space="preserve"/>
        </x:is>
      </x:c>
      <x:c r="U296" s="3" t="inlineStr">
        <x:is>
          <x:t xml:space="preserve">Bypass Pressure</x:t>
        </x:is>
      </x:c>
      <x:c r="V296" s="3" t="inlineStr">
        <x:is>
          <x:t xml:space="preserve">Strengthen prioritisation</x:t>
        </x:is>
      </x:c>
      <x:c r="W296" s="3" t="inlineStr">
        <x:is>
          <x:t xml:space="preserve">N</x:t>
        </x:is>
      </x:c>
      <x:c r="X296" s="3" t="inlineStr">
        <x:is>
          <x:t xml:space="preserve">Evidence: tickets/backlog.</x:t>
        </x:is>
      </x:c>
      <x:c r="Y296" s="6">
        <x:f>(S296*IF(E296="G",F296,0))+(S296*IF(G296="G",H296,0))</x:f>
      </x:c>
      <x:c r="Z296" s="6">
        <x:f>(S296*IF(E296="E",F296,0))+(S296*IF(G296="E",H296,0))</x:f>
      </x:c>
      <x:c r="AA296" s="6">
        <x:f>(S296*IF(E296="T",F296,0))+(S296*IF(G296="T",H296,0))</x:f>
      </x:c>
      <x:c r="AB296" s="6">
        <x:f>(S296*IF(E296="L",F296,0))+(S296*IF(G296="L",H296,0))</x:f>
      </x:c>
      <x:c r="AC296" s="6">
        <x:f>(S296*IF(E296="H",F296,0))+(S296*IF(G296="H",H296,0))</x:f>
      </x:c>
      <x:c r="AD296" s="6">
        <x:f>(S296*IF(E296="V",F296,0))+(S296*IF(G296="V",H296,0))</x:f>
      </x:c>
      <x:c r="AE296" s="6">
        <x:f>(S296*IF(E296="R",F296,0))+(S296*IF(G296="R",H296,0))</x:f>
      </x:c>
      <x:c r="AF296" s="6">
        <x:f>(S296*IF(E296="F",F296,0))+(S296*IF(G296="F",H296,0))</x:f>
      </x:c>
      <x:c r="AG296" s="6">
        <x:f>(S296*IF(E296="W",F296,0))+(S296*IF(G296="W",H296,0))</x:f>
      </x:c>
    </x:row>
    <x:row r="297">
      <x:c r="A297" s="3" t="inlineStr">
        <x:is>
          <x:t xml:space="preserve">HR</x:t>
        </x:is>
      </x:c>
      <x:c r="B297" s="3" t="inlineStr">
        <x:is>
          <x:t xml:space="preserve">HR-D5-Q17</x:t>
        </x:is>
      </x:c>
      <x:c r="C297" s="3" t="inlineStr">
        <x:is>
          <x:t xml:space="preserve">T1</x:t>
        </x:is>
      </x:c>
      <x:c r="D297" s="3" t="inlineStr">
        <x:is>
          <x:t xml:space="preserve">5. Friction &amp; Workarounds</x:t>
        </x:is>
      </x:c>
      <x:c r="E297" s="3" t="inlineStr">
        <x:is>
          <x:t xml:space="preserve">F</x:t>
        </x:is>
      </x:c>
      <x:c r="F297" s="3" t="n">
        <x:v>1</x:v>
      </x:c>
      <x:c r="G297" s="3" t="inlineStr">
        <x:is>
          <x:t xml:space="preserve">-</x:t>
        </x:is>
      </x:c>
      <x:c r="H297" s="3" t="inlineStr">
        <x:is>
          <x:t xml:space="preserve"/>
        </x:is>
      </x:c>
      <x:c r="I297" s="3" t="inlineStr">
        <x:is>
          <x:t xml:space="preserve">Do security controls create productivity issues that lead to workarounds, and is there a way to fix root causes quickly?</x:t>
        </x:is>
      </x:c>
      <x:c r="J297" s="3" t="inlineStr">
        <x:is>
          <x:t xml:space="preserve">Friction management = listen, prioritise fixes, reduce bypass pressure.</x:t>
        </x:is>
      </x:c>
      <x:c r="K297" s="3" t="inlineStr">
        <x:is>
          <x:t xml:space="preserve">Gatekeeper (If BaseScore &lt;2 → HR-D5-Q18; If ≥2 → HR-D5-Q19)</x:t>
        </x:is>
      </x:c>
      <x:c r="L297" s="3" t="inlineStr">
        <x:is>
          <x:t xml:space="preserve">OPS_STD</x:t>
        </x:is>
      </x:c>
      <x:c r="M297" s="3" t="n">
        <x:v>1</x:v>
      </x:c>
      <x:c r="N297" s="3" t="n"/>
      <x:c r="O297" s="3" t="n"/>
      <x:c r="P297" s="3" t="inlineStr">
        <x:is>
          <x:t xml:space="preserve">HR-D5-Q17-A4</x:t>
        </x:is>
      </x:c>
      <x:c r="Q297" s="3" t="n">
        <x:v>5</x:v>
      </x:c>
      <x:c r="R297" s="3" t="inlineStr">
        <x:is>
          <x:t xml:space="preserve">Managed: friction metrics tracked; fixes reduce repeated workarounds.</x:t>
        </x:is>
      </x:c>
      <x:c r="S297" s="3" t="n">
        <x:v>3</x:v>
      </x:c>
      <x:c r="T297" s="3" t="inlineStr">
        <x:is>
          <x:t xml:space="preserve"/>
        </x:is>
      </x:c>
      <x:c r="U297" s="3" t="inlineStr">
        <x:is>
          <x:t xml:space="preserve">Bypass Pressure</x:t>
        </x:is>
      </x:c>
      <x:c r="V297" s="3" t="inlineStr">
        <x:is>
          <x:t xml:space="preserve">Maintain metrics</x:t>
        </x:is>
      </x:c>
      <x:c r="W297" s="3" t="inlineStr">
        <x:is>
          <x:t xml:space="preserve">N</x:t>
        </x:is>
      </x:c>
      <x:c r="X297" s="3" t="inlineStr">
        <x:is>
          <x:t xml:space="preserve">Evidence: before/after examples.</x:t>
        </x:is>
      </x:c>
      <x:c r="Y297" s="6">
        <x:f>(S297*IF(E297="G",F297,0))+(S297*IF(G297="G",H297,0))</x:f>
      </x:c>
      <x:c r="Z297" s="6">
        <x:f>(S297*IF(E297="E",F297,0))+(S297*IF(G297="E",H297,0))</x:f>
      </x:c>
      <x:c r="AA297" s="6">
        <x:f>(S297*IF(E297="T",F297,0))+(S297*IF(G297="T",H297,0))</x:f>
      </x:c>
      <x:c r="AB297" s="6">
        <x:f>(S297*IF(E297="L",F297,0))+(S297*IF(G297="L",H297,0))</x:f>
      </x:c>
      <x:c r="AC297" s="6">
        <x:f>(S297*IF(E297="H",F297,0))+(S297*IF(G297="H",H297,0))</x:f>
      </x:c>
      <x:c r="AD297" s="6">
        <x:f>(S297*IF(E297="V",F297,0))+(S297*IF(G297="V",H297,0))</x:f>
      </x:c>
      <x:c r="AE297" s="6">
        <x:f>(S297*IF(E297="R",F297,0))+(S297*IF(G297="R",H297,0))</x:f>
      </x:c>
      <x:c r="AF297" s="6">
        <x:f>(S297*IF(E297="F",F297,0))+(S297*IF(G297="F",H297,0))</x:f>
      </x:c>
      <x:c r="AG297" s="6">
        <x:f>(S297*IF(E297="W",F297,0))+(S297*IF(G297="W",H297,0))</x:f>
      </x:c>
    </x:row>
    <x:row r="298">
      <x:c r="A298" s="3" t="inlineStr">
        <x:is>
          <x:t xml:space="preserve">HR</x:t>
        </x:is>
      </x:c>
      <x:c r="B298" s="3" t="inlineStr">
        <x:is>
          <x:t xml:space="preserve">HR-D5-Q17</x:t>
        </x:is>
      </x:c>
      <x:c r="C298" s="3" t="inlineStr">
        <x:is>
          <x:t xml:space="preserve">T1</x:t>
        </x:is>
      </x:c>
      <x:c r="D298" s="3" t="inlineStr">
        <x:is>
          <x:t xml:space="preserve">5. Friction &amp; Workarounds</x:t>
        </x:is>
      </x:c>
      <x:c r="E298" s="3" t="inlineStr">
        <x:is>
          <x:t xml:space="preserve">F</x:t>
        </x:is>
      </x:c>
      <x:c r="F298" s="3" t="n">
        <x:v>1</x:v>
      </x:c>
      <x:c r="G298" s="3" t="inlineStr">
        <x:is>
          <x:t xml:space="preserve">-</x:t>
        </x:is>
      </x:c>
      <x:c r="H298" s="3" t="inlineStr">
        <x:is>
          <x:t xml:space="preserve"/>
        </x:is>
      </x:c>
      <x:c r="I298" s="3" t="inlineStr">
        <x:is>
          <x:t xml:space="preserve">Do security controls create productivity issues that lead to workarounds, and is there a way to fix root causes quickly?</x:t>
        </x:is>
      </x:c>
      <x:c r="J298" s="3" t="inlineStr">
        <x:is>
          <x:t xml:space="preserve">Friction management = listen, prioritise fixes, reduce bypass pressure.</x:t>
        </x:is>
      </x:c>
      <x:c r="K298" s="3" t="inlineStr">
        <x:is>
          <x:t xml:space="preserve">Gatekeeper (If BaseScore &lt;2 → HR-D5-Q18; If ≥2 → HR-D5-Q19)</x:t>
        </x:is>
      </x:c>
      <x:c r="L298" s="3" t="inlineStr">
        <x:is>
          <x:t xml:space="preserve">OPS_STD</x:t>
        </x:is>
      </x:c>
      <x:c r="M298" s="3" t="n">
        <x:v>1</x:v>
      </x:c>
      <x:c r="N298" s="3" t="n"/>
      <x:c r="O298" s="3" t="n"/>
      <x:c r="P298" s="3" t="inlineStr">
        <x:is>
          <x:t xml:space="preserve">HR-D5-Q17-A5</x:t>
        </x:is>
      </x:c>
      <x:c r="Q298" s="3" t="n">
        <x:v>6</x:v>
      </x:c>
      <x:c r="R298" s="3" t="inlineStr">
        <x:is>
          <x:t xml:space="preserve">Optimized: low bypass pressure; usability designed in; exceptions rare/time-bound.</x:t>
        </x:is>
      </x:c>
      <x:c r="S298" s="3" t="n">
        <x:v>4</x:v>
      </x:c>
      <x:c r="T298" s="3" t="inlineStr">
        <x:is>
          <x:t xml:space="preserve"/>
        </x:is>
      </x:c>
      <x:c r="U298" s="3" t="inlineStr">
        <x:is>
          <x:t xml:space="preserve">Bypass Pressure</x:t>
        </x:is>
      </x:c>
      <x:c r="V298" s="3" t="inlineStr">
        <x:is>
          <x:t xml:space="preserve">Maintain maturity</x:t>
        </x:is>
      </x:c>
      <x:c r="W298" s="3" t="inlineStr">
        <x:is>
          <x:t xml:space="preserve">N</x:t>
        </x:is>
      </x:c>
      <x:c r="X298" s="3" t="inlineStr">
        <x:is>
          <x:t xml:space="preserve">Evidence: exception rates.</x:t>
        </x:is>
      </x:c>
      <x:c r="Y298" s="6">
        <x:f>(S298*IF(E298="G",F298,0))+(S298*IF(G298="G",H298,0))</x:f>
      </x:c>
      <x:c r="Z298" s="6">
        <x:f>(S298*IF(E298="E",F298,0))+(S298*IF(G298="E",H298,0))</x:f>
      </x:c>
      <x:c r="AA298" s="6">
        <x:f>(S298*IF(E298="T",F298,0))+(S298*IF(G298="T",H298,0))</x:f>
      </x:c>
      <x:c r="AB298" s="6">
        <x:f>(S298*IF(E298="L",F298,0))+(S298*IF(G298="L",H298,0))</x:f>
      </x:c>
      <x:c r="AC298" s="6">
        <x:f>(S298*IF(E298="H",F298,0))+(S298*IF(G298="H",H298,0))</x:f>
      </x:c>
      <x:c r="AD298" s="6">
        <x:f>(S298*IF(E298="V",F298,0))+(S298*IF(G298="V",H298,0))</x:f>
      </x:c>
      <x:c r="AE298" s="6">
        <x:f>(S298*IF(E298="R",F298,0))+(S298*IF(G298="R",H298,0))</x:f>
      </x:c>
      <x:c r="AF298" s="6">
        <x:f>(S298*IF(E298="F",F298,0))+(S298*IF(G298="F",H298,0))</x:f>
      </x:c>
      <x:c r="AG298" s="6">
        <x:f>(S298*IF(E298="W",F298,0))+(S298*IF(G298="W",H298,0))</x:f>
      </x:c>
    </x:row>
    <x:row r="299">
      <x:c r="A299" s="3" t="inlineStr">
        <x:is>
          <x:t xml:space="preserve">HR</x:t>
        </x:is>
      </x:c>
      <x:c r="B299" s="3" t="inlineStr">
        <x:is>
          <x:t xml:space="preserve">HR-D5-Q18</x:t>
        </x:is>
      </x:c>
      <x:c r="C299" s="3" t="inlineStr">
        <x:is>
          <x:t xml:space="preserve">T2</x:t>
        </x:is>
      </x:c>
      <x:c r="D299" s="3" t="inlineStr">
        <x:is>
          <x:t xml:space="preserve">5. Friction &amp; Workarounds</x:t>
        </x:is>
      </x:c>
      <x:c r="E299" s="3" t="inlineStr">
        <x:is>
          <x:t xml:space="preserve">F</x:t>
        </x:is>
      </x:c>
      <x:c r="F299" s="3" t="n">
        <x:v>0.5</x:v>
      </x:c>
      <x:c r="G299" s="3" t="inlineStr">
        <x:is>
          <x:t xml:space="preserve">E</x:t>
        </x:is>
      </x:c>
      <x:c r="H299" s="3" t="n">
        <x:v>0.5</x:v>
      </x:c>
      <x:c r="I299" s="3" t="inlineStr">
        <x:is>
          <x:t xml:space="preserve">(Shadow probe) If workarounds happen, do you learn about them and fix root causes (not just punish people)?</x:t>
        </x:is>
      </x:c>
      <x:c r="J299" s="3" t="inlineStr">
        <x:is>
          <x:t xml:space="preserve">Learning loops reduce bypass pressure.</x:t>
        </x:is>
      </x:c>
      <x:c r="K299" s="3" t="inlineStr">
        <x:is>
          <x:t xml:space="preserve">Shadow fallback (Then → HR-D6-Q20)</x:t>
        </x:is>
      </x:c>
      <x:c r="L299" s="3" t="inlineStr">
        <x:is>
          <x:t xml:space="preserve">OPS_STD</x:t>
        </x:is>
      </x:c>
      <x:c r="M299" s="3" t="n">
        <x:v>1</x:v>
      </x:c>
      <x:c r="N299" s="3" t="n"/>
      <x:c r="O299" s="3" t="n"/>
      <x:c r="P299" s="3" t="inlineStr">
        <x:is>
          <x:t xml:space="preserve">HR-D5-Q18-A1</x:t>
        </x:is>
      </x:c>
      <x:c r="Q299" s="3" t="n">
        <x:v>1</x:v>
      </x:c>
      <x:c r="R299" s="3" t="inlineStr">
        <x:is>
          <x:t xml:space="preserve">No: bypass discovered only after incidents/audits.</x:t>
        </x:is>
      </x:c>
      <x:c r="S299" s="3" t="n">
        <x:v>0</x:v>
      </x:c>
      <x:c r="T299" s="3" t="inlineStr">
        <x:is>
          <x:t xml:space="preserve">bypass_pressure,paper_dragon_signal</x:t>
        </x:is>
      </x:c>
      <x:c r="U299" s="3" t="inlineStr">
        <x:is>
          <x:t xml:space="preserve">Bypass Pressure</x:t>
        </x:is>
      </x:c>
      <x:c r="V299" s="3" t="inlineStr">
        <x:is>
          <x:t xml:space="preserve">Create feedback loop</x:t>
        </x:is>
      </x:c>
      <x:c r="W299" s="3" t="inlineStr">
        <x:is>
          <x:t xml:space="preserve">N</x:t>
        </x:is>
      </x:c>
      <x:c r="X299" s="3" t="inlineStr">
        <x:is>
          <x:t xml:space="preserve"/>
        </x:is>
      </x:c>
      <x:c r="Y299" s="6">
        <x:f>(S299*IF(E299="G",F299,0))+(S299*IF(G299="G",H299,0))</x:f>
      </x:c>
      <x:c r="Z299" s="6">
        <x:f>(S299*IF(E299="E",F299,0))+(S299*IF(G299="E",H299,0))</x:f>
      </x:c>
      <x:c r="AA299" s="6">
        <x:f>(S299*IF(E299="T",F299,0))+(S299*IF(G299="T",H299,0))</x:f>
      </x:c>
      <x:c r="AB299" s="6">
        <x:f>(S299*IF(E299="L",F299,0))+(S299*IF(G299="L",H299,0))</x:f>
      </x:c>
      <x:c r="AC299" s="6">
        <x:f>(S299*IF(E299="H",F299,0))+(S299*IF(G299="H",H299,0))</x:f>
      </x:c>
      <x:c r="AD299" s="6">
        <x:f>(S299*IF(E299="V",F299,0))+(S299*IF(G299="V",H299,0))</x:f>
      </x:c>
      <x:c r="AE299" s="6">
        <x:f>(S299*IF(E299="R",F299,0))+(S299*IF(G299="R",H299,0))</x:f>
      </x:c>
      <x:c r="AF299" s="6">
        <x:f>(S299*IF(E299="F",F299,0))+(S299*IF(G299="F",H299,0))</x:f>
      </x:c>
      <x:c r="AG299" s="6">
        <x:f>(S299*IF(E299="W",F299,0))+(S299*IF(G299="W",H299,0))</x:f>
      </x:c>
    </x:row>
    <x:row r="300">
      <x:c r="A300" s="3" t="inlineStr">
        <x:is>
          <x:t xml:space="preserve">HR</x:t>
        </x:is>
      </x:c>
      <x:c r="B300" s="3" t="inlineStr">
        <x:is>
          <x:t xml:space="preserve">HR-D5-Q18</x:t>
        </x:is>
      </x:c>
      <x:c r="C300" s="3" t="inlineStr">
        <x:is>
          <x:t xml:space="preserve">T2</x:t>
        </x:is>
      </x:c>
      <x:c r="D300" s="3" t="inlineStr">
        <x:is>
          <x:t xml:space="preserve">5. Friction &amp; Workarounds</x:t>
        </x:is>
      </x:c>
      <x:c r="E300" s="3" t="inlineStr">
        <x:is>
          <x:t xml:space="preserve">F</x:t>
        </x:is>
      </x:c>
      <x:c r="F300" s="3" t="n">
        <x:v>0.5</x:v>
      </x:c>
      <x:c r="G300" s="3" t="inlineStr">
        <x:is>
          <x:t xml:space="preserve">E</x:t>
        </x:is>
      </x:c>
      <x:c r="H300" s="3" t="n">
        <x:v>0.5</x:v>
      </x:c>
      <x:c r="I300" s="3" t="inlineStr">
        <x:is>
          <x:t xml:space="preserve">(Shadow probe) If workarounds happen, do you learn about them and fix root causes (not just punish people)?</x:t>
        </x:is>
      </x:c>
      <x:c r="J300" s="3" t="inlineStr">
        <x:is>
          <x:t xml:space="preserve">Learning loops reduce bypass pressure.</x:t>
        </x:is>
      </x:c>
      <x:c r="K300" s="3" t="inlineStr">
        <x:is>
          <x:t xml:space="preserve">Shadow fallback (Then → HR-D6-Q20)</x:t>
        </x:is>
      </x:c>
      <x:c r="L300" s="3" t="inlineStr">
        <x:is>
          <x:t xml:space="preserve">OPS_STD</x:t>
        </x:is>
      </x:c>
      <x:c r="M300" s="3" t="n">
        <x:v>1</x:v>
      </x:c>
      <x:c r="N300" s="3" t="n"/>
      <x:c r="O300" s="3" t="n"/>
      <x:c r="P300" s="3" t="inlineStr">
        <x:is>
          <x:t xml:space="preserve">HR-D5-Q18-A2</x:t>
        </x:is>
      </x:c>
      <x:c r="Q300" s="3" t="n">
        <x:v>2</x:v>
      </x:c>
      <x:c r="R300" s="3" t="inlineStr">
        <x:is>
          <x:t xml:space="preserve">Sometimes: managers/HR hear about it; actions vary.</x:t>
        </x:is>
      </x:c>
      <x:c r="S300" s="3" t="n">
        <x:v>1</x:v>
      </x:c>
      <x:c r="T300" s="3" t="inlineStr">
        <x:is>
          <x:t xml:space="preserve">key_person_dependency</x:t>
        </x:is>
      </x:c>
      <x:c r="U300" s="3" t="inlineStr">
        <x:is>
          <x:t xml:space="preserve">Bypass Pressure</x:t>
        </x:is>
      </x:c>
      <x:c r="V300" s="3" t="inlineStr">
        <x:is>
          <x:t xml:space="preserve">Define triage and fixes</x:t>
        </x:is>
      </x:c>
      <x:c r="W300" s="3" t="inlineStr">
        <x:is>
          <x:t xml:space="preserve">N</x:t>
        </x:is>
      </x:c>
      <x:c r="X300" s="3" t="inlineStr">
        <x:is>
          <x:t xml:space="preserve"/>
        </x:is>
      </x:c>
      <x:c r="Y300" s="6">
        <x:f>(S300*IF(E300="G",F300,0))+(S300*IF(G300="G",H300,0))</x:f>
      </x:c>
      <x:c r="Z300" s="6">
        <x:f>(S300*IF(E300="E",F300,0))+(S300*IF(G300="E",H300,0))</x:f>
      </x:c>
      <x:c r="AA300" s="6">
        <x:f>(S300*IF(E300="T",F300,0))+(S300*IF(G300="T",H300,0))</x:f>
      </x:c>
      <x:c r="AB300" s="6">
        <x:f>(S300*IF(E300="L",F300,0))+(S300*IF(G300="L",H300,0))</x:f>
      </x:c>
      <x:c r="AC300" s="6">
        <x:f>(S300*IF(E300="H",F300,0))+(S300*IF(G300="H",H300,0))</x:f>
      </x:c>
      <x:c r="AD300" s="6">
        <x:f>(S300*IF(E300="V",F300,0))+(S300*IF(G300="V",H300,0))</x:f>
      </x:c>
      <x:c r="AE300" s="6">
        <x:f>(S300*IF(E300="R",F300,0))+(S300*IF(G300="R",H300,0))</x:f>
      </x:c>
      <x:c r="AF300" s="6">
        <x:f>(S300*IF(E300="F",F300,0))+(S300*IF(G300="F",H300,0))</x:f>
      </x:c>
      <x:c r="AG300" s="6">
        <x:f>(S300*IF(E300="W",F300,0))+(S300*IF(G300="W",H300,0))</x:f>
      </x:c>
    </x:row>
    <x:row r="301">
      <x:c r="A301" s="3" t="inlineStr">
        <x:is>
          <x:t xml:space="preserve">HR</x:t>
        </x:is>
      </x:c>
      <x:c r="B301" s="3" t="inlineStr">
        <x:is>
          <x:t xml:space="preserve">HR-D5-Q18</x:t>
        </x:is>
      </x:c>
      <x:c r="C301" s="3" t="inlineStr">
        <x:is>
          <x:t xml:space="preserve">T2</x:t>
        </x:is>
      </x:c>
      <x:c r="D301" s="3" t="inlineStr">
        <x:is>
          <x:t xml:space="preserve">5. Friction &amp; Workarounds</x:t>
        </x:is>
      </x:c>
      <x:c r="E301" s="3" t="inlineStr">
        <x:is>
          <x:t xml:space="preserve">F</x:t>
        </x:is>
      </x:c>
      <x:c r="F301" s="3" t="n">
        <x:v>0.5</x:v>
      </x:c>
      <x:c r="G301" s="3" t="inlineStr">
        <x:is>
          <x:t xml:space="preserve">E</x:t>
        </x:is>
      </x:c>
      <x:c r="H301" s="3" t="n">
        <x:v>0.5</x:v>
      </x:c>
      <x:c r="I301" s="3" t="inlineStr">
        <x:is>
          <x:t xml:space="preserve">(Shadow probe) If workarounds happen, do you learn about them and fix root causes (not just punish people)?</x:t>
        </x:is>
      </x:c>
      <x:c r="J301" s="3" t="inlineStr">
        <x:is>
          <x:t xml:space="preserve">Learning loops reduce bypass pressure.</x:t>
        </x:is>
      </x:c>
      <x:c r="K301" s="3" t="inlineStr">
        <x:is>
          <x:t xml:space="preserve">Shadow fallback (Then → HR-D6-Q20)</x:t>
        </x:is>
      </x:c>
      <x:c r="L301" s="3" t="inlineStr">
        <x:is>
          <x:t xml:space="preserve">OPS_STD</x:t>
        </x:is>
      </x:c>
      <x:c r="M301" s="3" t="n">
        <x:v>1</x:v>
      </x:c>
      <x:c r="N301" s="3" t="n"/>
      <x:c r="O301" s="3" t="n"/>
      <x:c r="P301" s="3" t="inlineStr">
        <x:is>
          <x:t xml:space="preserve">HR-D5-Q18-A3</x:t>
        </x:is>
      </x:c>
      <x:c r="Q301" s="3" t="n">
        <x:v>3</x:v>
      </x:c>
      <x:c r="R301" s="3" t="inlineStr">
        <x:is>
          <x:t xml:space="preserve">Usually: signals collected and discussed; some fixes implemented.</x:t>
        </x:is>
      </x:c>
      <x:c r="S301" s="3" t="n">
        <x:v>2</x:v>
      </x:c>
      <x:c r="T301" s="3" t="inlineStr">
        <x:is>
          <x:t xml:space="preserve"/>
        </x:is>
      </x:c>
      <x:c r="U301" s="3" t="inlineStr">
        <x:is>
          <x:t xml:space="preserve">Bypass Pressure</x:t>
        </x:is>
      </x:c>
      <x:c r="V301" s="3" t="inlineStr">
        <x:is>
          <x:t xml:space="preserve">Formalize backlog</x:t>
        </x:is>
      </x:c>
      <x:c r="W301" s="3" t="inlineStr">
        <x:is>
          <x:t xml:space="preserve">N</x:t>
        </x:is>
      </x:c>
      <x:c r="X301" s="3" t="inlineStr">
        <x:is>
          <x:t xml:space="preserve"/>
        </x:is>
      </x:c>
      <x:c r="Y301" s="6">
        <x:f>(S301*IF(E301="G",F301,0))+(S301*IF(G301="G",H301,0))</x:f>
      </x:c>
      <x:c r="Z301" s="6">
        <x:f>(S301*IF(E301="E",F301,0))+(S301*IF(G301="E",H301,0))</x:f>
      </x:c>
      <x:c r="AA301" s="6">
        <x:f>(S301*IF(E301="T",F301,0))+(S301*IF(G301="T",H301,0))</x:f>
      </x:c>
      <x:c r="AB301" s="6">
        <x:f>(S301*IF(E301="L",F301,0))+(S301*IF(G301="L",H301,0))</x:f>
      </x:c>
      <x:c r="AC301" s="6">
        <x:f>(S301*IF(E301="H",F301,0))+(S301*IF(G301="H",H301,0))</x:f>
      </x:c>
      <x:c r="AD301" s="6">
        <x:f>(S301*IF(E301="V",F301,0))+(S301*IF(G301="V",H301,0))</x:f>
      </x:c>
      <x:c r="AE301" s="6">
        <x:f>(S301*IF(E301="R",F301,0))+(S301*IF(G301="R",H301,0))</x:f>
      </x:c>
      <x:c r="AF301" s="6">
        <x:f>(S301*IF(E301="F",F301,0))+(S301*IF(G301="F",H301,0))</x:f>
      </x:c>
      <x:c r="AG301" s="6">
        <x:f>(S301*IF(E301="W",F301,0))+(S301*IF(G301="W",H301,0))</x:f>
      </x:c>
    </x:row>
    <x:row r="302">
      <x:c r="A302" s="3" t="inlineStr">
        <x:is>
          <x:t xml:space="preserve">HR</x:t>
        </x:is>
      </x:c>
      <x:c r="B302" s="3" t="inlineStr">
        <x:is>
          <x:t xml:space="preserve">HR-D5-Q18</x:t>
        </x:is>
      </x:c>
      <x:c r="C302" s="3" t="inlineStr">
        <x:is>
          <x:t xml:space="preserve">T2</x:t>
        </x:is>
      </x:c>
      <x:c r="D302" s="3" t="inlineStr">
        <x:is>
          <x:t xml:space="preserve">5. Friction &amp; Workarounds</x:t>
        </x:is>
      </x:c>
      <x:c r="E302" s="3" t="inlineStr">
        <x:is>
          <x:t xml:space="preserve">F</x:t>
        </x:is>
      </x:c>
      <x:c r="F302" s="3" t="n">
        <x:v>0.5</x:v>
      </x:c>
      <x:c r="G302" s="3" t="inlineStr">
        <x:is>
          <x:t xml:space="preserve">E</x:t>
        </x:is>
      </x:c>
      <x:c r="H302" s="3" t="n">
        <x:v>0.5</x:v>
      </x:c>
      <x:c r="I302" s="3" t="inlineStr">
        <x:is>
          <x:t xml:space="preserve">(Shadow probe) If workarounds happen, do you learn about them and fix root causes (not just punish people)?</x:t>
        </x:is>
      </x:c>
      <x:c r="J302" s="3" t="inlineStr">
        <x:is>
          <x:t xml:space="preserve">Learning loops reduce bypass pressure.</x:t>
        </x:is>
      </x:c>
      <x:c r="K302" s="3" t="inlineStr">
        <x:is>
          <x:t xml:space="preserve">Shadow fallback (Then → HR-D6-Q20)</x:t>
        </x:is>
      </x:c>
      <x:c r="L302" s="3" t="inlineStr">
        <x:is>
          <x:t xml:space="preserve">OPS_STD</x:t>
        </x:is>
      </x:c>
      <x:c r="M302" s="3" t="n">
        <x:v>1</x:v>
      </x:c>
      <x:c r="N302" s="3" t="n"/>
      <x:c r="O302" s="3" t="n"/>
      <x:c r="P302" s="3" t="inlineStr">
        <x:is>
          <x:t xml:space="preserve">HR-D5-Q18-A4</x:t>
        </x:is>
      </x:c>
      <x:c r="Q302" s="3" t="n">
        <x:v>4</x:v>
      </x:c>
      <x:c r="R302" s="3" t="inlineStr">
        <x:is>
          <x:t xml:space="preserve">Yes: consistent intake, root-cause analysis, and prioritised remediation.</x:t>
        </x:is>
      </x:c>
      <x:c r="S302" s="3" t="n">
        <x:v>3</x:v>
      </x:c>
      <x:c r="T302" s="3" t="inlineStr">
        <x:is>
          <x:t xml:space="preserve"/>
        </x:is>
      </x:c>
      <x:c r="U302" s="3" t="inlineStr">
        <x:is>
          <x:t xml:space="preserve">Bypass Pressure</x:t>
        </x:is>
      </x:c>
      <x:c r="V302" s="3" t="inlineStr">
        <x:is>
          <x:t xml:space="preserve">Maintain and measure</x:t>
        </x:is>
      </x:c>
      <x:c r="W302" s="3" t="inlineStr">
        <x:is>
          <x:t xml:space="preserve">N</x:t>
        </x:is>
      </x:c>
      <x:c r="X302" s="3" t="inlineStr">
        <x:is>
          <x:t xml:space="preserve">Evidence: RCA examples.</x:t>
        </x:is>
      </x:c>
      <x:c r="Y302" s="6">
        <x:f>(S302*IF(E302="G",F302,0))+(S302*IF(G302="G",H302,0))</x:f>
      </x:c>
      <x:c r="Z302" s="6">
        <x:f>(S302*IF(E302="E",F302,0))+(S302*IF(G302="E",H302,0))</x:f>
      </x:c>
      <x:c r="AA302" s="6">
        <x:f>(S302*IF(E302="T",F302,0))+(S302*IF(G302="T",H302,0))</x:f>
      </x:c>
      <x:c r="AB302" s="6">
        <x:f>(S302*IF(E302="L",F302,0))+(S302*IF(G302="L",H302,0))</x:f>
      </x:c>
      <x:c r="AC302" s="6">
        <x:f>(S302*IF(E302="H",F302,0))+(S302*IF(G302="H",H302,0))</x:f>
      </x:c>
      <x:c r="AD302" s="6">
        <x:f>(S302*IF(E302="V",F302,0))+(S302*IF(G302="V",H302,0))</x:f>
      </x:c>
      <x:c r="AE302" s="6">
        <x:f>(S302*IF(E302="R",F302,0))+(S302*IF(G302="R",H302,0))</x:f>
      </x:c>
      <x:c r="AF302" s="6">
        <x:f>(S302*IF(E302="F",F302,0))+(S302*IF(G302="F",H302,0))</x:f>
      </x:c>
      <x:c r="AG302" s="6">
        <x:f>(S302*IF(E302="W",F302,0))+(S302*IF(G302="W",H302,0))</x:f>
      </x:c>
    </x:row>
    <x:row r="303">
      <x:c r="A303" s="3" t="inlineStr">
        <x:is>
          <x:t xml:space="preserve">HR</x:t>
        </x:is>
      </x:c>
      <x:c r="B303" s="3" t="inlineStr">
        <x:is>
          <x:t xml:space="preserve">HR-D5-Q19</x:t>
        </x:is>
      </x:c>
      <x:c r="C303" s="3" t="inlineStr">
        <x:is>
          <x:t xml:space="preserve">T2</x:t>
        </x:is>
      </x:c>
      <x:c r="D303" s="3" t="inlineStr">
        <x:is>
          <x:t xml:space="preserve">5. Friction &amp; Workarounds</x:t>
        </x:is>
      </x:c>
      <x:c r="E303" s="3" t="inlineStr">
        <x:is>
          <x:t xml:space="preserve">G</x:t>
        </x:is>
      </x:c>
      <x:c r="F303" s="3" t="n">
        <x:v>0.5</x:v>
      </x:c>
      <x:c r="G303" s="3" t="inlineStr">
        <x:is>
          <x:t xml:space="preserve">F</x:t>
        </x:is>
      </x:c>
      <x:c r="H303" s="3" t="n">
        <x:v>0.5</x:v>
      </x:c>
      <x:c r="I303" s="3" t="inlineStr">
        <x:is>
          <x:t xml:space="preserve">Are policy exceptions tracked, time-bound, and reviewed so bypass doesn't become permanent?</x:t>
        </x:is>
      </x:c>
      <x:c r="J303" s="3" t="inlineStr">
        <x:is>
          <x:t xml:space="preserve">Exception governance is a key insider-risk control.</x:t>
        </x:is>
      </x:c>
      <x:c r="K303" s="3" t="inlineStr">
        <x:is>
          <x:t xml:space="preserve">Drill-down</x:t>
        </x:is>
      </x:c>
      <x:c r="L303" s="3" t="inlineStr">
        <x:is>
          <x:t xml:space="preserve">GOV_STD</x:t>
        </x:is>
      </x:c>
      <x:c r="M303" s="3" t="n">
        <x:v>1</x:v>
      </x:c>
      <x:c r="N303" s="3" t="n"/>
      <x:c r="O303" s="3" t="n"/>
      <x:c r="P303" s="3" t="inlineStr">
        <x:is>
          <x:t xml:space="preserve">HR-D5-Q19-A1</x:t>
        </x:is>
      </x:c>
      <x:c r="Q303" s="3" t="n">
        <x:v>1</x:v>
      </x:c>
      <x:c r="R303" s="3" t="inlineStr">
        <x:is>
          <x:t xml:space="preserve">No: exceptions are informal and not tracked.</x:t>
        </x:is>
      </x:c>
      <x:c r="S303" s="3" t="n">
        <x:v>0</x:v>
      </x:c>
      <x:c r="T303" s="3" t="inlineStr">
        <x:is>
          <x:t xml:space="preserve">bypass_pressure</x:t>
        </x:is>
      </x:c>
      <x:c r="U303" s="3" t="inlineStr">
        <x:is>
          <x:t xml:space="preserve">Bypass Pressure</x:t>
        </x:is>
      </x:c>
      <x:c r="V303" s="3" t="inlineStr">
        <x:is>
          <x:t xml:space="preserve">Introduce exception register</x:t>
        </x:is>
      </x:c>
      <x:c r="W303" s="3" t="inlineStr">
        <x:is>
          <x:t xml:space="preserve">N</x:t>
        </x:is>
      </x:c>
      <x:c r="X303" s="3" t="inlineStr">
        <x:is>
          <x:t xml:space="preserve"/>
        </x:is>
      </x:c>
      <x:c r="Y303" s="6">
        <x:f>(S303*IF(E303="G",F303,0))+(S303*IF(G303="G",H303,0))</x:f>
      </x:c>
      <x:c r="Z303" s="6">
        <x:f>(S303*IF(E303="E",F303,0))+(S303*IF(G303="E",H303,0))</x:f>
      </x:c>
      <x:c r="AA303" s="6">
        <x:f>(S303*IF(E303="T",F303,0))+(S303*IF(G303="T",H303,0))</x:f>
      </x:c>
      <x:c r="AB303" s="6">
        <x:f>(S303*IF(E303="L",F303,0))+(S303*IF(G303="L",H303,0))</x:f>
      </x:c>
      <x:c r="AC303" s="6">
        <x:f>(S303*IF(E303="H",F303,0))+(S303*IF(G303="H",H303,0))</x:f>
      </x:c>
      <x:c r="AD303" s="6">
        <x:f>(S303*IF(E303="V",F303,0))+(S303*IF(G303="V",H303,0))</x:f>
      </x:c>
      <x:c r="AE303" s="6">
        <x:f>(S303*IF(E303="R",F303,0))+(S303*IF(G303="R",H303,0))</x:f>
      </x:c>
      <x:c r="AF303" s="6">
        <x:f>(S303*IF(E303="F",F303,0))+(S303*IF(G303="F",H303,0))</x:f>
      </x:c>
      <x:c r="AG303" s="6">
        <x:f>(S303*IF(E303="W",F303,0))+(S303*IF(G303="W",H303,0))</x:f>
      </x:c>
    </x:row>
    <x:row r="304">
      <x:c r="A304" s="3" t="inlineStr">
        <x:is>
          <x:t xml:space="preserve">HR</x:t>
        </x:is>
      </x:c>
      <x:c r="B304" s="3" t="inlineStr">
        <x:is>
          <x:t xml:space="preserve">HR-D5-Q19</x:t>
        </x:is>
      </x:c>
      <x:c r="C304" s="3" t="inlineStr">
        <x:is>
          <x:t xml:space="preserve">T2</x:t>
        </x:is>
      </x:c>
      <x:c r="D304" s="3" t="inlineStr">
        <x:is>
          <x:t xml:space="preserve">5. Friction &amp; Workarounds</x:t>
        </x:is>
      </x:c>
      <x:c r="E304" s="3" t="inlineStr">
        <x:is>
          <x:t xml:space="preserve">G</x:t>
        </x:is>
      </x:c>
      <x:c r="F304" s="3" t="n">
        <x:v>0.5</x:v>
      </x:c>
      <x:c r="G304" s="3" t="inlineStr">
        <x:is>
          <x:t xml:space="preserve">F</x:t>
        </x:is>
      </x:c>
      <x:c r="H304" s="3" t="n">
        <x:v>0.5</x:v>
      </x:c>
      <x:c r="I304" s="3" t="inlineStr">
        <x:is>
          <x:t xml:space="preserve">Are policy exceptions tracked, time-bound, and reviewed so bypass doesn't become permanent?</x:t>
        </x:is>
      </x:c>
      <x:c r="J304" s="3" t="inlineStr">
        <x:is>
          <x:t xml:space="preserve">Exception governance is a key insider-risk control.</x:t>
        </x:is>
      </x:c>
      <x:c r="K304" s="3" t="inlineStr">
        <x:is>
          <x:t xml:space="preserve">Drill-down</x:t>
        </x:is>
      </x:c>
      <x:c r="L304" s="3" t="inlineStr">
        <x:is>
          <x:t xml:space="preserve">GOV_STD</x:t>
        </x:is>
      </x:c>
      <x:c r="M304" s="3" t="n">
        <x:v>1</x:v>
      </x:c>
      <x:c r="N304" s="3" t="n"/>
      <x:c r="O304" s="3" t="n"/>
      <x:c r="P304" s="3" t="inlineStr">
        <x:is>
          <x:t xml:space="preserve">HR-D5-Q19-A2</x:t>
        </x:is>
      </x:c>
      <x:c r="Q304" s="3" t="n">
        <x:v>2</x:v>
      </x:c>
      <x:c r="R304" s="3" t="inlineStr">
        <x:is>
          <x:t xml:space="preserve">Some tracking, but no expiry/review; exceptions accumulate.</x:t>
        </x:is>
      </x:c>
      <x:c r="S304" s="3" t="n">
        <x:v>1</x:v>
      </x:c>
      <x:c r="T304" s="3" t="inlineStr">
        <x:is>
          <x:t xml:space="preserve">paper_dragon_signal</x:t>
        </x:is>
      </x:c>
      <x:c r="U304" s="3" t="inlineStr">
        <x:is>
          <x:t xml:space="preserve">Paper Dragon</x:t>
        </x:is>
      </x:c>
      <x:c r="V304" s="3" t="inlineStr">
        <x:is>
          <x:t xml:space="preserve">Add expiry and review cadence</x:t>
        </x:is>
      </x:c>
      <x:c r="W304" s="3" t="inlineStr">
        <x:is>
          <x:t xml:space="preserve">N</x:t>
        </x:is>
      </x:c>
      <x:c r="X304" s="3" t="inlineStr">
        <x:is>
          <x:t xml:space="preserve"/>
        </x:is>
      </x:c>
      <x:c r="Y304" s="6">
        <x:f>(S304*IF(E304="G",F304,0))+(S304*IF(G304="G",H304,0))</x:f>
      </x:c>
      <x:c r="Z304" s="6">
        <x:f>(S304*IF(E304="E",F304,0))+(S304*IF(G304="E",H304,0))</x:f>
      </x:c>
      <x:c r="AA304" s="6">
        <x:f>(S304*IF(E304="T",F304,0))+(S304*IF(G304="T",H304,0))</x:f>
      </x:c>
      <x:c r="AB304" s="6">
        <x:f>(S304*IF(E304="L",F304,0))+(S304*IF(G304="L",H304,0))</x:f>
      </x:c>
      <x:c r="AC304" s="6">
        <x:f>(S304*IF(E304="H",F304,0))+(S304*IF(G304="H",H304,0))</x:f>
      </x:c>
      <x:c r="AD304" s="6">
        <x:f>(S304*IF(E304="V",F304,0))+(S304*IF(G304="V",H304,0))</x:f>
      </x:c>
      <x:c r="AE304" s="6">
        <x:f>(S304*IF(E304="R",F304,0))+(S304*IF(G304="R",H304,0))</x:f>
      </x:c>
      <x:c r="AF304" s="6">
        <x:f>(S304*IF(E304="F",F304,0))+(S304*IF(G304="F",H304,0))</x:f>
      </x:c>
      <x:c r="AG304" s="6">
        <x:f>(S304*IF(E304="W",F304,0))+(S304*IF(G304="W",H304,0))</x:f>
      </x:c>
    </x:row>
    <x:row r="305">
      <x:c r="A305" s="3" t="inlineStr">
        <x:is>
          <x:t xml:space="preserve">HR</x:t>
        </x:is>
      </x:c>
      <x:c r="B305" s="3" t="inlineStr">
        <x:is>
          <x:t xml:space="preserve">HR-D5-Q19</x:t>
        </x:is>
      </x:c>
      <x:c r="C305" s="3" t="inlineStr">
        <x:is>
          <x:t xml:space="preserve">T2</x:t>
        </x:is>
      </x:c>
      <x:c r="D305" s="3" t="inlineStr">
        <x:is>
          <x:t xml:space="preserve">5. Friction &amp; Workarounds</x:t>
        </x:is>
      </x:c>
      <x:c r="E305" s="3" t="inlineStr">
        <x:is>
          <x:t xml:space="preserve">G</x:t>
        </x:is>
      </x:c>
      <x:c r="F305" s="3" t="n">
        <x:v>0.5</x:v>
      </x:c>
      <x:c r="G305" s="3" t="inlineStr">
        <x:is>
          <x:t xml:space="preserve">F</x:t>
        </x:is>
      </x:c>
      <x:c r="H305" s="3" t="n">
        <x:v>0.5</x:v>
      </x:c>
      <x:c r="I305" s="3" t="inlineStr">
        <x:is>
          <x:t xml:space="preserve">Are policy exceptions tracked, time-bound, and reviewed so bypass doesn't become permanent?</x:t>
        </x:is>
      </x:c>
      <x:c r="J305" s="3" t="inlineStr">
        <x:is>
          <x:t xml:space="preserve">Exception governance is a key insider-risk control.</x:t>
        </x:is>
      </x:c>
      <x:c r="K305" s="3" t="inlineStr">
        <x:is>
          <x:t xml:space="preserve">Drill-down</x:t>
        </x:is>
      </x:c>
      <x:c r="L305" s="3" t="inlineStr">
        <x:is>
          <x:t xml:space="preserve">GOV_STD</x:t>
        </x:is>
      </x:c>
      <x:c r="M305" s="3" t="n">
        <x:v>1</x:v>
      </x:c>
      <x:c r="N305" s="3" t="n"/>
      <x:c r="O305" s="3" t="n"/>
      <x:c r="P305" s="3" t="inlineStr">
        <x:is>
          <x:t xml:space="preserve">HR-D5-Q19-A3</x:t>
        </x:is>
      </x:c>
      <x:c r="Q305" s="3" t="n">
        <x:v>3</x:v>
      </x:c>
      <x:c r="R305" s="3" t="inlineStr">
        <x:is>
          <x:t xml:space="preserve">Register exists; most exceptions have owners/expiry, but reviews inconsistent.</x:t>
        </x:is>
      </x:c>
      <x:c r="S305" s="3" t="n">
        <x:v>2</x:v>
      </x:c>
      <x:c r="T305" s="3" t="inlineStr">
        <x:is>
          <x:t xml:space="preserve"/>
        </x:is>
      </x:c>
      <x:c r="U305" s="3" t="inlineStr">
        <x:is>
          <x:t xml:space="preserve">Bypass Pressure</x:t>
        </x:is>
      </x:c>
      <x:c r="V305" s="3" t="inlineStr">
        <x:is>
          <x:t xml:space="preserve">Improve governance cadence</x:t>
        </x:is>
      </x:c>
      <x:c r="W305" s="3" t="inlineStr">
        <x:is>
          <x:t xml:space="preserve">N</x:t>
        </x:is>
      </x:c>
      <x:c r="X305" s="3" t="inlineStr">
        <x:is>
          <x:t xml:space="preserve">Evidence: register sample.</x:t>
        </x:is>
      </x:c>
      <x:c r="Y305" s="6">
        <x:f>(S305*IF(E305="G",F305,0))+(S305*IF(G305="G",H305,0))</x:f>
      </x:c>
      <x:c r="Z305" s="6">
        <x:f>(S305*IF(E305="E",F305,0))+(S305*IF(G305="E",H305,0))</x:f>
      </x:c>
      <x:c r="AA305" s="6">
        <x:f>(S305*IF(E305="T",F305,0))+(S305*IF(G305="T",H305,0))</x:f>
      </x:c>
      <x:c r="AB305" s="6">
        <x:f>(S305*IF(E305="L",F305,0))+(S305*IF(G305="L",H305,0))</x:f>
      </x:c>
      <x:c r="AC305" s="6">
        <x:f>(S305*IF(E305="H",F305,0))+(S305*IF(G305="H",H305,0))</x:f>
      </x:c>
      <x:c r="AD305" s="6">
        <x:f>(S305*IF(E305="V",F305,0))+(S305*IF(G305="V",H305,0))</x:f>
      </x:c>
      <x:c r="AE305" s="6">
        <x:f>(S305*IF(E305="R",F305,0))+(S305*IF(G305="R",H305,0))</x:f>
      </x:c>
      <x:c r="AF305" s="6">
        <x:f>(S305*IF(E305="F",F305,0))+(S305*IF(G305="F",H305,0))</x:f>
      </x:c>
      <x:c r="AG305" s="6">
        <x:f>(S305*IF(E305="W",F305,0))+(S305*IF(G305="W",H305,0))</x:f>
      </x:c>
    </x:row>
    <x:row r="306">
      <x:c r="A306" s="3" t="inlineStr">
        <x:is>
          <x:t xml:space="preserve">HR</x:t>
        </x:is>
      </x:c>
      <x:c r="B306" s="3" t="inlineStr">
        <x:is>
          <x:t xml:space="preserve">HR-D5-Q19</x:t>
        </x:is>
      </x:c>
      <x:c r="C306" s="3" t="inlineStr">
        <x:is>
          <x:t xml:space="preserve">T2</x:t>
        </x:is>
      </x:c>
      <x:c r="D306" s="3" t="inlineStr">
        <x:is>
          <x:t xml:space="preserve">5. Friction &amp; Workarounds</x:t>
        </x:is>
      </x:c>
      <x:c r="E306" s="3" t="inlineStr">
        <x:is>
          <x:t xml:space="preserve">G</x:t>
        </x:is>
      </x:c>
      <x:c r="F306" s="3" t="n">
        <x:v>0.5</x:v>
      </x:c>
      <x:c r="G306" s="3" t="inlineStr">
        <x:is>
          <x:t xml:space="preserve">F</x:t>
        </x:is>
      </x:c>
      <x:c r="H306" s="3" t="n">
        <x:v>0.5</x:v>
      </x:c>
      <x:c r="I306" s="3" t="inlineStr">
        <x:is>
          <x:t xml:space="preserve">Are policy exceptions tracked, time-bound, and reviewed so bypass doesn't become permanent?</x:t>
        </x:is>
      </x:c>
      <x:c r="J306" s="3" t="inlineStr">
        <x:is>
          <x:t xml:space="preserve">Exception governance is a key insider-risk control.</x:t>
        </x:is>
      </x:c>
      <x:c r="K306" s="3" t="inlineStr">
        <x:is>
          <x:t xml:space="preserve">Drill-down</x:t>
        </x:is>
      </x:c>
      <x:c r="L306" s="3" t="inlineStr">
        <x:is>
          <x:t xml:space="preserve">GOV_STD</x:t>
        </x:is>
      </x:c>
      <x:c r="M306" s="3" t="n">
        <x:v>1</x:v>
      </x:c>
      <x:c r="N306" s="3" t="n"/>
      <x:c r="O306" s="3" t="n"/>
      <x:c r="P306" s="3" t="inlineStr">
        <x:is>
          <x:t xml:space="preserve">HR-D5-Q19-A4</x:t>
        </x:is>
      </x:c>
      <x:c r="Q306" s="3" t="n">
        <x:v>4</x:v>
      </x:c>
      <x:c r="R306" s="3" t="inlineStr">
        <x:is>
          <x:t xml:space="preserve">Tracked + reviewed; exceptions reduced over time.</x:t>
        </x:is>
      </x:c>
      <x:c r="S306" s="3" t="n">
        <x:v>3</x:v>
      </x:c>
      <x:c r="T306" s="3" t="inlineStr">
        <x:is>
          <x:t xml:space="preserve"/>
        </x:is>
      </x:c>
      <x:c r="U306" s="3" t="inlineStr">
        <x:is>
          <x:t xml:space="preserve">Bypass Pressure</x:t>
        </x:is>
      </x:c>
      <x:c r="V306" s="3" t="inlineStr">
        <x:is>
          <x:t xml:space="preserve">Maintain governance</x:t>
        </x:is>
      </x:c>
      <x:c r="W306" s="3" t="inlineStr">
        <x:is>
          <x:t xml:space="preserve">N</x:t>
        </x:is>
      </x:c>
      <x:c r="X306" s="3" t="inlineStr">
        <x:is>
          <x:t xml:space="preserve">Evidence: trend metrics.</x:t>
        </x:is>
      </x:c>
      <x:c r="Y306" s="6">
        <x:f>(S306*IF(E306="G",F306,0))+(S306*IF(G306="G",H306,0))</x:f>
      </x:c>
      <x:c r="Z306" s="6">
        <x:f>(S306*IF(E306="E",F306,0))+(S306*IF(G306="E",H306,0))</x:f>
      </x:c>
      <x:c r="AA306" s="6">
        <x:f>(S306*IF(E306="T",F306,0))+(S306*IF(G306="T",H306,0))</x:f>
      </x:c>
      <x:c r="AB306" s="6">
        <x:f>(S306*IF(E306="L",F306,0))+(S306*IF(G306="L",H306,0))</x:f>
      </x:c>
      <x:c r="AC306" s="6">
        <x:f>(S306*IF(E306="H",F306,0))+(S306*IF(G306="H",H306,0))</x:f>
      </x:c>
      <x:c r="AD306" s="6">
        <x:f>(S306*IF(E306="V",F306,0))+(S306*IF(G306="V",H306,0))</x:f>
      </x:c>
      <x:c r="AE306" s="6">
        <x:f>(S306*IF(E306="R",F306,0))+(S306*IF(G306="R",H306,0))</x:f>
      </x:c>
      <x:c r="AF306" s="6">
        <x:f>(S306*IF(E306="F",F306,0))+(S306*IF(G306="F",H306,0))</x:f>
      </x:c>
      <x:c r="AG306" s="6">
        <x:f>(S306*IF(E306="W",F306,0))+(S306*IF(G306="W",H306,0))</x:f>
      </x:c>
    </x:row>
    <x:row r="307">
      <x:c r="A307" s="3" t="inlineStr">
        <x:is>
          <x:t xml:space="preserve">HR</x:t>
        </x:is>
      </x:c>
      <x:c r="B307" s="3" t="inlineStr">
        <x:is>
          <x:t xml:space="preserve">HR-D5-Q19</x:t>
        </x:is>
      </x:c>
      <x:c r="C307" s="3" t="inlineStr">
        <x:is>
          <x:t xml:space="preserve">T2</x:t>
        </x:is>
      </x:c>
      <x:c r="D307" s="3" t="inlineStr">
        <x:is>
          <x:t xml:space="preserve">5. Friction &amp; Workarounds</x:t>
        </x:is>
      </x:c>
      <x:c r="E307" s="3" t="inlineStr">
        <x:is>
          <x:t xml:space="preserve">G</x:t>
        </x:is>
      </x:c>
      <x:c r="F307" s="3" t="n">
        <x:v>0.5</x:v>
      </x:c>
      <x:c r="G307" s="3" t="inlineStr">
        <x:is>
          <x:t xml:space="preserve">F</x:t>
        </x:is>
      </x:c>
      <x:c r="H307" s="3" t="n">
        <x:v>0.5</x:v>
      </x:c>
      <x:c r="I307" s="3" t="inlineStr">
        <x:is>
          <x:t xml:space="preserve">Are policy exceptions tracked, time-bound, and reviewed so bypass doesn't become permanent?</x:t>
        </x:is>
      </x:c>
      <x:c r="J307" s="3" t="inlineStr">
        <x:is>
          <x:t xml:space="preserve">Exception governance is a key insider-risk control.</x:t>
        </x:is>
      </x:c>
      <x:c r="K307" s="3" t="inlineStr">
        <x:is>
          <x:t xml:space="preserve">Drill-down</x:t>
        </x:is>
      </x:c>
      <x:c r="L307" s="3" t="inlineStr">
        <x:is>
          <x:t xml:space="preserve">GOV_STD</x:t>
        </x:is>
      </x:c>
      <x:c r="M307" s="3" t="n">
        <x:v>1</x:v>
      </x:c>
      <x:c r="N307" s="3" t="n"/>
      <x:c r="O307" s="3" t="n"/>
      <x:c r="P307" s="3" t="inlineStr">
        <x:is>
          <x:t xml:space="preserve">HR-D5-Q19-A5</x:t>
        </x:is>
      </x:c>
      <x:c r="Q307" s="3" t="n">
        <x:v>5</x:v>
      </x:c>
      <x:c r="R307" s="3" t="inlineStr">
        <x:is>
          <x:t xml:space="preserve">Optimized: exceptions rare; systemic fixes remove need for bypass.</x:t>
        </x:is>
      </x:c>
      <x:c r="S307" s="3" t="n">
        <x:v>4</x:v>
      </x:c>
      <x:c r="T307" s="3" t="inlineStr">
        <x:is>
          <x:t xml:space="preserve"/>
        </x:is>
      </x:c>
      <x:c r="U307" s="3" t="inlineStr">
        <x:is>
          <x:t xml:space="preserve">Bypass Pressure</x:t>
        </x:is>
      </x:c>
      <x:c r="V307" s="3" t="inlineStr">
        <x:is>
          <x:t xml:space="preserve">Maintain maturity</x:t>
        </x:is>
      </x:c>
      <x:c r="W307" s="3" t="inlineStr">
        <x:is>
          <x:t xml:space="preserve">N</x:t>
        </x:is>
      </x:c>
      <x:c r="X307" s="3" t="inlineStr">
        <x:is>
          <x:t xml:space="preserve">Evidence: low exception rate.</x:t>
        </x:is>
      </x:c>
      <x:c r="Y307" s="6">
        <x:f>(S307*IF(E307="G",F307,0))+(S307*IF(G307="G",H307,0))</x:f>
      </x:c>
      <x:c r="Z307" s="6">
        <x:f>(S307*IF(E307="E",F307,0))+(S307*IF(G307="E",H307,0))</x:f>
      </x:c>
      <x:c r="AA307" s="6">
        <x:f>(S307*IF(E307="T",F307,0))+(S307*IF(G307="T",H307,0))</x:f>
      </x:c>
      <x:c r="AB307" s="6">
        <x:f>(S307*IF(E307="L",F307,0))+(S307*IF(G307="L",H307,0))</x:f>
      </x:c>
      <x:c r="AC307" s="6">
        <x:f>(S307*IF(E307="H",F307,0))+(S307*IF(G307="H",H307,0))</x:f>
      </x:c>
      <x:c r="AD307" s="6">
        <x:f>(S307*IF(E307="V",F307,0))+(S307*IF(G307="V",H307,0))</x:f>
      </x:c>
      <x:c r="AE307" s="6">
        <x:f>(S307*IF(E307="R",F307,0))+(S307*IF(G307="R",H307,0))</x:f>
      </x:c>
      <x:c r="AF307" s="6">
        <x:f>(S307*IF(E307="F",F307,0))+(S307*IF(G307="F",H307,0))</x:f>
      </x:c>
      <x:c r="AG307" s="6">
        <x:f>(S307*IF(E307="W",F307,0))+(S307*IF(G307="W",H307,0))</x:f>
      </x:c>
    </x:row>
    <x:row r="308">
      <x:c r="A308" s="3" t="inlineStr">
        <x:is>
          <x:t xml:space="preserve">HR</x:t>
        </x:is>
      </x:c>
      <x:c r="B308" s="3" t="inlineStr">
        <x:is>
          <x:t xml:space="preserve">HR-D6-Q20</x:t>
        </x:is>
      </x:c>
      <x:c r="C308" s="3" t="inlineStr">
        <x:is>
          <x:t xml:space="preserve">T1</x:t>
        </x:is>
      </x:c>
      <x:c r="D308" s="3" t="inlineStr">
        <x:is>
          <x:t xml:space="preserve">6. Change Events (Layoffs/M&amp;A/Re-org)</x:t>
        </x:is>
      </x:c>
      <x:c r="E308" s="3" t="inlineStr">
        <x:is>
          <x:t xml:space="preserve">W</x:t>
        </x:is>
      </x:c>
      <x:c r="F308" s="3" t="n">
        <x:v>1</x:v>
      </x:c>
      <x:c r="G308" s="3" t="inlineStr">
        <x:is>
          <x:t xml:space="preserve">-</x:t>
        </x:is>
      </x:c>
      <x:c r="H308" s="3" t="inlineStr">
        <x:is>
          <x:t xml:space="preserve"/>
        </x:is>
      </x:c>
      <x:c r="I308" s="3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J308" s="3" t="inlineStr">
        <x:is>
          <x:t xml:space="preserve">Control lag = how fast controls adapt to change.</x:t>
        </x:is>
      </x:c>
      <x:c r="K308" s="3" t="inlineStr">
        <x:is>
          <x:t xml:space="preserve">Gatekeeper (If BaseScore &lt;2 → HR-D6-Q21; If ≥2 → HR-D6-Q22)</x:t>
        </x:is>
      </x:c>
      <x:c r="L308" s="3" t="inlineStr">
        <x:is>
          <x:t xml:space="preserve">RISK_STD</x:t>
        </x:is>
      </x:c>
      <x:c r="M308" s="3" t="n">
        <x:v>1</x:v>
      </x:c>
      <x:c r="N308" s="3" t="n"/>
      <x:c r="O308" s="3" t="n"/>
      <x:c r="P308" s="3" t="inlineStr">
        <x:is>
          <x:t xml:space="preserve">HR-D6-Q20-A0</x:t>
        </x:is>
      </x:c>
      <x:c r="Q308" s="3" t="n">
        <x:v>1</x:v>
      </x:c>
      <x:c r="R308" s="3" t="inlineStr">
        <x:is>
          <x:t xml:space="preserve">I don't know / Not sure.</x:t>
        </x:is>
      </x:c>
      <x:c r="S308" s="3" t="n">
        <x:v>0</x:v>
      </x:c>
      <x:c r="T308" s="3" t="inlineStr">
        <x:is>
          <x:t xml:space="preserve">low-confidence</x:t>
        </x:is>
      </x:c>
      <x:c r="U308" s="3" t="inlineStr">
        <x:is>
          <x:t xml:space="preserve">Control Lag</x:t>
        </x:is>
      </x:c>
      <x:c r="V308" s="3" t="inlineStr">
        <x:is>
          <x:t xml:space="preserve">Clarify change-event process</x:t>
        </x:is>
      </x:c>
      <x:c r="W308" s="3" t="inlineStr">
        <x:is>
          <x:t xml:space="preserve">N</x:t>
        </x:is>
      </x:c>
      <x:c r="X308" s="3" t="inlineStr">
        <x:is>
          <x:t xml:space="preserve"/>
        </x:is>
      </x:c>
      <x:c r="Y308" s="6">
        <x:f>(S308*IF(E308="G",F308,0))+(S308*IF(G308="G",H308,0))</x:f>
      </x:c>
      <x:c r="Z308" s="6">
        <x:f>(S308*IF(E308="E",F308,0))+(S308*IF(G308="E",H308,0))</x:f>
      </x:c>
      <x:c r="AA308" s="6">
        <x:f>(S308*IF(E308="T",F308,0))+(S308*IF(G308="T",H308,0))</x:f>
      </x:c>
      <x:c r="AB308" s="6">
        <x:f>(S308*IF(E308="L",F308,0))+(S308*IF(G308="L",H308,0))</x:f>
      </x:c>
      <x:c r="AC308" s="6">
        <x:f>(S308*IF(E308="H",F308,0))+(S308*IF(G308="H",H308,0))</x:f>
      </x:c>
      <x:c r="AD308" s="6">
        <x:f>(S308*IF(E308="V",F308,0))+(S308*IF(G308="V",H308,0))</x:f>
      </x:c>
      <x:c r="AE308" s="6">
        <x:f>(S308*IF(E308="R",F308,0))+(S308*IF(G308="R",H308,0))</x:f>
      </x:c>
      <x:c r="AF308" s="6">
        <x:f>(S308*IF(E308="F",F308,0))+(S308*IF(G308="F",H308,0))</x:f>
      </x:c>
      <x:c r="AG308" s="6">
        <x:f>(S308*IF(E308="W",F308,0))+(S308*IF(G308="W",H308,0))</x:f>
      </x:c>
    </x:row>
    <x:row r="309">
      <x:c r="A309" s="3" t="inlineStr">
        <x:is>
          <x:t xml:space="preserve">HR</x:t>
        </x:is>
      </x:c>
      <x:c r="B309" s="3" t="inlineStr">
        <x:is>
          <x:t xml:space="preserve">HR-D6-Q20</x:t>
        </x:is>
      </x:c>
      <x:c r="C309" s="3" t="inlineStr">
        <x:is>
          <x:t xml:space="preserve">T1</x:t>
        </x:is>
      </x:c>
      <x:c r="D309" s="3" t="inlineStr">
        <x:is>
          <x:t xml:space="preserve">6. Change Events (Layoffs/M&amp;A/Re-org)</x:t>
        </x:is>
      </x:c>
      <x:c r="E309" s="3" t="inlineStr">
        <x:is>
          <x:t xml:space="preserve">W</x:t>
        </x:is>
      </x:c>
      <x:c r="F309" s="3" t="n">
        <x:v>1</x:v>
      </x:c>
      <x:c r="G309" s="3" t="inlineStr">
        <x:is>
          <x:t xml:space="preserve">-</x:t>
        </x:is>
      </x:c>
      <x:c r="H309" s="3" t="inlineStr">
        <x:is>
          <x:t xml:space="preserve"/>
        </x:is>
      </x:c>
      <x:c r="I309" s="3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J309" s="3" t="inlineStr">
        <x:is>
          <x:t xml:space="preserve">Control lag = how fast controls adapt to change.</x:t>
        </x:is>
      </x:c>
      <x:c r="K309" s="3" t="inlineStr">
        <x:is>
          <x:t xml:space="preserve">Gatekeeper (If BaseScore &lt;2 → HR-D6-Q21; If ≥2 → HR-D6-Q22)</x:t>
        </x:is>
      </x:c>
      <x:c r="L309" s="3" t="inlineStr">
        <x:is>
          <x:t xml:space="preserve">RISK_STD</x:t>
        </x:is>
      </x:c>
      <x:c r="M309" s="3" t="n">
        <x:v>1</x:v>
      </x:c>
      <x:c r="N309" s="3" t="n"/>
      <x:c r="O309" s="3" t="n"/>
      <x:c r="P309" s="3" t="inlineStr">
        <x:is>
          <x:t xml:space="preserve">HR-D6-Q20-A1</x:t>
        </x:is>
      </x:c>
      <x:c r="Q309" s="3" t="n">
        <x:v>2</x:v>
      </x:c>
      <x:c r="R309" s="3" t="inlineStr">
        <x:is>
          <x:t xml:space="preserve">Static: controls rarely change; respond after issues appear.</x:t>
        </x:is>
      </x:c>
      <x:c r="S309" s="3" t="n">
        <x:v>0</x:v>
      </x:c>
      <x:c r="T309" s="3" t="inlineStr">
        <x:is>
          <x:t xml:space="preserve">control_lag</x:t>
        </x:is>
      </x:c>
      <x:c r="U309" s="3" t="inlineStr">
        <x:is>
          <x:t xml:space="preserve">Control Lag</x:t>
        </x:is>
      </x:c>
      <x:c r="V309" s="3" t="inlineStr">
        <x:is>
          <x:t xml:space="preserve">Introduce change-event checklist</x:t>
        </x:is>
      </x:c>
      <x:c r="W309" s="3" t="inlineStr">
        <x:is>
          <x:t xml:space="preserve">N</x:t>
        </x:is>
      </x:c>
      <x:c r="X309" s="3" t="inlineStr">
        <x:is>
          <x:t xml:space="preserve"/>
        </x:is>
      </x:c>
      <x:c r="Y309" s="6">
        <x:f>(S309*IF(E309="G",F309,0))+(S309*IF(G309="G",H309,0))</x:f>
      </x:c>
      <x:c r="Z309" s="6">
        <x:f>(S309*IF(E309="E",F309,0))+(S309*IF(G309="E",H309,0))</x:f>
      </x:c>
      <x:c r="AA309" s="6">
        <x:f>(S309*IF(E309="T",F309,0))+(S309*IF(G309="T",H309,0))</x:f>
      </x:c>
      <x:c r="AB309" s="6">
        <x:f>(S309*IF(E309="L",F309,0))+(S309*IF(G309="L",H309,0))</x:f>
      </x:c>
      <x:c r="AC309" s="6">
        <x:f>(S309*IF(E309="H",F309,0))+(S309*IF(G309="H",H309,0))</x:f>
      </x:c>
      <x:c r="AD309" s="6">
        <x:f>(S309*IF(E309="V",F309,0))+(S309*IF(G309="V",H309,0))</x:f>
      </x:c>
      <x:c r="AE309" s="6">
        <x:f>(S309*IF(E309="R",F309,0))+(S309*IF(G309="R",H309,0))</x:f>
      </x:c>
      <x:c r="AF309" s="6">
        <x:f>(S309*IF(E309="F",F309,0))+(S309*IF(G309="F",H309,0))</x:f>
      </x:c>
      <x:c r="AG309" s="6">
        <x:f>(S309*IF(E309="W",F309,0))+(S309*IF(G309="W",H309,0))</x:f>
      </x:c>
    </x:row>
    <x:row r="310">
      <x:c r="A310" s="3" t="inlineStr">
        <x:is>
          <x:t xml:space="preserve">HR</x:t>
        </x:is>
      </x:c>
      <x:c r="B310" s="3" t="inlineStr">
        <x:is>
          <x:t xml:space="preserve">HR-D6-Q20</x:t>
        </x:is>
      </x:c>
      <x:c r="C310" s="3" t="inlineStr">
        <x:is>
          <x:t xml:space="preserve">T1</x:t>
        </x:is>
      </x:c>
      <x:c r="D310" s="3" t="inlineStr">
        <x:is>
          <x:t xml:space="preserve">6. Change Events (Layoffs/M&amp;A/Re-org)</x:t>
        </x:is>
      </x:c>
      <x:c r="E310" s="3" t="inlineStr">
        <x:is>
          <x:t xml:space="preserve">W</x:t>
        </x:is>
      </x:c>
      <x:c r="F310" s="3" t="n">
        <x:v>1</x:v>
      </x:c>
      <x:c r="G310" s="3" t="inlineStr">
        <x:is>
          <x:t xml:space="preserve">-</x:t>
        </x:is>
      </x:c>
      <x:c r="H310" s="3" t="inlineStr">
        <x:is>
          <x:t xml:space="preserve"/>
        </x:is>
      </x:c>
      <x:c r="I310" s="3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J310" s="3" t="inlineStr">
        <x:is>
          <x:t xml:space="preserve">Control lag = how fast controls adapt to change.</x:t>
        </x:is>
      </x:c>
      <x:c r="K310" s="3" t="inlineStr">
        <x:is>
          <x:t xml:space="preserve">Gatekeeper (If BaseScore &lt;2 → HR-D6-Q21; If ≥2 → HR-D6-Q22)</x:t>
        </x:is>
      </x:c>
      <x:c r="L310" s="3" t="inlineStr">
        <x:is>
          <x:t xml:space="preserve">RISK_STD</x:t>
        </x:is>
      </x:c>
      <x:c r="M310" s="3" t="n">
        <x:v>1</x:v>
      </x:c>
      <x:c r="N310" s="3" t="n"/>
      <x:c r="O310" s="3" t="n"/>
      <x:c r="P310" s="3" t="inlineStr">
        <x:is>
          <x:t xml:space="preserve">HR-D6-Q20-A2</x:t>
        </x:is>
      </x:c>
      <x:c r="Q310" s="3" t="n">
        <x:v>3</x:v>
      </x:c>
      <x:c r="R310" s="3" t="inlineStr">
        <x:is>
          <x:t xml:space="preserve">Manual: HR informs others, but timing varies; no checklist.</x:t>
        </x:is>
      </x:c>
      <x:c r="S310" s="3" t="n">
        <x:v>1</x:v>
      </x:c>
      <x:c r="T310" s="3" t="inlineStr">
        <x:is>
          <x:t xml:space="preserve">shadow_mature_signal</x:t>
        </x:is>
      </x:c>
      <x:c r="U310" s="3" t="inlineStr">
        <x:is>
          <x:t xml:space="preserve">Control Lag</x:t>
        </x:is>
      </x:c>
      <x:c r="V310" s="3" t="inlineStr">
        <x:is>
          <x:t xml:space="preserve">Standardize and measure lag</x:t>
        </x:is>
      </x:c>
      <x:c r="W310" s="3" t="inlineStr">
        <x:is>
          <x:t xml:space="preserve">N</x:t>
        </x:is>
      </x:c>
      <x:c r="X310" s="3" t="inlineStr">
        <x:is>
          <x:t xml:space="preserve"/>
        </x:is>
      </x:c>
      <x:c r="Y310" s="6">
        <x:f>(S310*IF(E310="G",F310,0))+(S310*IF(G310="G",H310,0))</x:f>
      </x:c>
      <x:c r="Z310" s="6">
        <x:f>(S310*IF(E310="E",F310,0))+(S310*IF(G310="E",H310,0))</x:f>
      </x:c>
      <x:c r="AA310" s="6">
        <x:f>(S310*IF(E310="T",F310,0))+(S310*IF(G310="T",H310,0))</x:f>
      </x:c>
      <x:c r="AB310" s="6">
        <x:f>(S310*IF(E310="L",F310,0))+(S310*IF(G310="L",H310,0))</x:f>
      </x:c>
      <x:c r="AC310" s="6">
        <x:f>(S310*IF(E310="H",F310,0))+(S310*IF(G310="H",H310,0))</x:f>
      </x:c>
      <x:c r="AD310" s="6">
        <x:f>(S310*IF(E310="V",F310,0))+(S310*IF(G310="V",H310,0))</x:f>
      </x:c>
      <x:c r="AE310" s="6">
        <x:f>(S310*IF(E310="R",F310,0))+(S310*IF(G310="R",H310,0))</x:f>
      </x:c>
      <x:c r="AF310" s="6">
        <x:f>(S310*IF(E310="F",F310,0))+(S310*IF(G310="F",H310,0))</x:f>
      </x:c>
      <x:c r="AG310" s="6">
        <x:f>(S310*IF(E310="W",F310,0))+(S310*IF(G310="W",H310,0))</x:f>
      </x:c>
    </x:row>
    <x:row r="311">
      <x:c r="A311" s="3" t="inlineStr">
        <x:is>
          <x:t xml:space="preserve">HR</x:t>
        </x:is>
      </x:c>
      <x:c r="B311" s="3" t="inlineStr">
        <x:is>
          <x:t xml:space="preserve">HR-D6-Q20</x:t>
        </x:is>
      </x:c>
      <x:c r="C311" s="3" t="inlineStr">
        <x:is>
          <x:t xml:space="preserve">T1</x:t>
        </x:is>
      </x:c>
      <x:c r="D311" s="3" t="inlineStr">
        <x:is>
          <x:t xml:space="preserve">6. Change Events (Layoffs/M&amp;A/Re-org)</x:t>
        </x:is>
      </x:c>
      <x:c r="E311" s="3" t="inlineStr">
        <x:is>
          <x:t xml:space="preserve">W</x:t>
        </x:is>
      </x:c>
      <x:c r="F311" s="3" t="n">
        <x:v>1</x:v>
      </x:c>
      <x:c r="G311" s="3" t="inlineStr">
        <x:is>
          <x:t xml:space="preserve">-</x:t>
        </x:is>
      </x:c>
      <x:c r="H311" s="3" t="inlineStr">
        <x:is>
          <x:t xml:space="preserve"/>
        </x:is>
      </x:c>
      <x:c r="I311" s="3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J311" s="3" t="inlineStr">
        <x:is>
          <x:t xml:space="preserve">Control lag = how fast controls adapt to change.</x:t>
        </x:is>
      </x:c>
      <x:c r="K311" s="3" t="inlineStr">
        <x:is>
          <x:t xml:space="preserve">Gatekeeper (If BaseScore &lt;2 → HR-D6-Q21; If ≥2 → HR-D6-Q22)</x:t>
        </x:is>
      </x:c>
      <x:c r="L311" s="3" t="inlineStr">
        <x:is>
          <x:t xml:space="preserve">RISK_STD</x:t>
        </x:is>
      </x:c>
      <x:c r="M311" s="3" t="n">
        <x:v>1</x:v>
      </x:c>
      <x:c r="N311" s="3" t="n"/>
      <x:c r="O311" s="3" t="n"/>
      <x:c r="P311" s="3" t="inlineStr">
        <x:is>
          <x:t xml:space="preserve">HR-D6-Q20-A3</x:t>
        </x:is>
      </x:c>
      <x:c r="Q311" s="3" t="n">
        <x:v>4</x:v>
      </x:c>
      <x:c r="R311" s="3" t="inlineStr">
        <x:is>
          <x:t xml:space="preserve">Defined: process exists; critical updates happen within weeks.</x:t>
        </x:is>
      </x:c>
      <x:c r="S311" s="3" t="n">
        <x:v>2</x:v>
      </x:c>
      <x:c r="T311" s="3" t="inlineStr">
        <x:is>
          <x:t xml:space="preserve"/>
        </x:is>
      </x:c>
      <x:c r="U311" s="3" t="inlineStr">
        <x:is>
          <x:t xml:space="preserve">Control Lag</x:t>
        </x:is>
      </x:c>
      <x:c r="V311" s="3" t="inlineStr">
        <x:is>
          <x:t xml:space="preserve">Reduce lag for critical roles</x:t>
        </x:is>
      </x:c>
      <x:c r="W311" s="3" t="inlineStr">
        <x:is>
          <x:t xml:space="preserve">N</x:t>
        </x:is>
      </x:c>
      <x:c r="X311" s="3" t="inlineStr">
        <x:is>
          <x:t xml:space="preserve">Evidence: checklist/comms.</x:t>
        </x:is>
      </x:c>
      <x:c r="Y311" s="6">
        <x:f>(S311*IF(E311="G",F311,0))+(S311*IF(G311="G",H311,0))</x:f>
      </x:c>
      <x:c r="Z311" s="6">
        <x:f>(S311*IF(E311="E",F311,0))+(S311*IF(G311="E",H311,0))</x:f>
      </x:c>
      <x:c r="AA311" s="6">
        <x:f>(S311*IF(E311="T",F311,0))+(S311*IF(G311="T",H311,0))</x:f>
      </x:c>
      <x:c r="AB311" s="6">
        <x:f>(S311*IF(E311="L",F311,0))+(S311*IF(G311="L",H311,0))</x:f>
      </x:c>
      <x:c r="AC311" s="6">
        <x:f>(S311*IF(E311="H",F311,0))+(S311*IF(G311="H",H311,0))</x:f>
      </x:c>
      <x:c r="AD311" s="6">
        <x:f>(S311*IF(E311="V",F311,0))+(S311*IF(G311="V",H311,0))</x:f>
      </x:c>
      <x:c r="AE311" s="6">
        <x:f>(S311*IF(E311="R",F311,0))+(S311*IF(G311="R",H311,0))</x:f>
      </x:c>
      <x:c r="AF311" s="6">
        <x:f>(S311*IF(E311="F",F311,0))+(S311*IF(G311="F",H311,0))</x:f>
      </x:c>
      <x:c r="AG311" s="6">
        <x:f>(S311*IF(E311="W",F311,0))+(S311*IF(G311="W",H311,0))</x:f>
      </x:c>
    </x:row>
    <x:row r="312">
      <x:c r="A312" s="3" t="inlineStr">
        <x:is>
          <x:t xml:space="preserve">HR</x:t>
        </x:is>
      </x:c>
      <x:c r="B312" s="3" t="inlineStr">
        <x:is>
          <x:t xml:space="preserve">HR-D6-Q20</x:t>
        </x:is>
      </x:c>
      <x:c r="C312" s="3" t="inlineStr">
        <x:is>
          <x:t xml:space="preserve">T1</x:t>
        </x:is>
      </x:c>
      <x:c r="D312" s="3" t="inlineStr">
        <x:is>
          <x:t xml:space="preserve">6. Change Events (Layoffs/M&amp;A/Re-org)</x:t>
        </x:is>
      </x:c>
      <x:c r="E312" s="3" t="inlineStr">
        <x:is>
          <x:t xml:space="preserve">W</x:t>
        </x:is>
      </x:c>
      <x:c r="F312" s="3" t="n">
        <x:v>1</x:v>
      </x:c>
      <x:c r="G312" s="3" t="inlineStr">
        <x:is>
          <x:t xml:space="preserve">-</x:t>
        </x:is>
      </x:c>
      <x:c r="H312" s="3" t="inlineStr">
        <x:is>
          <x:t xml:space="preserve"/>
        </x:is>
      </x:c>
      <x:c r="I312" s="3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J312" s="3" t="inlineStr">
        <x:is>
          <x:t xml:space="preserve">Control lag = how fast controls adapt to change.</x:t>
        </x:is>
      </x:c>
      <x:c r="K312" s="3" t="inlineStr">
        <x:is>
          <x:t xml:space="preserve">Gatekeeper (If BaseScore &lt;2 → HR-D6-Q21; If ≥2 → HR-D6-Q22)</x:t>
        </x:is>
      </x:c>
      <x:c r="L312" s="3" t="inlineStr">
        <x:is>
          <x:t xml:space="preserve">RISK_STD</x:t>
        </x:is>
      </x:c>
      <x:c r="M312" s="3" t="n">
        <x:v>1</x:v>
      </x:c>
      <x:c r="N312" s="3" t="n"/>
      <x:c r="O312" s="3" t="n"/>
      <x:c r="P312" s="3" t="inlineStr">
        <x:is>
          <x:t xml:space="preserve">HR-D6-Q20-A4</x:t>
        </x:is>
      </x:c>
      <x:c r="Q312" s="3" t="n">
        <x:v>5</x:v>
      </x:c>
      <x:c r="R312" s="3" t="inlineStr">
        <x:is>
          <x:t xml:space="preserve">Managed: critical updates happen within days; responsibilities clear.</x:t>
        </x:is>
      </x:c>
      <x:c r="S312" s="3" t="n">
        <x:v>3</x:v>
      </x:c>
      <x:c r="T312" s="3" t="inlineStr">
        <x:is>
          <x:t xml:space="preserve"/>
        </x:is>
      </x:c>
      <x:c r="U312" s="3" t="inlineStr">
        <x:is>
          <x:t xml:space="preserve">Control Lag</x:t>
        </x:is>
      </x:c>
      <x:c r="V312" s="3" t="inlineStr">
        <x:is>
          <x:t xml:space="preserve">Maintain and test</x:t>
        </x:is>
      </x:c>
      <x:c r="W312" s="3" t="inlineStr">
        <x:is>
          <x:t xml:space="preserve">N</x:t>
        </x:is>
      </x:c>
      <x:c r="X312" s="3" t="inlineStr">
        <x:is>
          <x:t xml:space="preserve">Evidence: timelines from recent event.</x:t>
        </x:is>
      </x:c>
      <x:c r="Y312" s="6">
        <x:f>(S312*IF(E312="G",F312,0))+(S312*IF(G312="G",H312,0))</x:f>
      </x:c>
      <x:c r="Z312" s="6">
        <x:f>(S312*IF(E312="E",F312,0))+(S312*IF(G312="E",H312,0))</x:f>
      </x:c>
      <x:c r="AA312" s="6">
        <x:f>(S312*IF(E312="T",F312,0))+(S312*IF(G312="T",H312,0))</x:f>
      </x:c>
      <x:c r="AB312" s="6">
        <x:f>(S312*IF(E312="L",F312,0))+(S312*IF(G312="L",H312,0))</x:f>
      </x:c>
      <x:c r="AC312" s="6">
        <x:f>(S312*IF(E312="H",F312,0))+(S312*IF(G312="H",H312,0))</x:f>
      </x:c>
      <x:c r="AD312" s="6">
        <x:f>(S312*IF(E312="V",F312,0))+(S312*IF(G312="V",H312,0))</x:f>
      </x:c>
      <x:c r="AE312" s="6">
        <x:f>(S312*IF(E312="R",F312,0))+(S312*IF(G312="R",H312,0))</x:f>
      </x:c>
      <x:c r="AF312" s="6">
        <x:f>(S312*IF(E312="F",F312,0))+(S312*IF(G312="F",H312,0))</x:f>
      </x:c>
      <x:c r="AG312" s="6">
        <x:f>(S312*IF(E312="W",F312,0))+(S312*IF(G312="W",H312,0))</x:f>
      </x:c>
    </x:row>
    <x:row r="313">
      <x:c r="A313" s="3" t="inlineStr">
        <x:is>
          <x:t xml:space="preserve">HR</x:t>
        </x:is>
      </x:c>
      <x:c r="B313" s="3" t="inlineStr">
        <x:is>
          <x:t xml:space="preserve">HR-D6-Q20</x:t>
        </x:is>
      </x:c>
      <x:c r="C313" s="3" t="inlineStr">
        <x:is>
          <x:t xml:space="preserve">T1</x:t>
        </x:is>
      </x:c>
      <x:c r="D313" s="3" t="inlineStr">
        <x:is>
          <x:t xml:space="preserve">6. Change Events (Layoffs/M&amp;A/Re-org)</x:t>
        </x:is>
      </x:c>
      <x:c r="E313" s="3" t="inlineStr">
        <x:is>
          <x:t xml:space="preserve">W</x:t>
        </x:is>
      </x:c>
      <x:c r="F313" s="3" t="n">
        <x:v>1</x:v>
      </x:c>
      <x:c r="G313" s="3" t="inlineStr">
        <x:is>
          <x:t xml:space="preserve">-</x:t>
        </x:is>
      </x:c>
      <x:c r="H313" s="3" t="inlineStr">
        <x:is>
          <x:t xml:space="preserve"/>
        </x:is>
      </x:c>
      <x:c r="I313" s="3" t="inlineStr">
        <x:is>
          <x:t xml:space="preserve">During layoffs, reorganisations, or M&amp;A, how quickly do HR/IT/Security adjust people-risk controls (access changes, comms, monitoring approvals where lawful)?</x:t>
        </x:is>
      </x:c>
      <x:c r="J313" s="3" t="inlineStr">
        <x:is>
          <x:t xml:space="preserve">Control lag = how fast controls adapt to change.</x:t>
        </x:is>
      </x:c>
      <x:c r="K313" s="3" t="inlineStr">
        <x:is>
          <x:t xml:space="preserve">Gatekeeper (If BaseScore &lt;2 → HR-D6-Q21; If ≥2 → HR-D6-Q22)</x:t>
        </x:is>
      </x:c>
      <x:c r="L313" s="3" t="inlineStr">
        <x:is>
          <x:t xml:space="preserve">RISK_STD</x:t>
        </x:is>
      </x:c>
      <x:c r="M313" s="3" t="n">
        <x:v>1</x:v>
      </x:c>
      <x:c r="N313" s="3" t="n"/>
      <x:c r="O313" s="3" t="n"/>
      <x:c r="P313" s="3" t="inlineStr">
        <x:is>
          <x:t xml:space="preserve">HR-D6-Q20-A5</x:t>
        </x:is>
      </x:c>
      <x:c r="Q313" s="3" t="n">
        <x:v>6</x:v>
      </x:c>
      <x:c r="R313" s="3" t="inlineStr">
        <x:is>
          <x:t xml:space="preserve">Optimized: triggers and measurable lag; lessons learned applied each event.</x:t>
        </x:is>
      </x:c>
      <x:c r="S313" s="3" t="n">
        <x:v>4</x:v>
      </x:c>
      <x:c r="T313" s="3" t="inlineStr">
        <x:is>
          <x:t xml:space="preserve"/>
        </x:is>
      </x:c>
      <x:c r="U313" s="3" t="inlineStr">
        <x:is>
          <x:t xml:space="preserve">Control Lag</x:t>
        </x:is>
      </x:c>
      <x:c r="V313" s="3" t="inlineStr">
        <x:is>
          <x:t xml:space="preserve">Continuous improvement</x:t>
        </x:is>
      </x:c>
      <x:c r="W313" s="3" t="inlineStr">
        <x:is>
          <x:t xml:space="preserve">N</x:t>
        </x:is>
      </x:c>
      <x:c r="X313" s="3" t="inlineStr">
        <x:is>
          <x:t xml:space="preserve">Evidence: lag metrics.</x:t>
        </x:is>
      </x:c>
      <x:c r="Y313" s="6">
        <x:f>(S313*IF(E313="G",F313,0))+(S313*IF(G313="G",H313,0))</x:f>
      </x:c>
      <x:c r="Z313" s="6">
        <x:f>(S313*IF(E313="E",F313,0))+(S313*IF(G313="E",H313,0))</x:f>
      </x:c>
      <x:c r="AA313" s="6">
        <x:f>(S313*IF(E313="T",F313,0))+(S313*IF(G313="T",H313,0))</x:f>
      </x:c>
      <x:c r="AB313" s="6">
        <x:f>(S313*IF(E313="L",F313,0))+(S313*IF(G313="L",H313,0))</x:f>
      </x:c>
      <x:c r="AC313" s="6">
        <x:f>(S313*IF(E313="H",F313,0))+(S313*IF(G313="H",H313,0))</x:f>
      </x:c>
      <x:c r="AD313" s="6">
        <x:f>(S313*IF(E313="V",F313,0))+(S313*IF(G313="V",H313,0))</x:f>
      </x:c>
      <x:c r="AE313" s="6">
        <x:f>(S313*IF(E313="R",F313,0))+(S313*IF(G313="R",H313,0))</x:f>
      </x:c>
      <x:c r="AF313" s="6">
        <x:f>(S313*IF(E313="F",F313,0))+(S313*IF(G313="F",H313,0))</x:f>
      </x:c>
      <x:c r="AG313" s="6">
        <x:f>(S313*IF(E313="W",F313,0))+(S313*IF(G313="W",H313,0))</x:f>
      </x:c>
    </x:row>
    <x:row r="314">
      <x:c r="A314" s="3" t="inlineStr">
        <x:is>
          <x:t xml:space="preserve">HR</x:t>
        </x:is>
      </x:c>
      <x:c r="B314" s="3" t="inlineStr">
        <x:is>
          <x:t xml:space="preserve">HR-D6-Q21</x:t>
        </x:is>
      </x:c>
      <x:c r="C314" s="3" t="inlineStr">
        <x:is>
          <x:t xml:space="preserve">T2</x:t>
        </x:is>
      </x:c>
      <x:c r="D314" s="3" t="inlineStr">
        <x:is>
          <x:t xml:space="preserve">6. Change Events (Layoffs/M&amp;A/Re-org)</x:t>
        </x:is>
      </x:c>
      <x:c r="E314" s="3" t="inlineStr">
        <x:is>
          <x:t xml:space="preserve">E</x:t>
        </x:is>
      </x:c>
      <x:c r="F314" s="3" t="n">
        <x:v>1</x:v>
      </x:c>
      <x:c r="G314" s="3" t="inlineStr">
        <x:is>
          <x:t xml:space="preserve">-</x:t>
        </x:is>
      </x:c>
      <x:c r="H314" s="3" t="inlineStr">
        <x:is>
          <x:t xml:space="preserve"/>
        </x:is>
      </x:c>
      <x:c r="I314" s="3" t="inlineStr">
        <x:is>
          <x:t xml:space="preserve">(Shadow probe) How are change events communicated to IT/Security today, and how timely is the information?</x:t>
        </x:is>
      </x:c>
      <x:c r="J314" s="3" t="inlineStr">
        <x:is>
          <x:t xml:space="preserve">Think: leaver lists, role changes, org changes, contractor changes.</x:t>
        </x:is>
      </x:c>
      <x:c r="K314" s="3" t="inlineStr">
        <x:is>
          <x:t xml:space="preserve">Shadow fallback (Then → HR-D7-Q23)</x:t>
        </x:is>
      </x:c>
      <x:c r="L314" s="3" t="inlineStr">
        <x:is>
          <x:t xml:space="preserve">OPS_STD</x:t>
        </x:is>
      </x:c>
      <x:c r="M314" s="3" t="n">
        <x:v>1</x:v>
      </x:c>
      <x:c r="N314" s="3" t="n"/>
      <x:c r="O314" s="3" t="n"/>
      <x:c r="P314" s="3" t="inlineStr">
        <x:is>
          <x:t xml:space="preserve">HR-D6-Q21-A1</x:t>
        </x:is>
      </x:c>
      <x:c r="Q314" s="3" t="n">
        <x:v>1</x:v>
      </x:c>
      <x:c r="R314" s="3" t="inlineStr">
        <x:is>
          <x:t xml:space="preserve">Unreliable: updates are late or incomplete.</x:t>
        </x:is>
      </x:c>
      <x:c r="S314" s="3" t="n">
        <x:v>0</x:v>
      </x:c>
      <x:c r="T314" s="3" t="inlineStr">
        <x:is>
          <x:t xml:space="preserve">control_lag</x:t>
        </x:is>
      </x:c>
      <x:c r="U314" s="3" t="inlineStr">
        <x:is>
          <x:t xml:space="preserve">Control Lag</x:t>
        </x:is>
      </x:c>
      <x:c r="V314" s="3" t="inlineStr">
        <x:is>
          <x:t xml:space="preserve">Improve timeliness</x:t>
        </x:is>
      </x:c>
      <x:c r="W314" s="3" t="inlineStr">
        <x:is>
          <x:t xml:space="preserve">N</x:t>
        </x:is>
      </x:c>
      <x:c r="X314" s="3" t="inlineStr">
        <x:is>
          <x:t xml:space="preserve"/>
        </x:is>
      </x:c>
      <x:c r="Y314" s="6">
        <x:f>(S314*IF(E314="G",F314,0))+(S314*IF(G314="G",H314,0))</x:f>
      </x:c>
      <x:c r="Z314" s="6">
        <x:f>(S314*IF(E314="E",F314,0))+(S314*IF(G314="E",H314,0))</x:f>
      </x:c>
      <x:c r="AA314" s="6">
        <x:f>(S314*IF(E314="T",F314,0))+(S314*IF(G314="T",H314,0))</x:f>
      </x:c>
      <x:c r="AB314" s="6">
        <x:f>(S314*IF(E314="L",F314,0))+(S314*IF(G314="L",H314,0))</x:f>
      </x:c>
      <x:c r="AC314" s="6">
        <x:f>(S314*IF(E314="H",F314,0))+(S314*IF(G314="H",H314,0))</x:f>
      </x:c>
      <x:c r="AD314" s="6">
        <x:f>(S314*IF(E314="V",F314,0))+(S314*IF(G314="V",H314,0))</x:f>
      </x:c>
      <x:c r="AE314" s="6">
        <x:f>(S314*IF(E314="R",F314,0))+(S314*IF(G314="R",H314,0))</x:f>
      </x:c>
      <x:c r="AF314" s="6">
        <x:f>(S314*IF(E314="F",F314,0))+(S314*IF(G314="F",H314,0))</x:f>
      </x:c>
      <x:c r="AG314" s="6">
        <x:f>(S314*IF(E314="W",F314,0))+(S314*IF(G314="W",H314,0))</x:f>
      </x:c>
    </x:row>
    <x:row r="315">
      <x:c r="A315" s="3" t="inlineStr">
        <x:is>
          <x:t xml:space="preserve">HR</x:t>
        </x:is>
      </x:c>
      <x:c r="B315" s="3" t="inlineStr">
        <x:is>
          <x:t xml:space="preserve">HR-D6-Q21</x:t>
        </x:is>
      </x:c>
      <x:c r="C315" s="3" t="inlineStr">
        <x:is>
          <x:t xml:space="preserve">T2</x:t>
        </x:is>
      </x:c>
      <x:c r="D315" s="3" t="inlineStr">
        <x:is>
          <x:t xml:space="preserve">6. Change Events (Layoffs/M&amp;A/Re-org)</x:t>
        </x:is>
      </x:c>
      <x:c r="E315" s="3" t="inlineStr">
        <x:is>
          <x:t xml:space="preserve">E</x:t>
        </x:is>
      </x:c>
      <x:c r="F315" s="3" t="n">
        <x:v>1</x:v>
      </x:c>
      <x:c r="G315" s="3" t="inlineStr">
        <x:is>
          <x:t xml:space="preserve">-</x:t>
        </x:is>
      </x:c>
      <x:c r="H315" s="3" t="inlineStr">
        <x:is>
          <x:t xml:space="preserve"/>
        </x:is>
      </x:c>
      <x:c r="I315" s="3" t="inlineStr">
        <x:is>
          <x:t xml:space="preserve">(Shadow probe) How are change events communicated to IT/Security today, and how timely is the information?</x:t>
        </x:is>
      </x:c>
      <x:c r="J315" s="3" t="inlineStr">
        <x:is>
          <x:t xml:space="preserve">Think: leaver lists, role changes, org changes, contractor changes.</x:t>
        </x:is>
      </x:c>
      <x:c r="K315" s="3" t="inlineStr">
        <x:is>
          <x:t xml:space="preserve">Shadow fallback (Then → HR-D7-Q23)</x:t>
        </x:is>
      </x:c>
      <x:c r="L315" s="3" t="inlineStr">
        <x:is>
          <x:t xml:space="preserve">OPS_STD</x:t>
        </x:is>
      </x:c>
      <x:c r="M315" s="3" t="n">
        <x:v>1</x:v>
      </x:c>
      <x:c r="N315" s="3" t="n"/>
      <x:c r="O315" s="3" t="n"/>
      <x:c r="P315" s="3" t="inlineStr">
        <x:is>
          <x:t xml:space="preserve">HR-D6-Q21-A2</x:t>
        </x:is>
      </x:c>
      <x:c r="Q315" s="3" t="n">
        <x:v>2</x:v>
      </x:c>
      <x:c r="R315" s="3" t="inlineStr">
        <x:is>
          <x:t xml:space="preserve">Email/spreadsheets: provided but often delayed.</x:t>
        </x:is>
      </x:c>
      <x:c r="S315" s="3" t="n">
        <x:v>1</x:v>
      </x:c>
      <x:c r="T315" s="3" t="inlineStr">
        <x:is>
          <x:t xml:space="preserve">shadow_mature_signal</x:t>
        </x:is>
      </x:c>
      <x:c r="U315" s="3" t="inlineStr">
        <x:is>
          <x:t xml:space="preserve">Control Lag</x:t>
        </x:is>
      </x:c>
      <x:c r="V315" s="3" t="inlineStr">
        <x:is>
          <x:t xml:space="preserve">Create standard cadence</x:t>
        </x:is>
      </x:c>
      <x:c r="W315" s="3" t="inlineStr">
        <x:is>
          <x:t xml:space="preserve">N</x:t>
        </x:is>
      </x:c>
      <x:c r="X315" s="3" t="inlineStr">
        <x:is>
          <x:t xml:space="preserve"/>
        </x:is>
      </x:c>
      <x:c r="Y315" s="6">
        <x:f>(S315*IF(E315="G",F315,0))+(S315*IF(G315="G",H315,0))</x:f>
      </x:c>
      <x:c r="Z315" s="6">
        <x:f>(S315*IF(E315="E",F315,0))+(S315*IF(G315="E",H315,0))</x:f>
      </x:c>
      <x:c r="AA315" s="6">
        <x:f>(S315*IF(E315="T",F315,0))+(S315*IF(G315="T",H315,0))</x:f>
      </x:c>
      <x:c r="AB315" s="6">
        <x:f>(S315*IF(E315="L",F315,0))+(S315*IF(G315="L",H315,0))</x:f>
      </x:c>
      <x:c r="AC315" s="6">
        <x:f>(S315*IF(E315="H",F315,0))+(S315*IF(G315="H",H315,0))</x:f>
      </x:c>
      <x:c r="AD315" s="6">
        <x:f>(S315*IF(E315="V",F315,0))+(S315*IF(G315="V",H315,0))</x:f>
      </x:c>
      <x:c r="AE315" s="6">
        <x:f>(S315*IF(E315="R",F315,0))+(S315*IF(G315="R",H315,0))</x:f>
      </x:c>
      <x:c r="AF315" s="6">
        <x:f>(S315*IF(E315="F",F315,0))+(S315*IF(G315="F",H315,0))</x:f>
      </x:c>
      <x:c r="AG315" s="6">
        <x:f>(S315*IF(E315="W",F315,0))+(S315*IF(G315="W",H315,0))</x:f>
      </x:c>
    </x:row>
    <x:row r="316">
      <x:c r="A316" s="3" t="inlineStr">
        <x:is>
          <x:t xml:space="preserve">HR</x:t>
        </x:is>
      </x:c>
      <x:c r="B316" s="3" t="inlineStr">
        <x:is>
          <x:t xml:space="preserve">HR-D6-Q21</x:t>
        </x:is>
      </x:c>
      <x:c r="C316" s="3" t="inlineStr">
        <x:is>
          <x:t xml:space="preserve">T2</x:t>
        </x:is>
      </x:c>
      <x:c r="D316" s="3" t="inlineStr">
        <x:is>
          <x:t xml:space="preserve">6. Change Events (Layoffs/M&amp;A/Re-org)</x:t>
        </x:is>
      </x:c>
      <x:c r="E316" s="3" t="inlineStr">
        <x:is>
          <x:t xml:space="preserve">E</x:t>
        </x:is>
      </x:c>
      <x:c r="F316" s="3" t="n">
        <x:v>1</x:v>
      </x:c>
      <x:c r="G316" s="3" t="inlineStr">
        <x:is>
          <x:t xml:space="preserve">-</x:t>
        </x:is>
      </x:c>
      <x:c r="H316" s="3" t="inlineStr">
        <x:is>
          <x:t xml:space="preserve"/>
        </x:is>
      </x:c>
      <x:c r="I316" s="3" t="inlineStr">
        <x:is>
          <x:t xml:space="preserve">(Shadow probe) How are change events communicated to IT/Security today, and how timely is the information?</x:t>
        </x:is>
      </x:c>
      <x:c r="J316" s="3" t="inlineStr">
        <x:is>
          <x:t xml:space="preserve">Think: leaver lists, role changes, org changes, contractor changes.</x:t>
        </x:is>
      </x:c>
      <x:c r="K316" s="3" t="inlineStr">
        <x:is>
          <x:t xml:space="preserve">Shadow fallback (Then → HR-D7-Q23)</x:t>
        </x:is>
      </x:c>
      <x:c r="L316" s="3" t="inlineStr">
        <x:is>
          <x:t xml:space="preserve">OPS_STD</x:t>
        </x:is>
      </x:c>
      <x:c r="M316" s="3" t="n">
        <x:v>1</x:v>
      </x:c>
      <x:c r="N316" s="3" t="n"/>
      <x:c r="O316" s="3" t="n"/>
      <x:c r="P316" s="3" t="inlineStr">
        <x:is>
          <x:t xml:space="preserve">HR-D6-Q21-A3</x:t>
        </x:is>
      </x:c>
      <x:c r="Q316" s="3" t="n">
        <x:v>3</x:v>
      </x:c>
      <x:c r="R316" s="3" t="inlineStr">
        <x:is>
          <x:t xml:space="preserve">Regular cadence; still delays for urgent changes.</x:t>
        </x:is>
      </x:c>
      <x:c r="S316" s="3" t="n">
        <x:v>2</x:v>
      </x:c>
      <x:c r="T316" s="3" t="inlineStr">
        <x:is>
          <x:t xml:space="preserve"/>
        </x:is>
      </x:c>
      <x:c r="U316" s="3" t="inlineStr">
        <x:is>
          <x:t xml:space="preserve">Control Lag</x:t>
        </x:is>
      </x:c>
      <x:c r="V316" s="3" t="inlineStr">
        <x:is>
          <x:t xml:space="preserve">Add urgent escalation</x:t>
        </x:is>
      </x:c>
      <x:c r="W316" s="3" t="inlineStr">
        <x:is>
          <x:t xml:space="preserve">N</x:t>
        </x:is>
      </x:c>
      <x:c r="X316" s="3" t="inlineStr">
        <x:is>
          <x:t xml:space="preserve"/>
        </x:is>
      </x:c>
      <x:c r="Y316" s="6">
        <x:f>(S316*IF(E316="G",F316,0))+(S316*IF(G316="G",H316,0))</x:f>
      </x:c>
      <x:c r="Z316" s="6">
        <x:f>(S316*IF(E316="E",F316,0))+(S316*IF(G316="E",H316,0))</x:f>
      </x:c>
      <x:c r="AA316" s="6">
        <x:f>(S316*IF(E316="T",F316,0))+(S316*IF(G316="T",H316,0))</x:f>
      </x:c>
      <x:c r="AB316" s="6">
        <x:f>(S316*IF(E316="L",F316,0))+(S316*IF(G316="L",H316,0))</x:f>
      </x:c>
      <x:c r="AC316" s="6">
        <x:f>(S316*IF(E316="H",F316,0))+(S316*IF(G316="H",H316,0))</x:f>
      </x:c>
      <x:c r="AD316" s="6">
        <x:f>(S316*IF(E316="V",F316,0))+(S316*IF(G316="V",H316,0))</x:f>
      </x:c>
      <x:c r="AE316" s="6">
        <x:f>(S316*IF(E316="R",F316,0))+(S316*IF(G316="R",H316,0))</x:f>
      </x:c>
      <x:c r="AF316" s="6">
        <x:f>(S316*IF(E316="F",F316,0))+(S316*IF(G316="F",H316,0))</x:f>
      </x:c>
      <x:c r="AG316" s="6">
        <x:f>(S316*IF(E316="W",F316,0))+(S316*IF(G316="W",H316,0))</x:f>
      </x:c>
    </x:row>
    <x:row r="317">
      <x:c r="A317" s="3" t="inlineStr">
        <x:is>
          <x:t xml:space="preserve">HR</x:t>
        </x:is>
      </x:c>
      <x:c r="B317" s="3" t="inlineStr">
        <x:is>
          <x:t xml:space="preserve">HR-D6-Q21</x:t>
        </x:is>
      </x:c>
      <x:c r="C317" s="3" t="inlineStr">
        <x:is>
          <x:t xml:space="preserve">T2</x:t>
        </x:is>
      </x:c>
      <x:c r="D317" s="3" t="inlineStr">
        <x:is>
          <x:t xml:space="preserve">6. Change Events (Layoffs/M&amp;A/Re-org)</x:t>
        </x:is>
      </x:c>
      <x:c r="E317" s="3" t="inlineStr">
        <x:is>
          <x:t xml:space="preserve">E</x:t>
        </x:is>
      </x:c>
      <x:c r="F317" s="3" t="n">
        <x:v>1</x:v>
      </x:c>
      <x:c r="G317" s="3" t="inlineStr">
        <x:is>
          <x:t xml:space="preserve">-</x:t>
        </x:is>
      </x:c>
      <x:c r="H317" s="3" t="inlineStr">
        <x:is>
          <x:t xml:space="preserve"/>
        </x:is>
      </x:c>
      <x:c r="I317" s="3" t="inlineStr">
        <x:is>
          <x:t xml:space="preserve">(Shadow probe) How are change events communicated to IT/Security today, and how timely is the information?</x:t>
        </x:is>
      </x:c>
      <x:c r="J317" s="3" t="inlineStr">
        <x:is>
          <x:t xml:space="preserve">Think: leaver lists, role changes, org changes, contractor changes.</x:t>
        </x:is>
      </x:c>
      <x:c r="K317" s="3" t="inlineStr">
        <x:is>
          <x:t xml:space="preserve">Shadow fallback (Then → HR-D7-Q23)</x:t>
        </x:is>
      </x:c>
      <x:c r="L317" s="3" t="inlineStr">
        <x:is>
          <x:t xml:space="preserve">OPS_STD</x:t>
        </x:is>
      </x:c>
      <x:c r="M317" s="3" t="n">
        <x:v>1</x:v>
      </x:c>
      <x:c r="N317" s="3" t="n"/>
      <x:c r="O317" s="3" t="n"/>
      <x:c r="P317" s="3" t="inlineStr">
        <x:is>
          <x:t xml:space="preserve">HR-D6-Q21-A4</x:t>
        </x:is>
      </x:c>
      <x:c r="Q317" s="3" t="n">
        <x:v>4</x:v>
      </x:c>
      <x:c r="R317" s="3" t="inlineStr">
        <x:is>
          <x:t xml:space="preserve">Timely: critical updates within 24–48 hours with clear ownership.</x:t>
        </x:is>
      </x:c>
      <x:c r="S317" s="3" t="n">
        <x:v>3</x:v>
      </x:c>
      <x:c r="T317" s="3" t="inlineStr">
        <x:is>
          <x:t xml:space="preserve"/>
        </x:is>
      </x:c>
      <x:c r="U317" s="3" t="inlineStr">
        <x:is>
          <x:t xml:space="preserve">Control Lag</x:t>
        </x:is>
      </x:c>
      <x:c r="V317" s="3" t="inlineStr">
        <x:is>
          <x:t xml:space="preserve">Maintain</x:t>
        </x:is>
      </x:c>
      <x:c r="W317" s="3" t="inlineStr">
        <x:is>
          <x:t xml:space="preserve">N</x:t>
        </x:is>
      </x:c>
      <x:c r="X317" s="3" t="inlineStr">
        <x:is>
          <x:t xml:space="preserve">Evidence: sample comms.</x:t>
        </x:is>
      </x:c>
      <x:c r="Y317" s="6">
        <x:f>(S317*IF(E317="G",F317,0))+(S317*IF(G317="G",H317,0))</x:f>
      </x:c>
      <x:c r="Z317" s="6">
        <x:f>(S317*IF(E317="E",F317,0))+(S317*IF(G317="E",H317,0))</x:f>
      </x:c>
      <x:c r="AA317" s="6">
        <x:f>(S317*IF(E317="T",F317,0))+(S317*IF(G317="T",H317,0))</x:f>
      </x:c>
      <x:c r="AB317" s="6">
        <x:f>(S317*IF(E317="L",F317,0))+(S317*IF(G317="L",H317,0))</x:f>
      </x:c>
      <x:c r="AC317" s="6">
        <x:f>(S317*IF(E317="H",F317,0))+(S317*IF(G317="H",H317,0))</x:f>
      </x:c>
      <x:c r="AD317" s="6">
        <x:f>(S317*IF(E317="V",F317,0))+(S317*IF(G317="V",H317,0))</x:f>
      </x:c>
      <x:c r="AE317" s="6">
        <x:f>(S317*IF(E317="R",F317,0))+(S317*IF(G317="R",H317,0))</x:f>
      </x:c>
      <x:c r="AF317" s="6">
        <x:f>(S317*IF(E317="F",F317,0))+(S317*IF(G317="F",H317,0))</x:f>
      </x:c>
      <x:c r="AG317" s="6">
        <x:f>(S317*IF(E317="W",F317,0))+(S317*IF(G317="W",H317,0))</x:f>
      </x:c>
    </x:row>
    <x:row r="318">
      <x:c r="A318" s="3" t="inlineStr">
        <x:is>
          <x:t xml:space="preserve">HR</x:t>
        </x:is>
      </x:c>
      <x:c r="B318" s="3" t="inlineStr">
        <x:is>
          <x:t xml:space="preserve">HR-D6-Q22</x:t>
        </x:is>
      </x:c>
      <x:c r="C318" s="3" t="inlineStr">
        <x:is>
          <x:t xml:space="preserve">T2</x:t>
        </x:is>
      </x:c>
      <x:c r="D318" s="3" t="inlineStr">
        <x:is>
          <x:t xml:space="preserve">6. Change Events (Layoffs/M&amp;A/Re-org)</x:t>
        </x:is>
      </x:c>
      <x:c r="E318" s="3" t="inlineStr">
        <x:is>
          <x:t xml:space="preserve">G</x:t>
        </x:is>
      </x:c>
      <x:c r="F318" s="3" t="n">
        <x:v>0.5</x:v>
      </x:c>
      <x:c r="G318" s="3" t="inlineStr">
        <x:is>
          <x:t xml:space="preserve">W</x:t>
        </x:is>
      </x:c>
      <x:c r="H318" s="3" t="n">
        <x:v>0.5</x:v>
      </x:c>
      <x:c r="I318" s="3" t="inlineStr">
        <x:is>
          <x:t xml:space="preserve">Do you have a 'change event checklist' for people-risk controls (communications, access, monitoring approvals, support mechanisms)?</x:t>
        </x:is>
      </x:c>
      <x:c r="J318" s="3" t="inlineStr">
        <x:is>
          <x:t xml:space="preserve">Checklist should include legal/privacy review steps where required.</x:t>
        </x:is>
      </x:c>
      <x:c r="K318" s="3" t="inlineStr">
        <x:is>
          <x:t xml:space="preserve">Drill-down</x:t>
        </x:is>
      </x:c>
      <x:c r="L318" s="3" t="inlineStr">
        <x:is>
          <x:t xml:space="preserve">GOV_STD</x:t>
        </x:is>
      </x:c>
      <x:c r="M318" s="3" t="n">
        <x:v>1</x:v>
      </x:c>
      <x:c r="N318" s="3" t="n"/>
      <x:c r="O318" s="3" t="n"/>
      <x:c r="P318" s="3" t="inlineStr">
        <x:is>
          <x:t xml:space="preserve">HR-D6-Q22-A1</x:t>
        </x:is>
      </x:c>
      <x:c r="Q318" s="3" t="n">
        <x:v>1</x:v>
      </x:c>
      <x:c r="R318" s="3" t="inlineStr">
        <x:is>
          <x:t xml:space="preserve">No checklist; teams improvise each time.</x:t>
        </x:is>
      </x:c>
      <x:c r="S318" s="3" t="n">
        <x:v>0</x:v>
      </x:c>
      <x:c r="T318" s="3" t="inlineStr">
        <x:is>
          <x:t xml:space="preserve">control_lag</x:t>
        </x:is>
      </x:c>
      <x:c r="U318" s="3" t="inlineStr">
        <x:is>
          <x:t xml:space="preserve">Control Lag</x:t>
        </x:is>
      </x:c>
      <x:c r="V318" s="3" t="inlineStr">
        <x:is>
          <x:t xml:space="preserve">Create checklist</x:t>
        </x:is>
      </x:c>
      <x:c r="W318" s="3" t="inlineStr">
        <x:is>
          <x:t xml:space="preserve">N</x:t>
        </x:is>
      </x:c>
      <x:c r="X318" s="3" t="inlineStr">
        <x:is>
          <x:t xml:space="preserve"/>
        </x:is>
      </x:c>
      <x:c r="Y318" s="6">
        <x:f>(S318*IF(E318="G",F318,0))+(S318*IF(G318="G",H318,0))</x:f>
      </x:c>
      <x:c r="Z318" s="6">
        <x:f>(S318*IF(E318="E",F318,0))+(S318*IF(G318="E",H318,0))</x:f>
      </x:c>
      <x:c r="AA318" s="6">
        <x:f>(S318*IF(E318="T",F318,0))+(S318*IF(G318="T",H318,0))</x:f>
      </x:c>
      <x:c r="AB318" s="6">
        <x:f>(S318*IF(E318="L",F318,0))+(S318*IF(G318="L",H318,0))</x:f>
      </x:c>
      <x:c r="AC318" s="6">
        <x:f>(S318*IF(E318="H",F318,0))+(S318*IF(G318="H",H318,0))</x:f>
      </x:c>
      <x:c r="AD318" s="6">
        <x:f>(S318*IF(E318="V",F318,0))+(S318*IF(G318="V",H318,0))</x:f>
      </x:c>
      <x:c r="AE318" s="6">
        <x:f>(S318*IF(E318="R",F318,0))+(S318*IF(G318="R",H318,0))</x:f>
      </x:c>
      <x:c r="AF318" s="6">
        <x:f>(S318*IF(E318="F",F318,0))+(S318*IF(G318="F",H318,0))</x:f>
      </x:c>
      <x:c r="AG318" s="6">
        <x:f>(S318*IF(E318="W",F318,0))+(S318*IF(G318="W",H318,0))</x:f>
      </x:c>
    </x:row>
    <x:row r="319">
      <x:c r="A319" s="3" t="inlineStr">
        <x:is>
          <x:t xml:space="preserve">HR</x:t>
        </x:is>
      </x:c>
      <x:c r="B319" s="3" t="inlineStr">
        <x:is>
          <x:t xml:space="preserve">HR-D6-Q22</x:t>
        </x:is>
      </x:c>
      <x:c r="C319" s="3" t="inlineStr">
        <x:is>
          <x:t xml:space="preserve">T2</x:t>
        </x:is>
      </x:c>
      <x:c r="D319" s="3" t="inlineStr">
        <x:is>
          <x:t xml:space="preserve">6. Change Events (Layoffs/M&amp;A/Re-org)</x:t>
        </x:is>
      </x:c>
      <x:c r="E319" s="3" t="inlineStr">
        <x:is>
          <x:t xml:space="preserve">G</x:t>
        </x:is>
      </x:c>
      <x:c r="F319" s="3" t="n">
        <x:v>0.5</x:v>
      </x:c>
      <x:c r="G319" s="3" t="inlineStr">
        <x:is>
          <x:t xml:space="preserve">W</x:t>
        </x:is>
      </x:c>
      <x:c r="H319" s="3" t="n">
        <x:v>0.5</x:v>
      </x:c>
      <x:c r="I319" s="3" t="inlineStr">
        <x:is>
          <x:t xml:space="preserve">Do you have a 'change event checklist' for people-risk controls (communications, access, monitoring approvals, support mechanisms)?</x:t>
        </x:is>
      </x:c>
      <x:c r="J319" s="3" t="inlineStr">
        <x:is>
          <x:t xml:space="preserve">Checklist should include legal/privacy review steps where required.</x:t>
        </x:is>
      </x:c>
      <x:c r="K319" s="3" t="inlineStr">
        <x:is>
          <x:t xml:space="preserve">Drill-down</x:t>
        </x:is>
      </x:c>
      <x:c r="L319" s="3" t="inlineStr">
        <x:is>
          <x:t xml:space="preserve">GOV_STD</x:t>
        </x:is>
      </x:c>
      <x:c r="M319" s="3" t="n">
        <x:v>1</x:v>
      </x:c>
      <x:c r="N319" s="3" t="n"/>
      <x:c r="O319" s="3" t="n"/>
      <x:c r="P319" s="3" t="inlineStr">
        <x:is>
          <x:t xml:space="preserve">HR-D6-Q22-A2</x:t>
        </x:is>
      </x:c>
      <x:c r="Q319" s="3" t="n">
        <x:v>2</x:v>
      </x:c>
      <x:c r="R319" s="3" t="inlineStr">
        <x:is>
          <x:t xml:space="preserve">Checklist exists but not used consistently.</x:t>
        </x:is>
      </x:c>
      <x:c r="S319" s="3" t="n">
        <x:v>1</x:v>
      </x:c>
      <x:c r="T319" s="3" t="inlineStr">
        <x:is>
          <x:t xml:space="preserve">paper_dragon_signal</x:t>
        </x:is>
      </x:c>
      <x:c r="U319" s="3" t="inlineStr">
        <x:is>
          <x:t xml:space="preserve">Paper Dragon</x:t>
        </x:is>
      </x:c>
      <x:c r="V319" s="3" t="inlineStr">
        <x:is>
          <x:t xml:space="preserve">Embed into change management</x:t>
        </x:is>
      </x:c>
      <x:c r="W319" s="3" t="inlineStr">
        <x:is>
          <x:t xml:space="preserve">N</x:t>
        </x:is>
      </x:c>
      <x:c r="X319" s="3" t="inlineStr">
        <x:is>
          <x:t xml:space="preserve">Evidence: checklist doc.</x:t>
        </x:is>
      </x:c>
      <x:c r="Y319" s="6">
        <x:f>(S319*IF(E319="G",F319,0))+(S319*IF(G319="G",H319,0))</x:f>
      </x:c>
      <x:c r="Z319" s="6">
        <x:f>(S319*IF(E319="E",F319,0))+(S319*IF(G319="E",H319,0))</x:f>
      </x:c>
      <x:c r="AA319" s="6">
        <x:f>(S319*IF(E319="T",F319,0))+(S319*IF(G319="T",H319,0))</x:f>
      </x:c>
      <x:c r="AB319" s="6">
        <x:f>(S319*IF(E319="L",F319,0))+(S319*IF(G319="L",H319,0))</x:f>
      </x:c>
      <x:c r="AC319" s="6">
        <x:f>(S319*IF(E319="H",F319,0))+(S319*IF(G319="H",H319,0))</x:f>
      </x:c>
      <x:c r="AD319" s="6">
        <x:f>(S319*IF(E319="V",F319,0))+(S319*IF(G319="V",H319,0))</x:f>
      </x:c>
      <x:c r="AE319" s="6">
        <x:f>(S319*IF(E319="R",F319,0))+(S319*IF(G319="R",H319,0))</x:f>
      </x:c>
      <x:c r="AF319" s="6">
        <x:f>(S319*IF(E319="F",F319,0))+(S319*IF(G319="F",H319,0))</x:f>
      </x:c>
      <x:c r="AG319" s="6">
        <x:f>(S319*IF(E319="W",F319,0))+(S319*IF(G319="W",H319,0))</x:f>
      </x:c>
    </x:row>
    <x:row r="320">
      <x:c r="A320" s="3" t="inlineStr">
        <x:is>
          <x:t xml:space="preserve">HR</x:t>
        </x:is>
      </x:c>
      <x:c r="B320" s="3" t="inlineStr">
        <x:is>
          <x:t xml:space="preserve">HR-D6-Q22</x:t>
        </x:is>
      </x:c>
      <x:c r="C320" s="3" t="inlineStr">
        <x:is>
          <x:t xml:space="preserve">T2</x:t>
        </x:is>
      </x:c>
      <x:c r="D320" s="3" t="inlineStr">
        <x:is>
          <x:t xml:space="preserve">6. Change Events (Layoffs/M&amp;A/Re-org)</x:t>
        </x:is>
      </x:c>
      <x:c r="E320" s="3" t="inlineStr">
        <x:is>
          <x:t xml:space="preserve">G</x:t>
        </x:is>
      </x:c>
      <x:c r="F320" s="3" t="n">
        <x:v>0.5</x:v>
      </x:c>
      <x:c r="G320" s="3" t="inlineStr">
        <x:is>
          <x:t xml:space="preserve">W</x:t>
        </x:is>
      </x:c>
      <x:c r="H320" s="3" t="n">
        <x:v>0.5</x:v>
      </x:c>
      <x:c r="I320" s="3" t="inlineStr">
        <x:is>
          <x:t xml:space="preserve">Do you have a 'change event checklist' for people-risk controls (communications, access, monitoring approvals, support mechanisms)?</x:t>
        </x:is>
      </x:c>
      <x:c r="J320" s="3" t="inlineStr">
        <x:is>
          <x:t xml:space="preserve">Checklist should include legal/privacy review steps where required.</x:t>
        </x:is>
      </x:c>
      <x:c r="K320" s="3" t="inlineStr">
        <x:is>
          <x:t xml:space="preserve">Drill-down</x:t>
        </x:is>
      </x:c>
      <x:c r="L320" s="3" t="inlineStr">
        <x:is>
          <x:t xml:space="preserve">GOV_STD</x:t>
        </x:is>
      </x:c>
      <x:c r="M320" s="3" t="n">
        <x:v>1</x:v>
      </x:c>
      <x:c r="N320" s="3" t="n"/>
      <x:c r="O320" s="3" t="n"/>
      <x:c r="P320" s="3" t="inlineStr">
        <x:is>
          <x:t xml:space="preserve">HR-D6-Q22-A3</x:t>
        </x:is>
      </x:c>
      <x:c r="Q320" s="3" t="n">
        <x:v>3</x:v>
      </x:c>
      <x:c r="R320" s="3" t="inlineStr">
        <x:is>
          <x:t xml:space="preserve">Used for major events, not smaller re-orgs.</x:t>
        </x:is>
      </x:c>
      <x:c r="S320" s="3" t="n">
        <x:v>2</x:v>
      </x:c>
      <x:c r="T320" s="3" t="inlineStr">
        <x:is>
          <x:t xml:space="preserve"/>
        </x:is>
      </x:c>
      <x:c r="U320" s="3" t="inlineStr">
        <x:is>
          <x:t xml:space="preserve">Control Lag</x:t>
        </x:is>
      </x:c>
      <x:c r="V320" s="3" t="inlineStr">
        <x:is>
          <x:t xml:space="preserve">Expand scope and automate</x:t>
        </x:is>
      </x:c>
      <x:c r="W320" s="3" t="inlineStr">
        <x:is>
          <x:t xml:space="preserve">N</x:t>
        </x:is>
      </x:c>
      <x:c r="X320" s="3" t="inlineStr">
        <x:is>
          <x:t xml:space="preserve"/>
        </x:is>
      </x:c>
      <x:c r="Y320" s="6">
        <x:f>(S320*IF(E320="G",F320,0))+(S320*IF(G320="G",H320,0))</x:f>
      </x:c>
      <x:c r="Z320" s="6">
        <x:f>(S320*IF(E320="E",F320,0))+(S320*IF(G320="E",H320,0))</x:f>
      </x:c>
      <x:c r="AA320" s="6">
        <x:f>(S320*IF(E320="T",F320,0))+(S320*IF(G320="T",H320,0))</x:f>
      </x:c>
      <x:c r="AB320" s="6">
        <x:f>(S320*IF(E320="L",F320,0))+(S320*IF(G320="L",H320,0))</x:f>
      </x:c>
      <x:c r="AC320" s="6">
        <x:f>(S320*IF(E320="H",F320,0))+(S320*IF(G320="H",H320,0))</x:f>
      </x:c>
      <x:c r="AD320" s="6">
        <x:f>(S320*IF(E320="V",F320,0))+(S320*IF(G320="V",H320,0))</x:f>
      </x:c>
      <x:c r="AE320" s="6">
        <x:f>(S320*IF(E320="R",F320,0))+(S320*IF(G320="R",H320,0))</x:f>
      </x:c>
      <x:c r="AF320" s="6">
        <x:f>(S320*IF(E320="F",F320,0))+(S320*IF(G320="F",H320,0))</x:f>
      </x:c>
      <x:c r="AG320" s="6">
        <x:f>(S320*IF(E320="W",F320,0))+(S320*IF(G320="W",H320,0))</x:f>
      </x:c>
    </x:row>
    <x:row r="321">
      <x:c r="A321" s="3" t="inlineStr">
        <x:is>
          <x:t xml:space="preserve">HR</x:t>
        </x:is>
      </x:c>
      <x:c r="B321" s="3" t="inlineStr">
        <x:is>
          <x:t xml:space="preserve">HR-D6-Q22</x:t>
        </x:is>
      </x:c>
      <x:c r="C321" s="3" t="inlineStr">
        <x:is>
          <x:t xml:space="preserve">T2</x:t>
        </x:is>
      </x:c>
      <x:c r="D321" s="3" t="inlineStr">
        <x:is>
          <x:t xml:space="preserve">6. Change Events (Layoffs/M&amp;A/Re-org)</x:t>
        </x:is>
      </x:c>
      <x:c r="E321" s="3" t="inlineStr">
        <x:is>
          <x:t xml:space="preserve">G</x:t>
        </x:is>
      </x:c>
      <x:c r="F321" s="3" t="n">
        <x:v>0.5</x:v>
      </x:c>
      <x:c r="G321" s="3" t="inlineStr">
        <x:is>
          <x:t xml:space="preserve">W</x:t>
        </x:is>
      </x:c>
      <x:c r="H321" s="3" t="n">
        <x:v>0.5</x:v>
      </x:c>
      <x:c r="I321" s="3" t="inlineStr">
        <x:is>
          <x:t xml:space="preserve">Do you have a 'change event checklist' for people-risk controls (communications, access, monitoring approvals, support mechanisms)?</x:t>
        </x:is>
      </x:c>
      <x:c r="J321" s="3" t="inlineStr">
        <x:is>
          <x:t xml:space="preserve">Checklist should include legal/privacy review steps where required.</x:t>
        </x:is>
      </x:c>
      <x:c r="K321" s="3" t="inlineStr">
        <x:is>
          <x:t xml:space="preserve">Drill-down</x:t>
        </x:is>
      </x:c>
      <x:c r="L321" s="3" t="inlineStr">
        <x:is>
          <x:t xml:space="preserve">GOV_STD</x:t>
        </x:is>
      </x:c>
      <x:c r="M321" s="3" t="n">
        <x:v>1</x:v>
      </x:c>
      <x:c r="N321" s="3" t="n"/>
      <x:c r="O321" s="3" t="n"/>
      <x:c r="P321" s="3" t="inlineStr">
        <x:is>
          <x:t xml:space="preserve">HR-D6-Q22-A4</x:t>
        </x:is>
      </x:c>
      <x:c r="Q321" s="3" t="n">
        <x:v>4</x:v>
      </x:c>
      <x:c r="R321" s="3" t="inlineStr">
        <x:is>
          <x:t xml:space="preserve">Used consistently; ownership clear; post-event review occurs.</x:t>
        </x:is>
      </x:c>
      <x:c r="S321" s="3" t="n">
        <x:v>3</x:v>
      </x:c>
      <x:c r="T321" s="3" t="inlineStr">
        <x:is>
          <x:t xml:space="preserve"/>
        </x:is>
      </x:c>
      <x:c r="U321" s="3" t="inlineStr">
        <x:is>
          <x:t xml:space="preserve">Control Lag</x:t>
        </x:is>
      </x:c>
      <x:c r="V321" s="3" t="inlineStr">
        <x:is>
          <x:t xml:space="preserve">Maintain and improve</x:t>
        </x:is>
      </x:c>
      <x:c r="W321" s="3" t="inlineStr">
        <x:is>
          <x:t xml:space="preserve">N</x:t>
        </x:is>
      </x:c>
      <x:c r="X321" s="3" t="inlineStr">
        <x:is>
          <x:t xml:space="preserve">Evidence: post-event review notes.</x:t>
        </x:is>
      </x:c>
      <x:c r="Y321" s="6">
        <x:f>(S321*IF(E321="G",F321,0))+(S321*IF(G321="G",H321,0))</x:f>
      </x:c>
      <x:c r="Z321" s="6">
        <x:f>(S321*IF(E321="E",F321,0))+(S321*IF(G321="E",H321,0))</x:f>
      </x:c>
      <x:c r="AA321" s="6">
        <x:f>(S321*IF(E321="T",F321,0))+(S321*IF(G321="T",H321,0))</x:f>
      </x:c>
      <x:c r="AB321" s="6">
        <x:f>(S321*IF(E321="L",F321,0))+(S321*IF(G321="L",H321,0))</x:f>
      </x:c>
      <x:c r="AC321" s="6">
        <x:f>(S321*IF(E321="H",F321,0))+(S321*IF(G321="H",H321,0))</x:f>
      </x:c>
      <x:c r="AD321" s="6">
        <x:f>(S321*IF(E321="V",F321,0))+(S321*IF(G321="V",H321,0))</x:f>
      </x:c>
      <x:c r="AE321" s="6">
        <x:f>(S321*IF(E321="R",F321,0))+(S321*IF(G321="R",H321,0))</x:f>
      </x:c>
      <x:c r="AF321" s="6">
        <x:f>(S321*IF(E321="F",F321,0))+(S321*IF(G321="F",H321,0))</x:f>
      </x:c>
      <x:c r="AG321" s="6">
        <x:f>(S321*IF(E321="W",F321,0))+(S321*IF(G321="W",H321,0))</x:f>
      </x:c>
    </x:row>
    <x:row r="322">
      <x:c r="A322" s="3" t="inlineStr">
        <x:is>
          <x:t xml:space="preserve">HR</x:t>
        </x:is>
      </x:c>
      <x:c r="B322" s="3" t="inlineStr">
        <x:is>
          <x:t xml:space="preserve">HR-D6-Q22</x:t>
        </x:is>
      </x:c>
      <x:c r="C322" s="3" t="inlineStr">
        <x:is>
          <x:t xml:space="preserve">T2</x:t>
        </x:is>
      </x:c>
      <x:c r="D322" s="3" t="inlineStr">
        <x:is>
          <x:t xml:space="preserve">6. Change Events (Layoffs/M&amp;A/Re-org)</x:t>
        </x:is>
      </x:c>
      <x:c r="E322" s="3" t="inlineStr">
        <x:is>
          <x:t xml:space="preserve">G</x:t>
        </x:is>
      </x:c>
      <x:c r="F322" s="3" t="n">
        <x:v>0.5</x:v>
      </x:c>
      <x:c r="G322" s="3" t="inlineStr">
        <x:is>
          <x:t xml:space="preserve">W</x:t>
        </x:is>
      </x:c>
      <x:c r="H322" s="3" t="n">
        <x:v>0.5</x:v>
      </x:c>
      <x:c r="I322" s="3" t="inlineStr">
        <x:is>
          <x:t xml:space="preserve">Do you have a 'change event checklist' for people-risk controls (communications, access, monitoring approvals, support mechanisms)?</x:t>
        </x:is>
      </x:c>
      <x:c r="J322" s="3" t="inlineStr">
        <x:is>
          <x:t xml:space="preserve">Checklist should include legal/privacy review steps where required.</x:t>
        </x:is>
      </x:c>
      <x:c r="K322" s="3" t="inlineStr">
        <x:is>
          <x:t xml:space="preserve">Drill-down</x:t>
        </x:is>
      </x:c>
      <x:c r="L322" s="3" t="inlineStr">
        <x:is>
          <x:t xml:space="preserve">GOV_STD</x:t>
        </x:is>
      </x:c>
      <x:c r="M322" s="3" t="n">
        <x:v>1</x:v>
      </x:c>
      <x:c r="N322" s="3" t="n"/>
      <x:c r="O322" s="3" t="n"/>
      <x:c r="P322" s="3" t="inlineStr">
        <x:is>
          <x:t xml:space="preserve">HR-D6-Q22-A5</x:t>
        </x:is>
      </x:c>
      <x:c r="Q322" s="3" t="n">
        <x:v>5</x:v>
      </x:c>
      <x:c r="R322" s="3" t="inlineStr">
        <x:is>
          <x:t xml:space="preserve">Optimized: checklist integrated into workflows with measurable control-lag targets.</x:t>
        </x:is>
      </x:c>
      <x:c r="S322" s="3" t="n">
        <x:v>4</x:v>
      </x:c>
      <x:c r="T322" s="3" t="inlineStr">
        <x:is>
          <x:t xml:space="preserve"/>
        </x:is>
      </x:c>
      <x:c r="U322" s="3" t="inlineStr">
        <x:is>
          <x:t xml:space="preserve">Control Lag</x:t>
        </x:is>
      </x:c>
      <x:c r="V322" s="3" t="inlineStr">
        <x:is>
          <x:t xml:space="preserve">Maintain maturity</x:t>
        </x:is>
      </x:c>
      <x:c r="W322" s="3" t="inlineStr">
        <x:is>
          <x:t xml:space="preserve">N</x:t>
        </x:is>
      </x:c>
      <x:c r="X322" s="3" t="inlineStr">
        <x:is>
          <x:t xml:space="preserve">Evidence: lag KPI.</x:t>
        </x:is>
      </x:c>
      <x:c r="Y322" s="6">
        <x:f>(S322*IF(E322="G",F322,0))+(S322*IF(G322="G",H322,0))</x:f>
      </x:c>
      <x:c r="Z322" s="6">
        <x:f>(S322*IF(E322="E",F322,0))+(S322*IF(G322="E",H322,0))</x:f>
      </x:c>
      <x:c r="AA322" s="6">
        <x:f>(S322*IF(E322="T",F322,0))+(S322*IF(G322="T",H322,0))</x:f>
      </x:c>
      <x:c r="AB322" s="6">
        <x:f>(S322*IF(E322="L",F322,0))+(S322*IF(G322="L",H322,0))</x:f>
      </x:c>
      <x:c r="AC322" s="6">
        <x:f>(S322*IF(E322="H",F322,0))+(S322*IF(G322="H",H322,0))</x:f>
      </x:c>
      <x:c r="AD322" s="6">
        <x:f>(S322*IF(E322="V",F322,0))+(S322*IF(G322="V",H322,0))</x:f>
      </x:c>
      <x:c r="AE322" s="6">
        <x:f>(S322*IF(E322="R",F322,0))+(S322*IF(G322="R",H322,0))</x:f>
      </x:c>
      <x:c r="AF322" s="6">
        <x:f>(S322*IF(E322="F",F322,0))+(S322*IF(G322="F",H322,0))</x:f>
      </x:c>
      <x:c r="AG322" s="6">
        <x:f>(S322*IF(E322="W",F322,0))+(S322*IF(G322="W",H322,0))</x:f>
      </x:c>
    </x:row>
    <x:row r="323">
      <x:c r="A323" s="3" t="inlineStr">
        <x:is>
          <x:t xml:space="preserve">HR</x:t>
        </x:is>
      </x:c>
      <x:c r="B323" s="3" t="inlineStr">
        <x:is>
          <x:t xml:space="preserve">HR-D7-Q23</x:t>
        </x:is>
      </x:c>
      <x:c r="C323" s="3" t="inlineStr">
        <x:is>
          <x:t xml:space="preserve">T1</x:t>
        </x:is>
      </x:c>
      <x:c r="D323" s="3" t="inlineStr">
        <x:is>
          <x:t xml:space="preserve">7. Investigations &amp; Fairness</x:t>
        </x:is>
      </x:c>
      <x:c r="E323" s="3" t="inlineStr">
        <x:is>
          <x:t xml:space="preserve">R</x:t>
        </x:is>
      </x:c>
      <x:c r="F323" s="3" t="n">
        <x:v>0.6</x:v>
      </x:c>
      <x:c r="G323" s="3" t="inlineStr">
        <x:is>
          <x:t xml:space="preserve">L</x:t>
        </x:is>
      </x:c>
      <x:c r="H323" s="3" t="n">
        <x:v>0.4</x:v>
      </x:c>
      <x:c r="I323" s="3" t="inlineStr">
        <x:is>
          <x:t xml:space="preserve">When a concern is raised, is there a fair, documented investigation process with HR, Legal/Privacy, and Security, including confidentiality boundaries?</x:t>
        </x:is>
      </x:c>
      <x:c r="J323" s="3" t="inlineStr">
        <x:is>
          <x:t xml:space="preserve">Fair = proportionate, consistent, documented, with privacy safeguards.</x:t>
        </x:is>
      </x:c>
      <x:c r="K323" s="3" t="inlineStr">
        <x:is>
          <x:t xml:space="preserve">Gatekeeper (If BaseScore &lt;2 → HR-D7-Q24; If ≥2 → HR-D7-Q25)</x:t>
        </x:is>
      </x:c>
      <x:c r="L323" s="3" t="inlineStr">
        <x:is>
          <x:t xml:space="preserve">LEG_STRICT</x:t>
        </x:is>
      </x:c>
      <x:c r="M323" s="3" t="n">
        <x:v>1</x:v>
      </x:c>
      <x:c r="N323" s="3" t="n"/>
      <x:c r="O323" s="3" t="n"/>
      <x:c r="P323" s="3" t="inlineStr">
        <x:is>
          <x:t xml:space="preserve">HR-D7-Q23-A0</x:t>
        </x:is>
      </x:c>
      <x:c r="Q323" s="3" t="n">
        <x:v>1</x:v>
      </x:c>
      <x:c r="R323" s="3" t="inlineStr">
        <x:is>
          <x:t xml:space="preserve">I don't know / Not sure.</x:t>
        </x:is>
      </x:c>
      <x:c r="S323" s="3" t="n">
        <x:v>0</x:v>
      </x:c>
      <x:c r="T323" s="3" t="inlineStr">
        <x:is>
          <x:t xml:space="preserve">low-confidence</x:t>
        </x:is>
      </x:c>
      <x:c r="U323" s="3" t="inlineStr">
        <x:is>
          <x:t xml:space="preserve">Legal Exposure</x:t>
        </x:is>
      </x:c>
      <x:c r="V323" s="3" t="inlineStr">
        <x:is>
          <x:t xml:space="preserve">Clarify process</x:t>
        </x:is>
      </x:c>
      <x:c r="W323" s="3" t="inlineStr">
        <x:is>
          <x:t xml:space="preserve">N</x:t>
        </x:is>
      </x:c>
      <x:c r="X323" s="3" t="inlineStr">
        <x:is>
          <x:t xml:space="preserve"/>
        </x:is>
      </x:c>
      <x:c r="Y323" s="6">
        <x:f>(S323*IF(E323="G",F323,0))+(S323*IF(G323="G",H323,0))</x:f>
      </x:c>
      <x:c r="Z323" s="6">
        <x:f>(S323*IF(E323="E",F323,0))+(S323*IF(G323="E",H323,0))</x:f>
      </x:c>
      <x:c r="AA323" s="6">
        <x:f>(S323*IF(E323="T",F323,0))+(S323*IF(G323="T",H323,0))</x:f>
      </x:c>
      <x:c r="AB323" s="6">
        <x:f>(S323*IF(E323="L",F323,0))+(S323*IF(G323="L",H323,0))</x:f>
      </x:c>
      <x:c r="AC323" s="6">
        <x:f>(S323*IF(E323="H",F323,0))+(S323*IF(G323="H",H323,0))</x:f>
      </x:c>
      <x:c r="AD323" s="6">
        <x:f>(S323*IF(E323="V",F323,0))+(S323*IF(G323="V",H323,0))</x:f>
      </x:c>
      <x:c r="AE323" s="6">
        <x:f>(S323*IF(E323="R",F323,0))+(S323*IF(G323="R",H323,0))</x:f>
      </x:c>
      <x:c r="AF323" s="6">
        <x:f>(S323*IF(E323="F",F323,0))+(S323*IF(G323="F",H323,0))</x:f>
      </x:c>
      <x:c r="AG323" s="6">
        <x:f>(S323*IF(E323="W",F323,0))+(S323*IF(G323="W",H323,0))</x:f>
      </x:c>
    </x:row>
    <x:row r="324">
      <x:c r="A324" s="3" t="inlineStr">
        <x:is>
          <x:t xml:space="preserve">HR</x:t>
        </x:is>
      </x:c>
      <x:c r="B324" s="3" t="inlineStr">
        <x:is>
          <x:t xml:space="preserve">HR-D7-Q23</x:t>
        </x:is>
      </x:c>
      <x:c r="C324" s="3" t="inlineStr">
        <x:is>
          <x:t xml:space="preserve">T1</x:t>
        </x:is>
      </x:c>
      <x:c r="D324" s="3" t="inlineStr">
        <x:is>
          <x:t xml:space="preserve">7. Investigations &amp; Fairness</x:t>
        </x:is>
      </x:c>
      <x:c r="E324" s="3" t="inlineStr">
        <x:is>
          <x:t xml:space="preserve">R</x:t>
        </x:is>
      </x:c>
      <x:c r="F324" s="3" t="n">
        <x:v>0.6</x:v>
      </x:c>
      <x:c r="G324" s="3" t="inlineStr">
        <x:is>
          <x:t xml:space="preserve">L</x:t>
        </x:is>
      </x:c>
      <x:c r="H324" s="3" t="n">
        <x:v>0.4</x:v>
      </x:c>
      <x:c r="I324" s="3" t="inlineStr">
        <x:is>
          <x:t xml:space="preserve">When a concern is raised, is there a fair, documented investigation process with HR, Legal/Privacy, and Security, including confidentiality boundaries?</x:t>
        </x:is>
      </x:c>
      <x:c r="J324" s="3" t="inlineStr">
        <x:is>
          <x:t xml:space="preserve">Fair = proportionate, consistent, documented, with privacy safeguards.</x:t>
        </x:is>
      </x:c>
      <x:c r="K324" s="3" t="inlineStr">
        <x:is>
          <x:t xml:space="preserve">Gatekeeper (If BaseScore &lt;2 → HR-D7-Q24; If ≥2 → HR-D7-Q25)</x:t>
        </x:is>
      </x:c>
      <x:c r="L324" s="3" t="inlineStr">
        <x:is>
          <x:t xml:space="preserve">LEG_STRICT</x:t>
        </x:is>
      </x:c>
      <x:c r="M324" s="3" t="n">
        <x:v>1</x:v>
      </x:c>
      <x:c r="N324" s="3" t="n"/>
      <x:c r="O324" s="3" t="n"/>
      <x:c r="P324" s="3" t="inlineStr">
        <x:is>
          <x:t xml:space="preserve">HR-D7-Q23-A1</x:t>
        </x:is>
      </x:c>
      <x:c r="Q324" s="3" t="n">
        <x:v>2</x:v>
      </x:c>
      <x:c r="R324" s="3" t="inlineStr">
        <x:is>
          <x:t xml:space="preserve">No: handled ad-hoc; differs by team/manager.</x:t>
        </x:is>
      </x:c>
      <x:c r="S324" s="3" t="n">
        <x:v>0</x:v>
      </x:c>
      <x:c r="T324" s="3" t="inlineStr">
        <x:is>
          <x:t xml:space="preserve">legal_exposure</x:t>
        </x:is>
      </x:c>
      <x:c r="U324" s="3" t="inlineStr">
        <x:is>
          <x:t xml:space="preserve">Operating Model Gap</x:t>
        </x:is>
      </x:c>
      <x:c r="V324" s="3" t="inlineStr">
        <x:is>
          <x:t xml:space="preserve">Define investigation process</x:t>
        </x:is>
      </x:c>
      <x:c r="W324" s="3" t="inlineStr">
        <x:is>
          <x:t xml:space="preserve">N</x:t>
        </x:is>
      </x:c>
      <x:c r="X324" s="3" t="inlineStr">
        <x:is>
          <x:t xml:space="preserve"/>
        </x:is>
      </x:c>
      <x:c r="Y324" s="6">
        <x:f>(S324*IF(E324="G",F324,0))+(S324*IF(G324="G",H324,0))</x:f>
      </x:c>
      <x:c r="Z324" s="6">
        <x:f>(S324*IF(E324="E",F324,0))+(S324*IF(G324="E",H324,0))</x:f>
      </x:c>
      <x:c r="AA324" s="6">
        <x:f>(S324*IF(E324="T",F324,0))+(S324*IF(G324="T",H324,0))</x:f>
      </x:c>
      <x:c r="AB324" s="6">
        <x:f>(S324*IF(E324="L",F324,0))+(S324*IF(G324="L",H324,0))</x:f>
      </x:c>
      <x:c r="AC324" s="6">
        <x:f>(S324*IF(E324="H",F324,0))+(S324*IF(G324="H",H324,0))</x:f>
      </x:c>
      <x:c r="AD324" s="6">
        <x:f>(S324*IF(E324="V",F324,0))+(S324*IF(G324="V",H324,0))</x:f>
      </x:c>
      <x:c r="AE324" s="6">
        <x:f>(S324*IF(E324="R",F324,0))+(S324*IF(G324="R",H324,0))</x:f>
      </x:c>
      <x:c r="AF324" s="6">
        <x:f>(S324*IF(E324="F",F324,0))+(S324*IF(G324="F",H324,0))</x:f>
      </x:c>
      <x:c r="AG324" s="6">
        <x:f>(S324*IF(E324="W",F324,0))+(S324*IF(G324="W",H324,0))</x:f>
      </x:c>
    </x:row>
    <x:row r="325">
      <x:c r="A325" s="3" t="inlineStr">
        <x:is>
          <x:t xml:space="preserve">HR</x:t>
        </x:is>
      </x:c>
      <x:c r="B325" s="3" t="inlineStr">
        <x:is>
          <x:t xml:space="preserve">HR-D7-Q23</x:t>
        </x:is>
      </x:c>
      <x:c r="C325" s="3" t="inlineStr">
        <x:is>
          <x:t xml:space="preserve">T1</x:t>
        </x:is>
      </x:c>
      <x:c r="D325" s="3" t="inlineStr">
        <x:is>
          <x:t xml:space="preserve">7. Investigations &amp; Fairness</x:t>
        </x:is>
      </x:c>
      <x:c r="E325" s="3" t="inlineStr">
        <x:is>
          <x:t xml:space="preserve">R</x:t>
        </x:is>
      </x:c>
      <x:c r="F325" s="3" t="n">
        <x:v>0.6</x:v>
      </x:c>
      <x:c r="G325" s="3" t="inlineStr">
        <x:is>
          <x:t xml:space="preserve">L</x:t>
        </x:is>
      </x:c>
      <x:c r="H325" s="3" t="n">
        <x:v>0.4</x:v>
      </x:c>
      <x:c r="I325" s="3" t="inlineStr">
        <x:is>
          <x:t xml:space="preserve">When a concern is raised, is there a fair, documented investigation process with HR, Legal/Privacy, and Security, including confidentiality boundaries?</x:t>
        </x:is>
      </x:c>
      <x:c r="J325" s="3" t="inlineStr">
        <x:is>
          <x:t xml:space="preserve">Fair = proportionate, consistent, documented, with privacy safeguards.</x:t>
        </x:is>
      </x:c>
      <x:c r="K325" s="3" t="inlineStr">
        <x:is>
          <x:t xml:space="preserve">Gatekeeper (If BaseScore &lt;2 → HR-D7-Q24; If ≥2 → HR-D7-Q25)</x:t>
        </x:is>
      </x:c>
      <x:c r="L325" s="3" t="inlineStr">
        <x:is>
          <x:t xml:space="preserve">LEG_STRICT</x:t>
        </x:is>
      </x:c>
      <x:c r="M325" s="3" t="n">
        <x:v>1</x:v>
      </x:c>
      <x:c r="N325" s="3" t="n"/>
      <x:c r="O325" s="3" t="n"/>
      <x:c r="P325" s="3" t="inlineStr">
        <x:is>
          <x:t xml:space="preserve">HR-D7-Q23-A2</x:t>
        </x:is>
      </x:c>
      <x:c r="Q325" s="3" t="n">
        <x:v>3</x:v>
      </x:c>
      <x:c r="R325" s="3" t="inlineStr">
        <x:is>
          <x:t xml:space="preserve">Partial: HR handles most; Security/Legal involved only sometimes.</x:t>
        </x:is>
      </x:c>
      <x:c r="S325" s="3" t="n">
        <x:v>1</x:v>
      </x:c>
      <x:c r="T325" s="3" t="inlineStr">
        <x:is>
          <x:t xml:space="preserve">shadow_mature_signal</x:t>
        </x:is>
      </x:c>
      <x:c r="U325" s="3" t="inlineStr">
        <x:is>
          <x:t xml:space="preserve">Operating Model Gap</x:t>
        </x:is>
      </x:c>
      <x:c r="V325" s="3" t="inlineStr">
        <x:is>
          <x:t xml:space="preserve">Define escalation and roles</x:t>
        </x:is>
      </x:c>
      <x:c r="W325" s="3" t="inlineStr">
        <x:is>
          <x:t xml:space="preserve">N</x:t>
        </x:is>
      </x:c>
      <x:c r="X325" s="3" t="inlineStr">
        <x:is>
          <x:t xml:space="preserve"/>
        </x:is>
      </x:c>
      <x:c r="Y325" s="6">
        <x:f>(S325*IF(E325="G",F325,0))+(S325*IF(G325="G",H325,0))</x:f>
      </x:c>
      <x:c r="Z325" s="6">
        <x:f>(S325*IF(E325="E",F325,0))+(S325*IF(G325="E",H325,0))</x:f>
      </x:c>
      <x:c r="AA325" s="6">
        <x:f>(S325*IF(E325="T",F325,0))+(S325*IF(G325="T",H325,0))</x:f>
      </x:c>
      <x:c r="AB325" s="6">
        <x:f>(S325*IF(E325="L",F325,0))+(S325*IF(G325="L",H325,0))</x:f>
      </x:c>
      <x:c r="AC325" s="6">
        <x:f>(S325*IF(E325="H",F325,0))+(S325*IF(G325="H",H325,0))</x:f>
      </x:c>
      <x:c r="AD325" s="6">
        <x:f>(S325*IF(E325="V",F325,0))+(S325*IF(G325="V",H325,0))</x:f>
      </x:c>
      <x:c r="AE325" s="6">
        <x:f>(S325*IF(E325="R",F325,0))+(S325*IF(G325="R",H325,0))</x:f>
      </x:c>
      <x:c r="AF325" s="6">
        <x:f>(S325*IF(E325="F",F325,0))+(S325*IF(G325="F",H325,0))</x:f>
      </x:c>
      <x:c r="AG325" s="6">
        <x:f>(S325*IF(E325="W",F325,0))+(S325*IF(G325="W",H325,0))</x:f>
      </x:c>
    </x:row>
    <x:row r="326">
      <x:c r="A326" s="3" t="inlineStr">
        <x:is>
          <x:t xml:space="preserve">HR</x:t>
        </x:is>
      </x:c>
      <x:c r="B326" s="3" t="inlineStr">
        <x:is>
          <x:t xml:space="preserve">HR-D7-Q23</x:t>
        </x:is>
      </x:c>
      <x:c r="C326" s="3" t="inlineStr">
        <x:is>
          <x:t xml:space="preserve">T1</x:t>
        </x:is>
      </x:c>
      <x:c r="D326" s="3" t="inlineStr">
        <x:is>
          <x:t xml:space="preserve">7. Investigations &amp; Fairness</x:t>
        </x:is>
      </x:c>
      <x:c r="E326" s="3" t="inlineStr">
        <x:is>
          <x:t xml:space="preserve">R</x:t>
        </x:is>
      </x:c>
      <x:c r="F326" s="3" t="n">
        <x:v>0.6</x:v>
      </x:c>
      <x:c r="G326" s="3" t="inlineStr">
        <x:is>
          <x:t xml:space="preserve">L</x:t>
        </x:is>
      </x:c>
      <x:c r="H326" s="3" t="n">
        <x:v>0.4</x:v>
      </x:c>
      <x:c r="I326" s="3" t="inlineStr">
        <x:is>
          <x:t xml:space="preserve">When a concern is raised, is there a fair, documented investigation process with HR, Legal/Privacy, and Security, including confidentiality boundaries?</x:t>
        </x:is>
      </x:c>
      <x:c r="J326" s="3" t="inlineStr">
        <x:is>
          <x:t xml:space="preserve">Fair = proportionate, consistent, documented, with privacy safeguards.</x:t>
        </x:is>
      </x:c>
      <x:c r="K326" s="3" t="inlineStr">
        <x:is>
          <x:t xml:space="preserve">Gatekeeper (If BaseScore &lt;2 → HR-D7-Q24; If ≥2 → HR-D7-Q25)</x:t>
        </x:is>
      </x:c>
      <x:c r="L326" s="3" t="inlineStr">
        <x:is>
          <x:t xml:space="preserve">LEG_STRICT</x:t>
        </x:is>
      </x:c>
      <x:c r="M326" s="3" t="n">
        <x:v>1</x:v>
      </x:c>
      <x:c r="N326" s="3" t="n"/>
      <x:c r="O326" s="3" t="n"/>
      <x:c r="P326" s="3" t="inlineStr">
        <x:is>
          <x:t xml:space="preserve">HR-D7-Q23-A3</x:t>
        </x:is>
      </x:c>
      <x:c r="Q326" s="3" t="n">
        <x:v>4</x:v>
      </x:c>
      <x:c r="R326" s="3" t="inlineStr">
        <x:is>
          <x:t xml:space="preserve">Documented: process exists but adherence varies; outcomes inconsistently recorded.</x:t>
        </x:is>
      </x:c>
      <x:c r="S326" s="3" t="n">
        <x:v>2</x:v>
      </x:c>
      <x:c r="T326" s="3" t="inlineStr">
        <x:is>
          <x:t xml:space="preserve">paper_dragon_signal</x:t>
        </x:is>
      </x:c>
      <x:c r="U326" s="3" t="inlineStr">
        <x:is>
          <x:t xml:space="preserve">Paper Dragon</x:t>
        </x:is>
      </x:c>
      <x:c r="V326" s="3" t="inlineStr">
        <x:is>
          <x:t xml:space="preserve">Improve adherence and tracking</x:t>
        </x:is>
      </x:c>
      <x:c r="W326" s="3" t="inlineStr">
        <x:is>
          <x:t xml:space="preserve">N</x:t>
        </x:is>
      </x:c>
      <x:c r="X326" s="3" t="inlineStr">
        <x:is>
          <x:t xml:space="preserve">Evidence: process doc.</x:t>
        </x:is>
      </x:c>
      <x:c r="Y326" s="6">
        <x:f>(S326*IF(E326="G",F326,0))+(S326*IF(G326="G",H326,0))</x:f>
      </x:c>
      <x:c r="Z326" s="6">
        <x:f>(S326*IF(E326="E",F326,0))+(S326*IF(G326="E",H326,0))</x:f>
      </x:c>
      <x:c r="AA326" s="6">
        <x:f>(S326*IF(E326="T",F326,0))+(S326*IF(G326="T",H326,0))</x:f>
      </x:c>
      <x:c r="AB326" s="6">
        <x:f>(S326*IF(E326="L",F326,0))+(S326*IF(G326="L",H326,0))</x:f>
      </x:c>
      <x:c r="AC326" s="6">
        <x:f>(S326*IF(E326="H",F326,0))+(S326*IF(G326="H",H326,0))</x:f>
      </x:c>
      <x:c r="AD326" s="6">
        <x:f>(S326*IF(E326="V",F326,0))+(S326*IF(G326="V",H326,0))</x:f>
      </x:c>
      <x:c r="AE326" s="6">
        <x:f>(S326*IF(E326="R",F326,0))+(S326*IF(G326="R",H326,0))</x:f>
      </x:c>
      <x:c r="AF326" s="6">
        <x:f>(S326*IF(E326="F",F326,0))+(S326*IF(G326="F",H326,0))</x:f>
      </x:c>
      <x:c r="AG326" s="6">
        <x:f>(S326*IF(E326="W",F326,0))+(S326*IF(G326="W",H326,0))</x:f>
      </x:c>
    </x:row>
    <x:row r="327">
      <x:c r="A327" s="3" t="inlineStr">
        <x:is>
          <x:t xml:space="preserve">HR</x:t>
        </x:is>
      </x:c>
      <x:c r="B327" s="3" t="inlineStr">
        <x:is>
          <x:t xml:space="preserve">HR-D7-Q23</x:t>
        </x:is>
      </x:c>
      <x:c r="C327" s="3" t="inlineStr">
        <x:is>
          <x:t xml:space="preserve">T1</x:t>
        </x:is>
      </x:c>
      <x:c r="D327" s="3" t="inlineStr">
        <x:is>
          <x:t xml:space="preserve">7. Investigations &amp; Fairness</x:t>
        </x:is>
      </x:c>
      <x:c r="E327" s="3" t="inlineStr">
        <x:is>
          <x:t xml:space="preserve">R</x:t>
        </x:is>
      </x:c>
      <x:c r="F327" s="3" t="n">
        <x:v>0.6</x:v>
      </x:c>
      <x:c r="G327" s="3" t="inlineStr">
        <x:is>
          <x:t xml:space="preserve">L</x:t>
        </x:is>
      </x:c>
      <x:c r="H327" s="3" t="n">
        <x:v>0.4</x:v>
      </x:c>
      <x:c r="I327" s="3" t="inlineStr">
        <x:is>
          <x:t xml:space="preserve">When a concern is raised, is there a fair, documented investigation process with HR, Legal/Privacy, and Security, including confidentiality boundaries?</x:t>
        </x:is>
      </x:c>
      <x:c r="J327" s="3" t="inlineStr">
        <x:is>
          <x:t xml:space="preserve">Fair = proportionate, consistent, documented, with privacy safeguards.</x:t>
        </x:is>
      </x:c>
      <x:c r="K327" s="3" t="inlineStr">
        <x:is>
          <x:t xml:space="preserve">Gatekeeper (If BaseScore &lt;2 → HR-D7-Q24; If ≥2 → HR-D7-Q25)</x:t>
        </x:is>
      </x:c>
      <x:c r="L327" s="3" t="inlineStr">
        <x:is>
          <x:t xml:space="preserve">LEG_STRICT</x:t>
        </x:is>
      </x:c>
      <x:c r="M327" s="3" t="n">
        <x:v>1</x:v>
      </x:c>
      <x:c r="N327" s="3" t="n"/>
      <x:c r="O327" s="3" t="n"/>
      <x:c r="P327" s="3" t="inlineStr">
        <x:is>
          <x:t xml:space="preserve">HR-D7-Q23-A4</x:t>
        </x:is>
      </x:c>
      <x:c r="Q327" s="3" t="n">
        <x:v>5</x:v>
      </x:c>
      <x:c r="R327" s="3" t="inlineStr">
        <x:is>
          <x:t xml:space="preserve">Managed: consistently followed with privacy/legal checkpoints.</x:t>
        </x:is>
      </x:c>
      <x:c r="S327" s="3" t="n">
        <x:v>3</x:v>
      </x:c>
      <x:c r="T327" s="3" t="inlineStr">
        <x:is>
          <x:t xml:space="preserve"/>
        </x:is>
      </x:c>
      <x:c r="U327" s="3" t="inlineStr">
        <x:is>
          <x:t xml:space="preserve">Legal Exposure</x:t>
        </x:is>
      </x:c>
      <x:c r="V327" s="3" t="inlineStr">
        <x:is>
          <x:t xml:space="preserve">Maintain and audit</x:t>
        </x:is>
      </x:c>
      <x:c r="W327" s="3" t="inlineStr">
        <x:is>
          <x:t xml:space="preserve">N</x:t>
        </x:is>
      </x:c>
      <x:c r="X327" s="3" t="inlineStr">
        <x:is>
          <x:t xml:space="preserve">Evidence: redacted checklist.</x:t>
        </x:is>
      </x:c>
      <x:c r="Y327" s="6">
        <x:f>(S327*IF(E327="G",F327,0))+(S327*IF(G327="G",H327,0))</x:f>
      </x:c>
      <x:c r="Z327" s="6">
        <x:f>(S327*IF(E327="E",F327,0))+(S327*IF(G327="E",H327,0))</x:f>
      </x:c>
      <x:c r="AA327" s="6">
        <x:f>(S327*IF(E327="T",F327,0))+(S327*IF(G327="T",H327,0))</x:f>
      </x:c>
      <x:c r="AB327" s="6">
        <x:f>(S327*IF(E327="L",F327,0))+(S327*IF(G327="L",H327,0))</x:f>
      </x:c>
      <x:c r="AC327" s="6">
        <x:f>(S327*IF(E327="H",F327,0))+(S327*IF(G327="H",H327,0))</x:f>
      </x:c>
      <x:c r="AD327" s="6">
        <x:f>(S327*IF(E327="V",F327,0))+(S327*IF(G327="V",H327,0))</x:f>
      </x:c>
      <x:c r="AE327" s="6">
        <x:f>(S327*IF(E327="R",F327,0))+(S327*IF(G327="R",H327,0))</x:f>
      </x:c>
      <x:c r="AF327" s="6">
        <x:f>(S327*IF(E327="F",F327,0))+(S327*IF(G327="F",H327,0))</x:f>
      </x:c>
      <x:c r="AG327" s="6">
        <x:f>(S327*IF(E327="W",F327,0))+(S327*IF(G327="W",H327,0))</x:f>
      </x:c>
    </x:row>
    <x:row r="328">
      <x:c r="A328" s="3" t="inlineStr">
        <x:is>
          <x:t xml:space="preserve">HR</x:t>
        </x:is>
      </x:c>
      <x:c r="B328" s="3" t="inlineStr">
        <x:is>
          <x:t xml:space="preserve">HR-D7-Q23</x:t>
        </x:is>
      </x:c>
      <x:c r="C328" s="3" t="inlineStr">
        <x:is>
          <x:t xml:space="preserve">T1</x:t>
        </x:is>
      </x:c>
      <x:c r="D328" s="3" t="inlineStr">
        <x:is>
          <x:t xml:space="preserve">7. Investigations &amp; Fairness</x:t>
        </x:is>
      </x:c>
      <x:c r="E328" s="3" t="inlineStr">
        <x:is>
          <x:t xml:space="preserve">R</x:t>
        </x:is>
      </x:c>
      <x:c r="F328" s="3" t="n">
        <x:v>0.6</x:v>
      </x:c>
      <x:c r="G328" s="3" t="inlineStr">
        <x:is>
          <x:t xml:space="preserve">L</x:t>
        </x:is>
      </x:c>
      <x:c r="H328" s="3" t="n">
        <x:v>0.4</x:v>
      </x:c>
      <x:c r="I328" s="3" t="inlineStr">
        <x:is>
          <x:t xml:space="preserve">When a concern is raised, is there a fair, documented investigation process with HR, Legal/Privacy, and Security, including confidentiality boundaries?</x:t>
        </x:is>
      </x:c>
      <x:c r="J328" s="3" t="inlineStr">
        <x:is>
          <x:t xml:space="preserve">Fair = proportionate, consistent, documented, with privacy safeguards.</x:t>
        </x:is>
      </x:c>
      <x:c r="K328" s="3" t="inlineStr">
        <x:is>
          <x:t xml:space="preserve">Gatekeeper (If BaseScore &lt;2 → HR-D7-Q24; If ≥2 → HR-D7-Q25)</x:t>
        </x:is>
      </x:c>
      <x:c r="L328" s="3" t="inlineStr">
        <x:is>
          <x:t xml:space="preserve">LEG_STRICT</x:t>
        </x:is>
      </x:c>
      <x:c r="M328" s="3" t="n">
        <x:v>1</x:v>
      </x:c>
      <x:c r="N328" s="3" t="n"/>
      <x:c r="O328" s="3" t="n"/>
      <x:c r="P328" s="3" t="inlineStr">
        <x:is>
          <x:t xml:space="preserve">HR-D7-Q23-A5</x:t>
        </x:is>
      </x:c>
      <x:c r="Q328" s="3" t="n">
        <x:v>6</x:v>
      </x:c>
      <x:c r="R328" s="3" t="inlineStr">
        <x:is>
          <x:t xml:space="preserve">Optimized: audited; staff trained; lessons learned feed improvements.</x:t>
        </x:is>
      </x:c>
      <x:c r="S328" s="3" t="n">
        <x:v>4</x:v>
      </x:c>
      <x:c r="T328" s="3" t="inlineStr">
        <x:is>
          <x:t xml:space="preserve"/>
        </x:is>
      </x:c>
      <x:c r="U328" s="3" t="inlineStr">
        <x:is>
          <x:t xml:space="preserve">Legal Exposure</x:t>
        </x:is>
      </x:c>
      <x:c r="V328" s="3" t="inlineStr">
        <x:is>
          <x:t xml:space="preserve">Continuous improvement</x:t>
        </x:is>
      </x:c>
      <x:c r="W328" s="3" t="inlineStr">
        <x:is>
          <x:t xml:space="preserve">N</x:t>
        </x:is>
      </x:c>
      <x:c r="X328" s="3" t="inlineStr">
        <x:is>
          <x:t xml:space="preserve">Evidence: audit/exercise outputs.</x:t>
        </x:is>
      </x:c>
      <x:c r="Y328" s="6">
        <x:f>(S328*IF(E328="G",F328,0))+(S328*IF(G328="G",H328,0))</x:f>
      </x:c>
      <x:c r="Z328" s="6">
        <x:f>(S328*IF(E328="E",F328,0))+(S328*IF(G328="E",H328,0))</x:f>
      </x:c>
      <x:c r="AA328" s="6">
        <x:f>(S328*IF(E328="T",F328,0))+(S328*IF(G328="T",H328,0))</x:f>
      </x:c>
      <x:c r="AB328" s="6">
        <x:f>(S328*IF(E328="L",F328,0))+(S328*IF(G328="L",H328,0))</x:f>
      </x:c>
      <x:c r="AC328" s="6">
        <x:f>(S328*IF(E328="H",F328,0))+(S328*IF(G328="H",H328,0))</x:f>
      </x:c>
      <x:c r="AD328" s="6">
        <x:f>(S328*IF(E328="V",F328,0))+(S328*IF(G328="V",H328,0))</x:f>
      </x:c>
      <x:c r="AE328" s="6">
        <x:f>(S328*IF(E328="R",F328,0))+(S328*IF(G328="R",H328,0))</x:f>
      </x:c>
      <x:c r="AF328" s="6">
        <x:f>(S328*IF(E328="F",F328,0))+(S328*IF(G328="F",H328,0))</x:f>
      </x:c>
      <x:c r="AG328" s="6">
        <x:f>(S328*IF(E328="W",F328,0))+(S328*IF(G328="W",H328,0))</x:f>
      </x:c>
    </x:row>
    <x:row r="329">
      <x:c r="A329" s="3" t="inlineStr">
        <x:is>
          <x:t xml:space="preserve">HR</x:t>
        </x:is>
      </x:c>
      <x:c r="B329" s="3" t="inlineStr">
        <x:is>
          <x:t xml:space="preserve">HR-D7-Q24</x:t>
        </x:is>
      </x:c>
      <x:c r="C329" s="3" t="inlineStr">
        <x:is>
          <x:t xml:space="preserve">T2</x:t>
        </x:is>
      </x:c>
      <x:c r="D329" s="3" t="inlineStr">
        <x:is>
          <x:t xml:space="preserve">7. Investigations &amp; Fairness</x:t>
        </x:is>
      </x:c>
      <x:c r="E329" s="3" t="inlineStr">
        <x:is>
          <x:t xml:space="preserve">L</x:t>
        </x:is>
      </x:c>
      <x:c r="F329" s="3" t="n">
        <x:v>0.5</x:v>
      </x:c>
      <x:c r="G329" s="3" t="inlineStr">
        <x:is>
          <x:t xml:space="preserve">R</x:t>
        </x:is>
      </x:c>
      <x:c r="H329" s="3" t="n">
        <x:v>0.5</x:v>
      </x:c>
      <x:c r="I329" s="3" t="inlineStr">
        <x:is>
          <x:t xml:space="preserve">(Shadow probe) If the process is ad-hoc, who decides what information is used and how confidentiality is protected?</x:t>
        </x:is>
      </x:c>
      <x:c r="J329" s="3" t="inlineStr">
        <x:is>
          <x:t xml:space="preserve">Checks for inconsistent decision-making and privacy fractures.</x:t>
        </x:is>
      </x:c>
      <x:c r="K329" s="3" t="inlineStr">
        <x:is>
          <x:t xml:space="preserve">Shadow fallback (Then → HR-D8-Q27)</x:t>
        </x:is>
      </x:c>
      <x:c r="L329" s="3" t="inlineStr">
        <x:is>
          <x:t xml:space="preserve">LEG_STRICT</x:t>
        </x:is>
      </x:c>
      <x:c r="M329" s="3" t="n">
        <x:v>1</x:v>
      </x:c>
      <x:c r="N329" s="3" t="n"/>
      <x:c r="O329" s="3" t="n"/>
      <x:c r="P329" s="3" t="inlineStr">
        <x:is>
          <x:t xml:space="preserve">HR-D7-Q24-A1</x:t>
        </x:is>
      </x:c>
      <x:c r="Q329" s="3" t="n">
        <x:v>1</x:v>
      </x:c>
      <x:c r="R329" s="3" t="inlineStr">
        <x:is>
          <x:t xml:space="preserve">Decisions informal; confidentiality not clearly managed.</x:t>
        </x:is>
      </x:c>
      <x:c r="S329" s="3" t="n">
        <x:v>0</x:v>
      </x:c>
      <x:c r="T329" s="3" t="inlineStr">
        <x:is>
          <x:t xml:space="preserve">legal_exposure</x:t>
        </x:is>
      </x:c>
      <x:c r="U329" s="3" t="inlineStr">
        <x:is>
          <x:t xml:space="preserve">Legal Exposure</x:t>
        </x:is>
      </x:c>
      <x:c r="V329" s="3" t="inlineStr">
        <x:is>
          <x:t xml:space="preserve">Introduce approvals and boundaries</x:t>
        </x:is>
      </x:c>
      <x:c r="W329" s="3" t="inlineStr">
        <x:is>
          <x:t xml:space="preserve">N</x:t>
        </x:is>
      </x:c>
      <x:c r="X329" s="3" t="inlineStr">
        <x:is>
          <x:t xml:space="preserve"/>
        </x:is>
      </x:c>
      <x:c r="Y329" s="6">
        <x:f>(S329*IF(E329="G",F329,0))+(S329*IF(G329="G",H329,0))</x:f>
      </x:c>
      <x:c r="Z329" s="6">
        <x:f>(S329*IF(E329="E",F329,0))+(S329*IF(G329="E",H329,0))</x:f>
      </x:c>
      <x:c r="AA329" s="6">
        <x:f>(S329*IF(E329="T",F329,0))+(S329*IF(G329="T",H329,0))</x:f>
      </x:c>
      <x:c r="AB329" s="6">
        <x:f>(S329*IF(E329="L",F329,0))+(S329*IF(G329="L",H329,0))</x:f>
      </x:c>
      <x:c r="AC329" s="6">
        <x:f>(S329*IF(E329="H",F329,0))+(S329*IF(G329="H",H329,0))</x:f>
      </x:c>
      <x:c r="AD329" s="6">
        <x:f>(S329*IF(E329="V",F329,0))+(S329*IF(G329="V",H329,0))</x:f>
      </x:c>
      <x:c r="AE329" s="6">
        <x:f>(S329*IF(E329="R",F329,0))+(S329*IF(G329="R",H329,0))</x:f>
      </x:c>
      <x:c r="AF329" s="6">
        <x:f>(S329*IF(E329="F",F329,0))+(S329*IF(G329="F",H329,0))</x:f>
      </x:c>
      <x:c r="AG329" s="6">
        <x:f>(S329*IF(E329="W",F329,0))+(S329*IF(G329="W",H329,0))</x:f>
      </x:c>
    </x:row>
    <x:row r="330">
      <x:c r="A330" s="3" t="inlineStr">
        <x:is>
          <x:t xml:space="preserve">HR</x:t>
        </x:is>
      </x:c>
      <x:c r="B330" s="3" t="inlineStr">
        <x:is>
          <x:t xml:space="preserve">HR-D7-Q24</x:t>
        </x:is>
      </x:c>
      <x:c r="C330" s="3" t="inlineStr">
        <x:is>
          <x:t xml:space="preserve">T2</x:t>
        </x:is>
      </x:c>
      <x:c r="D330" s="3" t="inlineStr">
        <x:is>
          <x:t xml:space="preserve">7. Investigations &amp; Fairness</x:t>
        </x:is>
      </x:c>
      <x:c r="E330" s="3" t="inlineStr">
        <x:is>
          <x:t xml:space="preserve">L</x:t>
        </x:is>
      </x:c>
      <x:c r="F330" s="3" t="n">
        <x:v>0.5</x:v>
      </x:c>
      <x:c r="G330" s="3" t="inlineStr">
        <x:is>
          <x:t xml:space="preserve">R</x:t>
        </x:is>
      </x:c>
      <x:c r="H330" s="3" t="n">
        <x:v>0.5</x:v>
      </x:c>
      <x:c r="I330" s="3" t="inlineStr">
        <x:is>
          <x:t xml:space="preserve">(Shadow probe) If the process is ad-hoc, who decides what information is used and how confidentiality is protected?</x:t>
        </x:is>
      </x:c>
      <x:c r="J330" s="3" t="inlineStr">
        <x:is>
          <x:t xml:space="preserve">Checks for inconsistent decision-making and privacy fractures.</x:t>
        </x:is>
      </x:c>
      <x:c r="K330" s="3" t="inlineStr">
        <x:is>
          <x:t xml:space="preserve">Shadow fallback (Then → HR-D8-Q27)</x:t>
        </x:is>
      </x:c>
      <x:c r="L330" s="3" t="inlineStr">
        <x:is>
          <x:t xml:space="preserve">LEG_STRICT</x:t>
        </x:is>
      </x:c>
      <x:c r="M330" s="3" t="n">
        <x:v>1</x:v>
      </x:c>
      <x:c r="N330" s="3" t="n"/>
      <x:c r="O330" s="3" t="n"/>
      <x:c r="P330" s="3" t="inlineStr">
        <x:is>
          <x:t xml:space="preserve">HR-D7-Q24-A2</x:t>
        </x:is>
      </x:c>
      <x:c r="Q330" s="3" t="n">
        <x:v>2</x:v>
      </x:c>
      <x:c r="R330" s="3" t="inlineStr">
        <x:is>
          <x:t xml:space="preserve">HR decides; documentation limited.</x:t>
        </x:is>
      </x:c>
      <x:c r="S330" s="3" t="n">
        <x:v>1</x:v>
      </x:c>
      <x:c r="T330" s="3" t="inlineStr">
        <x:is>
          <x:t xml:space="preserve">paper_dragon_signal</x:t>
        </x:is>
      </x:c>
      <x:c r="U330" s="3" t="inlineStr">
        <x:is>
          <x:t xml:space="preserve">Paper Dragon</x:t>
        </x:is>
      </x:c>
      <x:c r="V330" s="3" t="inlineStr">
        <x:is>
          <x:t xml:space="preserve">Strengthen documentation</x:t>
        </x:is>
      </x:c>
      <x:c r="W330" s="3" t="inlineStr">
        <x:is>
          <x:t xml:space="preserve">N</x:t>
        </x:is>
      </x:c>
      <x:c r="X330" s="3" t="inlineStr">
        <x:is>
          <x:t xml:space="preserve"/>
        </x:is>
      </x:c>
      <x:c r="Y330" s="6">
        <x:f>(S330*IF(E330="G",F330,0))+(S330*IF(G330="G",H330,0))</x:f>
      </x:c>
      <x:c r="Z330" s="6">
        <x:f>(S330*IF(E330="E",F330,0))+(S330*IF(G330="E",H330,0))</x:f>
      </x:c>
      <x:c r="AA330" s="6">
        <x:f>(S330*IF(E330="T",F330,0))+(S330*IF(G330="T",H330,0))</x:f>
      </x:c>
      <x:c r="AB330" s="6">
        <x:f>(S330*IF(E330="L",F330,0))+(S330*IF(G330="L",H330,0))</x:f>
      </x:c>
      <x:c r="AC330" s="6">
        <x:f>(S330*IF(E330="H",F330,0))+(S330*IF(G330="H",H330,0))</x:f>
      </x:c>
      <x:c r="AD330" s="6">
        <x:f>(S330*IF(E330="V",F330,0))+(S330*IF(G330="V",H330,0))</x:f>
      </x:c>
      <x:c r="AE330" s="6">
        <x:f>(S330*IF(E330="R",F330,0))+(S330*IF(G330="R",H330,0))</x:f>
      </x:c>
      <x:c r="AF330" s="6">
        <x:f>(S330*IF(E330="F",F330,0))+(S330*IF(G330="F",H330,0))</x:f>
      </x:c>
      <x:c r="AG330" s="6">
        <x:f>(S330*IF(E330="W",F330,0))+(S330*IF(G330="W",H330,0))</x:f>
      </x:c>
    </x:row>
    <x:row r="331">
      <x:c r="A331" s="3" t="inlineStr">
        <x:is>
          <x:t xml:space="preserve">HR</x:t>
        </x:is>
      </x:c>
      <x:c r="B331" s="3" t="inlineStr">
        <x:is>
          <x:t xml:space="preserve">HR-D7-Q24</x:t>
        </x:is>
      </x:c>
      <x:c r="C331" s="3" t="inlineStr">
        <x:is>
          <x:t xml:space="preserve">T2</x:t>
        </x:is>
      </x:c>
      <x:c r="D331" s="3" t="inlineStr">
        <x:is>
          <x:t xml:space="preserve">7. Investigations &amp; Fairness</x:t>
        </x:is>
      </x:c>
      <x:c r="E331" s="3" t="inlineStr">
        <x:is>
          <x:t xml:space="preserve">L</x:t>
        </x:is>
      </x:c>
      <x:c r="F331" s="3" t="n">
        <x:v>0.5</x:v>
      </x:c>
      <x:c r="G331" s="3" t="inlineStr">
        <x:is>
          <x:t xml:space="preserve">R</x:t>
        </x:is>
      </x:c>
      <x:c r="H331" s="3" t="n">
        <x:v>0.5</x:v>
      </x:c>
      <x:c r="I331" s="3" t="inlineStr">
        <x:is>
          <x:t xml:space="preserve">(Shadow probe) If the process is ad-hoc, who decides what information is used and how confidentiality is protected?</x:t>
        </x:is>
      </x:c>
      <x:c r="J331" s="3" t="inlineStr">
        <x:is>
          <x:t xml:space="preserve">Checks for inconsistent decision-making and privacy fractures.</x:t>
        </x:is>
      </x:c>
      <x:c r="K331" s="3" t="inlineStr">
        <x:is>
          <x:t xml:space="preserve">Shadow fallback (Then → HR-D8-Q27)</x:t>
        </x:is>
      </x:c>
      <x:c r="L331" s="3" t="inlineStr">
        <x:is>
          <x:t xml:space="preserve">LEG_STRICT</x:t>
        </x:is>
      </x:c>
      <x:c r="M331" s="3" t="n">
        <x:v>1</x:v>
      </x:c>
      <x:c r="N331" s="3" t="n"/>
      <x:c r="O331" s="3" t="n"/>
      <x:c r="P331" s="3" t="inlineStr">
        <x:is>
          <x:t xml:space="preserve">HR-D7-Q24-A3</x:t>
        </x:is>
      </x:c>
      <x:c r="Q331" s="3" t="n">
        <x:v>3</x:v>
      </x:c>
      <x:c r="R331" s="3" t="inlineStr">
        <x:is>
          <x:t xml:space="preserve">HR and Legal decide; Security inputs; decisions documented sometimes.</x:t>
        </x:is>
      </x:c>
      <x:c r="S331" s="3" t="n">
        <x:v>2</x:v>
      </x:c>
      <x:c r="T331" s="3" t="inlineStr">
        <x:is>
          <x:t xml:space="preserve"/>
        </x:is>
      </x:c>
      <x:c r="U331" s="3" t="inlineStr">
        <x:is>
          <x:t xml:space="preserve">Legal Exposure</x:t>
        </x:is>
      </x:c>
      <x:c r="V331" s="3" t="inlineStr">
        <x:is>
          <x:t xml:space="preserve">Standardize approvals</x:t>
        </x:is>
      </x:c>
      <x:c r="W331" s="3" t="inlineStr">
        <x:is>
          <x:t xml:space="preserve">N</x:t>
        </x:is>
      </x:c>
      <x:c r="X331" s="3" t="inlineStr">
        <x:is>
          <x:t xml:space="preserve"/>
        </x:is>
      </x:c>
      <x:c r="Y331" s="6">
        <x:f>(S331*IF(E331="G",F331,0))+(S331*IF(G331="G",H331,0))</x:f>
      </x:c>
      <x:c r="Z331" s="6">
        <x:f>(S331*IF(E331="E",F331,0))+(S331*IF(G331="E",H331,0))</x:f>
      </x:c>
      <x:c r="AA331" s="6">
        <x:f>(S331*IF(E331="T",F331,0))+(S331*IF(G331="T",H331,0))</x:f>
      </x:c>
      <x:c r="AB331" s="6">
        <x:f>(S331*IF(E331="L",F331,0))+(S331*IF(G331="L",H331,0))</x:f>
      </x:c>
      <x:c r="AC331" s="6">
        <x:f>(S331*IF(E331="H",F331,0))+(S331*IF(G331="H",H331,0))</x:f>
      </x:c>
      <x:c r="AD331" s="6">
        <x:f>(S331*IF(E331="V",F331,0))+(S331*IF(G331="V",H331,0))</x:f>
      </x:c>
      <x:c r="AE331" s="6">
        <x:f>(S331*IF(E331="R",F331,0))+(S331*IF(G331="R",H331,0))</x:f>
      </x:c>
      <x:c r="AF331" s="6">
        <x:f>(S331*IF(E331="F",F331,0))+(S331*IF(G331="F",H331,0))</x:f>
      </x:c>
      <x:c r="AG331" s="6">
        <x:f>(S331*IF(E331="W",F331,0))+(S331*IF(G331="W",H331,0))</x:f>
      </x:c>
    </x:row>
    <x:row r="332">
      <x:c r="A332" s="3" t="inlineStr">
        <x:is>
          <x:t xml:space="preserve">HR</x:t>
        </x:is>
      </x:c>
      <x:c r="B332" s="3" t="inlineStr">
        <x:is>
          <x:t xml:space="preserve">HR-D7-Q24</x:t>
        </x:is>
      </x:c>
      <x:c r="C332" s="3" t="inlineStr">
        <x:is>
          <x:t xml:space="preserve">T2</x:t>
        </x:is>
      </x:c>
      <x:c r="D332" s="3" t="inlineStr">
        <x:is>
          <x:t xml:space="preserve">7. Investigations &amp; Fairness</x:t>
        </x:is>
      </x:c>
      <x:c r="E332" s="3" t="inlineStr">
        <x:is>
          <x:t xml:space="preserve">L</x:t>
        </x:is>
      </x:c>
      <x:c r="F332" s="3" t="n">
        <x:v>0.5</x:v>
      </x:c>
      <x:c r="G332" s="3" t="inlineStr">
        <x:is>
          <x:t xml:space="preserve">R</x:t>
        </x:is>
      </x:c>
      <x:c r="H332" s="3" t="n">
        <x:v>0.5</x:v>
      </x:c>
      <x:c r="I332" s="3" t="inlineStr">
        <x:is>
          <x:t xml:space="preserve">(Shadow probe) If the process is ad-hoc, who decides what information is used and how confidentiality is protected?</x:t>
        </x:is>
      </x:c>
      <x:c r="J332" s="3" t="inlineStr">
        <x:is>
          <x:t xml:space="preserve">Checks for inconsistent decision-making and privacy fractures.</x:t>
        </x:is>
      </x:c>
      <x:c r="K332" s="3" t="inlineStr">
        <x:is>
          <x:t xml:space="preserve">Shadow fallback (Then → HR-D8-Q27)</x:t>
        </x:is>
      </x:c>
      <x:c r="L332" s="3" t="inlineStr">
        <x:is>
          <x:t xml:space="preserve">LEG_STRICT</x:t>
        </x:is>
      </x:c>
      <x:c r="M332" s="3" t="n">
        <x:v>1</x:v>
      </x:c>
      <x:c r="N332" s="3" t="n"/>
      <x:c r="O332" s="3" t="n"/>
      <x:c r="P332" s="3" t="inlineStr">
        <x:is>
          <x:t xml:space="preserve">HR-D7-Q24-A4</x:t>
        </x:is>
      </x:c>
      <x:c r="Q332" s="3" t="n">
        <x:v>4</x:v>
      </x:c>
      <x:c r="R332" s="3" t="inlineStr">
        <x:is>
          <x:t xml:space="preserve">Clear approvals and confidentiality rules exist, even if workflow informal.</x:t>
        </x:is>
      </x:c>
      <x:c r="S332" s="3" t="n">
        <x:v>3</x:v>
      </x:c>
      <x:c r="T332" s="3" t="inlineStr">
        <x:is>
          <x:t xml:space="preserve">shadow_mature_signal</x:t>
        </x:is>
      </x:c>
      <x:c r="U332" s="3" t="inlineStr">
        <x:is>
          <x:t xml:space="preserve">Legal Exposure</x:t>
        </x:is>
      </x:c>
      <x:c r="V332" s="3" t="inlineStr">
        <x:is>
          <x:t xml:space="preserve">Formalize workflow</x:t>
        </x:is>
      </x:c>
      <x:c r="W332" s="3" t="inlineStr">
        <x:is>
          <x:t xml:space="preserve">N</x:t>
        </x:is>
      </x:c>
      <x:c r="X332" s="3" t="inlineStr">
        <x:is>
          <x:t xml:space="preserve">Evidence: approval checklist.</x:t>
        </x:is>
      </x:c>
      <x:c r="Y332" s="6">
        <x:f>(S332*IF(E332="G",F332,0))+(S332*IF(G332="G",H332,0))</x:f>
      </x:c>
      <x:c r="Z332" s="6">
        <x:f>(S332*IF(E332="E",F332,0))+(S332*IF(G332="E",H332,0))</x:f>
      </x:c>
      <x:c r="AA332" s="6">
        <x:f>(S332*IF(E332="T",F332,0))+(S332*IF(G332="T",H332,0))</x:f>
      </x:c>
      <x:c r="AB332" s="6">
        <x:f>(S332*IF(E332="L",F332,0))+(S332*IF(G332="L",H332,0))</x:f>
      </x:c>
      <x:c r="AC332" s="6">
        <x:f>(S332*IF(E332="H",F332,0))+(S332*IF(G332="H",H332,0))</x:f>
      </x:c>
      <x:c r="AD332" s="6">
        <x:f>(S332*IF(E332="V",F332,0))+(S332*IF(G332="V",H332,0))</x:f>
      </x:c>
      <x:c r="AE332" s="6">
        <x:f>(S332*IF(E332="R",F332,0))+(S332*IF(G332="R",H332,0))</x:f>
      </x:c>
      <x:c r="AF332" s="6">
        <x:f>(S332*IF(E332="F",F332,0))+(S332*IF(G332="F",H332,0))</x:f>
      </x:c>
      <x:c r="AG332" s="6">
        <x:f>(S332*IF(E332="W",F332,0))+(S332*IF(G332="W",H332,0))</x:f>
      </x:c>
    </x:row>
    <x:row r="333">
      <x:c r="A333" s="3" t="inlineStr">
        <x:is>
          <x:t xml:space="preserve">HR</x:t>
        </x:is>
      </x:c>
      <x:c r="B333" s="3" t="inlineStr">
        <x:is>
          <x:t xml:space="preserve">HR-D7-Q25</x:t>
        </x:is>
      </x:c>
      <x:c r="C333" s="3" t="inlineStr">
        <x:is>
          <x:t xml:space="preserve">T2</x:t>
        </x:is>
      </x:c>
      <x:c r="D333" s="3" t="inlineStr">
        <x:is>
          <x:t xml:space="preserve">7. Investigations &amp; Fairness</x:t>
        </x:is>
      </x:c>
      <x:c r="E333" s="3" t="inlineStr">
        <x:is>
          <x:t xml:space="preserve">H</x:t>
        </x:is>
      </x:c>
      <x:c r="F333" s="3" t="n">
        <x:v>0.5</x:v>
      </x:c>
      <x:c r="G333" s="3" t="inlineStr">
        <x:is>
          <x:t xml:space="preserve">L</x:t>
        </x:is>
      </x:c>
      <x:c r="H333" s="3" t="n">
        <x:v>0.5</x:v>
      </x:c>
      <x:c r="I333" s="3" t="inlineStr">
        <x:is>
          <x:t xml:space="preserve">If someone feels unfairly targeted, is there an independent review or appeal route (e.g., ombuds, privacy review, works council input where applicable)?</x:t>
        </x:is>
      </x:c>
      <x:c r="J333" s="3" t="inlineStr">
        <x:is>
          <x:t xml:space="preserve">Reduces toxic-enforcer risk and increases trust.</x:t>
        </x:is>
      </x:c>
      <x:c r="K333" s="3" t="inlineStr">
        <x:is>
          <x:t xml:space="preserve">Drill-down</x:t>
        </x:is>
      </x:c>
      <x:c r="L333" s="3" t="inlineStr">
        <x:is>
          <x:t xml:space="preserve">LEG_STRICT</x:t>
        </x:is>
      </x:c>
      <x:c r="M333" s="3" t="n">
        <x:v>1.5</x:v>
      </x:c>
      <x:c r="N333" s="3" t="n">
        <x:v>0.5</x:v>
      </x:c>
      <x:c r="O333" s="3" t="n"/>
      <x:c r="P333" s="3" t="inlineStr">
        <x:is>
          <x:t xml:space="preserve">HR-D7-Q25-A1</x:t>
        </x:is>
      </x:c>
      <x:c r="Q333" s="3" t="n">
        <x:v>1</x:v>
      </x:c>
      <x:c r="R333" s="3" t="inlineStr">
        <x:is>
          <x:t xml:space="preserve">No recourse; decisions are final.</x:t>
        </x:is>
      </x:c>
      <x:c r="S333" s="3" t="n">
        <x:v>0</x:v>
      </x:c>
      <x:c r="T333" s="3" t="inlineStr">
        <x:is>
          <x:t xml:space="preserve">toxic_enforcer_signal</x:t>
        </x:is>
      </x:c>
      <x:c r="U333" s="3" t="inlineStr">
        <x:is>
          <x:t xml:space="preserve">Toxic Enforcer</x:t>
        </x:is>
      </x:c>
      <x:c r="V333" s="3" t="inlineStr">
        <x:is>
          <x:t xml:space="preserve">Implement appeal route</x:t>
        </x:is>
      </x:c>
      <x:c r="W333" s="3" t="inlineStr">
        <x:is>
          <x:t xml:space="preserve">N</x:t>
        </x:is>
      </x:c>
      <x:c r="X333" s="3" t="inlineStr">
        <x:is>
          <x:t xml:space="preserve"/>
        </x:is>
      </x:c>
      <x:c r="Y333" s="6">
        <x:f>(S333*IF(E333="G",F333,0))+(S333*IF(G333="G",H333,0))</x:f>
      </x:c>
      <x:c r="Z333" s="6">
        <x:f>(S333*IF(E333="E",F333,0))+(S333*IF(G333="E",H333,0))</x:f>
      </x:c>
      <x:c r="AA333" s="6">
        <x:f>(S333*IF(E333="T",F333,0))+(S333*IF(G333="T",H333,0))</x:f>
      </x:c>
      <x:c r="AB333" s="6">
        <x:f>(S333*IF(E333="L",F333,0))+(S333*IF(G333="L",H333,0))</x:f>
      </x:c>
      <x:c r="AC333" s="6">
        <x:f>(S333*IF(E333="H",F333,0))+(S333*IF(G333="H",H333,0))</x:f>
      </x:c>
      <x:c r="AD333" s="6">
        <x:f>(S333*IF(E333="V",F333,0))+(S333*IF(G333="V",H333,0))</x:f>
      </x:c>
      <x:c r="AE333" s="6">
        <x:f>(S333*IF(E333="R",F333,0))+(S333*IF(G333="R",H333,0))</x:f>
      </x:c>
      <x:c r="AF333" s="6">
        <x:f>(S333*IF(E333="F",F333,0))+(S333*IF(G333="F",H333,0))</x:f>
      </x:c>
      <x:c r="AG333" s="6">
        <x:f>(S333*IF(E333="W",F333,0))+(S333*IF(G333="W",H333,0))</x:f>
      </x:c>
    </x:row>
    <x:row r="334">
      <x:c r="A334" s="3" t="inlineStr">
        <x:is>
          <x:t xml:space="preserve">HR</x:t>
        </x:is>
      </x:c>
      <x:c r="B334" s="3" t="inlineStr">
        <x:is>
          <x:t xml:space="preserve">HR-D7-Q25</x:t>
        </x:is>
      </x:c>
      <x:c r="C334" s="3" t="inlineStr">
        <x:is>
          <x:t xml:space="preserve">T2</x:t>
        </x:is>
      </x:c>
      <x:c r="D334" s="3" t="inlineStr">
        <x:is>
          <x:t xml:space="preserve">7. Investigations &amp; Fairness</x:t>
        </x:is>
      </x:c>
      <x:c r="E334" s="3" t="inlineStr">
        <x:is>
          <x:t xml:space="preserve">H</x:t>
        </x:is>
      </x:c>
      <x:c r="F334" s="3" t="n">
        <x:v>0.5</x:v>
      </x:c>
      <x:c r="G334" s="3" t="inlineStr">
        <x:is>
          <x:t xml:space="preserve">L</x:t>
        </x:is>
      </x:c>
      <x:c r="H334" s="3" t="n">
        <x:v>0.5</x:v>
      </x:c>
      <x:c r="I334" s="3" t="inlineStr">
        <x:is>
          <x:t xml:space="preserve">If someone feels unfairly targeted, is there an independent review or appeal route (e.g., ombuds, privacy review, works council input where applicable)?</x:t>
        </x:is>
      </x:c>
      <x:c r="J334" s="3" t="inlineStr">
        <x:is>
          <x:t xml:space="preserve">Reduces toxic-enforcer risk and increases trust.</x:t>
        </x:is>
      </x:c>
      <x:c r="K334" s="3" t="inlineStr">
        <x:is>
          <x:t xml:space="preserve">Drill-down</x:t>
        </x:is>
      </x:c>
      <x:c r="L334" s="3" t="inlineStr">
        <x:is>
          <x:t xml:space="preserve">LEG_STRICT</x:t>
        </x:is>
      </x:c>
      <x:c r="M334" s="3" t="n">
        <x:v>1.5</x:v>
      </x:c>
      <x:c r="N334" s="3" t="n">
        <x:v>0.5</x:v>
      </x:c>
      <x:c r="O334" s="3" t="n"/>
      <x:c r="P334" s="3" t="inlineStr">
        <x:is>
          <x:t xml:space="preserve">HR-D7-Q25-A2</x:t>
        </x:is>
      </x:c>
      <x:c r="Q334" s="3" t="n">
        <x:v>2</x:v>
      </x:c>
      <x:c r="R334" s="3" t="inlineStr">
        <x:is>
          <x:t xml:space="preserve">Informal: complain to a manager; outcomes vary.</x:t>
        </x:is>
      </x:c>
      <x:c r="S334" s="3" t="n">
        <x:v>1</x:v>
      </x:c>
      <x:c r="T334" s="3" t="inlineStr">
        <x:is>
          <x:t xml:space="preserve">culture_risk</x:t>
        </x:is>
      </x:c>
      <x:c r="U334" s="3" t="inlineStr">
        <x:is>
          <x:t xml:space="preserve">Culture Risk</x:t>
        </x:is>
      </x:c>
      <x:c r="V334" s="3" t="inlineStr">
        <x:is>
          <x:t xml:space="preserve">Create consistent review</x:t>
        </x:is>
      </x:c>
      <x:c r="W334" s="3" t="inlineStr">
        <x:is>
          <x:t xml:space="preserve">N</x:t>
        </x:is>
      </x:c>
      <x:c r="X334" s="3" t="inlineStr">
        <x:is>
          <x:t xml:space="preserve"/>
        </x:is>
      </x:c>
      <x:c r="Y334" s="6">
        <x:f>(S334*IF(E334="G",F334,0))+(S334*IF(G334="G",H334,0))</x:f>
      </x:c>
      <x:c r="Z334" s="6">
        <x:f>(S334*IF(E334="E",F334,0))+(S334*IF(G334="E",H334,0))</x:f>
      </x:c>
      <x:c r="AA334" s="6">
        <x:f>(S334*IF(E334="T",F334,0))+(S334*IF(G334="T",H334,0))</x:f>
      </x:c>
      <x:c r="AB334" s="6">
        <x:f>(S334*IF(E334="L",F334,0))+(S334*IF(G334="L",H334,0))</x:f>
      </x:c>
      <x:c r="AC334" s="6">
        <x:f>(S334*IF(E334="H",F334,0))+(S334*IF(G334="H",H334,0))</x:f>
      </x:c>
      <x:c r="AD334" s="6">
        <x:f>(S334*IF(E334="V",F334,0))+(S334*IF(G334="V",H334,0))</x:f>
      </x:c>
      <x:c r="AE334" s="6">
        <x:f>(S334*IF(E334="R",F334,0))+(S334*IF(G334="R",H334,0))</x:f>
      </x:c>
      <x:c r="AF334" s="6">
        <x:f>(S334*IF(E334="F",F334,0))+(S334*IF(G334="F",H334,0))</x:f>
      </x:c>
      <x:c r="AG334" s="6">
        <x:f>(S334*IF(E334="W",F334,0))+(S334*IF(G334="W",H334,0))</x:f>
      </x:c>
    </x:row>
    <x:row r="335">
      <x:c r="A335" s="3" t="inlineStr">
        <x:is>
          <x:t xml:space="preserve">HR</x:t>
        </x:is>
      </x:c>
      <x:c r="B335" s="3" t="inlineStr">
        <x:is>
          <x:t xml:space="preserve">HR-D7-Q25</x:t>
        </x:is>
      </x:c>
      <x:c r="C335" s="3" t="inlineStr">
        <x:is>
          <x:t xml:space="preserve">T2</x:t>
        </x:is>
      </x:c>
      <x:c r="D335" s="3" t="inlineStr">
        <x:is>
          <x:t xml:space="preserve">7. Investigations &amp; Fairness</x:t>
        </x:is>
      </x:c>
      <x:c r="E335" s="3" t="inlineStr">
        <x:is>
          <x:t xml:space="preserve">H</x:t>
        </x:is>
      </x:c>
      <x:c r="F335" s="3" t="n">
        <x:v>0.5</x:v>
      </x:c>
      <x:c r="G335" s="3" t="inlineStr">
        <x:is>
          <x:t xml:space="preserve">L</x:t>
        </x:is>
      </x:c>
      <x:c r="H335" s="3" t="n">
        <x:v>0.5</x:v>
      </x:c>
      <x:c r="I335" s="3" t="inlineStr">
        <x:is>
          <x:t xml:space="preserve">If someone feels unfairly targeted, is there an independent review or appeal route (e.g., ombuds, privacy review, works council input where applicable)?</x:t>
        </x:is>
      </x:c>
      <x:c r="J335" s="3" t="inlineStr">
        <x:is>
          <x:t xml:space="preserve">Reduces toxic-enforcer risk and increases trust.</x:t>
        </x:is>
      </x:c>
      <x:c r="K335" s="3" t="inlineStr">
        <x:is>
          <x:t xml:space="preserve">Drill-down</x:t>
        </x:is>
      </x:c>
      <x:c r="L335" s="3" t="inlineStr">
        <x:is>
          <x:t xml:space="preserve">LEG_STRICT</x:t>
        </x:is>
      </x:c>
      <x:c r="M335" s="3" t="n">
        <x:v>1.5</x:v>
      </x:c>
      <x:c r="N335" s="3" t="n">
        <x:v>0.5</x:v>
      </x:c>
      <x:c r="O335" s="3" t="n"/>
      <x:c r="P335" s="3" t="inlineStr">
        <x:is>
          <x:t xml:space="preserve">HR-D7-Q25-A3</x:t>
        </x:is>
      </x:c>
      <x:c r="Q335" s="3" t="n">
        <x:v>3</x:v>
      </x:c>
      <x:c r="R335" s="3" t="inlineStr">
        <x:is>
          <x:t xml:space="preserve">General grievance process exists, but not tailored to monitoring/investigations.</x:t>
        </x:is>
      </x:c>
      <x:c r="S335" s="3" t="n">
        <x:v>2</x:v>
      </x:c>
      <x:c r="T335" s="3" t="inlineStr">
        <x:is>
          <x:t xml:space="preserve"/>
        </x:is>
      </x:c>
      <x:c r="U335" s="3" t="inlineStr">
        <x:is>
          <x:t xml:space="preserve">Culture Risk</x:t>
        </x:is>
      </x:c>
      <x:c r="V335" s="3" t="inlineStr">
        <x:is>
          <x:t xml:space="preserve">Define independent review</x:t>
        </x:is>
      </x:c>
      <x:c r="W335" s="3" t="inlineStr">
        <x:is>
          <x:t xml:space="preserve">N</x:t>
        </x:is>
      </x:c>
      <x:c r="X335" s="3" t="inlineStr">
        <x:is>
          <x:t xml:space="preserve">Evidence: grievance process.</x:t>
        </x:is>
      </x:c>
      <x:c r="Y335" s="6">
        <x:f>(S335*IF(E335="G",F335,0))+(S335*IF(G335="G",H335,0))</x:f>
      </x:c>
      <x:c r="Z335" s="6">
        <x:f>(S335*IF(E335="E",F335,0))+(S335*IF(G335="E",H335,0))</x:f>
      </x:c>
      <x:c r="AA335" s="6">
        <x:f>(S335*IF(E335="T",F335,0))+(S335*IF(G335="T",H335,0))</x:f>
      </x:c>
      <x:c r="AB335" s="6">
        <x:f>(S335*IF(E335="L",F335,0))+(S335*IF(G335="L",H335,0))</x:f>
      </x:c>
      <x:c r="AC335" s="6">
        <x:f>(S335*IF(E335="H",F335,0))+(S335*IF(G335="H",H335,0))</x:f>
      </x:c>
      <x:c r="AD335" s="6">
        <x:f>(S335*IF(E335="V",F335,0))+(S335*IF(G335="V",H335,0))</x:f>
      </x:c>
      <x:c r="AE335" s="6">
        <x:f>(S335*IF(E335="R",F335,0))+(S335*IF(G335="R",H335,0))</x:f>
      </x:c>
      <x:c r="AF335" s="6">
        <x:f>(S335*IF(E335="F",F335,0))+(S335*IF(G335="F",H335,0))</x:f>
      </x:c>
      <x:c r="AG335" s="6">
        <x:f>(S335*IF(E335="W",F335,0))+(S335*IF(G335="W",H335,0))</x:f>
      </x:c>
    </x:row>
    <x:row r="336">
      <x:c r="A336" s="3" t="inlineStr">
        <x:is>
          <x:t xml:space="preserve">HR</x:t>
        </x:is>
      </x:c>
      <x:c r="B336" s="3" t="inlineStr">
        <x:is>
          <x:t xml:space="preserve">HR-D7-Q25</x:t>
        </x:is>
      </x:c>
      <x:c r="C336" s="3" t="inlineStr">
        <x:is>
          <x:t xml:space="preserve">T2</x:t>
        </x:is>
      </x:c>
      <x:c r="D336" s="3" t="inlineStr">
        <x:is>
          <x:t xml:space="preserve">7. Investigations &amp; Fairness</x:t>
        </x:is>
      </x:c>
      <x:c r="E336" s="3" t="inlineStr">
        <x:is>
          <x:t xml:space="preserve">H</x:t>
        </x:is>
      </x:c>
      <x:c r="F336" s="3" t="n">
        <x:v>0.5</x:v>
      </x:c>
      <x:c r="G336" s="3" t="inlineStr">
        <x:is>
          <x:t xml:space="preserve">L</x:t>
        </x:is>
      </x:c>
      <x:c r="H336" s="3" t="n">
        <x:v>0.5</x:v>
      </x:c>
      <x:c r="I336" s="3" t="inlineStr">
        <x:is>
          <x:t xml:space="preserve">If someone feels unfairly targeted, is there an independent review or appeal route (e.g., ombuds, privacy review, works council input where applicable)?</x:t>
        </x:is>
      </x:c>
      <x:c r="J336" s="3" t="inlineStr">
        <x:is>
          <x:t xml:space="preserve">Reduces toxic-enforcer risk and increases trust.</x:t>
        </x:is>
      </x:c>
      <x:c r="K336" s="3" t="inlineStr">
        <x:is>
          <x:t xml:space="preserve">Drill-down</x:t>
        </x:is>
      </x:c>
      <x:c r="L336" s="3" t="inlineStr">
        <x:is>
          <x:t xml:space="preserve">LEG_STRICT</x:t>
        </x:is>
      </x:c>
      <x:c r="M336" s="3" t="n">
        <x:v>1.5</x:v>
      </x:c>
      <x:c r="N336" s="3" t="n">
        <x:v>0.5</x:v>
      </x:c>
      <x:c r="O336" s="3" t="n"/>
      <x:c r="P336" s="3" t="inlineStr">
        <x:is>
          <x:t xml:space="preserve">HR-D7-Q25-A4</x:t>
        </x:is>
      </x:c>
      <x:c r="Q336" s="3" t="n">
        <x:v>4</x:v>
      </x:c>
      <x:c r="R336" s="3" t="inlineStr">
        <x:is>
          <x:t xml:space="preserve">Independent check exists (privacy/ombuds) for sensitive cases.</x:t>
        </x:is>
      </x:c>
      <x:c r="S336" s="3" t="n">
        <x:v>3</x:v>
      </x:c>
      <x:c r="T336" s="3" t="inlineStr">
        <x:is>
          <x:t xml:space="preserve"/>
        </x:is>
      </x:c>
      <x:c r="U336" s="3" t="inlineStr">
        <x:is>
          <x:t xml:space="preserve">Culture Risk</x:t>
        </x:is>
      </x:c>
      <x:c r="V336" s="3" t="inlineStr">
        <x:is>
          <x:t xml:space="preserve">Maintain oversight</x:t>
        </x:is>
      </x:c>
      <x:c r="W336" s="3" t="inlineStr">
        <x:is>
          <x:t xml:space="preserve">N</x:t>
        </x:is>
      </x:c>
      <x:c r="X336" s="3" t="inlineStr">
        <x:is>
          <x:t xml:space="preserve">Evidence: review workflow.</x:t>
        </x:is>
      </x:c>
      <x:c r="Y336" s="6">
        <x:f>(S336*IF(E336="G",F336,0))+(S336*IF(G336="G",H336,0))</x:f>
      </x:c>
      <x:c r="Z336" s="6">
        <x:f>(S336*IF(E336="E",F336,0))+(S336*IF(G336="E",H336,0))</x:f>
      </x:c>
      <x:c r="AA336" s="6">
        <x:f>(S336*IF(E336="T",F336,0))+(S336*IF(G336="T",H336,0))</x:f>
      </x:c>
      <x:c r="AB336" s="6">
        <x:f>(S336*IF(E336="L",F336,0))+(S336*IF(G336="L",H336,0))</x:f>
      </x:c>
      <x:c r="AC336" s="6">
        <x:f>(S336*IF(E336="H",F336,0))+(S336*IF(G336="H",H336,0))</x:f>
      </x:c>
      <x:c r="AD336" s="6">
        <x:f>(S336*IF(E336="V",F336,0))+(S336*IF(G336="V",H336,0))</x:f>
      </x:c>
      <x:c r="AE336" s="6">
        <x:f>(S336*IF(E336="R",F336,0))+(S336*IF(G336="R",H336,0))</x:f>
      </x:c>
      <x:c r="AF336" s="6">
        <x:f>(S336*IF(E336="F",F336,0))+(S336*IF(G336="F",H336,0))</x:f>
      </x:c>
      <x:c r="AG336" s="6">
        <x:f>(S336*IF(E336="W",F336,0))+(S336*IF(G336="W",H336,0))</x:f>
      </x:c>
    </x:row>
    <x:row r="337">
      <x:c r="A337" s="3" t="inlineStr">
        <x:is>
          <x:t xml:space="preserve">HR</x:t>
        </x:is>
      </x:c>
      <x:c r="B337" s="3" t="inlineStr">
        <x:is>
          <x:t xml:space="preserve">HR-D7-Q25</x:t>
        </x:is>
      </x:c>
      <x:c r="C337" s="3" t="inlineStr">
        <x:is>
          <x:t xml:space="preserve">T2</x:t>
        </x:is>
      </x:c>
      <x:c r="D337" s="3" t="inlineStr">
        <x:is>
          <x:t xml:space="preserve">7. Investigations &amp; Fairness</x:t>
        </x:is>
      </x:c>
      <x:c r="E337" s="3" t="inlineStr">
        <x:is>
          <x:t xml:space="preserve">H</x:t>
        </x:is>
      </x:c>
      <x:c r="F337" s="3" t="n">
        <x:v>0.5</x:v>
      </x:c>
      <x:c r="G337" s="3" t="inlineStr">
        <x:is>
          <x:t xml:space="preserve">L</x:t>
        </x:is>
      </x:c>
      <x:c r="H337" s="3" t="n">
        <x:v>0.5</x:v>
      </x:c>
      <x:c r="I337" s="3" t="inlineStr">
        <x:is>
          <x:t xml:space="preserve">If someone feels unfairly targeted, is there an independent review or appeal route (e.g., ombuds, privacy review, works council input where applicable)?</x:t>
        </x:is>
      </x:c>
      <x:c r="J337" s="3" t="inlineStr">
        <x:is>
          <x:t xml:space="preserve">Reduces toxic-enforcer risk and increases trust.</x:t>
        </x:is>
      </x:c>
      <x:c r="K337" s="3" t="inlineStr">
        <x:is>
          <x:t xml:space="preserve">Drill-down</x:t>
        </x:is>
      </x:c>
      <x:c r="L337" s="3" t="inlineStr">
        <x:is>
          <x:t xml:space="preserve">LEG_STRICT</x:t>
        </x:is>
      </x:c>
      <x:c r="M337" s="3" t="n">
        <x:v>1.5</x:v>
      </x:c>
      <x:c r="N337" s="3" t="n">
        <x:v>0.5</x:v>
      </x:c>
      <x:c r="O337" s="3" t="n"/>
      <x:c r="P337" s="3" t="inlineStr">
        <x:is>
          <x:t xml:space="preserve">HR-D7-Q25-A5</x:t>
        </x:is>
      </x:c>
      <x:c r="Q337" s="3" t="n">
        <x:v>5</x:v>
      </x:c>
      <x:c r="R337" s="3" t="inlineStr">
        <x:is>
          <x:t xml:space="preserve">Transparent, multi-function review with audit trail and feedback loops.</x:t>
        </x:is>
      </x:c>
      <x:c r="S337" s="3" t="n">
        <x:v>4</x:v>
      </x:c>
      <x:c r="T337" s="3" t="inlineStr">
        <x:is>
          <x:t xml:space="preserve"/>
        </x:is>
      </x:c>
      <x:c r="U337" s="3" t="inlineStr">
        <x:is>
          <x:t xml:space="preserve">Culture Risk</x:t>
        </x:is>
      </x:c>
      <x:c r="V337" s="3" t="inlineStr">
        <x:is>
          <x:t xml:space="preserve">Maintain maturity</x:t>
        </x:is>
      </x:c>
      <x:c r="W337" s="3" t="inlineStr">
        <x:is>
          <x:t xml:space="preserve">N</x:t>
        </x:is>
      </x:c>
      <x:c r="X337" s="3" t="inlineStr">
        <x:is>
          <x:t xml:space="preserve">Evidence: audit trail sample.</x:t>
        </x:is>
      </x:c>
      <x:c r="Y337" s="6">
        <x:f>(S337*IF(E337="G",F337,0))+(S337*IF(G337="G",H337,0))</x:f>
      </x:c>
      <x:c r="Z337" s="6">
        <x:f>(S337*IF(E337="E",F337,0))+(S337*IF(G337="E",H337,0))</x:f>
      </x:c>
      <x:c r="AA337" s="6">
        <x:f>(S337*IF(E337="T",F337,0))+(S337*IF(G337="T",H337,0))</x:f>
      </x:c>
      <x:c r="AB337" s="6">
        <x:f>(S337*IF(E337="L",F337,0))+(S337*IF(G337="L",H337,0))</x:f>
      </x:c>
      <x:c r="AC337" s="6">
        <x:f>(S337*IF(E337="H",F337,0))+(S337*IF(G337="H",H337,0))</x:f>
      </x:c>
      <x:c r="AD337" s="6">
        <x:f>(S337*IF(E337="V",F337,0))+(S337*IF(G337="V",H337,0))</x:f>
      </x:c>
      <x:c r="AE337" s="6">
        <x:f>(S337*IF(E337="R",F337,0))+(S337*IF(G337="R",H337,0))</x:f>
      </x:c>
      <x:c r="AF337" s="6">
        <x:f>(S337*IF(E337="F",F337,0))+(S337*IF(G337="F",H337,0))</x:f>
      </x:c>
      <x:c r="AG337" s="6">
        <x:f>(S337*IF(E337="W",F337,0))+(S337*IF(G337="W",H337,0))</x:f>
      </x:c>
    </x:row>
    <x:row r="338">
      <x:c r="A338" s="3" t="inlineStr">
        <x:is>
          <x:t xml:space="preserve">HR</x:t>
        </x:is>
      </x:c>
      <x:c r="B338" s="3" t="inlineStr">
        <x:is>
          <x:t xml:space="preserve">HR-D7-Q26</x:t>
        </x:is>
      </x:c>
      <x:c r="C338" s="3" t="inlineStr">
        <x:is>
          <x:t xml:space="preserve">T3</x:t>
        </x:is>
      </x:c>
      <x:c r="D338" s="3" t="inlineStr">
        <x:is>
          <x:t xml:space="preserve">7. Investigations &amp; Fairness</x:t>
        </x:is>
      </x:c>
      <x:c r="E338" s="3" t="inlineStr">
        <x:is>
          <x:t xml:space="preserve">R</x:t>
        </x:is>
      </x:c>
      <x:c r="F338" s="3" t="n">
        <x:v>0.6</x:v>
      </x:c>
      <x:c r="G338" s="3" t="inlineStr">
        <x:is>
          <x:t xml:space="preserve">H</x:t>
        </x:is>
      </x:c>
      <x:c r="H338" s="3" t="n">
        <x:v>0.4</x:v>
      </x:c>
      <x:c r="I338" s="3" t="inlineStr">
        <x:is>
          <x:t xml:space="preserve">After cases, do you translate outcomes into improvements (training, process, tooling) without creating blame or fear?</x:t>
        </x:is>
      </x:c>
      <x:c r="J338" s="3" t="inlineStr">
        <x:is>
          <x:t xml:space="preserve">Learning loop: reduce repeats while maintaining psychological safety.</x:t>
        </x:is>
      </x:c>
      <x:c r="K338" s="3" t="inlineStr">
        <x:is>
          <x:t xml:space="preserve">Business-proofing</x:t>
        </x:is>
      </x:c>
      <x:c r="L338" s="3" t="inlineStr">
        <x:is>
          <x:t xml:space="preserve">OPS_STD</x:t>
        </x:is>
      </x:c>
      <x:c r="M338" s="3" t="n">
        <x:v>1.5</x:v>
      </x:c>
      <x:c r="N338" s="3" t="n">
        <x:v>0.5</x:v>
      </x:c>
      <x:c r="O338" s="3" t="n"/>
      <x:c r="P338" s="3" t="inlineStr">
        <x:is>
          <x:t xml:space="preserve">HR-D7-Q26-A1</x:t>
        </x:is>
      </x:c>
      <x:c r="Q338" s="3" t="n">
        <x:v>1</x:v>
      </x:c>
      <x:c r="R338" s="3" t="inlineStr">
        <x:is>
          <x:t xml:space="preserve">No: cases close with no learning loop.</x:t>
        </x:is>
      </x:c>
      <x:c r="S338" s="3" t="n">
        <x:v>0</x:v>
      </x:c>
      <x:c r="T338" s="3" t="inlineStr">
        <x:is>
          <x:t xml:space="preserve">paper_dragon_signal</x:t>
        </x:is>
      </x:c>
      <x:c r="U338" s="3" t="inlineStr">
        <x:is>
          <x:t xml:space="preserve">Paper Dragon</x:t>
        </x:is>
      </x:c>
      <x:c r="V338" s="3" t="inlineStr">
        <x:is>
          <x:t xml:space="preserve">Create lessons-learned process</x:t>
        </x:is>
      </x:c>
      <x:c r="W338" s="3" t="inlineStr">
        <x:is>
          <x:t xml:space="preserve">N</x:t>
        </x:is>
      </x:c>
      <x:c r="X338" s="3" t="inlineStr">
        <x:is>
          <x:t xml:space="preserve"/>
        </x:is>
      </x:c>
      <x:c r="Y338" s="6">
        <x:f>(S338*IF(E338="G",F338,0))+(S338*IF(G338="G",H338,0))</x:f>
      </x:c>
      <x:c r="Z338" s="6">
        <x:f>(S338*IF(E338="E",F338,0))+(S338*IF(G338="E",H338,0))</x:f>
      </x:c>
      <x:c r="AA338" s="6">
        <x:f>(S338*IF(E338="T",F338,0))+(S338*IF(G338="T",H338,0))</x:f>
      </x:c>
      <x:c r="AB338" s="6">
        <x:f>(S338*IF(E338="L",F338,0))+(S338*IF(G338="L",H338,0))</x:f>
      </x:c>
      <x:c r="AC338" s="6">
        <x:f>(S338*IF(E338="H",F338,0))+(S338*IF(G338="H",H338,0))</x:f>
      </x:c>
      <x:c r="AD338" s="6">
        <x:f>(S338*IF(E338="V",F338,0))+(S338*IF(G338="V",H338,0))</x:f>
      </x:c>
      <x:c r="AE338" s="6">
        <x:f>(S338*IF(E338="R",F338,0))+(S338*IF(G338="R",H338,0))</x:f>
      </x:c>
      <x:c r="AF338" s="6">
        <x:f>(S338*IF(E338="F",F338,0))+(S338*IF(G338="F",H338,0))</x:f>
      </x:c>
      <x:c r="AG338" s="6">
        <x:f>(S338*IF(E338="W",F338,0))+(S338*IF(G338="W",H338,0))</x:f>
      </x:c>
    </x:row>
    <x:row r="339">
      <x:c r="A339" s="3" t="inlineStr">
        <x:is>
          <x:t xml:space="preserve">HR</x:t>
        </x:is>
      </x:c>
      <x:c r="B339" s="3" t="inlineStr">
        <x:is>
          <x:t xml:space="preserve">HR-D7-Q26</x:t>
        </x:is>
      </x:c>
      <x:c r="C339" s="3" t="inlineStr">
        <x:is>
          <x:t xml:space="preserve">T3</x:t>
        </x:is>
      </x:c>
      <x:c r="D339" s="3" t="inlineStr">
        <x:is>
          <x:t xml:space="preserve">7. Investigations &amp; Fairness</x:t>
        </x:is>
      </x:c>
      <x:c r="E339" s="3" t="inlineStr">
        <x:is>
          <x:t xml:space="preserve">R</x:t>
        </x:is>
      </x:c>
      <x:c r="F339" s="3" t="n">
        <x:v>0.6</x:v>
      </x:c>
      <x:c r="G339" s="3" t="inlineStr">
        <x:is>
          <x:t xml:space="preserve">H</x:t>
        </x:is>
      </x:c>
      <x:c r="H339" s="3" t="n">
        <x:v>0.4</x:v>
      </x:c>
      <x:c r="I339" s="3" t="inlineStr">
        <x:is>
          <x:t xml:space="preserve">After cases, do you translate outcomes into improvements (training, process, tooling) without creating blame or fear?</x:t>
        </x:is>
      </x:c>
      <x:c r="J339" s="3" t="inlineStr">
        <x:is>
          <x:t xml:space="preserve">Learning loop: reduce repeats while maintaining psychological safety.</x:t>
        </x:is>
      </x:c>
      <x:c r="K339" s="3" t="inlineStr">
        <x:is>
          <x:t xml:space="preserve">Business-proofing</x:t>
        </x:is>
      </x:c>
      <x:c r="L339" s="3" t="inlineStr">
        <x:is>
          <x:t xml:space="preserve">OPS_STD</x:t>
        </x:is>
      </x:c>
      <x:c r="M339" s="3" t="n">
        <x:v>1.5</x:v>
      </x:c>
      <x:c r="N339" s="3" t="n">
        <x:v>0.5</x:v>
      </x:c>
      <x:c r="O339" s="3" t="n"/>
      <x:c r="P339" s="3" t="inlineStr">
        <x:is>
          <x:t xml:space="preserve">HR-D7-Q26-A2</x:t>
        </x:is>
      </x:c>
      <x:c r="Q339" s="3" t="n">
        <x:v>2</x:v>
      </x:c>
      <x:c r="R339" s="3" t="inlineStr">
        <x:is>
          <x:t xml:space="preserve">Sometimes: lessons discussed informally.</x:t>
        </x:is>
      </x:c>
      <x:c r="S339" s="3" t="n">
        <x:v>1</x:v>
      </x:c>
      <x:c r="T339" s="3" t="inlineStr">
        <x:is>
          <x:t xml:space="preserve">shadow_mature_signal</x:t>
        </x:is>
      </x:c>
      <x:c r="U339" s="3" t="inlineStr">
        <x:is>
          <x:t xml:space="preserve">Operating Model Gap</x:t>
        </x:is>
      </x:c>
      <x:c r="V339" s="3" t="inlineStr">
        <x:is>
          <x:t xml:space="preserve">Document and assign actions</x:t>
        </x:is>
      </x:c>
      <x:c r="W339" s="3" t="inlineStr">
        <x:is>
          <x:t xml:space="preserve">N</x:t>
        </x:is>
      </x:c>
      <x:c r="X339" s="3" t="inlineStr">
        <x:is>
          <x:t xml:space="preserve"/>
        </x:is>
      </x:c>
      <x:c r="Y339" s="6">
        <x:f>(S339*IF(E339="G",F339,0))+(S339*IF(G339="G",H339,0))</x:f>
      </x:c>
      <x:c r="Z339" s="6">
        <x:f>(S339*IF(E339="E",F339,0))+(S339*IF(G339="E",H339,0))</x:f>
      </x:c>
      <x:c r="AA339" s="6">
        <x:f>(S339*IF(E339="T",F339,0))+(S339*IF(G339="T",H339,0))</x:f>
      </x:c>
      <x:c r="AB339" s="6">
        <x:f>(S339*IF(E339="L",F339,0))+(S339*IF(G339="L",H339,0))</x:f>
      </x:c>
      <x:c r="AC339" s="6">
        <x:f>(S339*IF(E339="H",F339,0))+(S339*IF(G339="H",H339,0))</x:f>
      </x:c>
      <x:c r="AD339" s="6">
        <x:f>(S339*IF(E339="V",F339,0))+(S339*IF(G339="V",H339,0))</x:f>
      </x:c>
      <x:c r="AE339" s="6">
        <x:f>(S339*IF(E339="R",F339,0))+(S339*IF(G339="R",H339,0))</x:f>
      </x:c>
      <x:c r="AF339" s="6">
        <x:f>(S339*IF(E339="F",F339,0))+(S339*IF(G339="F",H339,0))</x:f>
      </x:c>
      <x:c r="AG339" s="6">
        <x:f>(S339*IF(E339="W",F339,0))+(S339*IF(G339="W",H339,0))</x:f>
      </x:c>
    </x:row>
    <x:row r="340">
      <x:c r="A340" s="3" t="inlineStr">
        <x:is>
          <x:t xml:space="preserve">HR</x:t>
        </x:is>
      </x:c>
      <x:c r="B340" s="3" t="inlineStr">
        <x:is>
          <x:t xml:space="preserve">HR-D7-Q26</x:t>
        </x:is>
      </x:c>
      <x:c r="C340" s="3" t="inlineStr">
        <x:is>
          <x:t xml:space="preserve">T3</x:t>
        </x:is>
      </x:c>
      <x:c r="D340" s="3" t="inlineStr">
        <x:is>
          <x:t xml:space="preserve">7. Investigations &amp; Fairness</x:t>
        </x:is>
      </x:c>
      <x:c r="E340" s="3" t="inlineStr">
        <x:is>
          <x:t xml:space="preserve">R</x:t>
        </x:is>
      </x:c>
      <x:c r="F340" s="3" t="n">
        <x:v>0.6</x:v>
      </x:c>
      <x:c r="G340" s="3" t="inlineStr">
        <x:is>
          <x:t xml:space="preserve">H</x:t>
        </x:is>
      </x:c>
      <x:c r="H340" s="3" t="n">
        <x:v>0.4</x:v>
      </x:c>
      <x:c r="I340" s="3" t="inlineStr">
        <x:is>
          <x:t xml:space="preserve">After cases, do you translate outcomes into improvements (training, process, tooling) without creating blame or fear?</x:t>
        </x:is>
      </x:c>
      <x:c r="J340" s="3" t="inlineStr">
        <x:is>
          <x:t xml:space="preserve">Learning loop: reduce repeats while maintaining psychological safety.</x:t>
        </x:is>
      </x:c>
      <x:c r="K340" s="3" t="inlineStr">
        <x:is>
          <x:t xml:space="preserve">Business-proofing</x:t>
        </x:is>
      </x:c>
      <x:c r="L340" s="3" t="inlineStr">
        <x:is>
          <x:t xml:space="preserve">OPS_STD</x:t>
        </x:is>
      </x:c>
      <x:c r="M340" s="3" t="n">
        <x:v>1.5</x:v>
      </x:c>
      <x:c r="N340" s="3" t="n">
        <x:v>0.5</x:v>
      </x:c>
      <x:c r="O340" s="3" t="n"/>
      <x:c r="P340" s="3" t="inlineStr">
        <x:is>
          <x:t xml:space="preserve">HR-D7-Q26-A3</x:t>
        </x:is>
      </x:c>
      <x:c r="Q340" s="3" t="n">
        <x:v>3</x:v>
      </x:c>
      <x:c r="R340" s="3" t="inlineStr">
        <x:is>
          <x:t xml:space="preserve">Defined: post-case review exists but actions not tracked to completion.</x:t>
        </x:is>
      </x:c>
      <x:c r="S340" s="3" t="n">
        <x:v>2</x:v>
      </x:c>
      <x:c r="T340" s="3" t="inlineStr">
        <x:is>
          <x:t xml:space="preserve"/>
        </x:is>
      </x:c>
      <x:c r="U340" s="3" t="inlineStr">
        <x:is>
          <x:t xml:space="preserve">Operating Model Gap</x:t>
        </x:is>
      </x:c>
      <x:c r="V340" s="3" t="inlineStr">
        <x:is>
          <x:t xml:space="preserve">Track action completion</x:t>
        </x:is>
      </x:c>
      <x:c r="W340" s="3" t="inlineStr">
        <x:is>
          <x:t xml:space="preserve">N</x:t>
        </x:is>
      </x:c>
      <x:c r="X340" s="3" t="inlineStr">
        <x:is>
          <x:t xml:space="preserve">Evidence: action log.</x:t>
        </x:is>
      </x:c>
      <x:c r="Y340" s="6">
        <x:f>(S340*IF(E340="G",F340,0))+(S340*IF(G340="G",H340,0))</x:f>
      </x:c>
      <x:c r="Z340" s="6">
        <x:f>(S340*IF(E340="E",F340,0))+(S340*IF(G340="E",H340,0))</x:f>
      </x:c>
      <x:c r="AA340" s="6">
        <x:f>(S340*IF(E340="T",F340,0))+(S340*IF(G340="T",H340,0))</x:f>
      </x:c>
      <x:c r="AB340" s="6">
        <x:f>(S340*IF(E340="L",F340,0))+(S340*IF(G340="L",H340,0))</x:f>
      </x:c>
      <x:c r="AC340" s="6">
        <x:f>(S340*IF(E340="H",F340,0))+(S340*IF(G340="H",H340,0))</x:f>
      </x:c>
      <x:c r="AD340" s="6">
        <x:f>(S340*IF(E340="V",F340,0))+(S340*IF(G340="V",H340,0))</x:f>
      </x:c>
      <x:c r="AE340" s="6">
        <x:f>(S340*IF(E340="R",F340,0))+(S340*IF(G340="R",H340,0))</x:f>
      </x:c>
      <x:c r="AF340" s="6">
        <x:f>(S340*IF(E340="F",F340,0))+(S340*IF(G340="F",H340,0))</x:f>
      </x:c>
      <x:c r="AG340" s="6">
        <x:f>(S340*IF(E340="W",F340,0))+(S340*IF(G340="W",H340,0))</x:f>
      </x:c>
    </x:row>
    <x:row r="341">
      <x:c r="A341" s="3" t="inlineStr">
        <x:is>
          <x:t xml:space="preserve">HR</x:t>
        </x:is>
      </x:c>
      <x:c r="B341" s="3" t="inlineStr">
        <x:is>
          <x:t xml:space="preserve">HR-D7-Q26</x:t>
        </x:is>
      </x:c>
      <x:c r="C341" s="3" t="inlineStr">
        <x:is>
          <x:t xml:space="preserve">T3</x:t>
        </x:is>
      </x:c>
      <x:c r="D341" s="3" t="inlineStr">
        <x:is>
          <x:t xml:space="preserve">7. Investigations &amp; Fairness</x:t>
        </x:is>
      </x:c>
      <x:c r="E341" s="3" t="inlineStr">
        <x:is>
          <x:t xml:space="preserve">R</x:t>
        </x:is>
      </x:c>
      <x:c r="F341" s="3" t="n">
        <x:v>0.6</x:v>
      </x:c>
      <x:c r="G341" s="3" t="inlineStr">
        <x:is>
          <x:t xml:space="preserve">H</x:t>
        </x:is>
      </x:c>
      <x:c r="H341" s="3" t="n">
        <x:v>0.4</x:v>
      </x:c>
      <x:c r="I341" s="3" t="inlineStr">
        <x:is>
          <x:t xml:space="preserve">After cases, do you translate outcomes into improvements (training, process, tooling) without creating blame or fear?</x:t>
        </x:is>
      </x:c>
      <x:c r="J341" s="3" t="inlineStr">
        <x:is>
          <x:t xml:space="preserve">Learning loop: reduce repeats while maintaining psychological safety.</x:t>
        </x:is>
      </x:c>
      <x:c r="K341" s="3" t="inlineStr">
        <x:is>
          <x:t xml:space="preserve">Business-proofing</x:t>
        </x:is>
      </x:c>
      <x:c r="L341" s="3" t="inlineStr">
        <x:is>
          <x:t xml:space="preserve">OPS_STD</x:t>
        </x:is>
      </x:c>
      <x:c r="M341" s="3" t="n">
        <x:v>1.5</x:v>
      </x:c>
      <x:c r="N341" s="3" t="n">
        <x:v>0.5</x:v>
      </x:c>
      <x:c r="O341" s="3" t="n"/>
      <x:c r="P341" s="3" t="inlineStr">
        <x:is>
          <x:t xml:space="preserve">HR-D7-Q26-A4</x:t>
        </x:is>
      </x:c>
      <x:c r="Q341" s="3" t="n">
        <x:v>4</x:v>
      </x:c>
      <x:c r="R341" s="3" t="inlineStr">
        <x:is>
          <x:t xml:space="preserve">Managed: improvements tracked and communicated; repeat issues reduce.</x:t>
        </x:is>
      </x:c>
      <x:c r="S341" s="3" t="n">
        <x:v>3</x:v>
      </x:c>
      <x:c r="T341" s="3" t="inlineStr">
        <x:is>
          <x:t xml:space="preserve"/>
        </x:is>
      </x:c>
      <x:c r="U341" s="3" t="inlineStr">
        <x:is>
          <x:t xml:space="preserve">Operating Model Gap</x:t>
        </x:is>
      </x:c>
      <x:c r="V341" s="3" t="inlineStr">
        <x:is>
          <x:t xml:space="preserve">Maintain metrics</x:t>
        </x:is>
      </x:c>
      <x:c r="W341" s="3" t="inlineStr">
        <x:is>
          <x:t xml:space="preserve">N</x:t>
        </x:is>
      </x:c>
      <x:c r="X341" s="3" t="inlineStr">
        <x:is>
          <x:t xml:space="preserve">Evidence: before/after examples.</x:t>
        </x:is>
      </x:c>
      <x:c r="Y341" s="6">
        <x:f>(S341*IF(E341="G",F341,0))+(S341*IF(G341="G",H341,0))</x:f>
      </x:c>
      <x:c r="Z341" s="6">
        <x:f>(S341*IF(E341="E",F341,0))+(S341*IF(G341="E",H341,0))</x:f>
      </x:c>
      <x:c r="AA341" s="6">
        <x:f>(S341*IF(E341="T",F341,0))+(S341*IF(G341="T",H341,0))</x:f>
      </x:c>
      <x:c r="AB341" s="6">
        <x:f>(S341*IF(E341="L",F341,0))+(S341*IF(G341="L",H341,0))</x:f>
      </x:c>
      <x:c r="AC341" s="6">
        <x:f>(S341*IF(E341="H",F341,0))+(S341*IF(G341="H",H341,0))</x:f>
      </x:c>
      <x:c r="AD341" s="6">
        <x:f>(S341*IF(E341="V",F341,0))+(S341*IF(G341="V",H341,0))</x:f>
      </x:c>
      <x:c r="AE341" s="6">
        <x:f>(S341*IF(E341="R",F341,0))+(S341*IF(G341="R",H341,0))</x:f>
      </x:c>
      <x:c r="AF341" s="6">
        <x:f>(S341*IF(E341="F",F341,0))+(S341*IF(G341="F",H341,0))</x:f>
      </x:c>
      <x:c r="AG341" s="6">
        <x:f>(S341*IF(E341="W",F341,0))+(S341*IF(G341="W",H341,0))</x:f>
      </x:c>
    </x:row>
    <x:row r="342">
      <x:c r="A342" s="3" t="inlineStr">
        <x:is>
          <x:t xml:space="preserve">HR</x:t>
        </x:is>
      </x:c>
      <x:c r="B342" s="3" t="inlineStr">
        <x:is>
          <x:t xml:space="preserve">HR-D7-Q26</x:t>
        </x:is>
      </x:c>
      <x:c r="C342" s="3" t="inlineStr">
        <x:is>
          <x:t xml:space="preserve">T3</x:t>
        </x:is>
      </x:c>
      <x:c r="D342" s="3" t="inlineStr">
        <x:is>
          <x:t xml:space="preserve">7. Investigations &amp; Fairness</x:t>
        </x:is>
      </x:c>
      <x:c r="E342" s="3" t="inlineStr">
        <x:is>
          <x:t xml:space="preserve">R</x:t>
        </x:is>
      </x:c>
      <x:c r="F342" s="3" t="n">
        <x:v>0.6</x:v>
      </x:c>
      <x:c r="G342" s="3" t="inlineStr">
        <x:is>
          <x:t xml:space="preserve">H</x:t>
        </x:is>
      </x:c>
      <x:c r="H342" s="3" t="n">
        <x:v>0.4</x:v>
      </x:c>
      <x:c r="I342" s="3" t="inlineStr">
        <x:is>
          <x:t xml:space="preserve">After cases, do you translate outcomes into improvements (training, process, tooling) without creating blame or fear?</x:t>
        </x:is>
      </x:c>
      <x:c r="J342" s="3" t="inlineStr">
        <x:is>
          <x:t xml:space="preserve">Learning loop: reduce repeats while maintaining psychological safety.</x:t>
        </x:is>
      </x:c>
      <x:c r="K342" s="3" t="inlineStr">
        <x:is>
          <x:t xml:space="preserve">Business-proofing</x:t>
        </x:is>
      </x:c>
      <x:c r="L342" s="3" t="inlineStr">
        <x:is>
          <x:t xml:space="preserve">OPS_STD</x:t>
        </x:is>
      </x:c>
      <x:c r="M342" s="3" t="n">
        <x:v>1.5</x:v>
      </x:c>
      <x:c r="N342" s="3" t="n">
        <x:v>0.5</x:v>
      </x:c>
      <x:c r="O342" s="3" t="n"/>
      <x:c r="P342" s="3" t="inlineStr">
        <x:is>
          <x:t xml:space="preserve">HR-D7-Q26-A5</x:t>
        </x:is>
      </x:c>
      <x:c r="Q342" s="3" t="n">
        <x:v>5</x:v>
      </x:c>
      <x:c r="R342" s="3" t="inlineStr">
        <x:is>
          <x:t xml:space="preserve">Optimized: continuous improvement; trust and outcomes both measured.</x:t>
        </x:is>
      </x:c>
      <x:c r="S342" s="3" t="n">
        <x:v>4</x:v>
      </x:c>
      <x:c r="T342" s="3" t="inlineStr">
        <x:is>
          <x:t xml:space="preserve"/>
        </x:is>
      </x:c>
      <x:c r="U342" s="3" t="inlineStr">
        <x:is>
          <x:t xml:space="preserve">Culture Risk</x:t>
        </x:is>
      </x:c>
      <x:c r="V342" s="3" t="inlineStr">
        <x:is>
          <x:t xml:space="preserve">Maintain maturity</x:t>
        </x:is>
      </x:c>
      <x:c r="W342" s="3" t="inlineStr">
        <x:is>
          <x:t xml:space="preserve">N</x:t>
        </x:is>
      </x:c>
      <x:c r="X342" s="3" t="inlineStr">
        <x:is>
          <x:t xml:space="preserve">Evidence: KPIs + survey trends.</x:t>
        </x:is>
      </x:c>
      <x:c r="Y342" s="6">
        <x:f>(S342*IF(E342="G",F342,0))+(S342*IF(G342="G",H342,0))</x:f>
      </x:c>
      <x:c r="Z342" s="6">
        <x:f>(S342*IF(E342="E",F342,0))+(S342*IF(G342="E",H342,0))</x:f>
      </x:c>
      <x:c r="AA342" s="6">
        <x:f>(S342*IF(E342="T",F342,0))+(S342*IF(G342="T",H342,0))</x:f>
      </x:c>
      <x:c r="AB342" s="6">
        <x:f>(S342*IF(E342="L",F342,0))+(S342*IF(G342="L",H342,0))</x:f>
      </x:c>
      <x:c r="AC342" s="6">
        <x:f>(S342*IF(E342="H",F342,0))+(S342*IF(G342="H",H342,0))</x:f>
      </x:c>
      <x:c r="AD342" s="6">
        <x:f>(S342*IF(E342="V",F342,0))+(S342*IF(G342="V",H342,0))</x:f>
      </x:c>
      <x:c r="AE342" s="6">
        <x:f>(S342*IF(E342="R",F342,0))+(S342*IF(G342="R",H342,0))</x:f>
      </x:c>
      <x:c r="AF342" s="6">
        <x:f>(S342*IF(E342="F",F342,0))+(S342*IF(G342="F",H342,0))</x:f>
      </x:c>
      <x:c r="AG342" s="6">
        <x:f>(S342*IF(E342="W",F342,0))+(S342*IF(G342="W",H342,0))</x:f>
      </x:c>
    </x:row>
    <x:row r="343">
      <x:c r="A343" s="3" t="inlineStr">
        <x:is>
          <x:t xml:space="preserve">HR</x:t>
        </x:is>
      </x:c>
      <x:c r="B343" s="3" t="inlineStr">
        <x:is>
          <x:t xml:space="preserve">HR-D8-Q27</x:t>
        </x:is>
      </x:c>
      <x:c r="C343" s="3" t="inlineStr">
        <x:is>
          <x:t xml:space="preserve">T1</x:t>
        </x:is>
      </x:c>
      <x:c r="D343" s="3" t="inlineStr">
        <x:is>
          <x:t xml:space="preserve">8. Reporting &amp; Metrics</x:t>
        </x:is>
      </x:c>
      <x:c r="E343" s="3" t="inlineStr">
        <x:is>
          <x:t xml:space="preserve">G</x:t>
        </x:is>
      </x:c>
      <x:c r="F343" s="3" t="n">
        <x:v>0.5</x:v>
      </x:c>
      <x:c r="G343" s="3" t="inlineStr">
        <x:is>
          <x:t xml:space="preserve">H</x:t>
        </x:is>
      </x:c>
      <x:c r="H343" s="3" t="n">
        <x:v>0.5</x:v>
      </x:c>
      <x:c r="I343" s="3" t="inlineStr">
        <x:is>
          <x:t xml:space="preserve">What does HR report to leadership about the people-side of insider risk (themes, training, reporting culture) in a way that supports trust?</x:t>
        </x:is>
      </x:c>
      <x:c r="J343" s="3" t="inlineStr">
        <x:is>
          <x:t xml:space="preserve">Aggregated and privacy-safe: focus on themes + improvement actions.</x:t>
        </x:is>
      </x:c>
      <x:c r="K343" s="3" t="inlineStr">
        <x:is>
          <x:t xml:space="preserve">Gatekeeper (If BaseScore &lt;2 → HR-D8-Q28; If ≥2 → HR-D8-Q29)</x:t>
        </x:is>
      </x:c>
      <x:c r="L343" s="3" t="inlineStr">
        <x:is>
          <x:t xml:space="preserve">GOV_STD</x:t>
        </x:is>
      </x:c>
      <x:c r="M343" s="3" t="n">
        <x:v>1</x:v>
      </x:c>
      <x:c r="N343" s="3" t="n"/>
      <x:c r="O343" s="3" t="n"/>
      <x:c r="P343" s="3" t="inlineStr">
        <x:is>
          <x:t xml:space="preserve">HR-D8-Q27-A0</x:t>
        </x:is>
      </x:c>
      <x:c r="Q343" s="3" t="n">
        <x:v>1</x:v>
      </x:c>
      <x:c r="R343" s="3" t="inlineStr">
        <x:is>
          <x:t xml:space="preserve">I don't know / Not sure.</x:t>
        </x:is>
      </x:c>
      <x:c r="S343" s="3" t="n">
        <x:v>0</x:v>
      </x:c>
      <x:c r="T343" s="3" t="inlineStr">
        <x:is>
          <x:t xml:space="preserve">low-confidence</x:t>
        </x:is>
      </x:c>
      <x:c r="U343" s="3" t="inlineStr">
        <x:is>
          <x:t xml:space="preserve">Operating Model Gap</x:t>
        </x:is>
      </x:c>
      <x:c r="V343" s="3" t="inlineStr">
        <x:is>
          <x:t xml:space="preserve">Clarify reporting</x:t>
        </x:is>
      </x:c>
      <x:c r="W343" s="3" t="inlineStr">
        <x:is>
          <x:t xml:space="preserve">N</x:t>
        </x:is>
      </x:c>
      <x:c r="X343" s="3" t="inlineStr">
        <x:is>
          <x:t xml:space="preserve"/>
        </x:is>
      </x:c>
      <x:c r="Y343" s="6">
        <x:f>(S343*IF(E343="G",F343,0))+(S343*IF(G343="G",H343,0))</x:f>
      </x:c>
      <x:c r="Z343" s="6">
        <x:f>(S343*IF(E343="E",F343,0))+(S343*IF(G343="E",H343,0))</x:f>
      </x:c>
      <x:c r="AA343" s="6">
        <x:f>(S343*IF(E343="T",F343,0))+(S343*IF(G343="T",H343,0))</x:f>
      </x:c>
      <x:c r="AB343" s="6">
        <x:f>(S343*IF(E343="L",F343,0))+(S343*IF(G343="L",H343,0))</x:f>
      </x:c>
      <x:c r="AC343" s="6">
        <x:f>(S343*IF(E343="H",F343,0))+(S343*IF(G343="H",H343,0))</x:f>
      </x:c>
      <x:c r="AD343" s="6">
        <x:f>(S343*IF(E343="V",F343,0))+(S343*IF(G343="V",H343,0))</x:f>
      </x:c>
      <x:c r="AE343" s="6">
        <x:f>(S343*IF(E343="R",F343,0))+(S343*IF(G343="R",H343,0))</x:f>
      </x:c>
      <x:c r="AF343" s="6">
        <x:f>(S343*IF(E343="F",F343,0))+(S343*IF(G343="F",H343,0))</x:f>
      </x:c>
      <x:c r="AG343" s="6">
        <x:f>(S343*IF(E343="W",F343,0))+(S343*IF(G343="W",H343,0))</x:f>
      </x:c>
    </x:row>
    <x:row r="344">
      <x:c r="A344" s="3" t="inlineStr">
        <x:is>
          <x:t xml:space="preserve">HR</x:t>
        </x:is>
      </x:c>
      <x:c r="B344" s="3" t="inlineStr">
        <x:is>
          <x:t xml:space="preserve">HR-D8-Q27</x:t>
        </x:is>
      </x:c>
      <x:c r="C344" s="3" t="inlineStr">
        <x:is>
          <x:t xml:space="preserve">T1</x:t>
        </x:is>
      </x:c>
      <x:c r="D344" s="3" t="inlineStr">
        <x:is>
          <x:t xml:space="preserve">8. Reporting &amp; Metrics</x:t>
        </x:is>
      </x:c>
      <x:c r="E344" s="3" t="inlineStr">
        <x:is>
          <x:t xml:space="preserve">G</x:t>
        </x:is>
      </x:c>
      <x:c r="F344" s="3" t="n">
        <x:v>0.5</x:v>
      </x:c>
      <x:c r="G344" s="3" t="inlineStr">
        <x:is>
          <x:t xml:space="preserve">H</x:t>
        </x:is>
      </x:c>
      <x:c r="H344" s="3" t="n">
        <x:v>0.5</x:v>
      </x:c>
      <x:c r="I344" s="3" t="inlineStr">
        <x:is>
          <x:t xml:space="preserve">What does HR report to leadership about the people-side of insider risk (themes, training, reporting culture) in a way that supports trust?</x:t>
        </x:is>
      </x:c>
      <x:c r="J344" s="3" t="inlineStr">
        <x:is>
          <x:t xml:space="preserve">Aggregated and privacy-safe: focus on themes + improvement actions.</x:t>
        </x:is>
      </x:c>
      <x:c r="K344" s="3" t="inlineStr">
        <x:is>
          <x:t xml:space="preserve">Gatekeeper (If BaseScore &lt;2 → HR-D8-Q28; If ≥2 → HR-D8-Q29)</x:t>
        </x:is>
      </x:c>
      <x:c r="L344" s="3" t="inlineStr">
        <x:is>
          <x:t xml:space="preserve">GOV_STD</x:t>
        </x:is>
      </x:c>
      <x:c r="M344" s="3" t="n">
        <x:v>1</x:v>
      </x:c>
      <x:c r="N344" s="3" t="n"/>
      <x:c r="O344" s="3" t="n"/>
      <x:c r="P344" s="3" t="inlineStr">
        <x:is>
          <x:t xml:space="preserve">HR-D8-Q27-A1</x:t>
        </x:is>
      </x:c>
      <x:c r="Q344" s="3" t="n">
        <x:v>2</x:v>
      </x:c>
      <x:c r="R344" s="3" t="inlineStr">
        <x:is>
          <x:t xml:space="preserve">None: HR does not report on these topics.</x:t>
        </x:is>
      </x:c>
      <x:c r="S344" s="3" t="n">
        <x:v>0</x:v>
      </x:c>
      <x:c r="T344" s="3" t="inlineStr">
        <x:is>
          <x:t xml:space="preserve">paper_dragon_signal</x:t>
        </x:is>
      </x:c>
      <x:c r="U344" s="3" t="inlineStr">
        <x:is>
          <x:t xml:space="preserve">Paper Dragon</x:t>
        </x:is>
      </x:c>
      <x:c r="V344" s="3" t="inlineStr">
        <x:is>
          <x:t xml:space="preserve">Introduce leadership reporting</x:t>
        </x:is>
      </x:c>
      <x:c r="W344" s="3" t="inlineStr">
        <x:is>
          <x:t xml:space="preserve">N</x:t>
        </x:is>
      </x:c>
      <x:c r="X344" s="3" t="inlineStr">
        <x:is>
          <x:t xml:space="preserve"/>
        </x:is>
      </x:c>
      <x:c r="Y344" s="6">
        <x:f>(S344*IF(E344="G",F344,0))+(S344*IF(G344="G",H344,0))</x:f>
      </x:c>
      <x:c r="Z344" s="6">
        <x:f>(S344*IF(E344="E",F344,0))+(S344*IF(G344="E",H344,0))</x:f>
      </x:c>
      <x:c r="AA344" s="6">
        <x:f>(S344*IF(E344="T",F344,0))+(S344*IF(G344="T",H344,0))</x:f>
      </x:c>
      <x:c r="AB344" s="6">
        <x:f>(S344*IF(E344="L",F344,0))+(S344*IF(G344="L",H344,0))</x:f>
      </x:c>
      <x:c r="AC344" s="6">
        <x:f>(S344*IF(E344="H",F344,0))+(S344*IF(G344="H",H344,0))</x:f>
      </x:c>
      <x:c r="AD344" s="6">
        <x:f>(S344*IF(E344="V",F344,0))+(S344*IF(G344="V",H344,0))</x:f>
      </x:c>
      <x:c r="AE344" s="6">
        <x:f>(S344*IF(E344="R",F344,0))+(S344*IF(G344="R",H344,0))</x:f>
      </x:c>
      <x:c r="AF344" s="6">
        <x:f>(S344*IF(E344="F",F344,0))+(S344*IF(G344="F",H344,0))</x:f>
      </x:c>
      <x:c r="AG344" s="6">
        <x:f>(S344*IF(E344="W",F344,0))+(S344*IF(G344="W",H344,0))</x:f>
      </x:c>
    </x:row>
    <x:row r="345">
      <x:c r="A345" s="3" t="inlineStr">
        <x:is>
          <x:t xml:space="preserve">HR</x:t>
        </x:is>
      </x:c>
      <x:c r="B345" s="3" t="inlineStr">
        <x:is>
          <x:t xml:space="preserve">HR-D8-Q27</x:t>
        </x:is>
      </x:c>
      <x:c r="C345" s="3" t="inlineStr">
        <x:is>
          <x:t xml:space="preserve">T1</x:t>
        </x:is>
      </x:c>
      <x:c r="D345" s="3" t="inlineStr">
        <x:is>
          <x:t xml:space="preserve">8. Reporting &amp; Metrics</x:t>
        </x:is>
      </x:c>
      <x:c r="E345" s="3" t="inlineStr">
        <x:is>
          <x:t xml:space="preserve">G</x:t>
        </x:is>
      </x:c>
      <x:c r="F345" s="3" t="n">
        <x:v>0.5</x:v>
      </x:c>
      <x:c r="G345" s="3" t="inlineStr">
        <x:is>
          <x:t xml:space="preserve">H</x:t>
        </x:is>
      </x:c>
      <x:c r="H345" s="3" t="n">
        <x:v>0.5</x:v>
      </x:c>
      <x:c r="I345" s="3" t="inlineStr">
        <x:is>
          <x:t xml:space="preserve">What does HR report to leadership about the people-side of insider risk (themes, training, reporting culture) in a way that supports trust?</x:t>
        </x:is>
      </x:c>
      <x:c r="J345" s="3" t="inlineStr">
        <x:is>
          <x:t xml:space="preserve">Aggregated and privacy-safe: focus on themes + improvement actions.</x:t>
        </x:is>
      </x:c>
      <x:c r="K345" s="3" t="inlineStr">
        <x:is>
          <x:t xml:space="preserve">Gatekeeper (If BaseScore &lt;2 → HR-D8-Q28; If ≥2 → HR-D8-Q29)</x:t>
        </x:is>
      </x:c>
      <x:c r="L345" s="3" t="inlineStr">
        <x:is>
          <x:t xml:space="preserve">GOV_STD</x:t>
        </x:is>
      </x:c>
      <x:c r="M345" s="3" t="n">
        <x:v>1</x:v>
      </x:c>
      <x:c r="N345" s="3" t="n"/>
      <x:c r="O345" s="3" t="n"/>
      <x:c r="P345" s="3" t="inlineStr">
        <x:is>
          <x:t xml:space="preserve">HR-D8-Q27-A2</x:t>
        </x:is>
      </x:c>
      <x:c r="Q345" s="3" t="n">
        <x:v>3</x:v>
      </x:c>
      <x:c r="R345" s="3" t="inlineStr">
        <x:is>
          <x:t xml:space="preserve">Ad-hoc: only after incidents or external pressure.</x:t>
        </x:is>
      </x:c>
      <x:c r="S345" s="3" t="n">
        <x:v>1</x:v>
      </x:c>
      <x:c r="T345" s="3" t="inlineStr">
        <x:is>
          <x:t xml:space="preserve">control_lag</x:t>
        </x:is>
      </x:c>
      <x:c r="U345" s="3" t="inlineStr">
        <x:is>
          <x:t xml:space="preserve">Control Lag</x:t>
        </x:is>
      </x:c>
      <x:c r="V345" s="3" t="inlineStr">
        <x:is>
          <x:t xml:space="preserve">Create regular cadence</x:t>
        </x:is>
      </x:c>
      <x:c r="W345" s="3" t="inlineStr">
        <x:is>
          <x:t xml:space="preserve">N</x:t>
        </x:is>
      </x:c>
      <x:c r="X345" s="3" t="inlineStr">
        <x:is>
          <x:t xml:space="preserve"/>
        </x:is>
      </x:c>
      <x:c r="Y345" s="6">
        <x:f>(S345*IF(E345="G",F345,0))+(S345*IF(G345="G",H345,0))</x:f>
      </x:c>
      <x:c r="Z345" s="6">
        <x:f>(S345*IF(E345="E",F345,0))+(S345*IF(G345="E",H345,0))</x:f>
      </x:c>
      <x:c r="AA345" s="6">
        <x:f>(S345*IF(E345="T",F345,0))+(S345*IF(G345="T",H345,0))</x:f>
      </x:c>
      <x:c r="AB345" s="6">
        <x:f>(S345*IF(E345="L",F345,0))+(S345*IF(G345="L",H345,0))</x:f>
      </x:c>
      <x:c r="AC345" s="6">
        <x:f>(S345*IF(E345="H",F345,0))+(S345*IF(G345="H",H345,0))</x:f>
      </x:c>
      <x:c r="AD345" s="6">
        <x:f>(S345*IF(E345="V",F345,0))+(S345*IF(G345="V",H345,0))</x:f>
      </x:c>
      <x:c r="AE345" s="6">
        <x:f>(S345*IF(E345="R",F345,0))+(S345*IF(G345="R",H345,0))</x:f>
      </x:c>
      <x:c r="AF345" s="6">
        <x:f>(S345*IF(E345="F",F345,0))+(S345*IF(G345="F",H345,0))</x:f>
      </x:c>
      <x:c r="AG345" s="6">
        <x:f>(S345*IF(E345="W",F345,0))+(S345*IF(G345="W",H345,0))</x:f>
      </x:c>
    </x:row>
    <x:row r="346">
      <x:c r="A346" s="3" t="inlineStr">
        <x:is>
          <x:t xml:space="preserve">HR</x:t>
        </x:is>
      </x:c>
      <x:c r="B346" s="3" t="inlineStr">
        <x:is>
          <x:t xml:space="preserve">HR-D8-Q27</x:t>
        </x:is>
      </x:c>
      <x:c r="C346" s="3" t="inlineStr">
        <x:is>
          <x:t xml:space="preserve">T1</x:t>
        </x:is>
      </x:c>
      <x:c r="D346" s="3" t="inlineStr">
        <x:is>
          <x:t xml:space="preserve">8. Reporting &amp; Metrics</x:t>
        </x:is>
      </x:c>
      <x:c r="E346" s="3" t="inlineStr">
        <x:is>
          <x:t xml:space="preserve">G</x:t>
        </x:is>
      </x:c>
      <x:c r="F346" s="3" t="n">
        <x:v>0.5</x:v>
      </x:c>
      <x:c r="G346" s="3" t="inlineStr">
        <x:is>
          <x:t xml:space="preserve">H</x:t>
        </x:is>
      </x:c>
      <x:c r="H346" s="3" t="n">
        <x:v>0.5</x:v>
      </x:c>
      <x:c r="I346" s="3" t="inlineStr">
        <x:is>
          <x:t xml:space="preserve">What does HR report to leadership about the people-side of insider risk (themes, training, reporting culture) in a way that supports trust?</x:t>
        </x:is>
      </x:c>
      <x:c r="J346" s="3" t="inlineStr">
        <x:is>
          <x:t xml:space="preserve">Aggregated and privacy-safe: focus on themes + improvement actions.</x:t>
        </x:is>
      </x:c>
      <x:c r="K346" s="3" t="inlineStr">
        <x:is>
          <x:t xml:space="preserve">Gatekeeper (If BaseScore &lt;2 → HR-D8-Q28; If ≥2 → HR-D8-Q29)</x:t>
        </x:is>
      </x:c>
      <x:c r="L346" s="3" t="inlineStr">
        <x:is>
          <x:t xml:space="preserve">GOV_STD</x:t>
        </x:is>
      </x:c>
      <x:c r="M346" s="3" t="n">
        <x:v>1</x:v>
      </x:c>
      <x:c r="N346" s="3" t="n"/>
      <x:c r="O346" s="3" t="n"/>
      <x:c r="P346" s="3" t="inlineStr">
        <x:is>
          <x:t xml:space="preserve">HR-D8-Q27-A3</x:t>
        </x:is>
      </x:c>
      <x:c r="Q346" s="3" t="n">
        <x:v>4</x:v>
      </x:c>
      <x:c r="R346" s="3" t="inlineStr">
        <x:is>
          <x:t xml:space="preserve">Basic: occasional updates on policy/training; limited on culture/themes.</x:t>
        </x:is>
      </x:c>
      <x:c r="S346" s="3" t="n">
        <x:v>2</x:v>
      </x:c>
      <x:c r="T346" s="3" t="inlineStr">
        <x:is>
          <x:t xml:space="preserve"/>
        </x:is>
      </x:c>
      <x:c r="U346" s="3" t="inlineStr">
        <x:is>
          <x:t xml:space="preserve">Operating Model Gap</x:t>
        </x:is>
      </x:c>
      <x:c r="V346" s="3" t="inlineStr">
        <x:is>
          <x:t xml:space="preserve">Expand to themes + actions</x:t>
        </x:is>
      </x:c>
      <x:c r="W346" s="3" t="inlineStr">
        <x:is>
          <x:t xml:space="preserve">N</x:t>
        </x:is>
      </x:c>
      <x:c r="X346" s="3" t="inlineStr">
        <x:is>
          <x:t xml:space="preserve">Evidence: slide pack example.</x:t>
        </x:is>
      </x:c>
      <x:c r="Y346" s="6">
        <x:f>(S346*IF(E346="G",F346,0))+(S346*IF(G346="G",H346,0))</x:f>
      </x:c>
      <x:c r="Z346" s="6">
        <x:f>(S346*IF(E346="E",F346,0))+(S346*IF(G346="E",H346,0))</x:f>
      </x:c>
      <x:c r="AA346" s="6">
        <x:f>(S346*IF(E346="T",F346,0))+(S346*IF(G346="T",H346,0))</x:f>
      </x:c>
      <x:c r="AB346" s="6">
        <x:f>(S346*IF(E346="L",F346,0))+(S346*IF(G346="L",H346,0))</x:f>
      </x:c>
      <x:c r="AC346" s="6">
        <x:f>(S346*IF(E346="H",F346,0))+(S346*IF(G346="H",H346,0))</x:f>
      </x:c>
      <x:c r="AD346" s="6">
        <x:f>(S346*IF(E346="V",F346,0))+(S346*IF(G346="V",H346,0))</x:f>
      </x:c>
      <x:c r="AE346" s="6">
        <x:f>(S346*IF(E346="R",F346,0))+(S346*IF(G346="R",H346,0))</x:f>
      </x:c>
      <x:c r="AF346" s="6">
        <x:f>(S346*IF(E346="F",F346,0))+(S346*IF(G346="F",H346,0))</x:f>
      </x:c>
      <x:c r="AG346" s="6">
        <x:f>(S346*IF(E346="W",F346,0))+(S346*IF(G346="W",H346,0))</x:f>
      </x:c>
    </x:row>
    <x:row r="347">
      <x:c r="A347" s="3" t="inlineStr">
        <x:is>
          <x:t xml:space="preserve">HR</x:t>
        </x:is>
      </x:c>
      <x:c r="B347" s="3" t="inlineStr">
        <x:is>
          <x:t xml:space="preserve">HR-D8-Q27</x:t>
        </x:is>
      </x:c>
      <x:c r="C347" s="3" t="inlineStr">
        <x:is>
          <x:t xml:space="preserve">T1</x:t>
        </x:is>
      </x:c>
      <x:c r="D347" s="3" t="inlineStr">
        <x:is>
          <x:t xml:space="preserve">8. Reporting &amp; Metrics</x:t>
        </x:is>
      </x:c>
      <x:c r="E347" s="3" t="inlineStr">
        <x:is>
          <x:t xml:space="preserve">G</x:t>
        </x:is>
      </x:c>
      <x:c r="F347" s="3" t="n">
        <x:v>0.5</x:v>
      </x:c>
      <x:c r="G347" s="3" t="inlineStr">
        <x:is>
          <x:t xml:space="preserve">H</x:t>
        </x:is>
      </x:c>
      <x:c r="H347" s="3" t="n">
        <x:v>0.5</x:v>
      </x:c>
      <x:c r="I347" s="3" t="inlineStr">
        <x:is>
          <x:t xml:space="preserve">What does HR report to leadership about the people-side of insider risk (themes, training, reporting culture) in a way that supports trust?</x:t>
        </x:is>
      </x:c>
      <x:c r="J347" s="3" t="inlineStr">
        <x:is>
          <x:t xml:space="preserve">Aggregated and privacy-safe: focus on themes + improvement actions.</x:t>
        </x:is>
      </x:c>
      <x:c r="K347" s="3" t="inlineStr">
        <x:is>
          <x:t xml:space="preserve">Gatekeeper (If BaseScore &lt;2 → HR-D8-Q28; If ≥2 → HR-D8-Q29)</x:t>
        </x:is>
      </x:c>
      <x:c r="L347" s="3" t="inlineStr">
        <x:is>
          <x:t xml:space="preserve">GOV_STD</x:t>
        </x:is>
      </x:c>
      <x:c r="M347" s="3" t="n">
        <x:v>1</x:v>
      </x:c>
      <x:c r="N347" s="3" t="n"/>
      <x:c r="O347" s="3" t="n"/>
      <x:c r="P347" s="3" t="inlineStr">
        <x:is>
          <x:t xml:space="preserve">HR-D8-Q27-A4</x:t>
        </x:is>
      </x:c>
      <x:c r="Q347" s="3" t="n">
        <x:v>5</x:v>
      </x:c>
      <x:c r="R347" s="3" t="inlineStr">
        <x:is>
          <x:t xml:space="preserve">Managed: quarterly dashboards covering culture, retaliation, and improvement actions.</x:t>
        </x:is>
      </x:c>
      <x:c r="S347" s="3" t="n">
        <x:v>3</x:v>
      </x:c>
      <x:c r="T347" s="3" t="inlineStr">
        <x:is>
          <x:t xml:space="preserve"/>
        </x:is>
      </x:c>
      <x:c r="U347" s="3" t="inlineStr">
        <x:is>
          <x:t xml:space="preserve">Operating Model Gap</x:t>
        </x:is>
      </x:c>
      <x:c r="V347" s="3" t="inlineStr">
        <x:is>
          <x:t xml:space="preserve">Maintain and improve</x:t>
        </x:is>
      </x:c>
      <x:c r="W347" s="3" t="inlineStr">
        <x:is>
          <x:t xml:space="preserve">N</x:t>
        </x:is>
      </x:c>
      <x:c r="X347" s="3" t="inlineStr">
        <x:is>
          <x:t xml:space="preserve">Evidence: KPI dashboard.</x:t>
        </x:is>
      </x:c>
      <x:c r="Y347" s="6">
        <x:f>(S347*IF(E347="G",F347,0))+(S347*IF(G347="G",H347,0))</x:f>
      </x:c>
      <x:c r="Z347" s="6">
        <x:f>(S347*IF(E347="E",F347,0))+(S347*IF(G347="E",H347,0))</x:f>
      </x:c>
      <x:c r="AA347" s="6">
        <x:f>(S347*IF(E347="T",F347,0))+(S347*IF(G347="T",H347,0))</x:f>
      </x:c>
      <x:c r="AB347" s="6">
        <x:f>(S347*IF(E347="L",F347,0))+(S347*IF(G347="L",H347,0))</x:f>
      </x:c>
      <x:c r="AC347" s="6">
        <x:f>(S347*IF(E347="H",F347,0))+(S347*IF(G347="H",H347,0))</x:f>
      </x:c>
      <x:c r="AD347" s="6">
        <x:f>(S347*IF(E347="V",F347,0))+(S347*IF(G347="V",H347,0))</x:f>
      </x:c>
      <x:c r="AE347" s="6">
        <x:f>(S347*IF(E347="R",F347,0))+(S347*IF(G347="R",H347,0))</x:f>
      </x:c>
      <x:c r="AF347" s="6">
        <x:f>(S347*IF(E347="F",F347,0))+(S347*IF(G347="F",H347,0))</x:f>
      </x:c>
      <x:c r="AG347" s="6">
        <x:f>(S347*IF(E347="W",F347,0))+(S347*IF(G347="W",H347,0))</x:f>
      </x:c>
    </x:row>
    <x:row r="348">
      <x:c r="A348" s="3" t="inlineStr">
        <x:is>
          <x:t xml:space="preserve">HR</x:t>
        </x:is>
      </x:c>
      <x:c r="B348" s="3" t="inlineStr">
        <x:is>
          <x:t xml:space="preserve">HR-D8-Q27</x:t>
        </x:is>
      </x:c>
      <x:c r="C348" s="3" t="inlineStr">
        <x:is>
          <x:t xml:space="preserve">T1</x:t>
        </x:is>
      </x:c>
      <x:c r="D348" s="3" t="inlineStr">
        <x:is>
          <x:t xml:space="preserve">8. Reporting &amp; Metrics</x:t>
        </x:is>
      </x:c>
      <x:c r="E348" s="3" t="inlineStr">
        <x:is>
          <x:t xml:space="preserve">G</x:t>
        </x:is>
      </x:c>
      <x:c r="F348" s="3" t="n">
        <x:v>0.5</x:v>
      </x:c>
      <x:c r="G348" s="3" t="inlineStr">
        <x:is>
          <x:t xml:space="preserve">H</x:t>
        </x:is>
      </x:c>
      <x:c r="H348" s="3" t="n">
        <x:v>0.5</x:v>
      </x:c>
      <x:c r="I348" s="3" t="inlineStr">
        <x:is>
          <x:t xml:space="preserve">What does HR report to leadership about the people-side of insider risk (themes, training, reporting culture) in a way that supports trust?</x:t>
        </x:is>
      </x:c>
      <x:c r="J348" s="3" t="inlineStr">
        <x:is>
          <x:t xml:space="preserve">Aggregated and privacy-safe: focus on themes + improvement actions.</x:t>
        </x:is>
      </x:c>
      <x:c r="K348" s="3" t="inlineStr">
        <x:is>
          <x:t xml:space="preserve">Gatekeeper (If BaseScore &lt;2 → HR-D8-Q28; If ≥2 → HR-D8-Q29)</x:t>
        </x:is>
      </x:c>
      <x:c r="L348" s="3" t="inlineStr">
        <x:is>
          <x:t xml:space="preserve">GOV_STD</x:t>
        </x:is>
      </x:c>
      <x:c r="M348" s="3" t="n">
        <x:v>1</x:v>
      </x:c>
      <x:c r="N348" s="3" t="n"/>
      <x:c r="O348" s="3" t="n"/>
      <x:c r="P348" s="3" t="inlineStr">
        <x:is>
          <x:t xml:space="preserve">HR-D8-Q27-A5</x:t>
        </x:is>
      </x:c>
      <x:c r="Q348" s="3" t="n">
        <x:v>6</x:v>
      </x:c>
      <x:c r="R348" s="3" t="inlineStr">
        <x:is>
          <x:t xml:space="preserve">Optimized: trends + leading indicators tracked and linked to outcomes.</x:t>
        </x:is>
      </x:c>
      <x:c r="S348" s="3" t="n">
        <x:v>4</x:v>
      </x:c>
      <x:c r="T348" s="3" t="inlineStr">
        <x:is>
          <x:t xml:space="preserve"/>
        </x:is>
      </x:c>
      <x:c r="U348" s="3" t="inlineStr">
        <x:is>
          <x:t xml:space="preserve">Culture Risk</x:t>
        </x:is>
      </x:c>
      <x:c r="V348" s="3" t="inlineStr">
        <x:is>
          <x:t xml:space="preserve">Maintain maturity</x:t>
        </x:is>
      </x:c>
      <x:c r="W348" s="3" t="inlineStr">
        <x:is>
          <x:t xml:space="preserve">N</x:t>
        </x:is>
      </x:c>
      <x:c r="X348" s="3" t="inlineStr">
        <x:is>
          <x:t xml:space="preserve">Evidence: trend charts + outcomes.</x:t>
        </x:is>
      </x:c>
      <x:c r="Y348" s="6">
        <x:f>(S348*IF(E348="G",F348,0))+(S348*IF(G348="G",H348,0))</x:f>
      </x:c>
      <x:c r="Z348" s="6">
        <x:f>(S348*IF(E348="E",F348,0))+(S348*IF(G348="E",H348,0))</x:f>
      </x:c>
      <x:c r="AA348" s="6">
        <x:f>(S348*IF(E348="T",F348,0))+(S348*IF(G348="T",H348,0))</x:f>
      </x:c>
      <x:c r="AB348" s="6">
        <x:f>(S348*IF(E348="L",F348,0))+(S348*IF(G348="L",H348,0))</x:f>
      </x:c>
      <x:c r="AC348" s="6">
        <x:f>(S348*IF(E348="H",F348,0))+(S348*IF(G348="H",H348,0))</x:f>
      </x:c>
      <x:c r="AD348" s="6">
        <x:f>(S348*IF(E348="V",F348,0))+(S348*IF(G348="V",H348,0))</x:f>
      </x:c>
      <x:c r="AE348" s="6">
        <x:f>(S348*IF(E348="R",F348,0))+(S348*IF(G348="R",H348,0))</x:f>
      </x:c>
      <x:c r="AF348" s="6">
        <x:f>(S348*IF(E348="F",F348,0))+(S348*IF(G348="F",H348,0))</x:f>
      </x:c>
      <x:c r="AG348" s="6">
        <x:f>(S348*IF(E348="W",F348,0))+(S348*IF(G348="W",H348,0))</x:f>
      </x:c>
    </x:row>
    <x:row r="349">
      <x:c r="A349" s="3" t="inlineStr">
        <x:is>
          <x:t xml:space="preserve">HR</x:t>
        </x:is>
      </x:c>
      <x:c r="B349" s="3" t="inlineStr">
        <x:is>
          <x:t xml:space="preserve">HR-D8-Q28</x:t>
        </x:is>
      </x:c>
      <x:c r="C349" s="3" t="inlineStr">
        <x:is>
          <x:t xml:space="preserve">T2</x:t>
        </x:is>
      </x:c>
      <x:c r="D349" s="3" t="inlineStr">
        <x:is>
          <x:t xml:space="preserve">8. Reporting &amp; Metrics</x:t>
        </x:is>
      </x:c>
      <x:c r="E349" s="3" t="inlineStr">
        <x:is>
          <x:t xml:space="preserve">H</x:t>
        </x:is>
      </x:c>
      <x:c r="F349" s="3" t="n">
        <x:v>1</x:v>
      </x:c>
      <x:c r="G349" s="3" t="inlineStr">
        <x:is>
          <x:t xml:space="preserve">-</x:t>
        </x:is>
      </x:c>
      <x:c r="H349" s="3" t="inlineStr">
        <x:is>
          <x:t xml:space="preserve"/>
        </x:is>
      </x:c>
      <x:c r="I349" s="3" t="inlineStr">
        <x:is>
          <x:t xml:space="preserve">(Shadow probe) Do you recognise and track 'near-misses' or early interventions as positive signals (without naming/shaming)?</x:t>
        </x:is>
      </x:c>
      <x:c r="J349" s="3" t="inlineStr">
        <x:is>
          <x:t xml:space="preserve">Near-miss = prevented escalation (e.g., someone flagged risky sharing).</x:t>
        </x:is>
      </x:c>
      <x:c r="K349" s="3" t="inlineStr">
        <x:is>
          <x:t xml:space="preserve">Shadow fallback (Then → END)</x:t>
        </x:is>
      </x:c>
      <x:c r="L349" s="3" t="inlineStr">
        <x:is>
          <x:t xml:space="preserve">CULT_SOFT</x:t>
        </x:is>
      </x:c>
      <x:c r="M349" s="3" t="n">
        <x:v>1</x:v>
      </x:c>
      <x:c r="N349" s="3" t="n"/>
      <x:c r="O349" s="3" t="n"/>
      <x:c r="P349" s="3" t="inlineStr">
        <x:is>
          <x:t xml:space="preserve">HR-D8-Q28-A1</x:t>
        </x:is>
      </x:c>
      <x:c r="Q349" s="3" t="n">
        <x:v>1</x:v>
      </x:c>
      <x:c r="R349" s="3" t="inlineStr">
        <x:is>
          <x:t xml:space="preserve">No: only serious cases or formal complaints are tracked.</x:t>
        </x:is>
      </x:c>
      <x:c r="S349" s="3" t="n">
        <x:v>0</x:v>
      </x:c>
      <x:c r="T349" s="3" t="inlineStr">
        <x:is>
          <x:t xml:space="preserve">paper_dragon_signal</x:t>
        </x:is>
      </x:c>
      <x:c r="U349" s="3" t="inlineStr">
        <x:is>
          <x:t xml:space="preserve">Paper Dragon</x:t>
        </x:is>
      </x:c>
      <x:c r="V349" s="3" t="inlineStr">
        <x:is>
          <x:t xml:space="preserve">Add near-miss learning loop</x:t>
        </x:is>
      </x:c>
      <x:c r="W349" s="3" t="inlineStr">
        <x:is>
          <x:t xml:space="preserve">N</x:t>
        </x:is>
      </x:c>
      <x:c r="X349" s="3" t="inlineStr">
        <x:is>
          <x:t xml:space="preserve"/>
        </x:is>
      </x:c>
      <x:c r="Y349" s="6">
        <x:f>(S349*IF(E349="G",F349,0))+(S349*IF(G349="G",H349,0))</x:f>
      </x:c>
      <x:c r="Z349" s="6">
        <x:f>(S349*IF(E349="E",F349,0))+(S349*IF(G349="E",H349,0))</x:f>
      </x:c>
      <x:c r="AA349" s="6">
        <x:f>(S349*IF(E349="T",F349,0))+(S349*IF(G349="T",H349,0))</x:f>
      </x:c>
      <x:c r="AB349" s="6">
        <x:f>(S349*IF(E349="L",F349,0))+(S349*IF(G349="L",H349,0))</x:f>
      </x:c>
      <x:c r="AC349" s="6">
        <x:f>(S349*IF(E349="H",F349,0))+(S349*IF(G349="H",H349,0))</x:f>
      </x:c>
      <x:c r="AD349" s="6">
        <x:f>(S349*IF(E349="V",F349,0))+(S349*IF(G349="V",H349,0))</x:f>
      </x:c>
      <x:c r="AE349" s="6">
        <x:f>(S349*IF(E349="R",F349,0))+(S349*IF(G349="R",H349,0))</x:f>
      </x:c>
      <x:c r="AF349" s="6">
        <x:f>(S349*IF(E349="F",F349,0))+(S349*IF(G349="F",H349,0))</x:f>
      </x:c>
      <x:c r="AG349" s="6">
        <x:f>(S349*IF(E349="W",F349,0))+(S349*IF(G349="W",H349,0))</x:f>
      </x:c>
    </x:row>
    <x:row r="350">
      <x:c r="A350" s="3" t="inlineStr">
        <x:is>
          <x:t xml:space="preserve">HR</x:t>
        </x:is>
      </x:c>
      <x:c r="B350" s="3" t="inlineStr">
        <x:is>
          <x:t xml:space="preserve">HR-D8-Q28</x:t>
        </x:is>
      </x:c>
      <x:c r="C350" s="3" t="inlineStr">
        <x:is>
          <x:t xml:space="preserve">T2</x:t>
        </x:is>
      </x:c>
      <x:c r="D350" s="3" t="inlineStr">
        <x:is>
          <x:t xml:space="preserve">8. Reporting &amp; Metrics</x:t>
        </x:is>
      </x:c>
      <x:c r="E350" s="3" t="inlineStr">
        <x:is>
          <x:t xml:space="preserve">H</x:t>
        </x:is>
      </x:c>
      <x:c r="F350" s="3" t="n">
        <x:v>1</x:v>
      </x:c>
      <x:c r="G350" s="3" t="inlineStr">
        <x:is>
          <x:t xml:space="preserve">-</x:t>
        </x:is>
      </x:c>
      <x:c r="H350" s="3" t="inlineStr">
        <x:is>
          <x:t xml:space="preserve"/>
        </x:is>
      </x:c>
      <x:c r="I350" s="3" t="inlineStr">
        <x:is>
          <x:t xml:space="preserve">(Shadow probe) Do you recognise and track 'near-misses' or early interventions as positive signals (without naming/shaming)?</x:t>
        </x:is>
      </x:c>
      <x:c r="J350" s="3" t="inlineStr">
        <x:is>
          <x:t xml:space="preserve">Near-miss = prevented escalation (e.g., someone flagged risky sharing).</x:t>
        </x:is>
      </x:c>
      <x:c r="K350" s="3" t="inlineStr">
        <x:is>
          <x:t xml:space="preserve">Shadow fallback (Then → END)</x:t>
        </x:is>
      </x:c>
      <x:c r="L350" s="3" t="inlineStr">
        <x:is>
          <x:t xml:space="preserve">CULT_SOFT</x:t>
        </x:is>
      </x:c>
      <x:c r="M350" s="3" t="n">
        <x:v>1</x:v>
      </x:c>
      <x:c r="N350" s="3" t="n"/>
      <x:c r="O350" s="3" t="n"/>
      <x:c r="P350" s="3" t="inlineStr">
        <x:is>
          <x:t xml:space="preserve">HR-D8-Q28-A2</x:t>
        </x:is>
      </x:c>
      <x:c r="Q350" s="3" t="n">
        <x:v>2</x:v>
      </x:c>
      <x:c r="R350" s="3" t="inlineStr">
        <x:is>
          <x:t xml:space="preserve">Informal: talked about, but nothing tracked.</x:t>
        </x:is>
      </x:c>
      <x:c r="S350" s="3" t="n">
        <x:v>1</x:v>
      </x:c>
      <x:c r="T350" s="3" t="inlineStr">
        <x:is>
          <x:t xml:space="preserve">shadow_mature_signal</x:t>
        </x:is>
      </x:c>
      <x:c r="U350" s="3" t="inlineStr">
        <x:is>
          <x:t xml:space="preserve">Culture Risk</x:t>
        </x:is>
      </x:c>
      <x:c r="V350" s="3" t="inlineStr">
        <x:is>
          <x:t xml:space="preserve">Create privacy-safe tracking</x:t>
        </x:is>
      </x:c>
      <x:c r="W350" s="3" t="inlineStr">
        <x:is>
          <x:t xml:space="preserve">N</x:t>
        </x:is>
      </x:c>
      <x:c r="X350" s="3" t="inlineStr">
        <x:is>
          <x:t xml:space="preserve"/>
        </x:is>
      </x:c>
      <x:c r="Y350" s="6">
        <x:f>(S350*IF(E350="G",F350,0))+(S350*IF(G350="G",H350,0))</x:f>
      </x:c>
      <x:c r="Z350" s="6">
        <x:f>(S350*IF(E350="E",F350,0))+(S350*IF(G350="E",H350,0))</x:f>
      </x:c>
      <x:c r="AA350" s="6">
        <x:f>(S350*IF(E350="T",F350,0))+(S350*IF(G350="T",H350,0))</x:f>
      </x:c>
      <x:c r="AB350" s="6">
        <x:f>(S350*IF(E350="L",F350,0))+(S350*IF(G350="L",H350,0))</x:f>
      </x:c>
      <x:c r="AC350" s="6">
        <x:f>(S350*IF(E350="H",F350,0))+(S350*IF(G350="H",H350,0))</x:f>
      </x:c>
      <x:c r="AD350" s="6">
        <x:f>(S350*IF(E350="V",F350,0))+(S350*IF(G350="V",H350,0))</x:f>
      </x:c>
      <x:c r="AE350" s="6">
        <x:f>(S350*IF(E350="R",F350,0))+(S350*IF(G350="R",H350,0))</x:f>
      </x:c>
      <x:c r="AF350" s="6">
        <x:f>(S350*IF(E350="F",F350,0))+(S350*IF(G350="F",H350,0))</x:f>
      </x:c>
      <x:c r="AG350" s="6">
        <x:f>(S350*IF(E350="W",F350,0))+(S350*IF(G350="W",H350,0))</x:f>
      </x:c>
    </x:row>
    <x:row r="351">
      <x:c r="A351" s="3" t="inlineStr">
        <x:is>
          <x:t xml:space="preserve">HR</x:t>
        </x:is>
      </x:c>
      <x:c r="B351" s="3" t="inlineStr">
        <x:is>
          <x:t xml:space="preserve">HR-D8-Q28</x:t>
        </x:is>
      </x:c>
      <x:c r="C351" s="3" t="inlineStr">
        <x:is>
          <x:t xml:space="preserve">T2</x:t>
        </x:is>
      </x:c>
      <x:c r="D351" s="3" t="inlineStr">
        <x:is>
          <x:t xml:space="preserve">8. Reporting &amp; Metrics</x:t>
        </x:is>
      </x:c>
      <x:c r="E351" s="3" t="inlineStr">
        <x:is>
          <x:t xml:space="preserve">H</x:t>
        </x:is>
      </x:c>
      <x:c r="F351" s="3" t="n">
        <x:v>1</x:v>
      </x:c>
      <x:c r="G351" s="3" t="inlineStr">
        <x:is>
          <x:t xml:space="preserve">-</x:t>
        </x:is>
      </x:c>
      <x:c r="H351" s="3" t="inlineStr">
        <x:is>
          <x:t xml:space="preserve"/>
        </x:is>
      </x:c>
      <x:c r="I351" s="3" t="inlineStr">
        <x:is>
          <x:t xml:space="preserve">(Shadow probe) Do you recognise and track 'near-misses' or early interventions as positive signals (without naming/shaming)?</x:t>
        </x:is>
      </x:c>
      <x:c r="J351" s="3" t="inlineStr">
        <x:is>
          <x:t xml:space="preserve">Near-miss = prevented escalation (e.g., someone flagged risky sharing).</x:t>
        </x:is>
      </x:c>
      <x:c r="K351" s="3" t="inlineStr">
        <x:is>
          <x:t xml:space="preserve">Shadow fallback (Then → END)</x:t>
        </x:is>
      </x:c>
      <x:c r="L351" s="3" t="inlineStr">
        <x:is>
          <x:t xml:space="preserve">CULT_SOFT</x:t>
        </x:is>
      </x:c>
      <x:c r="M351" s="3" t="n">
        <x:v>1</x:v>
      </x:c>
      <x:c r="N351" s="3" t="n"/>
      <x:c r="O351" s="3" t="n"/>
      <x:c r="P351" s="3" t="inlineStr">
        <x:is>
          <x:t xml:space="preserve">HR-D8-Q28-A3</x:t>
        </x:is>
      </x:c>
      <x:c r="Q351" s="3" t="n">
        <x:v>3</x:v>
      </x:c>
      <x:c r="R351" s="3" t="inlineStr">
        <x:is>
          <x:t xml:space="preserve">Sometimes tracked in aggregate; used for learning/training.</x:t>
        </x:is>
      </x:c>
      <x:c r="S351" s="3" t="n">
        <x:v>2</x:v>
      </x:c>
      <x:c r="T351" s="3" t="inlineStr">
        <x:is>
          <x:t xml:space="preserve"/>
        </x:is>
      </x:c>
      <x:c r="U351" s="3" t="inlineStr">
        <x:is>
          <x:t xml:space="preserve">Culture Risk</x:t>
        </x:is>
      </x:c>
      <x:c r="V351" s="3" t="inlineStr">
        <x:is>
          <x:t xml:space="preserve">Improve consistency</x:t>
        </x:is>
      </x:c>
      <x:c r="W351" s="3" t="inlineStr">
        <x:is>
          <x:t xml:space="preserve">N</x:t>
        </x:is>
      </x:c>
      <x:c r="X351" s="3" t="inlineStr">
        <x:is>
          <x:t xml:space="preserve">Evidence: anonymized examples.</x:t>
        </x:is>
      </x:c>
      <x:c r="Y351" s="6">
        <x:f>(S351*IF(E351="G",F351,0))+(S351*IF(G351="G",H351,0))</x:f>
      </x:c>
      <x:c r="Z351" s="6">
        <x:f>(S351*IF(E351="E",F351,0))+(S351*IF(G351="E",H351,0))</x:f>
      </x:c>
      <x:c r="AA351" s="6">
        <x:f>(S351*IF(E351="T",F351,0))+(S351*IF(G351="T",H351,0))</x:f>
      </x:c>
      <x:c r="AB351" s="6">
        <x:f>(S351*IF(E351="L",F351,0))+(S351*IF(G351="L",H351,0))</x:f>
      </x:c>
      <x:c r="AC351" s="6">
        <x:f>(S351*IF(E351="H",F351,0))+(S351*IF(G351="H",H351,0))</x:f>
      </x:c>
      <x:c r="AD351" s="6">
        <x:f>(S351*IF(E351="V",F351,0))+(S351*IF(G351="V",H351,0))</x:f>
      </x:c>
      <x:c r="AE351" s="6">
        <x:f>(S351*IF(E351="R",F351,0))+(S351*IF(G351="R",H351,0))</x:f>
      </x:c>
      <x:c r="AF351" s="6">
        <x:f>(S351*IF(E351="F",F351,0))+(S351*IF(G351="F",H351,0))</x:f>
      </x:c>
      <x:c r="AG351" s="6">
        <x:f>(S351*IF(E351="W",F351,0))+(S351*IF(G351="W",H351,0))</x:f>
      </x:c>
    </x:row>
    <x:row r="352">
      <x:c r="A352" s="3" t="inlineStr">
        <x:is>
          <x:t xml:space="preserve">HR</x:t>
        </x:is>
      </x:c>
      <x:c r="B352" s="3" t="inlineStr">
        <x:is>
          <x:t xml:space="preserve">HR-D8-Q28</x:t>
        </x:is>
      </x:c>
      <x:c r="C352" s="3" t="inlineStr">
        <x:is>
          <x:t xml:space="preserve">T2</x:t>
        </x:is>
      </x:c>
      <x:c r="D352" s="3" t="inlineStr">
        <x:is>
          <x:t xml:space="preserve">8. Reporting &amp; Metrics</x:t>
        </x:is>
      </x:c>
      <x:c r="E352" s="3" t="inlineStr">
        <x:is>
          <x:t xml:space="preserve">H</x:t>
        </x:is>
      </x:c>
      <x:c r="F352" s="3" t="n">
        <x:v>1</x:v>
      </x:c>
      <x:c r="G352" s="3" t="inlineStr">
        <x:is>
          <x:t xml:space="preserve">-</x:t>
        </x:is>
      </x:c>
      <x:c r="H352" s="3" t="inlineStr">
        <x:is>
          <x:t xml:space="preserve"/>
        </x:is>
      </x:c>
      <x:c r="I352" s="3" t="inlineStr">
        <x:is>
          <x:t xml:space="preserve">(Shadow probe) Do you recognise and track 'near-misses' or early interventions as positive signals (without naming/shaming)?</x:t>
        </x:is>
      </x:c>
      <x:c r="J352" s="3" t="inlineStr">
        <x:is>
          <x:t xml:space="preserve">Near-miss = prevented escalation (e.g., someone flagged risky sharing).</x:t>
        </x:is>
      </x:c>
      <x:c r="K352" s="3" t="inlineStr">
        <x:is>
          <x:t xml:space="preserve">Shadow fallback (Then → END)</x:t>
        </x:is>
      </x:c>
      <x:c r="L352" s="3" t="inlineStr">
        <x:is>
          <x:t xml:space="preserve">CULT_SOFT</x:t>
        </x:is>
      </x:c>
      <x:c r="M352" s="3" t="n">
        <x:v>1</x:v>
      </x:c>
      <x:c r="N352" s="3" t="n"/>
      <x:c r="O352" s="3" t="n"/>
      <x:c r="P352" s="3" t="inlineStr">
        <x:is>
          <x:t xml:space="preserve">HR-D8-Q28-A4</x:t>
        </x:is>
      </x:c>
      <x:c r="Q352" s="3" t="n">
        <x:v>4</x:v>
      </x:c>
      <x:c r="R352" s="3" t="inlineStr">
        <x:is>
          <x:t xml:space="preserve">Tracked as leading indicators; reinforces positive culture and reduces repeats.</x:t>
        </x:is>
      </x:c>
      <x:c r="S352" s="3" t="n">
        <x:v>3</x:v>
      </x:c>
      <x:c r="T352" s="3" t="inlineStr">
        <x:is>
          <x:t xml:space="preserve"/>
        </x:is>
      </x:c>
      <x:c r="U352" s="3" t="inlineStr">
        <x:is>
          <x:t xml:space="preserve">Culture Risk</x:t>
        </x:is>
      </x:c>
      <x:c r="V352" s="3" t="inlineStr">
        <x:is>
          <x:t xml:space="preserve">Maintain</x:t>
        </x:is>
      </x:c>
      <x:c r="W352" s="3" t="inlineStr">
        <x:is>
          <x:t xml:space="preserve">N</x:t>
        </x:is>
      </x:c>
      <x:c r="X352" s="3" t="inlineStr">
        <x:is>
          <x:t xml:space="preserve">Evidence: dashboard indicator.</x:t>
        </x:is>
      </x:c>
      <x:c r="Y352" s="6">
        <x:f>(S352*IF(E352="G",F352,0))+(S352*IF(G352="G",H352,0))</x:f>
      </x:c>
      <x:c r="Z352" s="6">
        <x:f>(S352*IF(E352="E",F352,0))+(S352*IF(G352="E",H352,0))</x:f>
      </x:c>
      <x:c r="AA352" s="6">
        <x:f>(S352*IF(E352="T",F352,0))+(S352*IF(G352="T",H352,0))</x:f>
      </x:c>
      <x:c r="AB352" s="6">
        <x:f>(S352*IF(E352="L",F352,0))+(S352*IF(G352="L",H352,0))</x:f>
      </x:c>
      <x:c r="AC352" s="6">
        <x:f>(S352*IF(E352="H",F352,0))+(S352*IF(G352="H",H352,0))</x:f>
      </x:c>
      <x:c r="AD352" s="6">
        <x:f>(S352*IF(E352="V",F352,0))+(S352*IF(G352="V",H352,0))</x:f>
      </x:c>
      <x:c r="AE352" s="6">
        <x:f>(S352*IF(E352="R",F352,0))+(S352*IF(G352="R",H352,0))</x:f>
      </x:c>
      <x:c r="AF352" s="6">
        <x:f>(S352*IF(E352="F",F352,0))+(S352*IF(G352="F",H352,0))</x:f>
      </x:c>
      <x:c r="AG352" s="6">
        <x:f>(S352*IF(E352="W",F352,0))+(S352*IF(G352="W",H352,0))</x:f>
      </x:c>
    </x:row>
    <x:row r="353">
      <x:c r="A353" s="3" t="inlineStr">
        <x:is>
          <x:t xml:space="preserve">HR</x:t>
        </x:is>
      </x:c>
      <x:c r="B353" s="3" t="inlineStr">
        <x:is>
          <x:t xml:space="preserve">HR-D8-Q29</x:t>
        </x:is>
      </x:c>
      <x:c r="C353" s="3" t="inlineStr">
        <x:is>
          <x:t xml:space="preserve">T3</x:t>
        </x:is>
      </x:c>
      <x:c r="D353" s="3" t="inlineStr">
        <x:is>
          <x:t xml:space="preserve">8. Reporting &amp; Metrics</x:t>
        </x:is>
      </x:c>
      <x:c r="E353" s="3" t="inlineStr">
        <x:is>
          <x:t xml:space="preserve">E</x:t>
        </x:is>
      </x:c>
      <x:c r="F353" s="3" t="n">
        <x:v>1</x:v>
      </x:c>
      <x:c r="G353" s="3" t="inlineStr">
        <x:is>
          <x:t xml:space="preserve">-</x:t>
        </x:is>
      </x:c>
      <x:c r="H353" s="3" t="inlineStr">
        <x:is>
          <x:t xml:space="preserve"/>
        </x:is>
      </x:c>
      <x:c r="I353" s="3" t="inlineStr">
        <x:is>
          <x:t xml:space="preserve">Do you track timeliness and quality metrics for reports/cases and use them to improve?</x:t>
        </x:is>
      </x:c>
      <x:c r="J353" s="3" t="inlineStr">
        <x:is>
          <x:t xml:space="preserve">Use aggregated metrics only (no personal data).</x:t>
        </x:is>
      </x:c>
      <x:c r="K353" s="3" t="inlineStr">
        <x:is>
          <x:t xml:space="preserve">Business-proofing</x:t>
        </x:is>
      </x:c>
      <x:c r="L353" s="3" t="inlineStr">
        <x:is>
          <x:t xml:space="preserve">OPS_STD</x:t>
        </x:is>
      </x:c>
      <x:c r="M353" s="3" t="n">
        <x:v>1</x:v>
      </x:c>
      <x:c r="N353" s="3" t="n"/>
      <x:c r="O353" s="3" t="n"/>
      <x:c r="P353" s="3" t="inlineStr">
        <x:is>
          <x:t xml:space="preserve">HR-D8-Q29-A1</x:t>
        </x:is>
      </x:c>
      <x:c r="Q353" s="3" t="n">
        <x:v>1</x:v>
      </x:c>
      <x:c r="R353" s="3" t="inlineStr">
        <x:is>
          <x:t xml:space="preserve">No metrics: we can't tell how fast or consistent we are.</x:t>
        </x:is>
      </x:c>
      <x:c r="S353" s="3" t="n">
        <x:v>0</x:v>
      </x:c>
      <x:c r="T353" s="3" t="inlineStr">
        <x:is>
          <x:t xml:space="preserve">operating_model_gap</x:t>
        </x:is>
      </x:c>
      <x:c r="U353" s="3" t="inlineStr">
        <x:is>
          <x:t xml:space="preserve">Operating Model Gap</x:t>
        </x:is>
      </x:c>
      <x:c r="V353" s="3" t="inlineStr">
        <x:is>
          <x:t xml:space="preserve">Introduce case metrics</x:t>
        </x:is>
      </x:c>
      <x:c r="W353" s="3" t="inlineStr">
        <x:is>
          <x:t xml:space="preserve">N</x:t>
        </x:is>
      </x:c>
      <x:c r="X353" s="3" t="inlineStr">
        <x:is>
          <x:t xml:space="preserve"/>
        </x:is>
      </x:c>
      <x:c r="Y353" s="6">
        <x:f>(S353*IF(E353="G",F353,0))+(S353*IF(G353="G",H353,0))</x:f>
      </x:c>
      <x:c r="Z353" s="6">
        <x:f>(S353*IF(E353="E",F353,0))+(S353*IF(G353="E",H353,0))</x:f>
      </x:c>
      <x:c r="AA353" s="6">
        <x:f>(S353*IF(E353="T",F353,0))+(S353*IF(G353="T",H353,0))</x:f>
      </x:c>
      <x:c r="AB353" s="6">
        <x:f>(S353*IF(E353="L",F353,0))+(S353*IF(G353="L",H353,0))</x:f>
      </x:c>
      <x:c r="AC353" s="6">
        <x:f>(S353*IF(E353="H",F353,0))+(S353*IF(G353="H",H353,0))</x:f>
      </x:c>
      <x:c r="AD353" s="6">
        <x:f>(S353*IF(E353="V",F353,0))+(S353*IF(G353="V",H353,0))</x:f>
      </x:c>
      <x:c r="AE353" s="6">
        <x:f>(S353*IF(E353="R",F353,0))+(S353*IF(G353="R",H353,0))</x:f>
      </x:c>
      <x:c r="AF353" s="6">
        <x:f>(S353*IF(E353="F",F353,0))+(S353*IF(G353="F",H353,0))</x:f>
      </x:c>
      <x:c r="AG353" s="6">
        <x:f>(S353*IF(E353="W",F353,0))+(S353*IF(G353="W",H353,0))</x:f>
      </x:c>
    </x:row>
    <x:row r="354">
      <x:c r="A354" s="3" t="inlineStr">
        <x:is>
          <x:t xml:space="preserve">HR</x:t>
        </x:is>
      </x:c>
      <x:c r="B354" s="3" t="inlineStr">
        <x:is>
          <x:t xml:space="preserve">HR-D8-Q29</x:t>
        </x:is>
      </x:c>
      <x:c r="C354" s="3" t="inlineStr">
        <x:is>
          <x:t xml:space="preserve">T3</x:t>
        </x:is>
      </x:c>
      <x:c r="D354" s="3" t="inlineStr">
        <x:is>
          <x:t xml:space="preserve">8. Reporting &amp; Metrics</x:t>
        </x:is>
      </x:c>
      <x:c r="E354" s="3" t="inlineStr">
        <x:is>
          <x:t xml:space="preserve">E</x:t>
        </x:is>
      </x:c>
      <x:c r="F354" s="3" t="n">
        <x:v>1</x:v>
      </x:c>
      <x:c r="G354" s="3" t="inlineStr">
        <x:is>
          <x:t xml:space="preserve">-</x:t>
        </x:is>
      </x:c>
      <x:c r="H354" s="3" t="inlineStr">
        <x:is>
          <x:t xml:space="preserve"/>
        </x:is>
      </x:c>
      <x:c r="I354" s="3" t="inlineStr">
        <x:is>
          <x:t xml:space="preserve">Do you track timeliness and quality metrics for reports/cases and use them to improve?</x:t>
        </x:is>
      </x:c>
      <x:c r="J354" s="3" t="inlineStr">
        <x:is>
          <x:t xml:space="preserve">Use aggregated metrics only (no personal data).</x:t>
        </x:is>
      </x:c>
      <x:c r="K354" s="3" t="inlineStr">
        <x:is>
          <x:t xml:space="preserve">Business-proofing</x:t>
        </x:is>
      </x:c>
      <x:c r="L354" s="3" t="inlineStr">
        <x:is>
          <x:t xml:space="preserve">OPS_STD</x:t>
        </x:is>
      </x:c>
      <x:c r="M354" s="3" t="n">
        <x:v>1</x:v>
      </x:c>
      <x:c r="N354" s="3" t="n"/>
      <x:c r="O354" s="3" t="n"/>
      <x:c r="P354" s="3" t="inlineStr">
        <x:is>
          <x:t xml:space="preserve">HR-D8-Q29-A2</x:t>
        </x:is>
      </x:c>
      <x:c r="Q354" s="3" t="n">
        <x:v>2</x:v>
      </x:c>
      <x:c r="R354" s="3" t="inlineStr">
        <x:is>
          <x:t xml:space="preserve">Some metrics exist but not used for improvement.</x:t>
        </x:is>
      </x:c>
      <x:c r="S354" s="3" t="n">
        <x:v>1</x:v>
      </x:c>
      <x:c r="T354" s="3" t="inlineStr">
        <x:is>
          <x:t xml:space="preserve">paper_dragon_signal</x:t>
        </x:is>
      </x:c>
      <x:c r="U354" s="3" t="inlineStr">
        <x:is>
          <x:t xml:space="preserve">Paper Dragon</x:t>
        </x:is>
      </x:c>
      <x:c r="V354" s="3" t="inlineStr">
        <x:is>
          <x:t xml:space="preserve">Use metrics for improvement</x:t>
        </x:is>
      </x:c>
      <x:c r="W354" s="3" t="inlineStr">
        <x:is>
          <x:t xml:space="preserve">N</x:t>
        </x:is>
      </x:c>
      <x:c r="X354" s="3" t="inlineStr">
        <x:is>
          <x:t xml:space="preserve"/>
        </x:is>
      </x:c>
      <x:c r="Y354" s="6">
        <x:f>(S354*IF(E354="G",F354,0))+(S354*IF(G354="G",H354,0))</x:f>
      </x:c>
      <x:c r="Z354" s="6">
        <x:f>(S354*IF(E354="E",F354,0))+(S354*IF(G354="E",H354,0))</x:f>
      </x:c>
      <x:c r="AA354" s="6">
        <x:f>(S354*IF(E354="T",F354,0))+(S354*IF(G354="T",H354,0))</x:f>
      </x:c>
      <x:c r="AB354" s="6">
        <x:f>(S354*IF(E354="L",F354,0))+(S354*IF(G354="L",H354,0))</x:f>
      </x:c>
      <x:c r="AC354" s="6">
        <x:f>(S354*IF(E354="H",F354,0))+(S354*IF(G354="H",H354,0))</x:f>
      </x:c>
      <x:c r="AD354" s="6">
        <x:f>(S354*IF(E354="V",F354,0))+(S354*IF(G354="V",H354,0))</x:f>
      </x:c>
      <x:c r="AE354" s="6">
        <x:f>(S354*IF(E354="R",F354,0))+(S354*IF(G354="R",H354,0))</x:f>
      </x:c>
      <x:c r="AF354" s="6">
        <x:f>(S354*IF(E354="F",F354,0))+(S354*IF(G354="F",H354,0))</x:f>
      </x:c>
      <x:c r="AG354" s="6">
        <x:f>(S354*IF(E354="W",F354,0))+(S354*IF(G354="W",H354,0))</x:f>
      </x:c>
    </x:row>
    <x:row r="355">
      <x:c r="A355" s="3" t="inlineStr">
        <x:is>
          <x:t xml:space="preserve">HR</x:t>
        </x:is>
      </x:c>
      <x:c r="B355" s="3" t="inlineStr">
        <x:is>
          <x:t xml:space="preserve">HR-D8-Q29</x:t>
        </x:is>
      </x:c>
      <x:c r="C355" s="3" t="inlineStr">
        <x:is>
          <x:t xml:space="preserve">T3</x:t>
        </x:is>
      </x:c>
      <x:c r="D355" s="3" t="inlineStr">
        <x:is>
          <x:t xml:space="preserve">8. Reporting &amp; Metrics</x:t>
        </x:is>
      </x:c>
      <x:c r="E355" s="3" t="inlineStr">
        <x:is>
          <x:t xml:space="preserve">E</x:t>
        </x:is>
      </x:c>
      <x:c r="F355" s="3" t="n">
        <x:v>1</x:v>
      </x:c>
      <x:c r="G355" s="3" t="inlineStr">
        <x:is>
          <x:t xml:space="preserve">-</x:t>
        </x:is>
      </x:c>
      <x:c r="H355" s="3" t="inlineStr">
        <x:is>
          <x:t xml:space="preserve"/>
        </x:is>
      </x:c>
      <x:c r="I355" s="3" t="inlineStr">
        <x:is>
          <x:t xml:space="preserve">Do you track timeliness and quality metrics for reports/cases and use them to improve?</x:t>
        </x:is>
      </x:c>
      <x:c r="J355" s="3" t="inlineStr">
        <x:is>
          <x:t xml:space="preserve">Use aggregated metrics only (no personal data).</x:t>
        </x:is>
      </x:c>
      <x:c r="K355" s="3" t="inlineStr">
        <x:is>
          <x:t xml:space="preserve">Business-proofing</x:t>
        </x:is>
      </x:c>
      <x:c r="L355" s="3" t="inlineStr">
        <x:is>
          <x:t xml:space="preserve">OPS_STD</x:t>
        </x:is>
      </x:c>
      <x:c r="M355" s="3" t="n">
        <x:v>1</x:v>
      </x:c>
      <x:c r="N355" s="3" t="n"/>
      <x:c r="O355" s="3" t="n"/>
      <x:c r="P355" s="3" t="inlineStr">
        <x:is>
          <x:t xml:space="preserve">HR-D8-Q29-A3</x:t>
        </x:is>
      </x:c>
      <x:c r="Q355" s="3" t="n">
        <x:v>3</x:v>
      </x:c>
      <x:c r="R355" s="3" t="inlineStr">
        <x:is>
          <x:t xml:space="preserve">Basic metrics tracked; improvement actions occasional.</x:t>
        </x:is>
      </x:c>
      <x:c r="S355" s="3" t="n">
        <x:v>2</x:v>
      </x:c>
      <x:c r="T355" s="3" t="inlineStr">
        <x:is>
          <x:t xml:space="preserve"/>
        </x:is>
      </x:c>
      <x:c r="U355" s="3" t="inlineStr">
        <x:is>
          <x:t xml:space="preserve">Operating Model Gap</x:t>
        </x:is>
      </x:c>
      <x:c r="V355" s="3" t="inlineStr">
        <x:is>
          <x:t xml:space="preserve">Set targets and review cadence</x:t>
        </x:is>
      </x:c>
      <x:c r="W355" s="3" t="inlineStr">
        <x:is>
          <x:t xml:space="preserve">N</x:t>
        </x:is>
      </x:c>
      <x:c r="X355" s="3" t="inlineStr">
        <x:is>
          <x:t xml:space="preserve">Evidence: KPI list.</x:t>
        </x:is>
      </x:c>
      <x:c r="Y355" s="6">
        <x:f>(S355*IF(E355="G",F355,0))+(S355*IF(G355="G",H355,0))</x:f>
      </x:c>
      <x:c r="Z355" s="6">
        <x:f>(S355*IF(E355="E",F355,0))+(S355*IF(G355="E",H355,0))</x:f>
      </x:c>
      <x:c r="AA355" s="6">
        <x:f>(S355*IF(E355="T",F355,0))+(S355*IF(G355="T",H355,0))</x:f>
      </x:c>
      <x:c r="AB355" s="6">
        <x:f>(S355*IF(E355="L",F355,0))+(S355*IF(G355="L",H355,0))</x:f>
      </x:c>
      <x:c r="AC355" s="6">
        <x:f>(S355*IF(E355="H",F355,0))+(S355*IF(G355="H",H355,0))</x:f>
      </x:c>
      <x:c r="AD355" s="6">
        <x:f>(S355*IF(E355="V",F355,0))+(S355*IF(G355="V",H355,0))</x:f>
      </x:c>
      <x:c r="AE355" s="6">
        <x:f>(S355*IF(E355="R",F355,0))+(S355*IF(G355="R",H355,0))</x:f>
      </x:c>
      <x:c r="AF355" s="6">
        <x:f>(S355*IF(E355="F",F355,0))+(S355*IF(G355="F",H355,0))</x:f>
      </x:c>
      <x:c r="AG355" s="6">
        <x:f>(S355*IF(E355="W",F355,0))+(S355*IF(G355="W",H355,0))</x:f>
      </x:c>
    </x:row>
    <x:row r="356">
      <x:c r="A356" s="3" t="inlineStr">
        <x:is>
          <x:t xml:space="preserve">HR</x:t>
        </x:is>
      </x:c>
      <x:c r="B356" s="3" t="inlineStr">
        <x:is>
          <x:t xml:space="preserve">HR-D8-Q29</x:t>
        </x:is>
      </x:c>
      <x:c r="C356" s="3" t="inlineStr">
        <x:is>
          <x:t xml:space="preserve">T3</x:t>
        </x:is>
      </x:c>
      <x:c r="D356" s="3" t="inlineStr">
        <x:is>
          <x:t xml:space="preserve">8. Reporting &amp; Metrics</x:t>
        </x:is>
      </x:c>
      <x:c r="E356" s="3" t="inlineStr">
        <x:is>
          <x:t xml:space="preserve">E</x:t>
        </x:is>
      </x:c>
      <x:c r="F356" s="3" t="n">
        <x:v>1</x:v>
      </x:c>
      <x:c r="G356" s="3" t="inlineStr">
        <x:is>
          <x:t xml:space="preserve">-</x:t>
        </x:is>
      </x:c>
      <x:c r="H356" s="3" t="inlineStr">
        <x:is>
          <x:t xml:space="preserve"/>
        </x:is>
      </x:c>
      <x:c r="I356" s="3" t="inlineStr">
        <x:is>
          <x:t xml:space="preserve">Do you track timeliness and quality metrics for reports/cases and use them to improve?</x:t>
        </x:is>
      </x:c>
      <x:c r="J356" s="3" t="inlineStr">
        <x:is>
          <x:t xml:space="preserve">Use aggregated metrics only (no personal data).</x:t>
        </x:is>
      </x:c>
      <x:c r="K356" s="3" t="inlineStr">
        <x:is>
          <x:t xml:space="preserve">Business-proofing</x:t>
        </x:is>
      </x:c>
      <x:c r="L356" s="3" t="inlineStr">
        <x:is>
          <x:t xml:space="preserve">OPS_STD</x:t>
        </x:is>
      </x:c>
      <x:c r="M356" s="3" t="n">
        <x:v>1</x:v>
      </x:c>
      <x:c r="N356" s="3" t="n"/>
      <x:c r="O356" s="3" t="n"/>
      <x:c r="P356" s="3" t="inlineStr">
        <x:is>
          <x:t xml:space="preserve">HR-D8-Q29-A4</x:t>
        </x:is>
      </x:c>
      <x:c r="Q356" s="3" t="n">
        <x:v>4</x:v>
      </x:c>
      <x:c r="R356" s="3" t="inlineStr">
        <x:is>
          <x:t xml:space="preserve">Managed: targets set; metrics reviewed; backlog/quality addressed.</x:t>
        </x:is>
      </x:c>
      <x:c r="S356" s="3" t="n">
        <x:v>3</x:v>
      </x:c>
      <x:c r="T356" s="3" t="inlineStr">
        <x:is>
          <x:t xml:space="preserve"/>
        </x:is>
      </x:c>
      <x:c r="U356" s="3" t="inlineStr">
        <x:is>
          <x:t xml:space="preserve">Operating Model Gap</x:t>
        </x:is>
      </x:c>
      <x:c r="V356" s="3" t="inlineStr">
        <x:is>
          <x:t xml:space="preserve">Maintain and refine</x:t>
        </x:is>
      </x:c>
      <x:c r="W356" s="3" t="inlineStr">
        <x:is>
          <x:t xml:space="preserve">N</x:t>
        </x:is>
      </x:c>
      <x:c r="X356" s="3" t="inlineStr">
        <x:is>
          <x:t xml:space="preserve">Evidence: dashboard + meeting notes.</x:t>
        </x:is>
      </x:c>
      <x:c r="Y356" s="6">
        <x:f>(S356*IF(E356="G",F356,0))+(S356*IF(G356="G",H356,0))</x:f>
      </x:c>
      <x:c r="Z356" s="6">
        <x:f>(S356*IF(E356="E",F356,0))+(S356*IF(G356="E",H356,0))</x:f>
      </x:c>
      <x:c r="AA356" s="6">
        <x:f>(S356*IF(E356="T",F356,0))+(S356*IF(G356="T",H356,0))</x:f>
      </x:c>
      <x:c r="AB356" s="6">
        <x:f>(S356*IF(E356="L",F356,0))+(S356*IF(G356="L",H356,0))</x:f>
      </x:c>
      <x:c r="AC356" s="6">
        <x:f>(S356*IF(E356="H",F356,0))+(S356*IF(G356="H",H356,0))</x:f>
      </x:c>
      <x:c r="AD356" s="6">
        <x:f>(S356*IF(E356="V",F356,0))+(S356*IF(G356="V",H356,0))</x:f>
      </x:c>
      <x:c r="AE356" s="6">
        <x:f>(S356*IF(E356="R",F356,0))+(S356*IF(G356="R",H356,0))</x:f>
      </x:c>
      <x:c r="AF356" s="6">
        <x:f>(S356*IF(E356="F",F356,0))+(S356*IF(G356="F",H356,0))</x:f>
      </x:c>
      <x:c r="AG356" s="6">
        <x:f>(S356*IF(E356="W",F356,0))+(S356*IF(G356="W",H356,0))</x:f>
      </x:c>
    </x:row>
    <x:row r="357">
      <x:c r="A357" s="3" t="inlineStr">
        <x:is>
          <x:t xml:space="preserve">HR</x:t>
        </x:is>
      </x:c>
      <x:c r="B357" s="3" t="inlineStr">
        <x:is>
          <x:t xml:space="preserve">HR-D8-Q29</x:t>
        </x:is>
      </x:c>
      <x:c r="C357" s="3" t="inlineStr">
        <x:is>
          <x:t xml:space="preserve">T3</x:t>
        </x:is>
      </x:c>
      <x:c r="D357" s="3" t="inlineStr">
        <x:is>
          <x:t xml:space="preserve">8. Reporting &amp; Metrics</x:t>
        </x:is>
      </x:c>
      <x:c r="E357" s="3" t="inlineStr">
        <x:is>
          <x:t xml:space="preserve">E</x:t>
        </x:is>
      </x:c>
      <x:c r="F357" s="3" t="n">
        <x:v>1</x:v>
      </x:c>
      <x:c r="G357" s="3" t="inlineStr">
        <x:is>
          <x:t xml:space="preserve">-</x:t>
        </x:is>
      </x:c>
      <x:c r="H357" s="3" t="inlineStr">
        <x:is>
          <x:t xml:space="preserve"/>
        </x:is>
      </x:c>
      <x:c r="I357" s="3" t="inlineStr">
        <x:is>
          <x:t xml:space="preserve">Do you track timeliness and quality metrics for reports/cases and use them to improve?</x:t>
        </x:is>
      </x:c>
      <x:c r="J357" s="3" t="inlineStr">
        <x:is>
          <x:t xml:space="preserve">Use aggregated metrics only (no personal data).</x:t>
        </x:is>
      </x:c>
      <x:c r="K357" s="3" t="inlineStr">
        <x:is>
          <x:t xml:space="preserve">Business-proofing</x:t>
        </x:is>
      </x:c>
      <x:c r="L357" s="3" t="inlineStr">
        <x:is>
          <x:t xml:space="preserve">OPS_STD</x:t>
        </x:is>
      </x:c>
      <x:c r="M357" s="3" t="n">
        <x:v>1</x:v>
      </x:c>
      <x:c r="N357" s="3" t="n"/>
      <x:c r="O357" s="3" t="n"/>
      <x:c r="P357" s="3" t="inlineStr">
        <x:is>
          <x:t xml:space="preserve">HR-D8-Q29-A5</x:t>
        </x:is>
      </x:c>
      <x:c r="Q357" s="3" t="n">
        <x:v>5</x:v>
      </x:c>
      <x:c r="R357" s="3" t="inlineStr">
        <x:is>
          <x:t xml:space="preserve">Optimized: metrics linked to trust outcomes and continuous improvement.</x:t>
        </x:is>
      </x:c>
      <x:c r="S357" s="3" t="n">
        <x:v>4</x:v>
      </x:c>
      <x:c r="T357" s="3" t="inlineStr">
        <x:is>
          <x:t xml:space="preserve"/>
        </x:is>
      </x:c>
      <x:c r="U357" s="3" t="inlineStr">
        <x:is>
          <x:t xml:space="preserve">Culture Risk</x:t>
        </x:is>
      </x:c>
      <x:c r="V357" s="3" t="inlineStr">
        <x:is>
          <x:t xml:space="preserve">Maintain maturity</x:t>
        </x:is>
      </x:c>
      <x:c r="W357" s="3" t="inlineStr">
        <x:is>
          <x:t xml:space="preserve">N</x:t>
        </x:is>
      </x:c>
      <x:c r="X357" s="3" t="inlineStr">
        <x:is>
          <x:t xml:space="preserve">Evidence: KPI trends + actions.</x:t>
        </x:is>
      </x:c>
      <x:c r="Y357" s="6">
        <x:f>(S357*IF(E357="G",F357,0))+(S357*IF(G357="G",H357,0))</x:f>
      </x:c>
      <x:c r="Z357" s="6">
        <x:f>(S357*IF(E357="E",F357,0))+(S357*IF(G357="E",H357,0))</x:f>
      </x:c>
      <x:c r="AA357" s="6">
        <x:f>(S357*IF(E357="T",F357,0))+(S357*IF(G357="T",H357,0))</x:f>
      </x:c>
      <x:c r="AB357" s="6">
        <x:f>(S357*IF(E357="L",F357,0))+(S357*IF(G357="L",H357,0))</x:f>
      </x:c>
      <x:c r="AC357" s="6">
        <x:f>(S357*IF(E357="H",F357,0))+(S357*IF(G357="H",H357,0))</x:f>
      </x:c>
      <x:c r="AD357" s="6">
        <x:f>(S357*IF(E357="V",F357,0))+(S357*IF(G357="V",H357,0))</x:f>
      </x:c>
      <x:c r="AE357" s="6">
        <x:f>(S357*IF(E357="R",F357,0))+(S357*IF(G357="R",H357,0))</x:f>
      </x:c>
      <x:c r="AF357" s="6">
        <x:f>(S357*IF(E357="F",F357,0))+(S357*IF(G357="F",H357,0))</x:f>
      </x:c>
      <x:c r="AG357" s="6">
        <x:f>(S357*IF(E357="W",F357,0))+(S357*IF(G357="W",H357,0))</x:f>
      </x:c>
    </x:row>
    <x:row r="358">
      <x:c r="A358" s="3" t="inlineStr">
        <x:is>
          <x:t xml:space="preserve">Security</x:t>
        </x:is>
      </x:c>
      <x:c r="B358" s="3" t="inlineStr">
        <x:is>
          <x:t xml:space="preserve">SEC-D1-Q01</x:t>
        </x:is>
      </x:c>
      <x:c r="C358" s="3" t="inlineStr">
        <x:is>
          <x:t xml:space="preserve">T1</x:t>
        </x:is>
      </x:c>
      <x:c r="D358" s="3" t="inlineStr">
        <x:is>
          <x:t xml:space="preserve">1. Security Operating Model</x:t>
        </x:is>
      </x:c>
      <x:c r="E358" s="3" t="inlineStr">
        <x:is>
          <x:t xml:space="preserve">E</x:t>
        </x:is>
      </x:c>
      <x:c r="F358" s="3" t="n">
        <x:v>0.6</x:v>
      </x:c>
      <x:c r="G358" s="3" t="inlineStr">
        <x:is>
          <x:t xml:space="preserve">T</x:t>
        </x:is>
      </x:c>
      <x:c r="H358" s="3" t="n">
        <x:v>0.4</x:v>
      </x:c>
      <x:c r="I358" s="3" t="inlineStr">
        <x:is>
          <x:t xml:space="preserve">Who runs day‑to‑day monitoring for internal misuse (e.g., unusual downloads, emailing data out) and triage of alerts?</x:t>
        </x:is>
      </x:c>
      <x:c r="J358" s="3" t="inlineStr">
        <x:is>
          <x:t xml:space="preserve">Internal misuse can be accidental or malicious. If you outsource monitoring, answer based on how it works in practice (coverage, cadence, ownership).</x:t>
        </x:is>
      </x:c>
      <x:c r="K358" s="3" t="inlineStr">
        <x:is>
          <x:t xml:space="preserve">Gatekeeper (If BaseScore &lt;2 → SEC-D1-Q02; If ≥2 → SEC-D1-Q03)</x:t>
        </x:is>
      </x:c>
      <x:c r="L358" s="3" t="inlineStr">
        <x:is>
          <x:t xml:space="preserve">OPS_STD</x:t>
        </x:is>
      </x:c>
      <x:c r="M358" s="3" t="n">
        <x:v>1.2</x:v>
      </x:c>
      <x:c r="N358" s="3" t="n">
        <x:v>0.5</x:v>
      </x:c>
      <x:c r="O358" s="3" t="inlineStr">
        <x:is>
          <x:t xml:space="preserve"/>
        </x:is>
      </x:c>
      <x:c r="P358" s="3" t="inlineStr">
        <x:is>
          <x:t xml:space="preserve">SEC-D1-Q01-A0</x:t>
        </x:is>
      </x:c>
      <x:c r="Q358" s="3" t="n">
        <x:v>1</x:v>
      </x:c>
      <x:c r="R358" s="3" t="inlineStr">
        <x:is>
          <x:t xml:space="preserve">I don't know / not sure.</x:t>
        </x:is>
      </x:c>
      <x:c r="S358" s="3" t="n">
        <x:v>0</x:v>
      </x:c>
      <x:c r="T358" s="3" t="inlineStr">
        <x:is>
          <x:t xml:space="preserve">unknown</x:t>
        </x:is>
      </x:c>
      <x:c r="U358" s="3" t="inlineStr">
        <x:is>
          <x:t xml:space="preserve">Unknown</x:t>
        </x:is>
      </x:c>
      <x:c r="V358" s="3" t="inlineStr">
        <x:is>
          <x:t xml:space="preserve">Assess_Case_Model</x:t>
        </x:is>
      </x:c>
      <x:c r="W358" s="3" t="inlineStr">
        <x:is>
          <x:t xml:space="preserve">N</x:t>
        </x:is>
      </x:c>
      <x:c r="X358" s="3" t="inlineStr">
        <x:is>
          <x:t xml:space="preserve"/>
        </x:is>
      </x:c>
      <x:c r="Y358" s="6">
        <x:f>(S358*IF(E358="G",F358,0))+(S358*IF(G358="G",H358,0))</x:f>
      </x:c>
      <x:c r="Z358" s="6">
        <x:f>(S358*IF(E358="E",F358,0))+(S358*IF(G358="E",H358,0))</x:f>
      </x:c>
      <x:c r="AA358" s="6">
        <x:f>(S358*IF(E358="T",F358,0))+(S358*IF(G358="T",H358,0))</x:f>
      </x:c>
      <x:c r="AB358" s="6">
        <x:f>(S358*IF(E358="L",F358,0))+(S358*IF(G358="L",H358,0))</x:f>
      </x:c>
      <x:c r="AC358" s="6">
        <x:f>(S358*IF(E358="H",F358,0))+(S358*IF(G358="H",H358,0))</x:f>
      </x:c>
      <x:c r="AD358" s="6">
        <x:f>(S358*IF(E358="V",F358,0))+(S358*IF(G358="V",H358,0))</x:f>
      </x:c>
      <x:c r="AE358" s="6">
        <x:f>(S358*IF(E358="R",F358,0))+(S358*IF(G358="R",H358,0))</x:f>
      </x:c>
      <x:c r="AF358" s="6">
        <x:f>(S358*IF(E358="F",F358,0))+(S358*IF(G358="F",H358,0))</x:f>
      </x:c>
      <x:c r="AG358" s="6">
        <x:f>(S358*IF(E358="W",F358,0))+(S358*IF(G358="W",H358,0))</x:f>
      </x:c>
    </x:row>
    <x:row r="359">
      <x:c r="A359" s="3" t="inlineStr">
        <x:is>
          <x:t xml:space="preserve">Security</x:t>
        </x:is>
      </x:c>
      <x:c r="B359" s="3" t="inlineStr">
        <x:is>
          <x:t xml:space="preserve">SEC-D1-Q01</x:t>
        </x:is>
      </x:c>
      <x:c r="C359" s="3" t="inlineStr">
        <x:is>
          <x:t xml:space="preserve">T1</x:t>
        </x:is>
      </x:c>
      <x:c r="D359" s="3" t="inlineStr">
        <x:is>
          <x:t xml:space="preserve">1. Security Operating Model</x:t>
        </x:is>
      </x:c>
      <x:c r="E359" s="3" t="inlineStr">
        <x:is>
          <x:t xml:space="preserve">E</x:t>
        </x:is>
      </x:c>
      <x:c r="F359" s="3" t="n">
        <x:v>0.6</x:v>
      </x:c>
      <x:c r="G359" s="3" t="inlineStr">
        <x:is>
          <x:t xml:space="preserve">T</x:t>
        </x:is>
      </x:c>
      <x:c r="H359" s="3" t="n">
        <x:v>0.4</x:v>
      </x:c>
      <x:c r="I359" s="3" t="inlineStr">
        <x:is>
          <x:t xml:space="preserve">Who runs day‑to‑day monitoring for internal misuse (e.g., unusual downloads, emailing data out) and triage of alerts?</x:t>
        </x:is>
      </x:c>
      <x:c r="J359" s="3" t="inlineStr">
        <x:is>
          <x:t xml:space="preserve">Internal misuse can be accidental or malicious. If you outsource monitoring, answer based on how it works in practice (coverage, cadence, ownership).</x:t>
        </x:is>
      </x:c>
      <x:c r="K359" s="3" t="inlineStr">
        <x:is>
          <x:t xml:space="preserve">Gatekeeper (If BaseScore &lt;2 → SEC-D1-Q02; If ≥2 → SEC-D1-Q03)</x:t>
        </x:is>
      </x:c>
      <x:c r="L359" s="3" t="inlineStr">
        <x:is>
          <x:t xml:space="preserve">OPS_STD</x:t>
        </x:is>
      </x:c>
      <x:c r="M359" s="3" t="n">
        <x:v>1.2</x:v>
      </x:c>
      <x:c r="N359" s="3" t="n">
        <x:v>0.5</x:v>
      </x:c>
      <x:c r="O359" s="3" t="inlineStr">
        <x:is>
          <x:t xml:space="preserve"/>
        </x:is>
      </x:c>
      <x:c r="P359" s="3" t="inlineStr">
        <x:is>
          <x:t xml:space="preserve">SEC-D1-Q01-A1</x:t>
        </x:is>
      </x:c>
      <x:c r="Q359" s="3" t="n">
        <x:v>2</x:v>
      </x:c>
      <x:c r="R359" s="3" t="inlineStr">
        <x:is>
          <x:t xml:space="preserve">No one monitors for internal misuse; we mainly react after incidents.</x:t>
        </x:is>
      </x:c>
      <x:c r="S359" s="3" t="n">
        <x:v>0</x:v>
      </x:c>
      <x:c r="T359" s="3" t="inlineStr">
        <x:is>
          <x:t xml:space="preserve">paper_dragon_signal</x:t>
        </x:is>
      </x:c>
      <x:c r="U359" s="3" t="inlineStr">
        <x:is>
          <x:t xml:space="preserve">Paper Dragon</x:t>
        </x:is>
      </x:c>
      <x:c r="V359" s="3" t="inlineStr">
        <x:is>
          <x:t xml:space="preserve">Build_Detection_Strategy</x:t>
        </x:is>
      </x:c>
      <x:c r="W359" s="3" t="inlineStr">
        <x:is>
          <x:t xml:space="preserve">N</x:t>
        </x:is>
      </x:c>
      <x:c r="X359" s="3" t="inlineStr">
        <x:is>
          <x:t xml:space="preserve"/>
        </x:is>
      </x:c>
      <x:c r="Y359" s="6">
        <x:f>(S359*IF(E359="G",F359,0))+(S359*IF(G359="G",H359,0))</x:f>
      </x:c>
      <x:c r="Z359" s="6">
        <x:f>(S359*IF(E359="E",F359,0))+(S359*IF(G359="E",H359,0))</x:f>
      </x:c>
      <x:c r="AA359" s="6">
        <x:f>(S359*IF(E359="T",F359,0))+(S359*IF(G359="T",H359,0))</x:f>
      </x:c>
      <x:c r="AB359" s="6">
        <x:f>(S359*IF(E359="L",F359,0))+(S359*IF(G359="L",H359,0))</x:f>
      </x:c>
      <x:c r="AC359" s="6">
        <x:f>(S359*IF(E359="H",F359,0))+(S359*IF(G359="H",H359,0))</x:f>
      </x:c>
      <x:c r="AD359" s="6">
        <x:f>(S359*IF(E359="V",F359,0))+(S359*IF(G359="V",H359,0))</x:f>
      </x:c>
      <x:c r="AE359" s="6">
        <x:f>(S359*IF(E359="R",F359,0))+(S359*IF(G359="R",H359,0))</x:f>
      </x:c>
      <x:c r="AF359" s="6">
        <x:f>(S359*IF(E359="F",F359,0))+(S359*IF(G359="F",H359,0))</x:f>
      </x:c>
      <x:c r="AG359" s="6">
        <x:f>(S359*IF(E359="W",F359,0))+(S359*IF(G359="W",H359,0))</x:f>
      </x:c>
    </x:row>
    <x:row r="360">
      <x:c r="A360" s="3" t="inlineStr">
        <x:is>
          <x:t xml:space="preserve">Security</x:t>
        </x:is>
      </x:c>
      <x:c r="B360" s="3" t="inlineStr">
        <x:is>
          <x:t xml:space="preserve">SEC-D1-Q01</x:t>
        </x:is>
      </x:c>
      <x:c r="C360" s="3" t="inlineStr">
        <x:is>
          <x:t xml:space="preserve">T1</x:t>
        </x:is>
      </x:c>
      <x:c r="D360" s="3" t="inlineStr">
        <x:is>
          <x:t xml:space="preserve">1. Security Operating Model</x:t>
        </x:is>
      </x:c>
      <x:c r="E360" s="3" t="inlineStr">
        <x:is>
          <x:t xml:space="preserve">E</x:t>
        </x:is>
      </x:c>
      <x:c r="F360" s="3" t="n">
        <x:v>0.6</x:v>
      </x:c>
      <x:c r="G360" s="3" t="inlineStr">
        <x:is>
          <x:t xml:space="preserve">T</x:t>
        </x:is>
      </x:c>
      <x:c r="H360" s="3" t="n">
        <x:v>0.4</x:v>
      </x:c>
      <x:c r="I360" s="3" t="inlineStr">
        <x:is>
          <x:t xml:space="preserve">Who runs day‑to‑day monitoring for internal misuse (e.g., unusual downloads, emailing data out) and triage of alerts?</x:t>
        </x:is>
      </x:c>
      <x:c r="J360" s="3" t="inlineStr">
        <x:is>
          <x:t xml:space="preserve">Internal misuse can be accidental or malicious. If you outsource monitoring, answer based on how it works in practice (coverage, cadence, ownership).</x:t>
        </x:is>
      </x:c>
      <x:c r="K360" s="3" t="inlineStr">
        <x:is>
          <x:t xml:space="preserve">Gatekeeper (If BaseScore &lt;2 → SEC-D1-Q02; If ≥2 → SEC-D1-Q03)</x:t>
        </x:is>
      </x:c>
      <x:c r="L360" s="3" t="inlineStr">
        <x:is>
          <x:t xml:space="preserve">OPS_STD</x:t>
        </x:is>
      </x:c>
      <x:c r="M360" s="3" t="n">
        <x:v>1.2</x:v>
      </x:c>
      <x:c r="N360" s="3" t="n">
        <x:v>0.5</x:v>
      </x:c>
      <x:c r="O360" s="3" t="inlineStr">
        <x:is>
          <x:t xml:space="preserve"/>
        </x:is>
      </x:c>
      <x:c r="P360" s="3" t="inlineStr">
        <x:is>
          <x:t xml:space="preserve">SEC-D1-Q01-A2</x:t>
        </x:is>
      </x:c>
      <x:c r="Q360" s="3" t="n">
        <x:v>3</x:v>
      </x:c>
      <x:c r="R360" s="3" t="inlineStr">
        <x:is>
          <x:t xml:space="preserve">Ad‑hoc: an IT admin/manager checks logs only when something feels wrong.</x:t>
        </x:is>
      </x:c>
      <x:c r="S360" s="3" t="n">
        <x:v>1</x:v>
      </x:c>
      <x:c r="T360" s="3" t="inlineStr">
        <x:is>
          <x:t xml:space="preserve">shadow_mature_signal</x:t>
        </x:is>
      </x:c>
      <x:c r="U360" s="3" t="inlineStr">
        <x:is>
          <x:t xml:space="preserve">Shadow Mature</x:t>
        </x:is>
      </x:c>
      <x:c r="V360" s="3" t="inlineStr">
        <x:is>
          <x:t xml:space="preserve">Capture_Informal_Practices</x:t>
        </x:is>
      </x:c>
      <x:c r="W360" s="3" t="inlineStr">
        <x:is>
          <x:t xml:space="preserve">N</x:t>
        </x:is>
      </x:c>
      <x:c r="X360" s="3" t="inlineStr">
        <x:is>
          <x:t xml:space="preserve">Example of an ad‑hoc review or incident note.</x:t>
        </x:is>
      </x:c>
      <x:c r="Y360" s="6">
        <x:f>(S360*IF(E360="G",F360,0))+(S360*IF(G360="G",H360,0))</x:f>
      </x:c>
      <x:c r="Z360" s="6">
        <x:f>(S360*IF(E360="E",F360,0))+(S360*IF(G360="E",H360,0))</x:f>
      </x:c>
      <x:c r="AA360" s="6">
        <x:f>(S360*IF(E360="T",F360,0))+(S360*IF(G360="T",H360,0))</x:f>
      </x:c>
      <x:c r="AB360" s="6">
        <x:f>(S360*IF(E360="L",F360,0))+(S360*IF(G360="L",H360,0))</x:f>
      </x:c>
      <x:c r="AC360" s="6">
        <x:f>(S360*IF(E360="H",F360,0))+(S360*IF(G360="H",H360,0))</x:f>
      </x:c>
      <x:c r="AD360" s="6">
        <x:f>(S360*IF(E360="V",F360,0))+(S360*IF(G360="V",H360,0))</x:f>
      </x:c>
      <x:c r="AE360" s="6">
        <x:f>(S360*IF(E360="R",F360,0))+(S360*IF(G360="R",H360,0))</x:f>
      </x:c>
      <x:c r="AF360" s="6">
        <x:f>(S360*IF(E360="F",F360,0))+(S360*IF(G360="F",H360,0))</x:f>
      </x:c>
      <x:c r="AG360" s="6">
        <x:f>(S360*IF(E360="W",F360,0))+(S360*IF(G360="W",H360,0))</x:f>
      </x:c>
    </x:row>
    <x:row r="361">
      <x:c r="A361" s="3" t="inlineStr">
        <x:is>
          <x:t xml:space="preserve">Security</x:t>
        </x:is>
      </x:c>
      <x:c r="B361" s="3" t="inlineStr">
        <x:is>
          <x:t xml:space="preserve">SEC-D1-Q01</x:t>
        </x:is>
      </x:c>
      <x:c r="C361" s="3" t="inlineStr">
        <x:is>
          <x:t xml:space="preserve">T1</x:t>
        </x:is>
      </x:c>
      <x:c r="D361" s="3" t="inlineStr">
        <x:is>
          <x:t xml:space="preserve">1. Security Operating Model</x:t>
        </x:is>
      </x:c>
      <x:c r="E361" s="3" t="inlineStr">
        <x:is>
          <x:t xml:space="preserve">E</x:t>
        </x:is>
      </x:c>
      <x:c r="F361" s="3" t="n">
        <x:v>0.6</x:v>
      </x:c>
      <x:c r="G361" s="3" t="inlineStr">
        <x:is>
          <x:t xml:space="preserve">T</x:t>
        </x:is>
      </x:c>
      <x:c r="H361" s="3" t="n">
        <x:v>0.4</x:v>
      </x:c>
      <x:c r="I361" s="3" t="inlineStr">
        <x:is>
          <x:t xml:space="preserve">Who runs day‑to‑day monitoring for internal misuse (e.g., unusual downloads, emailing data out) and triage of alerts?</x:t>
        </x:is>
      </x:c>
      <x:c r="J361" s="3" t="inlineStr">
        <x:is>
          <x:t xml:space="preserve">Internal misuse can be accidental or malicious. If you outsource monitoring, answer based on how it works in practice (coverage, cadence, ownership).</x:t>
        </x:is>
      </x:c>
      <x:c r="K361" s="3" t="inlineStr">
        <x:is>
          <x:t xml:space="preserve">Gatekeeper (If BaseScore &lt;2 → SEC-D1-Q02; If ≥2 → SEC-D1-Q03)</x:t>
        </x:is>
      </x:c>
      <x:c r="L361" s="3" t="inlineStr">
        <x:is>
          <x:t xml:space="preserve">OPS_STD</x:t>
        </x:is>
      </x:c>
      <x:c r="M361" s="3" t="n">
        <x:v>1.2</x:v>
      </x:c>
      <x:c r="N361" s="3" t="n">
        <x:v>0.5</x:v>
      </x:c>
      <x:c r="O361" s="3" t="inlineStr">
        <x:is>
          <x:t xml:space="preserve"/>
        </x:is>
      </x:c>
      <x:c r="P361" s="3" t="inlineStr">
        <x:is>
          <x:t xml:space="preserve">SEC-D1-Q01-A3</x:t>
        </x:is>
      </x:c>
      <x:c r="Q361" s="3" t="n">
        <x:v>4</x:v>
      </x:c>
      <x:c r="R361" s="3" t="inlineStr">
        <x:is>
          <x:t xml:space="preserve">Partial: SOC/IT reviews some alerts, but not consistently or not for key systems.</x:t>
        </x:is>
      </x:c>
      <x:c r="S361" s="3" t="n">
        <x:v>2</x:v>
      </x:c>
      <x:c r="T361" s="3" t="inlineStr">
        <x:is>
          <x:t xml:space="preserve"/>
        </x:is>
      </x:c>
      <x:c r="U361" s="3" t="inlineStr">
        <x:is>
          <x:t xml:space="preserve">Operating Model Gap</x:t>
        </x:is>
      </x:c>
      <x:c r="V361" s="3" t="inlineStr">
        <x:is>
          <x:t xml:space="preserve">Assess_Detection</x:t>
        </x:is>
      </x:c>
      <x:c r="W361" s="3" t="inlineStr">
        <x:is>
          <x:t xml:space="preserve">N</x:t>
        </x:is>
      </x:c>
      <x:c r="X361" s="3" t="inlineStr">
        <x:is>
          <x:t xml:space="preserve">List monitored systems and who reviews them.</x:t>
        </x:is>
      </x:c>
      <x:c r="Y361" s="6">
        <x:f>(S361*IF(E361="G",F361,0))+(S361*IF(G361="G",H361,0))</x:f>
      </x:c>
      <x:c r="Z361" s="6">
        <x:f>(S361*IF(E361="E",F361,0))+(S361*IF(G361="E",H361,0))</x:f>
      </x:c>
      <x:c r="AA361" s="6">
        <x:f>(S361*IF(E361="T",F361,0))+(S361*IF(G361="T",H361,0))</x:f>
      </x:c>
      <x:c r="AB361" s="6">
        <x:f>(S361*IF(E361="L",F361,0))+(S361*IF(G361="L",H361,0))</x:f>
      </x:c>
      <x:c r="AC361" s="6">
        <x:f>(S361*IF(E361="H",F361,0))+(S361*IF(G361="H",H361,0))</x:f>
      </x:c>
      <x:c r="AD361" s="6">
        <x:f>(S361*IF(E361="V",F361,0))+(S361*IF(G361="V",H361,0))</x:f>
      </x:c>
      <x:c r="AE361" s="6">
        <x:f>(S361*IF(E361="R",F361,0))+(S361*IF(G361="R",H361,0))</x:f>
      </x:c>
      <x:c r="AF361" s="6">
        <x:f>(S361*IF(E361="F",F361,0))+(S361*IF(G361="F",H361,0))</x:f>
      </x:c>
      <x:c r="AG361" s="6">
        <x:f>(S361*IF(E361="W",F361,0))+(S361*IF(G361="W",H361,0))</x:f>
      </x:c>
    </x:row>
    <x:row r="362">
      <x:c r="A362" s="3" t="inlineStr">
        <x:is>
          <x:t xml:space="preserve">Security</x:t>
        </x:is>
      </x:c>
      <x:c r="B362" s="3" t="inlineStr">
        <x:is>
          <x:t xml:space="preserve">SEC-D1-Q01</x:t>
        </x:is>
      </x:c>
      <x:c r="C362" s="3" t="inlineStr">
        <x:is>
          <x:t xml:space="preserve">T1</x:t>
        </x:is>
      </x:c>
      <x:c r="D362" s="3" t="inlineStr">
        <x:is>
          <x:t xml:space="preserve">1. Security Operating Model</x:t>
        </x:is>
      </x:c>
      <x:c r="E362" s="3" t="inlineStr">
        <x:is>
          <x:t xml:space="preserve">E</x:t>
        </x:is>
      </x:c>
      <x:c r="F362" s="3" t="n">
        <x:v>0.6</x:v>
      </x:c>
      <x:c r="G362" s="3" t="inlineStr">
        <x:is>
          <x:t xml:space="preserve">T</x:t>
        </x:is>
      </x:c>
      <x:c r="H362" s="3" t="n">
        <x:v>0.4</x:v>
      </x:c>
      <x:c r="I362" s="3" t="inlineStr">
        <x:is>
          <x:t xml:space="preserve">Who runs day‑to‑day monitoring for internal misuse (e.g., unusual downloads, emailing data out) and triage of alerts?</x:t>
        </x:is>
      </x:c>
      <x:c r="J362" s="3" t="inlineStr">
        <x:is>
          <x:t xml:space="preserve">Internal misuse can be accidental or malicious. If you outsource monitoring, answer based on how it works in practice (coverage, cadence, ownership).</x:t>
        </x:is>
      </x:c>
      <x:c r="K362" s="3" t="inlineStr">
        <x:is>
          <x:t xml:space="preserve">Gatekeeper (If BaseScore &lt;2 → SEC-D1-Q02; If ≥2 → SEC-D1-Q03)</x:t>
        </x:is>
      </x:c>
      <x:c r="L362" s="3" t="inlineStr">
        <x:is>
          <x:t xml:space="preserve">OPS_STD</x:t>
        </x:is>
      </x:c>
      <x:c r="M362" s="3" t="n">
        <x:v>1.2</x:v>
      </x:c>
      <x:c r="N362" s="3" t="n">
        <x:v>0.5</x:v>
      </x:c>
      <x:c r="O362" s="3" t="inlineStr">
        <x:is>
          <x:t xml:space="preserve"/>
        </x:is>
      </x:c>
      <x:c r="P362" s="3" t="inlineStr">
        <x:is>
          <x:t xml:space="preserve">SEC-D1-Q01-A4</x:t>
        </x:is>
      </x:c>
      <x:c r="Q362" s="3" t="n">
        <x:v>5</x:v>
      </x:c>
      <x:c r="R362" s="3" t="inlineStr">
        <x:is>
          <x:t xml:space="preserve">Defined: named team monitors agreed key systems with a regular cadence and documented handoffs.</x:t>
        </x:is>
      </x:c>
      <x:c r="S362" s="3" t="n">
        <x:v>3</x:v>
      </x:c>
      <x:c r="T362" s="3" t="inlineStr">
        <x:is>
          <x:t xml:space="preserve"/>
        </x:is>
      </x:c>
      <x:c r="U362" s="3" t="inlineStr">
        <x:is>
          <x:t xml:space="preserve">Operating Model Gap</x:t>
        </x:is>
      </x:c>
      <x:c r="V362" s="3" t="inlineStr">
        <x:is>
          <x:t xml:space="preserve">Assess_Case_Model</x:t>
        </x:is>
      </x:c>
      <x:c r="W362" s="3" t="inlineStr">
        <x:is>
          <x:t xml:space="preserve">Y</x:t>
        </x:is>
      </x:c>
      <x:c r="X362" s="3" t="inlineStr">
        <x:is>
          <x:t xml:space="preserve">Runbook/SOP + sample ticket (redacted).</x:t>
        </x:is>
      </x:c>
      <x:c r="Y362" s="6">
        <x:f>(S362*IF(E362="G",F362,0))+(S362*IF(G362="G",H362,0))</x:f>
      </x:c>
      <x:c r="Z362" s="6">
        <x:f>(S362*IF(E362="E",F362,0))+(S362*IF(G362="E",H362,0))</x:f>
      </x:c>
      <x:c r="AA362" s="6">
        <x:f>(S362*IF(E362="T",F362,0))+(S362*IF(G362="T",H362,0))</x:f>
      </x:c>
      <x:c r="AB362" s="6">
        <x:f>(S362*IF(E362="L",F362,0))+(S362*IF(G362="L",H362,0))</x:f>
      </x:c>
      <x:c r="AC362" s="6">
        <x:f>(S362*IF(E362="H",F362,0))+(S362*IF(G362="H",H362,0))</x:f>
      </x:c>
      <x:c r="AD362" s="6">
        <x:f>(S362*IF(E362="V",F362,0))+(S362*IF(G362="V",H362,0))</x:f>
      </x:c>
      <x:c r="AE362" s="6">
        <x:f>(S362*IF(E362="R",F362,0))+(S362*IF(G362="R",H362,0))</x:f>
      </x:c>
      <x:c r="AF362" s="6">
        <x:f>(S362*IF(E362="F",F362,0))+(S362*IF(G362="F",H362,0))</x:f>
      </x:c>
      <x:c r="AG362" s="6">
        <x:f>(S362*IF(E362="W",F362,0))+(S362*IF(G362="W",H362,0))</x:f>
      </x:c>
    </x:row>
    <x:row r="363">
      <x:c r="A363" s="3" t="inlineStr">
        <x:is>
          <x:t xml:space="preserve">Security</x:t>
        </x:is>
      </x:c>
      <x:c r="B363" s="3" t="inlineStr">
        <x:is>
          <x:t xml:space="preserve">SEC-D1-Q01</x:t>
        </x:is>
      </x:c>
      <x:c r="C363" s="3" t="inlineStr">
        <x:is>
          <x:t xml:space="preserve">T1</x:t>
        </x:is>
      </x:c>
      <x:c r="D363" s="3" t="inlineStr">
        <x:is>
          <x:t xml:space="preserve">1. Security Operating Model</x:t>
        </x:is>
      </x:c>
      <x:c r="E363" s="3" t="inlineStr">
        <x:is>
          <x:t xml:space="preserve">E</x:t>
        </x:is>
      </x:c>
      <x:c r="F363" s="3" t="n">
        <x:v>0.6</x:v>
      </x:c>
      <x:c r="G363" s="3" t="inlineStr">
        <x:is>
          <x:t xml:space="preserve">T</x:t>
        </x:is>
      </x:c>
      <x:c r="H363" s="3" t="n">
        <x:v>0.4</x:v>
      </x:c>
      <x:c r="I363" s="3" t="inlineStr">
        <x:is>
          <x:t xml:space="preserve">Who runs day‑to‑day monitoring for internal misuse (e.g., unusual downloads, emailing data out) and triage of alerts?</x:t>
        </x:is>
      </x:c>
      <x:c r="J363" s="3" t="inlineStr">
        <x:is>
          <x:t xml:space="preserve">Internal misuse can be accidental or malicious. If you outsource monitoring, answer based on how it works in practice (coverage, cadence, ownership).</x:t>
        </x:is>
      </x:c>
      <x:c r="K363" s="3" t="inlineStr">
        <x:is>
          <x:t xml:space="preserve">Gatekeeper (If BaseScore &lt;2 → SEC-D1-Q02; If ≥2 → SEC-D1-Q03)</x:t>
        </x:is>
      </x:c>
      <x:c r="L363" s="3" t="inlineStr">
        <x:is>
          <x:t xml:space="preserve">OPS_STD</x:t>
        </x:is>
      </x:c>
      <x:c r="M363" s="3" t="n">
        <x:v>1.2</x:v>
      </x:c>
      <x:c r="N363" s="3" t="n">
        <x:v>0.5</x:v>
      </x:c>
      <x:c r="O363" s="3" t="inlineStr">
        <x:is>
          <x:t xml:space="preserve"/>
        </x:is>
      </x:c>
      <x:c r="P363" s="3" t="inlineStr">
        <x:is>
          <x:t xml:space="preserve">SEC-D1-Q01-A5</x:t>
        </x:is>
      </x:c>
      <x:c r="Q363" s="3" t="n">
        <x:v>6</x:v>
      </x:c>
      <x:c r="R363" s="3" t="inlineStr">
        <x:is>
          <x:t xml:space="preserve">Optimized: monitoring is embedded in SOC/case management with SLAs and quality checks.</x:t>
        </x:is>
      </x:c>
      <x:c r="S363" s="3" t="n">
        <x:v>4</x:v>
      </x:c>
      <x:c r="T363" s="3" t="inlineStr">
        <x:is>
          <x:t xml:space="preserve"/>
        </x:is>
      </x:c>
      <x:c r="U363" s="3" t="inlineStr">
        <x:is>
          <x:t xml:space="preserve">Resilience Gap</x:t>
        </x:is>
      </x:c>
      <x:c r="V363" s="3" t="inlineStr">
        <x:is>
          <x:t xml:space="preserve">Improve_Metrics</x:t>
        </x:is>
      </x:c>
      <x:c r="W363" s="3" t="inlineStr">
        <x:is>
          <x:t xml:space="preserve">Y</x:t>
        </x:is>
      </x:c>
      <x:c r="X363" s="3" t="inlineStr">
        <x:is>
          <x:t xml:space="preserve">SLA + recent quality/accuracy report.</x:t>
        </x:is>
      </x:c>
      <x:c r="Y363" s="6">
        <x:f>(S363*IF(E363="G",F363,0))+(S363*IF(G363="G",H363,0))</x:f>
      </x:c>
      <x:c r="Z363" s="6">
        <x:f>(S363*IF(E363="E",F363,0))+(S363*IF(G363="E",H363,0))</x:f>
      </x:c>
      <x:c r="AA363" s="6">
        <x:f>(S363*IF(E363="T",F363,0))+(S363*IF(G363="T",H363,0))</x:f>
      </x:c>
      <x:c r="AB363" s="6">
        <x:f>(S363*IF(E363="L",F363,0))+(S363*IF(G363="L",H363,0))</x:f>
      </x:c>
      <x:c r="AC363" s="6">
        <x:f>(S363*IF(E363="H",F363,0))+(S363*IF(G363="H",H363,0))</x:f>
      </x:c>
      <x:c r="AD363" s="6">
        <x:f>(S363*IF(E363="V",F363,0))+(S363*IF(G363="V",H363,0))</x:f>
      </x:c>
      <x:c r="AE363" s="6">
        <x:f>(S363*IF(E363="R",F363,0))+(S363*IF(G363="R",H363,0))</x:f>
      </x:c>
      <x:c r="AF363" s="6">
        <x:f>(S363*IF(E363="F",F363,0))+(S363*IF(G363="F",H363,0))</x:f>
      </x:c>
      <x:c r="AG363" s="6">
        <x:f>(S363*IF(E363="W",F363,0))+(S363*IF(G363="W",H363,0))</x:f>
      </x:c>
    </x:row>
    <x:row r="364">
      <x:c r="A364" s="3" t="inlineStr">
        <x:is>
          <x:t xml:space="preserve">Security</x:t>
        </x:is>
      </x:c>
      <x:c r="B364" s="3" t="inlineStr">
        <x:is>
          <x:t xml:space="preserve">SEC-D1-Q02</x:t>
        </x:is>
      </x:c>
      <x:c r="C364" s="3" t="inlineStr">
        <x:is>
          <x:t xml:space="preserve">T2</x:t>
        </x:is>
      </x:c>
      <x:c r="D364" s="3" t="inlineStr">
        <x:is>
          <x:t xml:space="preserve">1. Security Operating Model</x:t>
        </x:is>
      </x:c>
      <x:c r="E364" s="3" t="inlineStr">
        <x:is>
          <x:t xml:space="preserve">E</x:t>
        </x:is>
      </x:c>
      <x:c r="F364" s="3" t="n">
        <x:v>1</x:v>
      </x:c>
      <x:c r="G364" s="3" t="inlineStr">
        <x:is>
          <x:t xml:space="preserve"/>
        </x:is>
      </x:c>
      <x:c r="H364" s="3" t="inlineStr">
        <x:is>
          <x:t xml:space="preserve"/>
        </x:is>
      </x:c>
      <x:c r="I364" s="3" t="inlineStr">
        <x:is>
          <x:t xml:space="preserve">(Shadow probe) Even without a formal insider program, do people routinely look for unusual internal behavior in practice?</x:t>
        </x:is>
      </x:c>
      <x:c r="J364" s="3" t="inlineStr">
        <x:is>
          <x:t xml:space="preserve">Examples: sudden large downloads, unusual access to sensitive folders, repeated use of admin accounts, or data emailed to personal accounts.</x:t>
        </x:is>
      </x:c>
      <x:c r="K364" s="3" t="inlineStr">
        <x:is>
          <x:t xml:space="preserve">Shadow fallback (Then → SEC-D2-Q04)</x:t>
        </x:is>
      </x:c>
      <x:c r="L364" s="3" t="inlineStr">
        <x:is>
          <x:t xml:space="preserve">OPS_STD</x:t>
        </x:is>
      </x:c>
      <x:c r="M364" s="3" t="n">
        <x:v>1</x:v>
      </x:c>
      <x:c r="N364" s="3" t="inlineStr">
        <x:is>
          <x:t xml:space="preserve"/>
        </x:is>
      </x:c>
      <x:c r="O364" s="3" t="inlineStr">
        <x:is>
          <x:t xml:space="preserve"/>
        </x:is>
      </x:c>
      <x:c r="P364" s="3" t="inlineStr">
        <x:is>
          <x:t xml:space="preserve">SEC-D1-Q02-A1</x:t>
        </x:is>
      </x:c>
      <x:c r="Q364" s="3" t="n">
        <x:v>1</x:v>
      </x:c>
      <x:c r="R364" s="3" t="inlineStr">
        <x:is>
          <x:t xml:space="preserve">No — we focus on external threats; insiders are out of scope.</x:t>
        </x:is>
      </x:c>
      <x:c r="S364" s="3" t="n">
        <x:v>0</x:v>
      </x:c>
      <x:c r="T364" s="3" t="inlineStr">
        <x:is>
          <x:t xml:space="preserve">paper_dragon_signal</x:t>
        </x:is>
      </x:c>
      <x:c r="U364" s="3" t="inlineStr">
        <x:is>
          <x:t xml:space="preserve">Paper Dragon</x:t>
        </x:is>
      </x:c>
      <x:c r="V364" s="3" t="inlineStr">
        <x:is>
          <x:t xml:space="preserve">Build_Detection_Strategy</x:t>
        </x:is>
      </x:c>
      <x:c r="W364" s="3" t="inlineStr">
        <x:is>
          <x:t xml:space="preserve">N</x:t>
        </x:is>
      </x:c>
      <x:c r="X364" s="3" t="inlineStr">
        <x:is>
          <x:t xml:space="preserve"/>
        </x:is>
      </x:c>
      <x:c r="Y364" s="6">
        <x:f>(S364*IF(E364="G",F364,0))+(S364*IF(G364="G",H364,0))</x:f>
      </x:c>
      <x:c r="Z364" s="6">
        <x:f>(S364*IF(E364="E",F364,0))+(S364*IF(G364="E",H364,0))</x:f>
      </x:c>
      <x:c r="AA364" s="6">
        <x:f>(S364*IF(E364="T",F364,0))+(S364*IF(G364="T",H364,0))</x:f>
      </x:c>
      <x:c r="AB364" s="6">
        <x:f>(S364*IF(E364="L",F364,0))+(S364*IF(G364="L",H364,0))</x:f>
      </x:c>
      <x:c r="AC364" s="6">
        <x:f>(S364*IF(E364="H",F364,0))+(S364*IF(G364="H",H364,0))</x:f>
      </x:c>
      <x:c r="AD364" s="6">
        <x:f>(S364*IF(E364="V",F364,0))+(S364*IF(G364="V",H364,0))</x:f>
      </x:c>
      <x:c r="AE364" s="6">
        <x:f>(S364*IF(E364="R",F364,0))+(S364*IF(G364="R",H364,0))</x:f>
      </x:c>
      <x:c r="AF364" s="6">
        <x:f>(S364*IF(E364="F",F364,0))+(S364*IF(G364="F",H364,0))</x:f>
      </x:c>
      <x:c r="AG364" s="6">
        <x:f>(S364*IF(E364="W",F364,0))+(S364*IF(G364="W",H364,0))</x:f>
      </x:c>
    </x:row>
    <x:row r="365">
      <x:c r="A365" s="3" t="inlineStr">
        <x:is>
          <x:t xml:space="preserve">Security</x:t>
        </x:is>
      </x:c>
      <x:c r="B365" s="3" t="inlineStr">
        <x:is>
          <x:t xml:space="preserve">SEC-D1-Q02</x:t>
        </x:is>
      </x:c>
      <x:c r="C365" s="3" t="inlineStr">
        <x:is>
          <x:t xml:space="preserve">T2</x:t>
        </x:is>
      </x:c>
      <x:c r="D365" s="3" t="inlineStr">
        <x:is>
          <x:t xml:space="preserve">1. Security Operating Model</x:t>
        </x:is>
      </x:c>
      <x:c r="E365" s="3" t="inlineStr">
        <x:is>
          <x:t xml:space="preserve">E</x:t>
        </x:is>
      </x:c>
      <x:c r="F365" s="3" t="n">
        <x:v>1</x:v>
      </x:c>
      <x:c r="G365" s="3" t="inlineStr">
        <x:is>
          <x:t xml:space="preserve"/>
        </x:is>
      </x:c>
      <x:c r="H365" s="3" t="inlineStr">
        <x:is>
          <x:t xml:space="preserve"/>
        </x:is>
      </x:c>
      <x:c r="I365" s="3" t="inlineStr">
        <x:is>
          <x:t xml:space="preserve">(Shadow probe) Even without a formal insider program, do people routinely look for unusual internal behavior in practice?</x:t>
        </x:is>
      </x:c>
      <x:c r="J365" s="3" t="inlineStr">
        <x:is>
          <x:t xml:space="preserve">Examples: sudden large downloads, unusual access to sensitive folders, repeated use of admin accounts, or data emailed to personal accounts.</x:t>
        </x:is>
      </x:c>
      <x:c r="K365" s="3" t="inlineStr">
        <x:is>
          <x:t xml:space="preserve">Shadow fallback (Then → SEC-D2-Q04)</x:t>
        </x:is>
      </x:c>
      <x:c r="L365" s="3" t="inlineStr">
        <x:is>
          <x:t xml:space="preserve">OPS_STD</x:t>
        </x:is>
      </x:c>
      <x:c r="M365" s="3" t="n">
        <x:v>1</x:v>
      </x:c>
      <x:c r="N365" s="3" t="inlineStr">
        <x:is>
          <x:t xml:space="preserve"/>
        </x:is>
      </x:c>
      <x:c r="O365" s="3" t="inlineStr">
        <x:is>
          <x:t xml:space="preserve"/>
        </x:is>
      </x:c>
      <x:c r="P365" s="3" t="inlineStr">
        <x:is>
          <x:t xml:space="preserve">SEC-D1-Q02-A2</x:t>
        </x:is>
      </x:c>
      <x:c r="Q365" s="3" t="n">
        <x:v>2</x:v>
      </x:c>
      <x:c r="R365" s="3" t="inlineStr">
        <x:is>
          <x:t xml:space="preserve">Sometimes — a few experienced admins notice issues, but it depends on individuals.</x:t>
        </x:is>
      </x:c>
      <x:c r="S365" s="3" t="n">
        <x:v>2</x:v>
      </x:c>
      <x:c r="T365" s="3" t="inlineStr">
        <x:is>
          <x:t xml:space="preserve">shadow_mature_signal</x:t>
        </x:is>
      </x:c>
      <x:c r="U365" s="3" t="inlineStr">
        <x:is>
          <x:t xml:space="preserve">Shadow Mature</x:t>
        </x:is>
      </x:c>
      <x:c r="V365" s="3" t="inlineStr">
        <x:is>
          <x:t xml:space="preserve">Capture_Informal_Practices</x:t>
        </x:is>
      </x:c>
      <x:c r="W365" s="3" t="inlineStr">
        <x:is>
          <x:t xml:space="preserve">N</x:t>
        </x:is>
      </x:c>
      <x:c r="X365" s="3" t="inlineStr">
        <x:is>
          <x:t xml:space="preserve">Name typical signals and frequency.</x:t>
        </x:is>
      </x:c>
      <x:c r="Y365" s="6">
        <x:f>(S365*IF(E365="G",F365,0))+(S365*IF(G365="G",H365,0))</x:f>
      </x:c>
      <x:c r="Z365" s="6">
        <x:f>(S365*IF(E365="E",F365,0))+(S365*IF(G365="E",H365,0))</x:f>
      </x:c>
      <x:c r="AA365" s="6">
        <x:f>(S365*IF(E365="T",F365,0))+(S365*IF(G365="T",H365,0))</x:f>
      </x:c>
      <x:c r="AB365" s="6">
        <x:f>(S365*IF(E365="L",F365,0))+(S365*IF(G365="L",H365,0))</x:f>
      </x:c>
      <x:c r="AC365" s="6">
        <x:f>(S365*IF(E365="H",F365,0))+(S365*IF(G365="H",H365,0))</x:f>
      </x:c>
      <x:c r="AD365" s="6">
        <x:f>(S365*IF(E365="V",F365,0))+(S365*IF(G365="V",H365,0))</x:f>
      </x:c>
      <x:c r="AE365" s="6">
        <x:f>(S365*IF(E365="R",F365,0))+(S365*IF(G365="R",H365,0))</x:f>
      </x:c>
      <x:c r="AF365" s="6">
        <x:f>(S365*IF(E365="F",F365,0))+(S365*IF(G365="F",H365,0))</x:f>
      </x:c>
      <x:c r="AG365" s="6">
        <x:f>(S365*IF(E365="W",F365,0))+(S365*IF(G365="W",H365,0))</x:f>
      </x:c>
    </x:row>
    <x:row r="366">
      <x:c r="A366" s="3" t="inlineStr">
        <x:is>
          <x:t xml:space="preserve">Security</x:t>
        </x:is>
      </x:c>
      <x:c r="B366" s="3" t="inlineStr">
        <x:is>
          <x:t xml:space="preserve">SEC-D1-Q02</x:t>
        </x:is>
      </x:c>
      <x:c r="C366" s="3" t="inlineStr">
        <x:is>
          <x:t xml:space="preserve">T2</x:t>
        </x:is>
      </x:c>
      <x:c r="D366" s="3" t="inlineStr">
        <x:is>
          <x:t xml:space="preserve">1. Security Operating Model</x:t>
        </x:is>
      </x:c>
      <x:c r="E366" s="3" t="inlineStr">
        <x:is>
          <x:t xml:space="preserve">E</x:t>
        </x:is>
      </x:c>
      <x:c r="F366" s="3" t="n">
        <x:v>1</x:v>
      </x:c>
      <x:c r="G366" s="3" t="inlineStr">
        <x:is>
          <x:t xml:space="preserve"/>
        </x:is>
      </x:c>
      <x:c r="H366" s="3" t="inlineStr">
        <x:is>
          <x:t xml:space="preserve"/>
        </x:is>
      </x:c>
      <x:c r="I366" s="3" t="inlineStr">
        <x:is>
          <x:t xml:space="preserve">(Shadow probe) Even without a formal insider program, do people routinely look for unusual internal behavior in practice?</x:t>
        </x:is>
      </x:c>
      <x:c r="J366" s="3" t="inlineStr">
        <x:is>
          <x:t xml:space="preserve">Examples: sudden large downloads, unusual access to sensitive folders, repeated use of admin accounts, or data emailed to personal accounts.</x:t>
        </x:is>
      </x:c>
      <x:c r="K366" s="3" t="inlineStr">
        <x:is>
          <x:t xml:space="preserve">Shadow fallback (Then → SEC-D2-Q04)</x:t>
        </x:is>
      </x:c>
      <x:c r="L366" s="3" t="inlineStr">
        <x:is>
          <x:t xml:space="preserve">OPS_STD</x:t>
        </x:is>
      </x:c>
      <x:c r="M366" s="3" t="n">
        <x:v>1</x:v>
      </x:c>
      <x:c r="N366" s="3" t="inlineStr">
        <x:is>
          <x:t xml:space="preserve"/>
        </x:is>
      </x:c>
      <x:c r="O366" s="3" t="inlineStr">
        <x:is>
          <x:t xml:space="preserve"/>
        </x:is>
      </x:c>
      <x:c r="P366" s="3" t="inlineStr">
        <x:is>
          <x:t xml:space="preserve">SEC-D1-Q02-A3</x:t>
        </x:is>
      </x:c>
      <x:c r="Q366" s="3" t="n">
        <x:v>3</x:v>
      </x:c>
      <x:c r="R366" s="3" t="inlineStr">
        <x:is>
          <x:t xml:space="preserve">Yes — a repeatable routine exists (even if informal) for reviewing a short list of high‑risk signals.</x:t>
        </x:is>
      </x:c>
      <x:c r="S366" s="3" t="n">
        <x:v>3</x:v>
      </x:c>
      <x:c r="T366" s="3" t="inlineStr">
        <x:is>
          <x:t xml:space="preserve">shadow_mature_signal</x:t>
        </x:is>
      </x:c>
      <x:c r="U366" s="3" t="inlineStr">
        <x:is>
          <x:t xml:space="preserve">Shadow Mature</x:t>
        </x:is>
      </x:c>
      <x:c r="V366" s="3" t="inlineStr">
        <x:is>
          <x:t xml:space="preserve">Align_Policy_To_Reality</x:t>
        </x:is>
      </x:c>
      <x:c r="W366" s="3" t="inlineStr">
        <x:is>
          <x:t xml:space="preserve">Y</x:t>
        </x:is>
      </x:c>
      <x:c r="X366" s="3" t="inlineStr">
        <x:is>
          <x:t xml:space="preserve">Short list of signals + example review note.</x:t>
        </x:is>
      </x:c>
      <x:c r="Y366" s="6">
        <x:f>(S366*IF(E366="G",F366,0))+(S366*IF(G366="G",H366,0))</x:f>
      </x:c>
      <x:c r="Z366" s="6">
        <x:f>(S366*IF(E366="E",F366,0))+(S366*IF(G366="E",H366,0))</x:f>
      </x:c>
      <x:c r="AA366" s="6">
        <x:f>(S366*IF(E366="T",F366,0))+(S366*IF(G366="T",H366,0))</x:f>
      </x:c>
      <x:c r="AB366" s="6">
        <x:f>(S366*IF(E366="L",F366,0))+(S366*IF(G366="L",H366,0))</x:f>
      </x:c>
      <x:c r="AC366" s="6">
        <x:f>(S366*IF(E366="H",F366,0))+(S366*IF(G366="H",H366,0))</x:f>
      </x:c>
      <x:c r="AD366" s="6">
        <x:f>(S366*IF(E366="V",F366,0))+(S366*IF(G366="V",H366,0))</x:f>
      </x:c>
      <x:c r="AE366" s="6">
        <x:f>(S366*IF(E366="R",F366,0))+(S366*IF(G366="R",H366,0))</x:f>
      </x:c>
      <x:c r="AF366" s="6">
        <x:f>(S366*IF(E366="F",F366,0))+(S366*IF(G366="F",H366,0))</x:f>
      </x:c>
      <x:c r="AG366" s="6">
        <x:f>(S366*IF(E366="W",F366,0))+(S366*IF(G366="W",H366,0))</x:f>
      </x:c>
    </x:row>
    <x:row r="367">
      <x:c r="A367" s="3" t="inlineStr">
        <x:is>
          <x:t xml:space="preserve">Security</x:t>
        </x:is>
      </x:c>
      <x:c r="B367" s="3" t="inlineStr">
        <x:is>
          <x:t xml:space="preserve">SEC-D1-Q03</x:t>
        </x:is>
      </x:c>
      <x:c r="C367" s="3" t="inlineStr">
        <x:is>
          <x:t xml:space="preserve">T2</x:t>
        </x:is>
      </x:c>
      <x:c r="D367" s="3" t="inlineStr">
        <x:is>
          <x:t xml:space="preserve">1. Security Operating Model</x:t>
        </x:is>
      </x:c>
      <x:c r="E367" s="3" t="inlineStr">
        <x:is>
          <x:t xml:space="preserve">E</x:t>
        </x:is>
      </x:c>
      <x:c r="F367" s="3" t="n">
        <x:v>0.6</x:v>
      </x:c>
      <x:c r="G367" s="3" t="inlineStr">
        <x:is>
          <x:t xml:space="preserve">R</x:t>
        </x:is>
      </x:c>
      <x:c r="H367" s="3" t="n">
        <x:v>0.4</x:v>
      </x:c>
      <x:c r="I367" s="3" t="inlineStr">
        <x:is>
          <x:t xml:space="preserve">Do you have a documented triage workflow for potential insider cases (from alert → decision → escalation)?</x:t>
        </x:is>
      </x:c>
      <x:c r="J367" s="3" t="inlineStr">
        <x:is>
          <x:t xml:space="preserve">A workflow can be a runbook/playbook/SOP. It should clarify who reviews, what evidence is needed, and when to involve HR/Legal/Privacy.</x:t>
        </x:is>
      </x:c>
      <x:c r="K367" s="3" t="inlineStr">
        <x:is>
          <x:t xml:space="preserve">Drill-down</x:t>
        </x:is>
      </x:c>
      <x:c r="L367" s="3" t="inlineStr">
        <x:is>
          <x:t xml:space="preserve">OPS_STD</x:t>
        </x:is>
      </x:c>
      <x:c r="M367" s="3" t="n">
        <x:v>1.2</x:v>
      </x:c>
      <x:c r="N367" s="3" t="n">
        <x:v>0.5</x:v>
      </x:c>
      <x:c r="O367" s="3" t="inlineStr">
        <x:is>
          <x:t xml:space="preserve"/>
        </x:is>
      </x:c>
      <x:c r="P367" s="3" t="inlineStr">
        <x:is>
          <x:t xml:space="preserve">SEC-D1-Q03-A1</x:t>
        </x:is>
      </x:c>
      <x:c r="Q367" s="3" t="n">
        <x:v>1</x:v>
      </x:c>
      <x:c r="R367" s="3" t="inlineStr">
        <x:is>
          <x:t xml:space="preserve">No workflow; decisions are improvised each time.</x:t>
        </x:is>
      </x:c>
      <x:c r="S367" s="3" t="n">
        <x:v>0</x:v>
      </x:c>
      <x:c r="T367" s="3" t="inlineStr">
        <x:is>
          <x:t xml:space="preserve"/>
        </x:is>
      </x:c>
      <x:c r="U367" s="3" t="inlineStr">
        <x:is>
          <x:t xml:space="preserve">Operating Model Gap</x:t>
        </x:is>
      </x:c>
      <x:c r="V367" s="3" t="inlineStr">
        <x:is>
          <x:t xml:space="preserve">Assess_Case_Model</x:t>
        </x:is>
      </x:c>
      <x:c r="W367" s="3" t="inlineStr">
        <x:is>
          <x:t xml:space="preserve">N</x:t>
        </x:is>
      </x:c>
      <x:c r="X367" s="3" t="inlineStr">
        <x:is>
          <x:t xml:space="preserve"/>
        </x:is>
      </x:c>
      <x:c r="Y367" s="6">
        <x:f>(S367*IF(E367="G",F367,0))+(S367*IF(G367="G",H367,0))</x:f>
      </x:c>
      <x:c r="Z367" s="6">
        <x:f>(S367*IF(E367="E",F367,0))+(S367*IF(G367="E",H367,0))</x:f>
      </x:c>
      <x:c r="AA367" s="6">
        <x:f>(S367*IF(E367="T",F367,0))+(S367*IF(G367="T",H367,0))</x:f>
      </x:c>
      <x:c r="AB367" s="6">
        <x:f>(S367*IF(E367="L",F367,0))+(S367*IF(G367="L",H367,0))</x:f>
      </x:c>
      <x:c r="AC367" s="6">
        <x:f>(S367*IF(E367="H",F367,0))+(S367*IF(G367="H",H367,0))</x:f>
      </x:c>
      <x:c r="AD367" s="6">
        <x:f>(S367*IF(E367="V",F367,0))+(S367*IF(G367="V",H367,0))</x:f>
      </x:c>
      <x:c r="AE367" s="6">
        <x:f>(S367*IF(E367="R",F367,0))+(S367*IF(G367="R",H367,0))</x:f>
      </x:c>
      <x:c r="AF367" s="6">
        <x:f>(S367*IF(E367="F",F367,0))+(S367*IF(G367="F",H367,0))</x:f>
      </x:c>
      <x:c r="AG367" s="6">
        <x:f>(S367*IF(E367="W",F367,0))+(S367*IF(G367="W",H367,0))</x:f>
      </x:c>
    </x:row>
    <x:row r="368">
      <x:c r="A368" s="3" t="inlineStr">
        <x:is>
          <x:t xml:space="preserve">Security</x:t>
        </x:is>
      </x:c>
      <x:c r="B368" s="3" t="inlineStr">
        <x:is>
          <x:t xml:space="preserve">SEC-D1-Q03</x:t>
        </x:is>
      </x:c>
      <x:c r="C368" s="3" t="inlineStr">
        <x:is>
          <x:t xml:space="preserve">T2</x:t>
        </x:is>
      </x:c>
      <x:c r="D368" s="3" t="inlineStr">
        <x:is>
          <x:t xml:space="preserve">1. Security Operating Model</x:t>
        </x:is>
      </x:c>
      <x:c r="E368" s="3" t="inlineStr">
        <x:is>
          <x:t xml:space="preserve">E</x:t>
        </x:is>
      </x:c>
      <x:c r="F368" s="3" t="n">
        <x:v>0.6</x:v>
      </x:c>
      <x:c r="G368" s="3" t="inlineStr">
        <x:is>
          <x:t xml:space="preserve">R</x:t>
        </x:is>
      </x:c>
      <x:c r="H368" s="3" t="n">
        <x:v>0.4</x:v>
      </x:c>
      <x:c r="I368" s="3" t="inlineStr">
        <x:is>
          <x:t xml:space="preserve">Do you have a documented triage workflow for potential insider cases (from alert → decision → escalation)?</x:t>
        </x:is>
      </x:c>
      <x:c r="J368" s="3" t="inlineStr">
        <x:is>
          <x:t xml:space="preserve">A workflow can be a runbook/playbook/SOP. It should clarify who reviews, what evidence is needed, and when to involve HR/Legal/Privacy.</x:t>
        </x:is>
      </x:c>
      <x:c r="K368" s="3" t="inlineStr">
        <x:is>
          <x:t xml:space="preserve">Drill-down</x:t>
        </x:is>
      </x:c>
      <x:c r="L368" s="3" t="inlineStr">
        <x:is>
          <x:t xml:space="preserve">OPS_STD</x:t>
        </x:is>
      </x:c>
      <x:c r="M368" s="3" t="n">
        <x:v>1.2</x:v>
      </x:c>
      <x:c r="N368" s="3" t="n">
        <x:v>0.5</x:v>
      </x:c>
      <x:c r="O368" s="3" t="inlineStr">
        <x:is>
          <x:t xml:space="preserve"/>
        </x:is>
      </x:c>
      <x:c r="P368" s="3" t="inlineStr">
        <x:is>
          <x:t xml:space="preserve">SEC-D1-Q03-A2</x:t>
        </x:is>
      </x:c>
      <x:c r="Q368" s="3" t="n">
        <x:v>2</x:v>
      </x:c>
      <x:c r="R368" s="3" t="inlineStr">
        <x:is>
          <x:t xml:space="preserve">Some notes exist, but they are outdated or rarely followed.</x:t>
        </x:is>
      </x:c>
      <x:c r="S368" s="3" t="n">
        <x:v>1</x:v>
      </x:c>
      <x:c r="T368" s="3" t="inlineStr">
        <x:is>
          <x:t xml:space="preserve">paper_dragon_signal</x:t>
        </x:is>
      </x:c>
      <x:c r="U368" s="3" t="inlineStr">
        <x:is>
          <x:t xml:space="preserve">Paper Dragon</x:t>
        </x:is>
      </x:c>
      <x:c r="V368" s="3" t="inlineStr">
        <x:is>
          <x:t xml:space="preserve">Align_Policy_To_Reality</x:t>
        </x:is>
      </x:c>
      <x:c r="W368" s="3" t="inlineStr">
        <x:is>
          <x:t xml:space="preserve">N</x:t>
        </x:is>
      </x:c>
      <x:c r="X368" s="3" t="inlineStr">
        <x:is>
          <x:t xml:space="preserve"/>
        </x:is>
      </x:c>
      <x:c r="Y368" s="6">
        <x:f>(S368*IF(E368="G",F368,0))+(S368*IF(G368="G",H368,0))</x:f>
      </x:c>
      <x:c r="Z368" s="6">
        <x:f>(S368*IF(E368="E",F368,0))+(S368*IF(G368="E",H368,0))</x:f>
      </x:c>
      <x:c r="AA368" s="6">
        <x:f>(S368*IF(E368="T",F368,0))+(S368*IF(G368="T",H368,0))</x:f>
      </x:c>
      <x:c r="AB368" s="6">
        <x:f>(S368*IF(E368="L",F368,0))+(S368*IF(G368="L",H368,0))</x:f>
      </x:c>
      <x:c r="AC368" s="6">
        <x:f>(S368*IF(E368="H",F368,0))+(S368*IF(G368="H",H368,0))</x:f>
      </x:c>
      <x:c r="AD368" s="6">
        <x:f>(S368*IF(E368="V",F368,0))+(S368*IF(G368="V",H368,0))</x:f>
      </x:c>
      <x:c r="AE368" s="6">
        <x:f>(S368*IF(E368="R",F368,0))+(S368*IF(G368="R",H368,0))</x:f>
      </x:c>
      <x:c r="AF368" s="6">
        <x:f>(S368*IF(E368="F",F368,0))+(S368*IF(G368="F",H368,0))</x:f>
      </x:c>
      <x:c r="AG368" s="6">
        <x:f>(S368*IF(E368="W",F368,0))+(S368*IF(G368="W",H368,0))</x:f>
      </x:c>
    </x:row>
    <x:row r="369">
      <x:c r="A369" s="3" t="inlineStr">
        <x:is>
          <x:t xml:space="preserve">Security</x:t>
        </x:is>
      </x:c>
      <x:c r="B369" s="3" t="inlineStr">
        <x:is>
          <x:t xml:space="preserve">SEC-D1-Q03</x:t>
        </x:is>
      </x:c>
      <x:c r="C369" s="3" t="inlineStr">
        <x:is>
          <x:t xml:space="preserve">T2</x:t>
        </x:is>
      </x:c>
      <x:c r="D369" s="3" t="inlineStr">
        <x:is>
          <x:t xml:space="preserve">1. Security Operating Model</x:t>
        </x:is>
      </x:c>
      <x:c r="E369" s="3" t="inlineStr">
        <x:is>
          <x:t xml:space="preserve">E</x:t>
        </x:is>
      </x:c>
      <x:c r="F369" s="3" t="n">
        <x:v>0.6</x:v>
      </x:c>
      <x:c r="G369" s="3" t="inlineStr">
        <x:is>
          <x:t xml:space="preserve">R</x:t>
        </x:is>
      </x:c>
      <x:c r="H369" s="3" t="n">
        <x:v>0.4</x:v>
      </x:c>
      <x:c r="I369" s="3" t="inlineStr">
        <x:is>
          <x:t xml:space="preserve">Do you have a documented triage workflow for potential insider cases (from alert → decision → escalation)?</x:t>
        </x:is>
      </x:c>
      <x:c r="J369" s="3" t="inlineStr">
        <x:is>
          <x:t xml:space="preserve">A workflow can be a runbook/playbook/SOP. It should clarify who reviews, what evidence is needed, and when to involve HR/Legal/Privacy.</x:t>
        </x:is>
      </x:c>
      <x:c r="K369" s="3" t="inlineStr">
        <x:is>
          <x:t xml:space="preserve">Drill-down</x:t>
        </x:is>
      </x:c>
      <x:c r="L369" s="3" t="inlineStr">
        <x:is>
          <x:t xml:space="preserve">OPS_STD</x:t>
        </x:is>
      </x:c>
      <x:c r="M369" s="3" t="n">
        <x:v>1.2</x:v>
      </x:c>
      <x:c r="N369" s="3" t="n">
        <x:v>0.5</x:v>
      </x:c>
      <x:c r="O369" s="3" t="inlineStr">
        <x:is>
          <x:t xml:space="preserve"/>
        </x:is>
      </x:c>
      <x:c r="P369" s="3" t="inlineStr">
        <x:is>
          <x:t xml:space="preserve">SEC-D1-Q03-A3</x:t>
        </x:is>
      </x:c>
      <x:c r="Q369" s="3" t="n">
        <x:v>3</x:v>
      </x:c>
      <x:c r="R369" s="3" t="inlineStr">
        <x:is>
          <x:t xml:space="preserve">Workflow exists and is used for most cases, but cross‑functional steps are unclear.</x:t>
        </x:is>
      </x:c>
      <x:c r="S369" s="3" t="n">
        <x:v>2</x:v>
      </x:c>
      <x:c r="T369" s="3" t="inlineStr">
        <x:is>
          <x:t xml:space="preserve"/>
        </x:is>
      </x:c>
      <x:c r="U369" s="3" t="inlineStr">
        <x:is>
          <x:t xml:space="preserve">Operating Model Gap</x:t>
        </x:is>
      </x:c>
      <x:c r="V369" s="3" t="inlineStr">
        <x:is>
          <x:t xml:space="preserve">Assess_Case_Model</x:t>
        </x:is>
      </x:c>
      <x:c r="W369" s="3" t="inlineStr">
        <x:is>
          <x:t xml:space="preserve">Y</x:t>
        </x:is>
      </x:c>
      <x:c r="X369" s="3" t="inlineStr">
        <x:is>
          <x:t xml:space="preserve">Workflow + 1 recent example case (redacted).</x:t>
        </x:is>
      </x:c>
      <x:c r="Y369" s="6">
        <x:f>(S369*IF(E369="G",F369,0))+(S369*IF(G369="G",H369,0))</x:f>
      </x:c>
      <x:c r="Z369" s="6">
        <x:f>(S369*IF(E369="E",F369,0))+(S369*IF(G369="E",H369,0))</x:f>
      </x:c>
      <x:c r="AA369" s="6">
        <x:f>(S369*IF(E369="T",F369,0))+(S369*IF(G369="T",H369,0))</x:f>
      </x:c>
      <x:c r="AB369" s="6">
        <x:f>(S369*IF(E369="L",F369,0))+(S369*IF(G369="L",H369,0))</x:f>
      </x:c>
      <x:c r="AC369" s="6">
        <x:f>(S369*IF(E369="H",F369,0))+(S369*IF(G369="H",H369,0))</x:f>
      </x:c>
      <x:c r="AD369" s="6">
        <x:f>(S369*IF(E369="V",F369,0))+(S369*IF(G369="V",H369,0))</x:f>
      </x:c>
      <x:c r="AE369" s="6">
        <x:f>(S369*IF(E369="R",F369,0))+(S369*IF(G369="R",H369,0))</x:f>
      </x:c>
      <x:c r="AF369" s="6">
        <x:f>(S369*IF(E369="F",F369,0))+(S369*IF(G369="F",H369,0))</x:f>
      </x:c>
      <x:c r="AG369" s="6">
        <x:f>(S369*IF(E369="W",F369,0))+(S369*IF(G369="W",H369,0))</x:f>
      </x:c>
    </x:row>
    <x:row r="370">
      <x:c r="A370" s="3" t="inlineStr">
        <x:is>
          <x:t xml:space="preserve">Security</x:t>
        </x:is>
      </x:c>
      <x:c r="B370" s="3" t="inlineStr">
        <x:is>
          <x:t xml:space="preserve">SEC-D1-Q03</x:t>
        </x:is>
      </x:c>
      <x:c r="C370" s="3" t="inlineStr">
        <x:is>
          <x:t xml:space="preserve">T2</x:t>
        </x:is>
      </x:c>
      <x:c r="D370" s="3" t="inlineStr">
        <x:is>
          <x:t xml:space="preserve">1. Security Operating Model</x:t>
        </x:is>
      </x:c>
      <x:c r="E370" s="3" t="inlineStr">
        <x:is>
          <x:t xml:space="preserve">E</x:t>
        </x:is>
      </x:c>
      <x:c r="F370" s="3" t="n">
        <x:v>0.6</x:v>
      </x:c>
      <x:c r="G370" s="3" t="inlineStr">
        <x:is>
          <x:t xml:space="preserve">R</x:t>
        </x:is>
      </x:c>
      <x:c r="H370" s="3" t="n">
        <x:v>0.4</x:v>
      </x:c>
      <x:c r="I370" s="3" t="inlineStr">
        <x:is>
          <x:t xml:space="preserve">Do you have a documented triage workflow for potential insider cases (from alert → decision → escalation)?</x:t>
        </x:is>
      </x:c>
      <x:c r="J370" s="3" t="inlineStr">
        <x:is>
          <x:t xml:space="preserve">A workflow can be a runbook/playbook/SOP. It should clarify who reviews, what evidence is needed, and when to involve HR/Legal/Privacy.</x:t>
        </x:is>
      </x:c>
      <x:c r="K370" s="3" t="inlineStr">
        <x:is>
          <x:t xml:space="preserve">Drill-down</x:t>
        </x:is>
      </x:c>
      <x:c r="L370" s="3" t="inlineStr">
        <x:is>
          <x:t xml:space="preserve">OPS_STD</x:t>
        </x:is>
      </x:c>
      <x:c r="M370" s="3" t="n">
        <x:v>1.2</x:v>
      </x:c>
      <x:c r="N370" s="3" t="n">
        <x:v>0.5</x:v>
      </x:c>
      <x:c r="O370" s="3" t="inlineStr">
        <x:is>
          <x:t xml:space="preserve"/>
        </x:is>
      </x:c>
      <x:c r="P370" s="3" t="inlineStr">
        <x:is>
          <x:t xml:space="preserve">SEC-D1-Q03-A4</x:t>
        </x:is>
      </x:c>
      <x:c r="Q370" s="3" t="n">
        <x:v>4</x:v>
      </x:c>
      <x:c r="R370" s="3" t="inlineStr">
        <x:is>
          <x:t xml:space="preserve">Workflow is documented, trained, and includes clear HR/Legal touchpoints and time targets.</x:t>
        </x:is>
      </x:c>
      <x:c r="S370" s="3" t="n">
        <x:v>3</x:v>
      </x:c>
      <x:c r="T370" s="3" t="inlineStr">
        <x:is>
          <x:t xml:space="preserve"/>
        </x:is>
      </x:c>
      <x:c r="U370" s="3" t="inlineStr">
        <x:is>
          <x:t xml:space="preserve">Resilience Gap</x:t>
        </x:is>
      </x:c>
      <x:c r="V370" s="3" t="inlineStr">
        <x:is>
          <x:t xml:space="preserve">Insider_Playbooks</x:t>
        </x:is>
      </x:c>
      <x:c r="W370" s="3" t="inlineStr">
        <x:is>
          <x:t xml:space="preserve">Y</x:t>
        </x:is>
      </x:c>
      <x:c r="X370" s="3" t="inlineStr">
        <x:is>
          <x:t xml:space="preserve">Workflow + training record + sample case.</x:t>
        </x:is>
      </x:c>
      <x:c r="Y370" s="6">
        <x:f>(S370*IF(E370="G",F370,0))+(S370*IF(G370="G",H370,0))</x:f>
      </x:c>
      <x:c r="Z370" s="6">
        <x:f>(S370*IF(E370="E",F370,0))+(S370*IF(G370="E",H370,0))</x:f>
      </x:c>
      <x:c r="AA370" s="6">
        <x:f>(S370*IF(E370="T",F370,0))+(S370*IF(G370="T",H370,0))</x:f>
      </x:c>
      <x:c r="AB370" s="6">
        <x:f>(S370*IF(E370="L",F370,0))+(S370*IF(G370="L",H370,0))</x:f>
      </x:c>
      <x:c r="AC370" s="6">
        <x:f>(S370*IF(E370="H",F370,0))+(S370*IF(G370="H",H370,0))</x:f>
      </x:c>
      <x:c r="AD370" s="6">
        <x:f>(S370*IF(E370="V",F370,0))+(S370*IF(G370="V",H370,0))</x:f>
      </x:c>
      <x:c r="AE370" s="6">
        <x:f>(S370*IF(E370="R",F370,0))+(S370*IF(G370="R",H370,0))</x:f>
      </x:c>
      <x:c r="AF370" s="6">
        <x:f>(S370*IF(E370="F",F370,0))+(S370*IF(G370="F",H370,0))</x:f>
      </x:c>
      <x:c r="AG370" s="6">
        <x:f>(S370*IF(E370="W",F370,0))+(S370*IF(G370="W",H370,0))</x:f>
      </x:c>
    </x:row>
    <x:row r="371">
      <x:c r="A371" s="3" t="inlineStr">
        <x:is>
          <x:t xml:space="preserve">Security</x:t>
        </x:is>
      </x:c>
      <x:c r="B371" s="3" t="inlineStr">
        <x:is>
          <x:t xml:space="preserve">SEC-D1-Q03</x:t>
        </x:is>
      </x:c>
      <x:c r="C371" s="3" t="inlineStr">
        <x:is>
          <x:t xml:space="preserve">T2</x:t>
        </x:is>
      </x:c>
      <x:c r="D371" s="3" t="inlineStr">
        <x:is>
          <x:t xml:space="preserve">1. Security Operating Model</x:t>
        </x:is>
      </x:c>
      <x:c r="E371" s="3" t="inlineStr">
        <x:is>
          <x:t xml:space="preserve">E</x:t>
        </x:is>
      </x:c>
      <x:c r="F371" s="3" t="n">
        <x:v>0.6</x:v>
      </x:c>
      <x:c r="G371" s="3" t="inlineStr">
        <x:is>
          <x:t xml:space="preserve">R</x:t>
        </x:is>
      </x:c>
      <x:c r="H371" s="3" t="n">
        <x:v>0.4</x:v>
      </x:c>
      <x:c r="I371" s="3" t="inlineStr">
        <x:is>
          <x:t xml:space="preserve">Do you have a documented triage workflow for potential insider cases (from alert → decision → escalation)?</x:t>
        </x:is>
      </x:c>
      <x:c r="J371" s="3" t="inlineStr">
        <x:is>
          <x:t xml:space="preserve">A workflow can be a runbook/playbook/SOP. It should clarify who reviews, what evidence is needed, and when to involve HR/Legal/Privacy.</x:t>
        </x:is>
      </x:c>
      <x:c r="K371" s="3" t="inlineStr">
        <x:is>
          <x:t xml:space="preserve">Drill-down</x:t>
        </x:is>
      </x:c>
      <x:c r="L371" s="3" t="inlineStr">
        <x:is>
          <x:t xml:space="preserve">OPS_STD</x:t>
        </x:is>
      </x:c>
      <x:c r="M371" s="3" t="n">
        <x:v>1.2</x:v>
      </x:c>
      <x:c r="N371" s="3" t="n">
        <x:v>0.5</x:v>
      </x:c>
      <x:c r="O371" s="3" t="inlineStr">
        <x:is>
          <x:t xml:space="preserve"/>
        </x:is>
      </x:c>
      <x:c r="P371" s="3" t="inlineStr">
        <x:is>
          <x:t xml:space="preserve">SEC-D1-Q03-A5</x:t>
        </x:is>
      </x:c>
      <x:c r="Q371" s="3" t="n">
        <x:v>5</x:v>
      </x:c>
      <x:c r="R371" s="3" t="inlineStr">
        <x:is>
          <x:t xml:space="preserve">Workflow is integrated into case management with metrics and periodic quality reviews.</x:t>
        </x:is>
      </x:c>
      <x:c r="S371" s="3" t="n">
        <x:v>4</x:v>
      </x:c>
      <x:c r="T371" s="3" t="inlineStr">
        <x:is>
          <x:t xml:space="preserve"/>
        </x:is>
      </x:c>
      <x:c r="U371" s="3" t="inlineStr">
        <x:is>
          <x:t xml:space="preserve">Resilience Gap</x:t>
        </x:is>
      </x:c>
      <x:c r="V371" s="3" t="inlineStr">
        <x:is>
          <x:t xml:space="preserve">Improve_Metrics</x:t>
        </x:is>
      </x:c>
      <x:c r="W371" s="3" t="inlineStr">
        <x:is>
          <x:t xml:space="preserve">Y</x:t>
        </x:is>
      </x:c>
      <x:c r="X371" s="3" t="inlineStr">
        <x:is>
          <x:t xml:space="preserve">Dashboard screenshot (redacted).</x:t>
        </x:is>
      </x:c>
      <x:c r="Y371" s="6">
        <x:f>(S371*IF(E371="G",F371,0))+(S371*IF(G371="G",H371,0))</x:f>
      </x:c>
      <x:c r="Z371" s="6">
        <x:f>(S371*IF(E371="E",F371,0))+(S371*IF(G371="E",H371,0))</x:f>
      </x:c>
      <x:c r="AA371" s="6">
        <x:f>(S371*IF(E371="T",F371,0))+(S371*IF(G371="T",H371,0))</x:f>
      </x:c>
      <x:c r="AB371" s="6">
        <x:f>(S371*IF(E371="L",F371,0))+(S371*IF(G371="L",H371,0))</x:f>
      </x:c>
      <x:c r="AC371" s="6">
        <x:f>(S371*IF(E371="H",F371,0))+(S371*IF(G371="H",H371,0))</x:f>
      </x:c>
      <x:c r="AD371" s="6">
        <x:f>(S371*IF(E371="V",F371,0))+(S371*IF(G371="V",H371,0))</x:f>
      </x:c>
      <x:c r="AE371" s="6">
        <x:f>(S371*IF(E371="R",F371,0))+(S371*IF(G371="R",H371,0))</x:f>
      </x:c>
      <x:c r="AF371" s="6">
        <x:f>(S371*IF(E371="F",F371,0))+(S371*IF(G371="F",H371,0))</x:f>
      </x:c>
      <x:c r="AG371" s="6">
        <x:f>(S371*IF(E371="W",F371,0))+(S371*IF(G371="W",H371,0))</x:f>
      </x:c>
    </x:row>
    <x:row r="372">
      <x:c r="A372" s="3" t="inlineStr">
        <x:is>
          <x:t xml:space="preserve">Security</x:t>
        </x:is>
      </x:c>
      <x:c r="B372" s="3" t="inlineStr">
        <x:is>
          <x:t xml:space="preserve">SEC-D2-Q04</x:t>
        </x:is>
      </x:c>
      <x:c r="C372" s="3" t="inlineStr">
        <x:is>
          <x:t xml:space="preserve">T1</x:t>
        </x:is>
      </x:c>
      <x:c r="D372" s="3" t="inlineStr">
        <x:is>
          <x:t xml:space="preserve">2. Monitoring Coverage &amp; Logging</x:t>
        </x:is>
      </x:c>
      <x:c r="E372" s="3" t="inlineStr">
        <x:is>
          <x:t xml:space="preserve">T</x:t>
        </x:is>
      </x:c>
      <x:c r="F372" s="3" t="n">
        <x:v>0.6</x:v>
      </x:c>
      <x:c r="G372" s="3" t="inlineStr">
        <x:is>
          <x:t xml:space="preserve">V</x:t>
        </x:is>
      </x:c>
      <x:c r="H372" s="3" t="n">
        <x:v>0.4</x:v>
      </x:c>
      <x:c r="I372" s="3" t="inlineStr">
        <x:is>
          <x:t xml:space="preserve">Do you collect and retain logs for the systems where the most sensitive data is stored/shared (e.g., email, file shares, cloud storage)?</x:t>
        </x:is>
      </x:c>
      <x:c r="J372" s="3" t="inlineStr">
        <x:is>
          <x:t xml:space="preserve">You don't need perfect coverage. We are checking whether you can reconstruct what happened on the systems that matter most.</x:t>
        </x:is>
      </x:c>
      <x:c r="K372" s="3" t="inlineStr">
        <x:is>
          <x:t xml:space="preserve">Gatekeeper (If BaseScore &lt;2 → SEC-D2-Q05; If ≥2 → SEC-D2-Q06)</x:t>
        </x:is>
      </x:c>
      <x:c r="L372" s="3" t="inlineStr">
        <x:is>
          <x:t xml:space="preserve">RISK_STD</x:t>
        </x:is>
      </x:c>
      <x:c r="M372" s="3" t="n">
        <x:v>1.5</x:v>
      </x:c>
      <x:c r="N372" s="3" t="n">
        <x:v>0.5</x:v>
      </x:c>
      <x:c r="O372" s="3" t="inlineStr">
        <x:is>
          <x:t xml:space="preserve"/>
        </x:is>
      </x:c>
      <x:c r="P372" s="3" t="inlineStr">
        <x:is>
          <x:t xml:space="preserve">SEC-D2-Q04-A0</x:t>
        </x:is>
      </x:c>
      <x:c r="Q372" s="3" t="n">
        <x:v>1</x:v>
      </x:c>
      <x:c r="R372" s="3" t="inlineStr">
        <x:is>
          <x:t xml:space="preserve">I don't know / not sure.</x:t>
        </x:is>
      </x:c>
      <x:c r="S372" s="3" t="n">
        <x:v>0</x:v>
      </x:c>
      <x:c r="T372" s="3" t="inlineStr">
        <x:is>
          <x:t xml:space="preserve">unknown</x:t>
        </x:is>
      </x:c>
      <x:c r="U372" s="3" t="inlineStr">
        <x:is>
          <x:t xml:space="preserve">Unknown</x:t>
        </x:is>
      </x:c>
      <x:c r="V372" s="3" t="inlineStr">
        <x:is>
          <x:t xml:space="preserve">Improve_Visibility</x:t>
        </x:is>
      </x:c>
      <x:c r="W372" s="3" t="inlineStr">
        <x:is>
          <x:t xml:space="preserve">N</x:t>
        </x:is>
      </x:c>
      <x:c r="X372" s="3" t="inlineStr">
        <x:is>
          <x:t xml:space="preserve"/>
        </x:is>
      </x:c>
      <x:c r="Y372" s="6">
        <x:f>(S372*IF(E372="G",F372,0))+(S372*IF(G372="G",H372,0))</x:f>
      </x:c>
      <x:c r="Z372" s="6">
        <x:f>(S372*IF(E372="E",F372,0))+(S372*IF(G372="E",H372,0))</x:f>
      </x:c>
      <x:c r="AA372" s="6">
        <x:f>(S372*IF(E372="T",F372,0))+(S372*IF(G372="T",H372,0))</x:f>
      </x:c>
      <x:c r="AB372" s="6">
        <x:f>(S372*IF(E372="L",F372,0))+(S372*IF(G372="L",H372,0))</x:f>
      </x:c>
      <x:c r="AC372" s="6">
        <x:f>(S372*IF(E372="H",F372,0))+(S372*IF(G372="H",H372,0))</x:f>
      </x:c>
      <x:c r="AD372" s="6">
        <x:f>(S372*IF(E372="V",F372,0))+(S372*IF(G372="V",H372,0))</x:f>
      </x:c>
      <x:c r="AE372" s="6">
        <x:f>(S372*IF(E372="R",F372,0))+(S372*IF(G372="R",H372,0))</x:f>
      </x:c>
      <x:c r="AF372" s="6">
        <x:f>(S372*IF(E372="F",F372,0))+(S372*IF(G372="F",H372,0))</x:f>
      </x:c>
      <x:c r="AG372" s="6">
        <x:f>(S372*IF(E372="W",F372,0))+(S372*IF(G372="W",H372,0))</x:f>
      </x:c>
    </x:row>
    <x:row r="373">
      <x:c r="A373" s="3" t="inlineStr">
        <x:is>
          <x:t xml:space="preserve">Security</x:t>
        </x:is>
      </x:c>
      <x:c r="B373" s="3" t="inlineStr">
        <x:is>
          <x:t xml:space="preserve">SEC-D2-Q04</x:t>
        </x:is>
      </x:c>
      <x:c r="C373" s="3" t="inlineStr">
        <x:is>
          <x:t xml:space="preserve">T1</x:t>
        </x:is>
      </x:c>
      <x:c r="D373" s="3" t="inlineStr">
        <x:is>
          <x:t xml:space="preserve">2. Monitoring Coverage &amp; Logging</x:t>
        </x:is>
      </x:c>
      <x:c r="E373" s="3" t="inlineStr">
        <x:is>
          <x:t xml:space="preserve">T</x:t>
        </x:is>
      </x:c>
      <x:c r="F373" s="3" t="n">
        <x:v>0.6</x:v>
      </x:c>
      <x:c r="G373" s="3" t="inlineStr">
        <x:is>
          <x:t xml:space="preserve">V</x:t>
        </x:is>
      </x:c>
      <x:c r="H373" s="3" t="n">
        <x:v>0.4</x:v>
      </x:c>
      <x:c r="I373" s="3" t="inlineStr">
        <x:is>
          <x:t xml:space="preserve">Do you collect and retain logs for the systems where the most sensitive data is stored/shared (e.g., email, file shares, cloud storage)?</x:t>
        </x:is>
      </x:c>
      <x:c r="J373" s="3" t="inlineStr">
        <x:is>
          <x:t xml:space="preserve">You don't need perfect coverage. We are checking whether you can reconstruct what happened on the systems that matter most.</x:t>
        </x:is>
      </x:c>
      <x:c r="K373" s="3" t="inlineStr">
        <x:is>
          <x:t xml:space="preserve">Gatekeeper (If BaseScore &lt;2 → SEC-D2-Q05; If ≥2 → SEC-D2-Q06)</x:t>
        </x:is>
      </x:c>
      <x:c r="L373" s="3" t="inlineStr">
        <x:is>
          <x:t xml:space="preserve">RISK_STD</x:t>
        </x:is>
      </x:c>
      <x:c r="M373" s="3" t="n">
        <x:v>1.5</x:v>
      </x:c>
      <x:c r="N373" s="3" t="n">
        <x:v>0.5</x:v>
      </x:c>
      <x:c r="O373" s="3" t="inlineStr">
        <x:is>
          <x:t xml:space="preserve"/>
        </x:is>
      </x:c>
      <x:c r="P373" s="3" t="inlineStr">
        <x:is>
          <x:t xml:space="preserve">SEC-D2-Q04-A1</x:t>
        </x:is>
      </x:c>
      <x:c r="Q373" s="3" t="n">
        <x:v>2</x:v>
      </x:c>
      <x:c r="R373" s="3" t="inlineStr">
        <x:is>
          <x:t xml:space="preserve">No — we cannot reliably see access/sharing for key systems.</x:t>
        </x:is>
      </x:c>
      <x:c r="S373" s="3" t="n">
        <x:v>0</x:v>
      </x:c>
      <x:c r="T373" s="3" t="inlineStr">
        <x:is>
          <x:t xml:space="preserve">visibility_gap</x:t>
        </x:is>
      </x:c>
      <x:c r="U373" s="3" t="inlineStr">
        <x:is>
          <x:t xml:space="preserve">Visibility Gap</x:t>
        </x:is>
      </x:c>
      <x:c r="V373" s="3" t="inlineStr">
        <x:is>
          <x:t xml:space="preserve">Improve_Visibility</x:t>
        </x:is>
      </x:c>
      <x:c r="W373" s="3" t="inlineStr">
        <x:is>
          <x:t xml:space="preserve">N</x:t>
        </x:is>
      </x:c>
      <x:c r="X373" s="3" t="inlineStr">
        <x:is>
          <x:t xml:space="preserve"/>
        </x:is>
      </x:c>
      <x:c r="Y373" s="6">
        <x:f>(S373*IF(E373="G",F373,0))+(S373*IF(G373="G",H373,0))</x:f>
      </x:c>
      <x:c r="Z373" s="6">
        <x:f>(S373*IF(E373="E",F373,0))+(S373*IF(G373="E",H373,0))</x:f>
      </x:c>
      <x:c r="AA373" s="6">
        <x:f>(S373*IF(E373="T",F373,0))+(S373*IF(G373="T",H373,0))</x:f>
      </x:c>
      <x:c r="AB373" s="6">
        <x:f>(S373*IF(E373="L",F373,0))+(S373*IF(G373="L",H373,0))</x:f>
      </x:c>
      <x:c r="AC373" s="6">
        <x:f>(S373*IF(E373="H",F373,0))+(S373*IF(G373="H",H373,0))</x:f>
      </x:c>
      <x:c r="AD373" s="6">
        <x:f>(S373*IF(E373="V",F373,0))+(S373*IF(G373="V",H373,0))</x:f>
      </x:c>
      <x:c r="AE373" s="6">
        <x:f>(S373*IF(E373="R",F373,0))+(S373*IF(G373="R",H373,0))</x:f>
      </x:c>
      <x:c r="AF373" s="6">
        <x:f>(S373*IF(E373="F",F373,0))+(S373*IF(G373="F",H373,0))</x:f>
      </x:c>
      <x:c r="AG373" s="6">
        <x:f>(S373*IF(E373="W",F373,0))+(S373*IF(G373="W",H373,0))</x:f>
      </x:c>
    </x:row>
    <x:row r="374">
      <x:c r="A374" s="3" t="inlineStr">
        <x:is>
          <x:t xml:space="preserve">Security</x:t>
        </x:is>
      </x:c>
      <x:c r="B374" s="3" t="inlineStr">
        <x:is>
          <x:t xml:space="preserve">SEC-D2-Q04</x:t>
        </x:is>
      </x:c>
      <x:c r="C374" s="3" t="inlineStr">
        <x:is>
          <x:t xml:space="preserve">T1</x:t>
        </x:is>
      </x:c>
      <x:c r="D374" s="3" t="inlineStr">
        <x:is>
          <x:t xml:space="preserve">2. Monitoring Coverage &amp; Logging</x:t>
        </x:is>
      </x:c>
      <x:c r="E374" s="3" t="inlineStr">
        <x:is>
          <x:t xml:space="preserve">T</x:t>
        </x:is>
      </x:c>
      <x:c r="F374" s="3" t="n">
        <x:v>0.6</x:v>
      </x:c>
      <x:c r="G374" s="3" t="inlineStr">
        <x:is>
          <x:t xml:space="preserve">V</x:t>
        </x:is>
      </x:c>
      <x:c r="H374" s="3" t="n">
        <x:v>0.4</x:v>
      </x:c>
      <x:c r="I374" s="3" t="inlineStr">
        <x:is>
          <x:t xml:space="preserve">Do you collect and retain logs for the systems where the most sensitive data is stored/shared (e.g., email, file shares, cloud storage)?</x:t>
        </x:is>
      </x:c>
      <x:c r="J374" s="3" t="inlineStr">
        <x:is>
          <x:t xml:space="preserve">You don't need perfect coverage. We are checking whether you can reconstruct what happened on the systems that matter most.</x:t>
        </x:is>
      </x:c>
      <x:c r="K374" s="3" t="inlineStr">
        <x:is>
          <x:t xml:space="preserve">Gatekeeper (If BaseScore &lt;2 → SEC-D2-Q05; If ≥2 → SEC-D2-Q06)</x:t>
        </x:is>
      </x:c>
      <x:c r="L374" s="3" t="inlineStr">
        <x:is>
          <x:t xml:space="preserve">RISK_STD</x:t>
        </x:is>
      </x:c>
      <x:c r="M374" s="3" t="n">
        <x:v>1.5</x:v>
      </x:c>
      <x:c r="N374" s="3" t="n">
        <x:v>0.5</x:v>
      </x:c>
      <x:c r="O374" s="3" t="inlineStr">
        <x:is>
          <x:t xml:space="preserve"/>
        </x:is>
      </x:c>
      <x:c r="P374" s="3" t="inlineStr">
        <x:is>
          <x:t xml:space="preserve">SEC-D2-Q04-A2</x:t>
        </x:is>
      </x:c>
      <x:c r="Q374" s="3" t="n">
        <x:v>3</x:v>
      </x:c>
      <x:c r="R374" s="3" t="inlineStr">
        <x:is>
          <x:t xml:space="preserve">Partial — logs exist for some systems, but retention is short or inconsistent.</x:t>
        </x:is>
      </x:c>
      <x:c r="S374" s="3" t="n">
        <x:v>2</x:v>
      </x:c>
      <x:c r="T374" s="3" t="inlineStr">
        <x:is>
          <x:t xml:space="preserve"/>
        </x:is>
      </x:c>
      <x:c r="U374" s="3" t="inlineStr">
        <x:is>
          <x:t xml:space="preserve">Visibility Gap</x:t>
        </x:is>
      </x:c>
      <x:c r="V374" s="3" t="inlineStr">
        <x:is>
          <x:t xml:space="preserve">Assess_Detection</x:t>
        </x:is>
      </x:c>
      <x:c r="W374" s="3" t="inlineStr">
        <x:is>
          <x:t xml:space="preserve">N</x:t>
        </x:is>
      </x:c>
      <x:c r="X374" s="3" t="inlineStr">
        <x:is>
          <x:t xml:space="preserve">List covered systems + retention.</x:t>
        </x:is>
      </x:c>
      <x:c r="Y374" s="6">
        <x:f>(S374*IF(E374="G",F374,0))+(S374*IF(G374="G",H374,0))</x:f>
      </x:c>
      <x:c r="Z374" s="6">
        <x:f>(S374*IF(E374="E",F374,0))+(S374*IF(G374="E",H374,0))</x:f>
      </x:c>
      <x:c r="AA374" s="6">
        <x:f>(S374*IF(E374="T",F374,0))+(S374*IF(G374="T",H374,0))</x:f>
      </x:c>
      <x:c r="AB374" s="6">
        <x:f>(S374*IF(E374="L",F374,0))+(S374*IF(G374="L",H374,0))</x:f>
      </x:c>
      <x:c r="AC374" s="6">
        <x:f>(S374*IF(E374="H",F374,0))+(S374*IF(G374="H",H374,0))</x:f>
      </x:c>
      <x:c r="AD374" s="6">
        <x:f>(S374*IF(E374="V",F374,0))+(S374*IF(G374="V",H374,0))</x:f>
      </x:c>
      <x:c r="AE374" s="6">
        <x:f>(S374*IF(E374="R",F374,0))+(S374*IF(G374="R",H374,0))</x:f>
      </x:c>
      <x:c r="AF374" s="6">
        <x:f>(S374*IF(E374="F",F374,0))+(S374*IF(G374="F",H374,0))</x:f>
      </x:c>
      <x:c r="AG374" s="6">
        <x:f>(S374*IF(E374="W",F374,0))+(S374*IF(G374="W",H374,0))</x:f>
      </x:c>
    </x:row>
    <x:row r="375">
      <x:c r="A375" s="3" t="inlineStr">
        <x:is>
          <x:t xml:space="preserve">Security</x:t>
        </x:is>
      </x:c>
      <x:c r="B375" s="3" t="inlineStr">
        <x:is>
          <x:t xml:space="preserve">SEC-D2-Q04</x:t>
        </x:is>
      </x:c>
      <x:c r="C375" s="3" t="inlineStr">
        <x:is>
          <x:t xml:space="preserve">T1</x:t>
        </x:is>
      </x:c>
      <x:c r="D375" s="3" t="inlineStr">
        <x:is>
          <x:t xml:space="preserve">2. Monitoring Coverage &amp; Logging</x:t>
        </x:is>
      </x:c>
      <x:c r="E375" s="3" t="inlineStr">
        <x:is>
          <x:t xml:space="preserve">T</x:t>
        </x:is>
      </x:c>
      <x:c r="F375" s="3" t="n">
        <x:v>0.6</x:v>
      </x:c>
      <x:c r="G375" s="3" t="inlineStr">
        <x:is>
          <x:t xml:space="preserve">V</x:t>
        </x:is>
      </x:c>
      <x:c r="H375" s="3" t="n">
        <x:v>0.4</x:v>
      </x:c>
      <x:c r="I375" s="3" t="inlineStr">
        <x:is>
          <x:t xml:space="preserve">Do you collect and retain logs for the systems where the most sensitive data is stored/shared (e.g., email, file shares, cloud storage)?</x:t>
        </x:is>
      </x:c>
      <x:c r="J375" s="3" t="inlineStr">
        <x:is>
          <x:t xml:space="preserve">You don't need perfect coverage. We are checking whether you can reconstruct what happened on the systems that matter most.</x:t>
        </x:is>
      </x:c>
      <x:c r="K375" s="3" t="inlineStr">
        <x:is>
          <x:t xml:space="preserve">Gatekeeper (If BaseScore &lt;2 → SEC-D2-Q05; If ≥2 → SEC-D2-Q06)</x:t>
        </x:is>
      </x:c>
      <x:c r="L375" s="3" t="inlineStr">
        <x:is>
          <x:t xml:space="preserve">RISK_STD</x:t>
        </x:is>
      </x:c>
      <x:c r="M375" s="3" t="n">
        <x:v>1.5</x:v>
      </x:c>
      <x:c r="N375" s="3" t="n">
        <x:v>0.5</x:v>
      </x:c>
      <x:c r="O375" s="3" t="inlineStr">
        <x:is>
          <x:t xml:space="preserve"/>
        </x:is>
      </x:c>
      <x:c r="P375" s="3" t="inlineStr">
        <x:is>
          <x:t xml:space="preserve">SEC-D2-Q04-A3</x:t>
        </x:is>
      </x:c>
      <x:c r="Q375" s="3" t="n">
        <x:v>4</x:v>
      </x:c>
      <x:c r="R375" s="3" t="inlineStr">
        <x:is>
          <x:t xml:space="preserve">Yes — agreed critical systems are covered with defined retention and access controls.</x:t>
        </x:is>
      </x:c>
      <x:c r="S375" s="3" t="n">
        <x:v>3</x:v>
      </x:c>
      <x:c r="T375" s="3" t="inlineStr">
        <x:is>
          <x:t xml:space="preserve"/>
        </x:is>
      </x:c>
      <x:c r="U375" s="3" t="inlineStr">
        <x:is>
          <x:t xml:space="preserve">Visibility Gap</x:t>
        </x:is>
      </x:c>
      <x:c r="V375" s="3" t="inlineStr">
        <x:is>
          <x:t xml:space="preserve">Plan_Assurance</x:t>
        </x:is>
      </x:c>
      <x:c r="W375" s="3" t="inlineStr">
        <x:is>
          <x:t xml:space="preserve">Y</x:t>
        </x:is>
      </x:c>
      <x:c r="X375" s="3" t="inlineStr">
        <x:is>
          <x:t xml:space="preserve">Log source list + retention policy excerpt.</x:t>
        </x:is>
      </x:c>
      <x:c r="Y375" s="6">
        <x:f>(S375*IF(E375="G",F375,0))+(S375*IF(G375="G",H375,0))</x:f>
      </x:c>
      <x:c r="Z375" s="6">
        <x:f>(S375*IF(E375="E",F375,0))+(S375*IF(G375="E",H375,0))</x:f>
      </x:c>
      <x:c r="AA375" s="6">
        <x:f>(S375*IF(E375="T",F375,0))+(S375*IF(G375="T",H375,0))</x:f>
      </x:c>
      <x:c r="AB375" s="6">
        <x:f>(S375*IF(E375="L",F375,0))+(S375*IF(G375="L",H375,0))</x:f>
      </x:c>
      <x:c r="AC375" s="6">
        <x:f>(S375*IF(E375="H",F375,0))+(S375*IF(G375="H",H375,0))</x:f>
      </x:c>
      <x:c r="AD375" s="6">
        <x:f>(S375*IF(E375="V",F375,0))+(S375*IF(G375="V",H375,0))</x:f>
      </x:c>
      <x:c r="AE375" s="6">
        <x:f>(S375*IF(E375="R",F375,0))+(S375*IF(G375="R",H375,0))</x:f>
      </x:c>
      <x:c r="AF375" s="6">
        <x:f>(S375*IF(E375="F",F375,0))+(S375*IF(G375="F",H375,0))</x:f>
      </x:c>
      <x:c r="AG375" s="6">
        <x:f>(S375*IF(E375="W",F375,0))+(S375*IF(G375="W",H375,0))</x:f>
      </x:c>
    </x:row>
    <x:row r="376">
      <x:c r="A376" s="3" t="inlineStr">
        <x:is>
          <x:t xml:space="preserve">Security</x:t>
        </x:is>
      </x:c>
      <x:c r="B376" s="3" t="inlineStr">
        <x:is>
          <x:t xml:space="preserve">SEC-D2-Q04</x:t>
        </x:is>
      </x:c>
      <x:c r="C376" s="3" t="inlineStr">
        <x:is>
          <x:t xml:space="preserve">T1</x:t>
        </x:is>
      </x:c>
      <x:c r="D376" s="3" t="inlineStr">
        <x:is>
          <x:t xml:space="preserve">2. Monitoring Coverage &amp; Logging</x:t>
        </x:is>
      </x:c>
      <x:c r="E376" s="3" t="inlineStr">
        <x:is>
          <x:t xml:space="preserve">T</x:t>
        </x:is>
      </x:c>
      <x:c r="F376" s="3" t="n">
        <x:v>0.6</x:v>
      </x:c>
      <x:c r="G376" s="3" t="inlineStr">
        <x:is>
          <x:t xml:space="preserve">V</x:t>
        </x:is>
      </x:c>
      <x:c r="H376" s="3" t="n">
        <x:v>0.4</x:v>
      </x:c>
      <x:c r="I376" s="3" t="inlineStr">
        <x:is>
          <x:t xml:space="preserve">Do you collect and retain logs for the systems where the most sensitive data is stored/shared (e.g., email, file shares, cloud storage)?</x:t>
        </x:is>
      </x:c>
      <x:c r="J376" s="3" t="inlineStr">
        <x:is>
          <x:t xml:space="preserve">You don't need perfect coverage. We are checking whether you can reconstruct what happened on the systems that matter most.</x:t>
        </x:is>
      </x:c>
      <x:c r="K376" s="3" t="inlineStr">
        <x:is>
          <x:t xml:space="preserve">Gatekeeper (If BaseScore &lt;2 → SEC-D2-Q05; If ≥2 → SEC-D2-Q06)</x:t>
        </x:is>
      </x:c>
      <x:c r="L376" s="3" t="inlineStr">
        <x:is>
          <x:t xml:space="preserve">RISK_STD</x:t>
        </x:is>
      </x:c>
      <x:c r="M376" s="3" t="n">
        <x:v>1.5</x:v>
      </x:c>
      <x:c r="N376" s="3" t="n">
        <x:v>0.5</x:v>
      </x:c>
      <x:c r="O376" s="3" t="inlineStr">
        <x:is>
          <x:t xml:space="preserve"/>
        </x:is>
      </x:c>
      <x:c r="P376" s="3" t="inlineStr">
        <x:is>
          <x:t xml:space="preserve">SEC-D2-Q04-A4</x:t>
        </x:is>
      </x:c>
      <x:c r="Q376" s="3" t="n">
        <x:v>5</x:v>
      </x:c>
      <x:c r="R376" s="3" t="inlineStr">
        <x:is>
          <x:t xml:space="preserve">Optimized — coverage is monitored (health checks), identity is normalized, and gaps trigger remediation.</x:t>
        </x:is>
      </x:c>
      <x:c r="S376" s="3" t="n">
        <x:v>4</x:v>
      </x:c>
      <x:c r="T376" s="3" t="inlineStr">
        <x:is>
          <x:t xml:space="preserve"/>
        </x:is>
      </x:c>
      <x:c r="U376" s="3" t="inlineStr">
        <x:is>
          <x:t xml:space="preserve">Visibility Gap</x:t>
        </x:is>
      </x:c>
      <x:c r="V376" s="3" t="inlineStr">
        <x:is>
          <x:t xml:space="preserve">Plan_Assurance</x:t>
        </x:is>
      </x:c>
      <x:c r="W376" s="3" t="inlineStr">
        <x:is>
          <x:t xml:space="preserve">Y</x:t>
        </x:is>
      </x:c>
      <x:c r="X376" s="3" t="inlineStr">
        <x:is>
          <x:t xml:space="preserve">Logging health/coverage report.</x:t>
        </x:is>
      </x:c>
      <x:c r="Y376" s="6">
        <x:f>(S376*IF(E376="G",F376,0))+(S376*IF(G376="G",H376,0))</x:f>
      </x:c>
      <x:c r="Z376" s="6">
        <x:f>(S376*IF(E376="E",F376,0))+(S376*IF(G376="E",H376,0))</x:f>
      </x:c>
      <x:c r="AA376" s="6">
        <x:f>(S376*IF(E376="T",F376,0))+(S376*IF(G376="T",H376,0))</x:f>
      </x:c>
      <x:c r="AB376" s="6">
        <x:f>(S376*IF(E376="L",F376,0))+(S376*IF(G376="L",H376,0))</x:f>
      </x:c>
      <x:c r="AC376" s="6">
        <x:f>(S376*IF(E376="H",F376,0))+(S376*IF(G376="H",H376,0))</x:f>
      </x:c>
      <x:c r="AD376" s="6">
        <x:f>(S376*IF(E376="V",F376,0))+(S376*IF(G376="V",H376,0))</x:f>
      </x:c>
      <x:c r="AE376" s="6">
        <x:f>(S376*IF(E376="R",F376,0))+(S376*IF(G376="R",H376,0))</x:f>
      </x:c>
      <x:c r="AF376" s="6">
        <x:f>(S376*IF(E376="F",F376,0))+(S376*IF(G376="F",H376,0))</x:f>
      </x:c>
      <x:c r="AG376" s="6">
        <x:f>(S376*IF(E376="W",F376,0))+(S376*IF(G376="W",H376,0))</x:f>
      </x:c>
    </x:row>
    <x:row r="377">
      <x:c r="A377" s="3" t="inlineStr">
        <x:is>
          <x:t xml:space="preserve">Security</x:t>
        </x:is>
      </x:c>
      <x:c r="B377" s="3" t="inlineStr">
        <x:is>
          <x:t xml:space="preserve">SEC-D2-Q05</x:t>
        </x:is>
      </x:c>
      <x:c r="C377" s="3" t="inlineStr">
        <x:is>
          <x:t xml:space="preserve">T2</x:t>
        </x:is>
      </x:c>
      <x:c r="D377" s="3" t="inlineStr">
        <x:is>
          <x:t xml:space="preserve">2. Monitoring Coverage &amp; Logging</x:t>
        </x:is>
      </x:c>
      <x:c r="E377" s="3" t="inlineStr">
        <x:is>
          <x:t xml:space="preserve">V</x:t>
        </x:is>
      </x:c>
      <x:c r="F377" s="3" t="n">
        <x:v>1</x:v>
      </x:c>
      <x:c r="G377" s="3" t="inlineStr">
        <x:is>
          <x:t xml:space="preserve"/>
        </x:is>
      </x:c>
      <x:c r="H377" s="3" t="inlineStr">
        <x:is>
          <x:t xml:space="preserve"/>
        </x:is>
      </x:c>
      <x:c r="I377" s="3" t="inlineStr">
        <x:is>
          <x:t xml:space="preserve">(Shadow probe) Even without a formal 'crown jewels' list, can you name the top 3 places where sensitive business data lives today?</x:t>
        </x:is>
      </x:c>
      <x:c r="J377" s="3" t="inlineStr">
        <x:is>
          <x:t xml:space="preserve">Examples: SharePoint/OneDrive, shared drives, email, Git repos, CRM/ERP, finance systems, design tools. This checks practical awareness.</x:t>
        </x:is>
      </x:c>
      <x:c r="K377" s="3" t="inlineStr">
        <x:is>
          <x:t xml:space="preserve">Shadow fallback (Then → SEC-D3-Q07)</x:t>
        </x:is>
      </x:c>
      <x:c r="L377" s="3" t="inlineStr">
        <x:is>
          <x:t xml:space="preserve">RISK_STD</x:t>
        </x:is>
      </x:c>
      <x:c r="M377" s="3" t="n">
        <x:v>1</x:v>
      </x:c>
      <x:c r="N377" s="3" t="inlineStr">
        <x:is>
          <x:t xml:space="preserve"/>
        </x:is>
      </x:c>
      <x:c r="O377" s="3" t="inlineStr">
        <x:is>
          <x:t xml:space="preserve"/>
        </x:is>
      </x:c>
      <x:c r="P377" s="3" t="inlineStr">
        <x:is>
          <x:t xml:space="preserve">SEC-D2-Q05-A1</x:t>
        </x:is>
      </x:c>
      <x:c r="Q377" s="3" t="n">
        <x:v>1</x:v>
      </x:c>
      <x:c r="R377" s="3" t="inlineStr">
        <x:is>
          <x:t xml:space="preserve">No — we don’t have a clear view of where sensitive data lives.</x:t>
        </x:is>
      </x:c>
      <x:c r="S377" s="3" t="n">
        <x:v>0</x:v>
      </x:c>
      <x:c r="T377" s="3" t="inlineStr">
        <x:is>
          <x:t xml:space="preserve">visibility_gap</x:t>
        </x:is>
      </x:c>
      <x:c r="U377" s="3" t="inlineStr">
        <x:is>
          <x:t xml:space="preserve">Visibility Gap</x:t>
        </x:is>
      </x:c>
      <x:c r="V377" s="3" t="inlineStr">
        <x:is>
          <x:t xml:space="preserve">Improve_Visibility</x:t>
        </x:is>
      </x:c>
      <x:c r="W377" s="3" t="inlineStr">
        <x:is>
          <x:t xml:space="preserve">N</x:t>
        </x:is>
      </x:c>
      <x:c r="X377" s="3" t="inlineStr">
        <x:is>
          <x:t xml:space="preserve"/>
        </x:is>
      </x:c>
      <x:c r="Y377" s="6">
        <x:f>(S377*IF(E377="G",F377,0))+(S377*IF(G377="G",H377,0))</x:f>
      </x:c>
      <x:c r="Z377" s="6">
        <x:f>(S377*IF(E377="E",F377,0))+(S377*IF(G377="E",H377,0))</x:f>
      </x:c>
      <x:c r="AA377" s="6">
        <x:f>(S377*IF(E377="T",F377,0))+(S377*IF(G377="T",H377,0))</x:f>
      </x:c>
      <x:c r="AB377" s="6">
        <x:f>(S377*IF(E377="L",F377,0))+(S377*IF(G377="L",H377,0))</x:f>
      </x:c>
      <x:c r="AC377" s="6">
        <x:f>(S377*IF(E377="H",F377,0))+(S377*IF(G377="H",H377,0))</x:f>
      </x:c>
      <x:c r="AD377" s="6">
        <x:f>(S377*IF(E377="V",F377,0))+(S377*IF(G377="V",H377,0))</x:f>
      </x:c>
      <x:c r="AE377" s="6">
        <x:f>(S377*IF(E377="R",F377,0))+(S377*IF(G377="R",H377,0))</x:f>
      </x:c>
      <x:c r="AF377" s="6">
        <x:f>(S377*IF(E377="F",F377,0))+(S377*IF(G377="F",H377,0))</x:f>
      </x:c>
      <x:c r="AG377" s="6">
        <x:f>(S377*IF(E377="W",F377,0))+(S377*IF(G377="W",H377,0))</x:f>
      </x:c>
    </x:row>
    <x:row r="378">
      <x:c r="A378" s="3" t="inlineStr">
        <x:is>
          <x:t xml:space="preserve">Security</x:t>
        </x:is>
      </x:c>
      <x:c r="B378" s="3" t="inlineStr">
        <x:is>
          <x:t xml:space="preserve">SEC-D2-Q05</x:t>
        </x:is>
      </x:c>
      <x:c r="C378" s="3" t="inlineStr">
        <x:is>
          <x:t xml:space="preserve">T2</x:t>
        </x:is>
      </x:c>
      <x:c r="D378" s="3" t="inlineStr">
        <x:is>
          <x:t xml:space="preserve">2. Monitoring Coverage &amp; Logging</x:t>
        </x:is>
      </x:c>
      <x:c r="E378" s="3" t="inlineStr">
        <x:is>
          <x:t xml:space="preserve">V</x:t>
        </x:is>
      </x:c>
      <x:c r="F378" s="3" t="n">
        <x:v>1</x:v>
      </x:c>
      <x:c r="G378" s="3" t="inlineStr">
        <x:is>
          <x:t xml:space="preserve"/>
        </x:is>
      </x:c>
      <x:c r="H378" s="3" t="inlineStr">
        <x:is>
          <x:t xml:space="preserve"/>
        </x:is>
      </x:c>
      <x:c r="I378" s="3" t="inlineStr">
        <x:is>
          <x:t xml:space="preserve">(Shadow probe) Even without a formal 'crown jewels' list, can you name the top 3 places where sensitive business data lives today?</x:t>
        </x:is>
      </x:c>
      <x:c r="J378" s="3" t="inlineStr">
        <x:is>
          <x:t xml:space="preserve">Examples: SharePoint/OneDrive, shared drives, email, Git repos, CRM/ERP, finance systems, design tools. This checks practical awareness.</x:t>
        </x:is>
      </x:c>
      <x:c r="K378" s="3" t="inlineStr">
        <x:is>
          <x:t xml:space="preserve">Shadow fallback (Then → SEC-D3-Q07)</x:t>
        </x:is>
      </x:c>
      <x:c r="L378" s="3" t="inlineStr">
        <x:is>
          <x:t xml:space="preserve">RISK_STD</x:t>
        </x:is>
      </x:c>
      <x:c r="M378" s="3" t="n">
        <x:v>1</x:v>
      </x:c>
      <x:c r="N378" s="3" t="inlineStr">
        <x:is>
          <x:t xml:space="preserve"/>
        </x:is>
      </x:c>
      <x:c r="O378" s="3" t="inlineStr">
        <x:is>
          <x:t xml:space="preserve"/>
        </x:is>
      </x:c>
      <x:c r="P378" s="3" t="inlineStr">
        <x:is>
          <x:t xml:space="preserve">SEC-D2-Q05-A2</x:t>
        </x:is>
      </x:c>
      <x:c r="Q378" s="3" t="n">
        <x:v>2</x:v>
      </x:c>
      <x:c r="R378" s="3" t="inlineStr">
        <x:is>
          <x:t xml:space="preserve">Partially — we can list some areas, but it changes and is not tracked.</x:t>
        </x:is>
      </x:c>
      <x:c r="S378" s="3" t="n">
        <x:v>2</x:v>
      </x:c>
      <x:c r="T378" s="3" t="inlineStr">
        <x:is>
          <x:t xml:space="preserve">shadow_mature_signal</x:t>
        </x:is>
      </x:c>
      <x:c r="U378" s="3" t="inlineStr">
        <x:is>
          <x:t xml:space="preserve">Visibility Gap</x:t>
        </x:is>
      </x:c>
      <x:c r="V378" s="3" t="inlineStr">
        <x:is>
          <x:t xml:space="preserve">Align_On_Crown_Jewels</x:t>
        </x:is>
      </x:c>
      <x:c r="W378" s="3" t="inlineStr">
        <x:is>
          <x:t xml:space="preserve">N</x:t>
        </x:is>
      </x:c>
      <x:c r="X378" s="3" t="inlineStr">
        <x:is>
          <x:t xml:space="preserve">Provide the list and likely gaps.</x:t>
        </x:is>
      </x:c>
      <x:c r="Y378" s="6">
        <x:f>(S378*IF(E378="G",F378,0))+(S378*IF(G378="G",H378,0))</x:f>
      </x:c>
      <x:c r="Z378" s="6">
        <x:f>(S378*IF(E378="E",F378,0))+(S378*IF(G378="E",H378,0))</x:f>
      </x:c>
      <x:c r="AA378" s="6">
        <x:f>(S378*IF(E378="T",F378,0))+(S378*IF(G378="T",H378,0))</x:f>
      </x:c>
      <x:c r="AB378" s="6">
        <x:f>(S378*IF(E378="L",F378,0))+(S378*IF(G378="L",H378,0))</x:f>
      </x:c>
      <x:c r="AC378" s="6">
        <x:f>(S378*IF(E378="H",F378,0))+(S378*IF(G378="H",H378,0))</x:f>
      </x:c>
      <x:c r="AD378" s="6">
        <x:f>(S378*IF(E378="V",F378,0))+(S378*IF(G378="V",H378,0))</x:f>
      </x:c>
      <x:c r="AE378" s="6">
        <x:f>(S378*IF(E378="R",F378,0))+(S378*IF(G378="R",H378,0))</x:f>
      </x:c>
      <x:c r="AF378" s="6">
        <x:f>(S378*IF(E378="F",F378,0))+(S378*IF(G378="F",H378,0))</x:f>
      </x:c>
      <x:c r="AG378" s="6">
        <x:f>(S378*IF(E378="W",F378,0))+(S378*IF(G378="W",H378,0))</x:f>
      </x:c>
    </x:row>
    <x:row r="379">
      <x:c r="A379" s="3" t="inlineStr">
        <x:is>
          <x:t xml:space="preserve">Security</x:t>
        </x:is>
      </x:c>
      <x:c r="B379" s="3" t="inlineStr">
        <x:is>
          <x:t xml:space="preserve">SEC-D2-Q05</x:t>
        </x:is>
      </x:c>
      <x:c r="C379" s="3" t="inlineStr">
        <x:is>
          <x:t xml:space="preserve">T2</x:t>
        </x:is>
      </x:c>
      <x:c r="D379" s="3" t="inlineStr">
        <x:is>
          <x:t xml:space="preserve">2. Monitoring Coverage &amp; Logging</x:t>
        </x:is>
      </x:c>
      <x:c r="E379" s="3" t="inlineStr">
        <x:is>
          <x:t xml:space="preserve">V</x:t>
        </x:is>
      </x:c>
      <x:c r="F379" s="3" t="n">
        <x:v>1</x:v>
      </x:c>
      <x:c r="G379" s="3" t="inlineStr">
        <x:is>
          <x:t xml:space="preserve"/>
        </x:is>
      </x:c>
      <x:c r="H379" s="3" t="inlineStr">
        <x:is>
          <x:t xml:space="preserve"/>
        </x:is>
      </x:c>
      <x:c r="I379" s="3" t="inlineStr">
        <x:is>
          <x:t xml:space="preserve">(Shadow probe) Even without a formal 'crown jewels' list, can you name the top 3 places where sensitive business data lives today?</x:t>
        </x:is>
      </x:c>
      <x:c r="J379" s="3" t="inlineStr">
        <x:is>
          <x:t xml:space="preserve">Examples: SharePoint/OneDrive, shared drives, email, Git repos, CRM/ERP, finance systems, design tools. This checks practical awareness.</x:t>
        </x:is>
      </x:c>
      <x:c r="K379" s="3" t="inlineStr">
        <x:is>
          <x:t xml:space="preserve">Shadow fallback (Then → SEC-D3-Q07)</x:t>
        </x:is>
      </x:c>
      <x:c r="L379" s="3" t="inlineStr">
        <x:is>
          <x:t xml:space="preserve">RISK_STD</x:t>
        </x:is>
      </x:c>
      <x:c r="M379" s="3" t="n">
        <x:v>1</x:v>
      </x:c>
      <x:c r="N379" s="3" t="inlineStr">
        <x:is>
          <x:t xml:space="preserve"/>
        </x:is>
      </x:c>
      <x:c r="O379" s="3" t="inlineStr">
        <x:is>
          <x:t xml:space="preserve"/>
        </x:is>
      </x:c>
      <x:c r="P379" s="3" t="inlineStr">
        <x:is>
          <x:t xml:space="preserve">SEC-D2-Q05-A3</x:t>
        </x:is>
      </x:c>
      <x:c r="Q379" s="3" t="n">
        <x:v>3</x:v>
      </x:c>
      <x:c r="R379" s="3" t="inlineStr">
        <x:is>
          <x:t xml:space="preserve">Yes — we maintain at least a simple inventory that is updated.</x:t>
        </x:is>
      </x:c>
      <x:c r="S379" s="3" t="n">
        <x:v>3</x:v>
      </x:c>
      <x:c r="T379" s="3" t="inlineStr">
        <x:is>
          <x:t xml:space="preserve"/>
        </x:is>
      </x:c>
      <x:c r="U379" s="3" t="inlineStr">
        <x:is>
          <x:t xml:space="preserve">Visibility Gap</x:t>
        </x:is>
      </x:c>
      <x:c r="V379" s="3" t="inlineStr">
        <x:is>
          <x:t xml:space="preserve">Align_On_Crown_Jewels</x:t>
        </x:is>
      </x:c>
      <x:c r="W379" s="3" t="inlineStr">
        <x:is>
          <x:t xml:space="preserve">Y</x:t>
        </x:is>
      </x:c>
      <x:c r="X379" s="3" t="inlineStr">
        <x:is>
          <x:t xml:space="preserve">Provide the inventory (redacted).</x:t>
        </x:is>
      </x:c>
      <x:c r="Y379" s="6">
        <x:f>(S379*IF(E379="G",F379,0))+(S379*IF(G379="G",H379,0))</x:f>
      </x:c>
      <x:c r="Z379" s="6">
        <x:f>(S379*IF(E379="E",F379,0))+(S379*IF(G379="E",H379,0))</x:f>
      </x:c>
      <x:c r="AA379" s="6">
        <x:f>(S379*IF(E379="T",F379,0))+(S379*IF(G379="T",H379,0))</x:f>
      </x:c>
      <x:c r="AB379" s="6">
        <x:f>(S379*IF(E379="L",F379,0))+(S379*IF(G379="L",H379,0))</x:f>
      </x:c>
      <x:c r="AC379" s="6">
        <x:f>(S379*IF(E379="H",F379,0))+(S379*IF(G379="H",H379,0))</x:f>
      </x:c>
      <x:c r="AD379" s="6">
        <x:f>(S379*IF(E379="V",F379,0))+(S379*IF(G379="V",H379,0))</x:f>
      </x:c>
      <x:c r="AE379" s="6">
        <x:f>(S379*IF(E379="R",F379,0))+(S379*IF(G379="R",H379,0))</x:f>
      </x:c>
      <x:c r="AF379" s="6">
        <x:f>(S379*IF(E379="F",F379,0))+(S379*IF(G379="F",H379,0))</x:f>
      </x:c>
      <x:c r="AG379" s="6">
        <x:f>(S379*IF(E379="W",F379,0))+(S379*IF(G379="W",H379,0))</x:f>
      </x:c>
    </x:row>
    <x:row r="380">
      <x:c r="A380" s="3" t="inlineStr">
        <x:is>
          <x:t xml:space="preserve">Security</x:t>
        </x:is>
      </x:c>
      <x:c r="B380" s="3" t="inlineStr">
        <x:is>
          <x:t xml:space="preserve">SEC-D2-Q06</x:t>
        </x:is>
      </x:c>
      <x:c r="C380" s="3" t="inlineStr">
        <x:is>
          <x:t xml:space="preserve">T2</x:t>
        </x:is>
      </x:c>
      <x:c r="D380" s="3" t="inlineStr">
        <x:is>
          <x:t xml:space="preserve">2. Monitoring Coverage &amp; Logging</x:t>
        </x:is>
      </x:c>
      <x:c r="E380" s="3" t="inlineStr">
        <x:is>
          <x:t xml:space="preserve">T</x:t>
        </x:is>
      </x:c>
      <x:c r="F380" s="3" t="n">
        <x:v>1</x:v>
      </x:c>
      <x:c r="G380" s="3" t="inlineStr">
        <x:is>
          <x:t xml:space="preserve"/>
        </x:is>
      </x:c>
      <x:c r="H380" s="3" t="inlineStr">
        <x:is>
          <x:t xml:space="preserve"/>
        </x:is>
      </x:c>
      <x:c r="I380" s="3" t="inlineStr">
        <x:is>
          <x:t xml:space="preserve">Is log collection centralized enough that you can investigate across systems without manual log pulling from many tools?</x:t>
        </x:is>
      </x:c>
      <x:c r="J380" s="3" t="inlineStr">
        <x:is>
          <x:t xml:space="preserve">Centralization could be a SIEM/log platform or consistent API exports. Key test: can you correlate user + device + data activity efficiently.</x:t>
        </x:is>
      </x:c>
      <x:c r="K380" s="3" t="inlineStr">
        <x:is>
          <x:t xml:space="preserve">Drill-down</x:t>
        </x:is>
      </x:c>
      <x:c r="L380" s="3" t="inlineStr">
        <x:is>
          <x:t xml:space="preserve">OPS_STD</x:t>
        </x:is>
      </x:c>
      <x:c r="M380" s="3" t="n">
        <x:v>1.3</x:v>
      </x:c>
      <x:c r="N380" s="3" t="n">
        <x:v>0.5</x:v>
      </x:c>
      <x:c r="O380" s="3" t="inlineStr">
        <x:is>
          <x:t xml:space="preserve"/>
        </x:is>
      </x:c>
      <x:c r="P380" s="3" t="inlineStr">
        <x:is>
          <x:t xml:space="preserve">SEC-D2-Q06-A1</x:t>
        </x:is>
      </x:c>
      <x:c r="Q380" s="3" t="n">
        <x:v>1</x:v>
      </x:c>
      <x:c r="R380" s="3" t="inlineStr">
        <x:is>
          <x:t xml:space="preserve">No — investigations require manual log pulls from many systems.</x:t>
        </x:is>
      </x:c>
      <x:c r="S380" s="3" t="n">
        <x:v>0</x:v>
      </x:c>
      <x:c r="T380" s="3" t="inlineStr">
        <x:is>
          <x:t xml:space="preserve">bypass_pressure</x:t>
        </x:is>
      </x:c>
      <x:c r="U380" s="3" t="inlineStr">
        <x:is>
          <x:t xml:space="preserve">Operating Model Gap</x:t>
        </x:is>
      </x:c>
      <x:c r="V380" s="3" t="inlineStr">
        <x:is>
          <x:t xml:space="preserve">Assess_Case_Model</x:t>
        </x:is>
      </x:c>
      <x:c r="W380" s="3" t="inlineStr">
        <x:is>
          <x:t xml:space="preserve">N</x:t>
        </x:is>
      </x:c>
      <x:c r="X380" s="3" t="inlineStr">
        <x:is>
          <x:t xml:space="preserve"/>
        </x:is>
      </x:c>
      <x:c r="Y380" s="6">
        <x:f>(S380*IF(E380="G",F380,0))+(S380*IF(G380="G",H380,0))</x:f>
      </x:c>
      <x:c r="Z380" s="6">
        <x:f>(S380*IF(E380="E",F380,0))+(S380*IF(G380="E",H380,0))</x:f>
      </x:c>
      <x:c r="AA380" s="6">
        <x:f>(S380*IF(E380="T",F380,0))+(S380*IF(G380="T",H380,0))</x:f>
      </x:c>
      <x:c r="AB380" s="6">
        <x:f>(S380*IF(E380="L",F380,0))+(S380*IF(G380="L",H380,0))</x:f>
      </x:c>
      <x:c r="AC380" s="6">
        <x:f>(S380*IF(E380="H",F380,0))+(S380*IF(G380="H",H380,0))</x:f>
      </x:c>
      <x:c r="AD380" s="6">
        <x:f>(S380*IF(E380="V",F380,0))+(S380*IF(G380="V",H380,0))</x:f>
      </x:c>
      <x:c r="AE380" s="6">
        <x:f>(S380*IF(E380="R",F380,0))+(S380*IF(G380="R",H380,0))</x:f>
      </x:c>
      <x:c r="AF380" s="6">
        <x:f>(S380*IF(E380="F",F380,0))+(S380*IF(G380="F",H380,0))</x:f>
      </x:c>
      <x:c r="AG380" s="6">
        <x:f>(S380*IF(E380="W",F380,0))+(S380*IF(G380="W",H380,0))</x:f>
      </x:c>
    </x:row>
    <x:row r="381">
      <x:c r="A381" s="3" t="inlineStr">
        <x:is>
          <x:t xml:space="preserve">Security</x:t>
        </x:is>
      </x:c>
      <x:c r="B381" s="3" t="inlineStr">
        <x:is>
          <x:t xml:space="preserve">SEC-D2-Q06</x:t>
        </x:is>
      </x:c>
      <x:c r="C381" s="3" t="inlineStr">
        <x:is>
          <x:t xml:space="preserve">T2</x:t>
        </x:is>
      </x:c>
      <x:c r="D381" s="3" t="inlineStr">
        <x:is>
          <x:t xml:space="preserve">2. Monitoring Coverage &amp; Logging</x:t>
        </x:is>
      </x:c>
      <x:c r="E381" s="3" t="inlineStr">
        <x:is>
          <x:t xml:space="preserve">T</x:t>
        </x:is>
      </x:c>
      <x:c r="F381" s="3" t="n">
        <x:v>1</x:v>
      </x:c>
      <x:c r="G381" s="3" t="inlineStr">
        <x:is>
          <x:t xml:space="preserve"/>
        </x:is>
      </x:c>
      <x:c r="H381" s="3" t="inlineStr">
        <x:is>
          <x:t xml:space="preserve"/>
        </x:is>
      </x:c>
      <x:c r="I381" s="3" t="inlineStr">
        <x:is>
          <x:t xml:space="preserve">Is log collection centralized enough that you can investigate across systems without manual log pulling from many tools?</x:t>
        </x:is>
      </x:c>
      <x:c r="J381" s="3" t="inlineStr">
        <x:is>
          <x:t xml:space="preserve">Centralization could be a SIEM/log platform or consistent API exports. Key test: can you correlate user + device + data activity efficiently.</x:t>
        </x:is>
      </x:c>
      <x:c r="K381" s="3" t="inlineStr">
        <x:is>
          <x:t xml:space="preserve">Drill-down</x:t>
        </x:is>
      </x:c>
      <x:c r="L381" s="3" t="inlineStr">
        <x:is>
          <x:t xml:space="preserve">OPS_STD</x:t>
        </x:is>
      </x:c>
      <x:c r="M381" s="3" t="n">
        <x:v>1.3</x:v>
      </x:c>
      <x:c r="N381" s="3" t="n">
        <x:v>0.5</x:v>
      </x:c>
      <x:c r="O381" s="3" t="inlineStr">
        <x:is>
          <x:t xml:space="preserve"/>
        </x:is>
      </x:c>
      <x:c r="P381" s="3" t="inlineStr">
        <x:is>
          <x:t xml:space="preserve">SEC-D2-Q06-A2</x:t>
        </x:is>
      </x:c>
      <x:c r="Q381" s="3" t="n">
        <x:v>2</x:v>
      </x:c>
      <x:c r="R381" s="3" t="inlineStr">
        <x:is>
          <x:t xml:space="preserve">Some — a few sources are centralized, but many are still manual.</x:t>
        </x:is>
      </x:c>
      <x:c r="S381" s="3" t="n">
        <x:v>2</x:v>
      </x:c>
      <x:c r="T381" s="3" t="inlineStr">
        <x:is>
          <x:t xml:space="preserve"/>
        </x:is>
      </x:c>
      <x:c r="U381" s="3" t="inlineStr">
        <x:is>
          <x:t xml:space="preserve">Operating Model Gap</x:t>
        </x:is>
      </x:c>
      <x:c r="V381" s="3" t="inlineStr">
        <x:is>
          <x:t xml:space="preserve">Assess_Detection</x:t>
        </x:is>
      </x:c>
      <x:c r="W381" s="3" t="inlineStr">
        <x:is>
          <x:t xml:space="preserve">N</x:t>
        </x:is>
      </x:c>
      <x:c r="X381" s="3" t="inlineStr">
        <x:is>
          <x:t xml:space="preserve">List centralized vs manual sources.</x:t>
        </x:is>
      </x:c>
      <x:c r="Y381" s="6">
        <x:f>(S381*IF(E381="G",F381,0))+(S381*IF(G381="G",H381,0))</x:f>
      </x:c>
      <x:c r="Z381" s="6">
        <x:f>(S381*IF(E381="E",F381,0))+(S381*IF(G381="E",H381,0))</x:f>
      </x:c>
      <x:c r="AA381" s="6">
        <x:f>(S381*IF(E381="T",F381,0))+(S381*IF(G381="T",H381,0))</x:f>
      </x:c>
      <x:c r="AB381" s="6">
        <x:f>(S381*IF(E381="L",F381,0))+(S381*IF(G381="L",H381,0))</x:f>
      </x:c>
      <x:c r="AC381" s="6">
        <x:f>(S381*IF(E381="H",F381,0))+(S381*IF(G381="H",H381,0))</x:f>
      </x:c>
      <x:c r="AD381" s="6">
        <x:f>(S381*IF(E381="V",F381,0))+(S381*IF(G381="V",H381,0))</x:f>
      </x:c>
      <x:c r="AE381" s="6">
        <x:f>(S381*IF(E381="R",F381,0))+(S381*IF(G381="R",H381,0))</x:f>
      </x:c>
      <x:c r="AF381" s="6">
        <x:f>(S381*IF(E381="F",F381,0))+(S381*IF(G381="F",H381,0))</x:f>
      </x:c>
      <x:c r="AG381" s="6">
        <x:f>(S381*IF(E381="W",F381,0))+(S381*IF(G381="W",H381,0))</x:f>
      </x:c>
    </x:row>
    <x:row r="382">
      <x:c r="A382" s="3" t="inlineStr">
        <x:is>
          <x:t xml:space="preserve">Security</x:t>
        </x:is>
      </x:c>
      <x:c r="B382" s="3" t="inlineStr">
        <x:is>
          <x:t xml:space="preserve">SEC-D2-Q06</x:t>
        </x:is>
      </x:c>
      <x:c r="C382" s="3" t="inlineStr">
        <x:is>
          <x:t xml:space="preserve">T2</x:t>
        </x:is>
      </x:c>
      <x:c r="D382" s="3" t="inlineStr">
        <x:is>
          <x:t xml:space="preserve">2. Monitoring Coverage &amp; Logging</x:t>
        </x:is>
      </x:c>
      <x:c r="E382" s="3" t="inlineStr">
        <x:is>
          <x:t xml:space="preserve">T</x:t>
        </x:is>
      </x:c>
      <x:c r="F382" s="3" t="n">
        <x:v>1</x:v>
      </x:c>
      <x:c r="G382" s="3" t="inlineStr">
        <x:is>
          <x:t xml:space="preserve"/>
        </x:is>
      </x:c>
      <x:c r="H382" s="3" t="inlineStr">
        <x:is>
          <x:t xml:space="preserve"/>
        </x:is>
      </x:c>
      <x:c r="I382" s="3" t="inlineStr">
        <x:is>
          <x:t xml:space="preserve">Is log collection centralized enough that you can investigate across systems without manual log pulling from many tools?</x:t>
        </x:is>
      </x:c>
      <x:c r="J382" s="3" t="inlineStr">
        <x:is>
          <x:t xml:space="preserve">Centralization could be a SIEM/log platform or consistent API exports. Key test: can you correlate user + device + data activity efficiently.</x:t>
        </x:is>
      </x:c>
      <x:c r="K382" s="3" t="inlineStr">
        <x:is>
          <x:t xml:space="preserve">Drill-down</x:t>
        </x:is>
      </x:c>
      <x:c r="L382" s="3" t="inlineStr">
        <x:is>
          <x:t xml:space="preserve">OPS_STD</x:t>
        </x:is>
      </x:c>
      <x:c r="M382" s="3" t="n">
        <x:v>1.3</x:v>
      </x:c>
      <x:c r="N382" s="3" t="n">
        <x:v>0.5</x:v>
      </x:c>
      <x:c r="O382" s="3" t="inlineStr">
        <x:is>
          <x:t xml:space="preserve"/>
        </x:is>
      </x:c>
      <x:c r="P382" s="3" t="inlineStr">
        <x:is>
          <x:t xml:space="preserve">SEC-D2-Q06-A3</x:t>
        </x:is>
      </x:c>
      <x:c r="Q382" s="3" t="n">
        <x:v>3</x:v>
      </x:c>
      <x:c r="R382" s="3" t="inlineStr">
        <x:is>
          <x:t xml:space="preserve">Yes — most critical sources are centralized with consistent identity mapping.</x:t>
        </x:is>
      </x:c>
      <x:c r="S382" s="3" t="n">
        <x:v>3</x:v>
      </x:c>
      <x:c r="T382" s="3" t="inlineStr">
        <x:is>
          <x:t xml:space="preserve"/>
        </x:is>
      </x:c>
      <x:c r="U382" s="3" t="inlineStr">
        <x:is>
          <x:t xml:space="preserve">Operating Model Gap</x:t>
        </x:is>
      </x:c>
      <x:c r="V382" s="3" t="inlineStr">
        <x:is>
          <x:t xml:space="preserve">Assess_Detection</x:t>
        </x:is>
      </x:c>
      <x:c r="W382" s="3" t="inlineStr">
        <x:is>
          <x:t xml:space="preserve">Y</x:t>
        </x:is>
      </x:c>
      <x:c r="X382" s="3" t="inlineStr">
        <x:is>
          <x:t xml:space="preserve">SIEM source list + identity mapping approach.</x:t>
        </x:is>
      </x:c>
      <x:c r="Y382" s="6">
        <x:f>(S382*IF(E382="G",F382,0))+(S382*IF(G382="G",H382,0))</x:f>
      </x:c>
      <x:c r="Z382" s="6">
        <x:f>(S382*IF(E382="E",F382,0))+(S382*IF(G382="E",H382,0))</x:f>
      </x:c>
      <x:c r="AA382" s="6">
        <x:f>(S382*IF(E382="T",F382,0))+(S382*IF(G382="T",H382,0))</x:f>
      </x:c>
      <x:c r="AB382" s="6">
        <x:f>(S382*IF(E382="L",F382,0))+(S382*IF(G382="L",H382,0))</x:f>
      </x:c>
      <x:c r="AC382" s="6">
        <x:f>(S382*IF(E382="H",F382,0))+(S382*IF(G382="H",H382,0))</x:f>
      </x:c>
      <x:c r="AD382" s="6">
        <x:f>(S382*IF(E382="V",F382,0))+(S382*IF(G382="V",H382,0))</x:f>
      </x:c>
      <x:c r="AE382" s="6">
        <x:f>(S382*IF(E382="R",F382,0))+(S382*IF(G382="R",H382,0))</x:f>
      </x:c>
      <x:c r="AF382" s="6">
        <x:f>(S382*IF(E382="F",F382,0))+(S382*IF(G382="F",H382,0))</x:f>
      </x:c>
      <x:c r="AG382" s="6">
        <x:f>(S382*IF(E382="W",F382,0))+(S382*IF(G382="W",H382,0))</x:f>
      </x:c>
    </x:row>
    <x:row r="383">
      <x:c r="A383" s="3" t="inlineStr">
        <x:is>
          <x:t xml:space="preserve">Security</x:t>
        </x:is>
      </x:c>
      <x:c r="B383" s="3" t="inlineStr">
        <x:is>
          <x:t xml:space="preserve">SEC-D2-Q06</x:t>
        </x:is>
      </x:c>
      <x:c r="C383" s="3" t="inlineStr">
        <x:is>
          <x:t xml:space="preserve">T2</x:t>
        </x:is>
      </x:c>
      <x:c r="D383" s="3" t="inlineStr">
        <x:is>
          <x:t xml:space="preserve">2. Monitoring Coverage &amp; Logging</x:t>
        </x:is>
      </x:c>
      <x:c r="E383" s="3" t="inlineStr">
        <x:is>
          <x:t xml:space="preserve">T</x:t>
        </x:is>
      </x:c>
      <x:c r="F383" s="3" t="n">
        <x:v>1</x:v>
      </x:c>
      <x:c r="G383" s="3" t="inlineStr">
        <x:is>
          <x:t xml:space="preserve"/>
        </x:is>
      </x:c>
      <x:c r="H383" s="3" t="inlineStr">
        <x:is>
          <x:t xml:space="preserve"/>
        </x:is>
      </x:c>
      <x:c r="I383" s="3" t="inlineStr">
        <x:is>
          <x:t xml:space="preserve">Is log collection centralized enough that you can investigate across systems without manual log pulling from many tools?</x:t>
        </x:is>
      </x:c>
      <x:c r="J383" s="3" t="inlineStr">
        <x:is>
          <x:t xml:space="preserve">Centralization could be a SIEM/log platform or consistent API exports. Key test: can you correlate user + device + data activity efficiently.</x:t>
        </x:is>
      </x:c>
      <x:c r="K383" s="3" t="inlineStr">
        <x:is>
          <x:t xml:space="preserve">Drill-down</x:t>
        </x:is>
      </x:c>
      <x:c r="L383" s="3" t="inlineStr">
        <x:is>
          <x:t xml:space="preserve">OPS_STD</x:t>
        </x:is>
      </x:c>
      <x:c r="M383" s="3" t="n">
        <x:v>1.3</x:v>
      </x:c>
      <x:c r="N383" s="3" t="n">
        <x:v>0.5</x:v>
      </x:c>
      <x:c r="O383" s="3" t="inlineStr">
        <x:is>
          <x:t xml:space="preserve"/>
        </x:is>
      </x:c>
      <x:c r="P383" s="3" t="inlineStr">
        <x:is>
          <x:t xml:space="preserve">SEC-D2-Q06-A4</x:t>
        </x:is>
      </x:c>
      <x:c r="Q383" s="3" t="n">
        <x:v>4</x:v>
      </x:c>
      <x:c r="R383" s="3" t="inlineStr">
        <x:is>
          <x:t xml:space="preserve">Optimized — centralized with enrichment (role/privilege) and automated correlation.</x:t>
        </x:is>
      </x:c>
      <x:c r="S383" s="3" t="n">
        <x:v>4</x:v>
      </x:c>
      <x:c r="T383" s="3" t="inlineStr">
        <x:is>
          <x:t xml:space="preserve"/>
        </x:is>
      </x:c>
      <x:c r="U383" s="3" t="inlineStr">
        <x:is>
          <x:t xml:space="preserve">Resilience Gap</x:t>
        </x:is>
      </x:c>
      <x:c r="V383" s="3" t="inlineStr">
        <x:is>
          <x:t xml:space="preserve">Build_Detection_Strategy</x:t>
        </x:is>
      </x:c>
      <x:c r="W383" s="3" t="inlineStr">
        <x:is>
          <x:t xml:space="preserve">Y</x:t>
        </x:is>
      </x:c>
      <x:c r="X383" s="3" t="inlineStr">
        <x:is>
          <x:t xml:space="preserve">Correlation/enrichment examples (redacted).</x:t>
        </x:is>
      </x:c>
      <x:c r="Y383" s="6">
        <x:f>(S383*IF(E383="G",F383,0))+(S383*IF(G383="G",H383,0))</x:f>
      </x:c>
      <x:c r="Z383" s="6">
        <x:f>(S383*IF(E383="E",F383,0))+(S383*IF(G383="E",H383,0))</x:f>
      </x:c>
      <x:c r="AA383" s="6">
        <x:f>(S383*IF(E383="T",F383,0))+(S383*IF(G383="T",H383,0))</x:f>
      </x:c>
      <x:c r="AB383" s="6">
        <x:f>(S383*IF(E383="L",F383,0))+(S383*IF(G383="L",H383,0))</x:f>
      </x:c>
      <x:c r="AC383" s="6">
        <x:f>(S383*IF(E383="H",F383,0))+(S383*IF(G383="H",H383,0))</x:f>
      </x:c>
      <x:c r="AD383" s="6">
        <x:f>(S383*IF(E383="V",F383,0))+(S383*IF(G383="V",H383,0))</x:f>
      </x:c>
      <x:c r="AE383" s="6">
        <x:f>(S383*IF(E383="R",F383,0))+(S383*IF(G383="R",H383,0))</x:f>
      </x:c>
      <x:c r="AF383" s="6">
        <x:f>(S383*IF(E383="F",F383,0))+(S383*IF(G383="F",H383,0))</x:f>
      </x:c>
      <x:c r="AG383" s="6">
        <x:f>(S383*IF(E383="W",F383,0))+(S383*IF(G383="W",H383,0))</x:f>
      </x:c>
    </x:row>
    <x:row r="384">
      <x:c r="A384" s="3" t="inlineStr">
        <x:is>
          <x:t xml:space="preserve">Security</x:t>
        </x:is>
      </x:c>
      <x:c r="B384" s="3" t="inlineStr">
        <x:is>
          <x:t xml:space="preserve">SEC-D3-Q07</x:t>
        </x:is>
      </x:c>
      <x:c r="C384" s="3" t="inlineStr">
        <x:is>
          <x:t xml:space="preserve">T1</x:t>
        </x:is>
      </x:c>
      <x:c r="D384" s="3" t="inlineStr">
        <x:is>
          <x:t xml:space="preserve">3. Detection Use Cases &amp; Tuning</x:t>
        </x:is>
      </x:c>
      <x:c r="E384" s="3" t="inlineStr">
        <x:is>
          <x:t xml:space="preserve">T</x:t>
        </x:is>
      </x:c>
      <x:c r="F384" s="3" t="n">
        <x:v>0.6</x:v>
      </x:c>
      <x:c r="G384" s="3" t="inlineStr">
        <x:is>
          <x:t xml:space="preserve">E</x:t>
        </x:is>
      </x:c>
      <x:c r="H384" s="3" t="n">
        <x:v>0.4</x:v>
      </x:c>
      <x:c r="I384" s="3" t="inlineStr">
        <x:is>
          <x:t xml:space="preserve">Do you have a small set of high‑value internal misuse detections that are actively monitored (not just enabled)?</x:t>
        </x:is>
      </x:c>
      <x:c r="J384" s="3" t="inlineStr">
        <x:is>
          <x:t xml:space="preserve">Examples: large downloads from sensitive repositories, mass deletions, exports of customer lists, unusual admin actions, unusual access to HR/finance folders.</x:t>
        </x:is>
      </x:c>
      <x:c r="K384" s="3" t="inlineStr">
        <x:is>
          <x:t xml:space="preserve">Gatekeeper (If BaseScore &lt;2 → SEC-D3-Q08; If ≥2 → SEC-D3-Q09)</x:t>
        </x:is>
      </x:c>
      <x:c r="L384" s="3" t="inlineStr">
        <x:is>
          <x:t xml:space="preserve">OPS_STD</x:t>
        </x:is>
      </x:c>
      <x:c r="M384" s="3" t="n">
        <x:v>1.4</x:v>
      </x:c>
      <x:c r="N384" s="3" t="n">
        <x:v>0.5</x:v>
      </x:c>
      <x:c r="O384" s="3" t="inlineStr">
        <x:is>
          <x:t xml:space="preserve"/>
        </x:is>
      </x:c>
      <x:c r="P384" s="3" t="inlineStr">
        <x:is>
          <x:t xml:space="preserve">SEC-D3-Q07-A1</x:t>
        </x:is>
      </x:c>
      <x:c r="Q384" s="3" t="n">
        <x:v>1</x:v>
      </x:c>
      <x:c r="R384" s="3" t="inlineStr">
        <x:is>
          <x:t xml:space="preserve">No — we rely on generic alerts not tailored to internal misuse.</x:t>
        </x:is>
      </x:c>
      <x:c r="S384" s="3" t="n">
        <x:v>0</x:v>
      </x:c>
      <x:c r="T384" s="3" t="inlineStr">
        <x:is>
          <x:t xml:space="preserve">paper_dragon_signal</x:t>
        </x:is>
      </x:c>
      <x:c r="U384" s="3" t="inlineStr">
        <x:is>
          <x:t xml:space="preserve">Paper Dragon</x:t>
        </x:is>
      </x:c>
      <x:c r="V384" s="3" t="inlineStr">
        <x:is>
          <x:t xml:space="preserve">Build_Detection_Strategy</x:t>
        </x:is>
      </x:c>
      <x:c r="W384" s="3" t="inlineStr">
        <x:is>
          <x:t xml:space="preserve">N</x:t>
        </x:is>
      </x:c>
      <x:c r="X384" s="3" t="inlineStr">
        <x:is>
          <x:t xml:space="preserve"/>
        </x:is>
      </x:c>
      <x:c r="Y384" s="6">
        <x:f>(S384*IF(E384="G",F384,0))+(S384*IF(G384="G",H384,0))</x:f>
      </x:c>
      <x:c r="Z384" s="6">
        <x:f>(S384*IF(E384="E",F384,0))+(S384*IF(G384="E",H384,0))</x:f>
      </x:c>
      <x:c r="AA384" s="6">
        <x:f>(S384*IF(E384="T",F384,0))+(S384*IF(G384="T",H384,0))</x:f>
      </x:c>
      <x:c r="AB384" s="6">
        <x:f>(S384*IF(E384="L",F384,0))+(S384*IF(G384="L",H384,0))</x:f>
      </x:c>
      <x:c r="AC384" s="6">
        <x:f>(S384*IF(E384="H",F384,0))+(S384*IF(G384="H",H384,0))</x:f>
      </x:c>
      <x:c r="AD384" s="6">
        <x:f>(S384*IF(E384="V",F384,0))+(S384*IF(G384="V",H384,0))</x:f>
      </x:c>
      <x:c r="AE384" s="6">
        <x:f>(S384*IF(E384="R",F384,0))+(S384*IF(G384="R",H384,0))</x:f>
      </x:c>
      <x:c r="AF384" s="6">
        <x:f>(S384*IF(E384="F",F384,0))+(S384*IF(G384="F",H384,0))</x:f>
      </x:c>
      <x:c r="AG384" s="6">
        <x:f>(S384*IF(E384="W",F384,0))+(S384*IF(G384="W",H384,0))</x:f>
      </x:c>
    </x:row>
    <x:row r="385">
      <x:c r="A385" s="3" t="inlineStr">
        <x:is>
          <x:t xml:space="preserve">Security</x:t>
        </x:is>
      </x:c>
      <x:c r="B385" s="3" t="inlineStr">
        <x:is>
          <x:t xml:space="preserve">SEC-D3-Q07</x:t>
        </x:is>
      </x:c>
      <x:c r="C385" s="3" t="inlineStr">
        <x:is>
          <x:t xml:space="preserve">T1</x:t>
        </x:is>
      </x:c>
      <x:c r="D385" s="3" t="inlineStr">
        <x:is>
          <x:t xml:space="preserve">3. Detection Use Cases &amp; Tuning</x:t>
        </x:is>
      </x:c>
      <x:c r="E385" s="3" t="inlineStr">
        <x:is>
          <x:t xml:space="preserve">T</x:t>
        </x:is>
      </x:c>
      <x:c r="F385" s="3" t="n">
        <x:v>0.6</x:v>
      </x:c>
      <x:c r="G385" s="3" t="inlineStr">
        <x:is>
          <x:t xml:space="preserve">E</x:t>
        </x:is>
      </x:c>
      <x:c r="H385" s="3" t="n">
        <x:v>0.4</x:v>
      </x:c>
      <x:c r="I385" s="3" t="inlineStr">
        <x:is>
          <x:t xml:space="preserve">Do you have a small set of high‑value internal misuse detections that are actively monitored (not just enabled)?</x:t>
        </x:is>
      </x:c>
      <x:c r="J385" s="3" t="inlineStr">
        <x:is>
          <x:t xml:space="preserve">Examples: large downloads from sensitive repositories, mass deletions, exports of customer lists, unusual admin actions, unusual access to HR/finance folders.</x:t>
        </x:is>
      </x:c>
      <x:c r="K385" s="3" t="inlineStr">
        <x:is>
          <x:t xml:space="preserve">Gatekeeper (If BaseScore &lt;2 → SEC-D3-Q08; If ≥2 → SEC-D3-Q09)</x:t>
        </x:is>
      </x:c>
      <x:c r="L385" s="3" t="inlineStr">
        <x:is>
          <x:t xml:space="preserve">OPS_STD</x:t>
        </x:is>
      </x:c>
      <x:c r="M385" s="3" t="n">
        <x:v>1.4</x:v>
      </x:c>
      <x:c r="N385" s="3" t="n">
        <x:v>0.5</x:v>
      </x:c>
      <x:c r="O385" s="3" t="inlineStr">
        <x:is>
          <x:t xml:space="preserve"/>
        </x:is>
      </x:c>
      <x:c r="P385" s="3" t="inlineStr">
        <x:is>
          <x:t xml:space="preserve">SEC-D3-Q07-A2</x:t>
        </x:is>
      </x:c>
      <x:c r="Q385" s="3" t="n">
        <x:v>2</x:v>
      </x:c>
      <x:c r="R385" s="3" t="inlineStr">
        <x:is>
          <x:t xml:space="preserve">A few rules exist, but no one owns tuning and alerts are often ignored.</x:t>
        </x:is>
      </x:c>
      <x:c r="S385" s="3" t="n">
        <x:v>1</x:v>
      </x:c>
      <x:c r="T385" s="3" t="inlineStr">
        <x:is>
          <x:t xml:space="preserve">paper_dragon_signal</x:t>
        </x:is>
      </x:c>
      <x:c r="U385" s="3" t="inlineStr">
        <x:is>
          <x:t xml:space="preserve">Paper Dragon</x:t>
        </x:is>
      </x:c>
      <x:c r="V385" s="3" t="inlineStr">
        <x:is>
          <x:t xml:space="preserve">Assess_Detection</x:t>
        </x:is>
      </x:c>
      <x:c r="W385" s="3" t="inlineStr">
        <x:is>
          <x:t xml:space="preserve">N</x:t>
        </x:is>
      </x:c>
      <x:c r="X385" s="3" t="inlineStr">
        <x:is>
          <x:t xml:space="preserve"/>
        </x:is>
      </x:c>
      <x:c r="Y385" s="6">
        <x:f>(S385*IF(E385="G",F385,0))+(S385*IF(G385="G",H385,0))</x:f>
      </x:c>
      <x:c r="Z385" s="6">
        <x:f>(S385*IF(E385="E",F385,0))+(S385*IF(G385="E",H385,0))</x:f>
      </x:c>
      <x:c r="AA385" s="6">
        <x:f>(S385*IF(E385="T",F385,0))+(S385*IF(G385="T",H385,0))</x:f>
      </x:c>
      <x:c r="AB385" s="6">
        <x:f>(S385*IF(E385="L",F385,0))+(S385*IF(G385="L",H385,0))</x:f>
      </x:c>
      <x:c r="AC385" s="6">
        <x:f>(S385*IF(E385="H",F385,0))+(S385*IF(G385="H",H385,0))</x:f>
      </x:c>
      <x:c r="AD385" s="6">
        <x:f>(S385*IF(E385="V",F385,0))+(S385*IF(G385="V",H385,0))</x:f>
      </x:c>
      <x:c r="AE385" s="6">
        <x:f>(S385*IF(E385="R",F385,0))+(S385*IF(G385="R",H385,0))</x:f>
      </x:c>
      <x:c r="AF385" s="6">
        <x:f>(S385*IF(E385="F",F385,0))+(S385*IF(G385="F",H385,0))</x:f>
      </x:c>
      <x:c r="AG385" s="6">
        <x:f>(S385*IF(E385="W",F385,0))+(S385*IF(G385="W",H385,0))</x:f>
      </x:c>
    </x:row>
    <x:row r="386">
      <x:c r="A386" s="3" t="inlineStr">
        <x:is>
          <x:t xml:space="preserve">Security</x:t>
        </x:is>
      </x:c>
      <x:c r="B386" s="3" t="inlineStr">
        <x:is>
          <x:t xml:space="preserve">SEC-D3-Q07</x:t>
        </x:is>
      </x:c>
      <x:c r="C386" s="3" t="inlineStr">
        <x:is>
          <x:t xml:space="preserve">T1</x:t>
        </x:is>
      </x:c>
      <x:c r="D386" s="3" t="inlineStr">
        <x:is>
          <x:t xml:space="preserve">3. Detection Use Cases &amp; Tuning</x:t>
        </x:is>
      </x:c>
      <x:c r="E386" s="3" t="inlineStr">
        <x:is>
          <x:t xml:space="preserve">T</x:t>
        </x:is>
      </x:c>
      <x:c r="F386" s="3" t="n">
        <x:v>0.6</x:v>
      </x:c>
      <x:c r="G386" s="3" t="inlineStr">
        <x:is>
          <x:t xml:space="preserve">E</x:t>
        </x:is>
      </x:c>
      <x:c r="H386" s="3" t="n">
        <x:v>0.4</x:v>
      </x:c>
      <x:c r="I386" s="3" t="inlineStr">
        <x:is>
          <x:t xml:space="preserve">Do you have a small set of high‑value internal misuse detections that are actively monitored (not just enabled)?</x:t>
        </x:is>
      </x:c>
      <x:c r="J386" s="3" t="inlineStr">
        <x:is>
          <x:t xml:space="preserve">Examples: large downloads from sensitive repositories, mass deletions, exports of customer lists, unusual admin actions, unusual access to HR/finance folders.</x:t>
        </x:is>
      </x:c>
      <x:c r="K386" s="3" t="inlineStr">
        <x:is>
          <x:t xml:space="preserve">Gatekeeper (If BaseScore &lt;2 → SEC-D3-Q08; If ≥2 → SEC-D3-Q09)</x:t>
        </x:is>
      </x:c>
      <x:c r="L386" s="3" t="inlineStr">
        <x:is>
          <x:t xml:space="preserve">OPS_STD</x:t>
        </x:is>
      </x:c>
      <x:c r="M386" s="3" t="n">
        <x:v>1.4</x:v>
      </x:c>
      <x:c r="N386" s="3" t="n">
        <x:v>0.5</x:v>
      </x:c>
      <x:c r="O386" s="3" t="inlineStr">
        <x:is>
          <x:t xml:space="preserve"/>
        </x:is>
      </x:c>
      <x:c r="P386" s="3" t="inlineStr">
        <x:is>
          <x:t xml:space="preserve">SEC-D3-Q07-A3</x:t>
        </x:is>
      </x:c>
      <x:c r="Q386" s="3" t="n">
        <x:v>3</x:v>
      </x:c>
      <x:c r="R386" s="3" t="inlineStr">
        <x:is>
          <x:t xml:space="preserve">Yes — we monitor a short list, but it’s not tied to the most sensitive assets/roles.</x:t>
        </x:is>
      </x:c>
      <x:c r="S386" s="3" t="n">
        <x:v>2</x:v>
      </x:c>
      <x:c r="T386" s="3" t="inlineStr">
        <x:is>
          <x:t xml:space="preserve"/>
        </x:is>
      </x:c>
      <x:c r="U386" s="3" t="inlineStr">
        <x:is>
          <x:t xml:space="preserve">Visibility Gap</x:t>
        </x:is>
      </x:c>
      <x:c r="V386" s="3" t="inlineStr">
        <x:is>
          <x:t xml:space="preserve">Align_On_Scenarios</x:t>
        </x:is>
      </x:c>
      <x:c r="W386" s="3" t="inlineStr">
        <x:is>
          <x:t xml:space="preserve">N</x:t>
        </x:is>
      </x:c>
      <x:c r="X386" s="3" t="inlineStr">
        <x:is>
          <x:t xml:space="preserve">List of detections and coverage notes.</x:t>
        </x:is>
      </x:c>
      <x:c r="Y386" s="6">
        <x:f>(S386*IF(E386="G",F386,0))+(S386*IF(G386="G",H386,0))</x:f>
      </x:c>
      <x:c r="Z386" s="6">
        <x:f>(S386*IF(E386="E",F386,0))+(S386*IF(G386="E",H386,0))</x:f>
      </x:c>
      <x:c r="AA386" s="6">
        <x:f>(S386*IF(E386="T",F386,0))+(S386*IF(G386="T",H386,0))</x:f>
      </x:c>
      <x:c r="AB386" s="6">
        <x:f>(S386*IF(E386="L",F386,0))+(S386*IF(G386="L",H386,0))</x:f>
      </x:c>
      <x:c r="AC386" s="6">
        <x:f>(S386*IF(E386="H",F386,0))+(S386*IF(G386="H",H386,0))</x:f>
      </x:c>
      <x:c r="AD386" s="6">
        <x:f>(S386*IF(E386="V",F386,0))+(S386*IF(G386="V",H386,0))</x:f>
      </x:c>
      <x:c r="AE386" s="6">
        <x:f>(S386*IF(E386="R",F386,0))+(S386*IF(G386="R",H386,0))</x:f>
      </x:c>
      <x:c r="AF386" s="6">
        <x:f>(S386*IF(E386="F",F386,0))+(S386*IF(G386="F",H386,0))</x:f>
      </x:c>
      <x:c r="AG386" s="6">
        <x:f>(S386*IF(E386="W",F386,0))+(S386*IF(G386="W",H386,0))</x:f>
      </x:c>
    </x:row>
    <x:row r="387">
      <x:c r="A387" s="3" t="inlineStr">
        <x:is>
          <x:t xml:space="preserve">Security</x:t>
        </x:is>
      </x:c>
      <x:c r="B387" s="3" t="inlineStr">
        <x:is>
          <x:t xml:space="preserve">SEC-D3-Q07</x:t>
        </x:is>
      </x:c>
      <x:c r="C387" s="3" t="inlineStr">
        <x:is>
          <x:t xml:space="preserve">T1</x:t>
        </x:is>
      </x:c>
      <x:c r="D387" s="3" t="inlineStr">
        <x:is>
          <x:t xml:space="preserve">3. Detection Use Cases &amp; Tuning</x:t>
        </x:is>
      </x:c>
      <x:c r="E387" s="3" t="inlineStr">
        <x:is>
          <x:t xml:space="preserve">T</x:t>
        </x:is>
      </x:c>
      <x:c r="F387" s="3" t="n">
        <x:v>0.6</x:v>
      </x:c>
      <x:c r="G387" s="3" t="inlineStr">
        <x:is>
          <x:t xml:space="preserve">E</x:t>
        </x:is>
      </x:c>
      <x:c r="H387" s="3" t="n">
        <x:v>0.4</x:v>
      </x:c>
      <x:c r="I387" s="3" t="inlineStr">
        <x:is>
          <x:t xml:space="preserve">Do you have a small set of high‑value internal misuse detections that are actively monitored (not just enabled)?</x:t>
        </x:is>
      </x:c>
      <x:c r="J387" s="3" t="inlineStr">
        <x:is>
          <x:t xml:space="preserve">Examples: large downloads from sensitive repositories, mass deletions, exports of customer lists, unusual admin actions, unusual access to HR/finance folders.</x:t>
        </x:is>
      </x:c>
      <x:c r="K387" s="3" t="inlineStr">
        <x:is>
          <x:t xml:space="preserve">Gatekeeper (If BaseScore &lt;2 → SEC-D3-Q08; If ≥2 → SEC-D3-Q09)</x:t>
        </x:is>
      </x:c>
      <x:c r="L387" s="3" t="inlineStr">
        <x:is>
          <x:t xml:space="preserve">OPS_STD</x:t>
        </x:is>
      </x:c>
      <x:c r="M387" s="3" t="n">
        <x:v>1.4</x:v>
      </x:c>
      <x:c r="N387" s="3" t="n">
        <x:v>0.5</x:v>
      </x:c>
      <x:c r="O387" s="3" t="inlineStr">
        <x:is>
          <x:t xml:space="preserve"/>
        </x:is>
      </x:c>
      <x:c r="P387" s="3" t="inlineStr">
        <x:is>
          <x:t xml:space="preserve">SEC-D3-Q07-A4</x:t>
        </x:is>
      </x:c>
      <x:c r="Q387" s="3" t="n">
        <x:v>4</x:v>
      </x:c>
      <x:c r="R387" s="3" t="inlineStr">
        <x:is>
          <x:t xml:space="preserve">Yes — detections are mapped to sensitive assets/roles and reviewed on a schedule.</x:t>
        </x:is>
      </x:c>
      <x:c r="S387" s="3" t="n">
        <x:v>3</x:v>
      </x:c>
      <x:c r="T387" s="3" t="inlineStr">
        <x:is>
          <x:t xml:space="preserve"/>
        </x:is>
      </x:c>
      <x:c r="U387" s="3" t="inlineStr">
        <x:is>
          <x:t xml:space="preserve">Resilience Gap</x:t>
        </x:is>
      </x:c>
      <x:c r="V387" s="3" t="inlineStr">
        <x:is>
          <x:t xml:space="preserve">Assess_Detection</x:t>
        </x:is>
      </x:c>
      <x:c r="W387" s="3" t="inlineStr">
        <x:is>
          <x:t xml:space="preserve">Y</x:t>
        </x:is>
      </x:c>
      <x:c r="X387" s="3" t="inlineStr">
        <x:is>
          <x:t xml:space="preserve">Mapping + review cadence evidence.</x:t>
        </x:is>
      </x:c>
      <x:c r="Y387" s="6">
        <x:f>(S387*IF(E387="G",F387,0))+(S387*IF(G387="G",H387,0))</x:f>
      </x:c>
      <x:c r="Z387" s="6">
        <x:f>(S387*IF(E387="E",F387,0))+(S387*IF(G387="E",H387,0))</x:f>
      </x:c>
      <x:c r="AA387" s="6">
        <x:f>(S387*IF(E387="T",F387,0))+(S387*IF(G387="T",H387,0))</x:f>
      </x:c>
      <x:c r="AB387" s="6">
        <x:f>(S387*IF(E387="L",F387,0))+(S387*IF(G387="L",H387,0))</x:f>
      </x:c>
      <x:c r="AC387" s="6">
        <x:f>(S387*IF(E387="H",F387,0))+(S387*IF(G387="H",H387,0))</x:f>
      </x:c>
      <x:c r="AD387" s="6">
        <x:f>(S387*IF(E387="V",F387,0))+(S387*IF(G387="V",H387,0))</x:f>
      </x:c>
      <x:c r="AE387" s="6">
        <x:f>(S387*IF(E387="R",F387,0))+(S387*IF(G387="R",H387,0))</x:f>
      </x:c>
      <x:c r="AF387" s="6">
        <x:f>(S387*IF(E387="F",F387,0))+(S387*IF(G387="F",H387,0))</x:f>
      </x:c>
      <x:c r="AG387" s="6">
        <x:f>(S387*IF(E387="W",F387,0))+(S387*IF(G387="W",H387,0))</x:f>
      </x:c>
    </x:row>
    <x:row r="388">
      <x:c r="A388" s="3" t="inlineStr">
        <x:is>
          <x:t xml:space="preserve">Security</x:t>
        </x:is>
      </x:c>
      <x:c r="B388" s="3" t="inlineStr">
        <x:is>
          <x:t xml:space="preserve">SEC-D3-Q07</x:t>
        </x:is>
      </x:c>
      <x:c r="C388" s="3" t="inlineStr">
        <x:is>
          <x:t xml:space="preserve">T1</x:t>
        </x:is>
      </x:c>
      <x:c r="D388" s="3" t="inlineStr">
        <x:is>
          <x:t xml:space="preserve">3. Detection Use Cases &amp; Tuning</x:t>
        </x:is>
      </x:c>
      <x:c r="E388" s="3" t="inlineStr">
        <x:is>
          <x:t xml:space="preserve">T</x:t>
        </x:is>
      </x:c>
      <x:c r="F388" s="3" t="n">
        <x:v>0.6</x:v>
      </x:c>
      <x:c r="G388" s="3" t="inlineStr">
        <x:is>
          <x:t xml:space="preserve">E</x:t>
        </x:is>
      </x:c>
      <x:c r="H388" s="3" t="n">
        <x:v>0.4</x:v>
      </x:c>
      <x:c r="I388" s="3" t="inlineStr">
        <x:is>
          <x:t xml:space="preserve">Do you have a small set of high‑value internal misuse detections that are actively monitored (not just enabled)?</x:t>
        </x:is>
      </x:c>
      <x:c r="J388" s="3" t="inlineStr">
        <x:is>
          <x:t xml:space="preserve">Examples: large downloads from sensitive repositories, mass deletions, exports of customer lists, unusual admin actions, unusual access to HR/finance folders.</x:t>
        </x:is>
      </x:c>
      <x:c r="K388" s="3" t="inlineStr">
        <x:is>
          <x:t xml:space="preserve">Gatekeeper (If BaseScore &lt;2 → SEC-D3-Q08; If ≥2 → SEC-D3-Q09)</x:t>
        </x:is>
      </x:c>
      <x:c r="L388" s="3" t="inlineStr">
        <x:is>
          <x:t xml:space="preserve">OPS_STD</x:t>
        </x:is>
      </x:c>
      <x:c r="M388" s="3" t="n">
        <x:v>1.4</x:v>
      </x:c>
      <x:c r="N388" s="3" t="n">
        <x:v>0.5</x:v>
      </x:c>
      <x:c r="O388" s="3" t="inlineStr">
        <x:is>
          <x:t xml:space="preserve"/>
        </x:is>
      </x:c>
      <x:c r="P388" s="3" t="inlineStr">
        <x:is>
          <x:t xml:space="preserve">SEC-D3-Q07-A5</x:t>
        </x:is>
      </x:c>
      <x:c r="Q388" s="3" t="n">
        <x:v>5</x:v>
      </x:c>
      <x:c r="R388" s="3" t="inlineStr">
        <x:is>
          <x:t xml:space="preserve">Optimized — detections are scenario-driven, quality-measured, and continuously improved.</x:t>
        </x:is>
      </x:c>
      <x:c r="S388" s="3" t="n">
        <x:v>4</x:v>
      </x:c>
      <x:c r="T388" s="3" t="inlineStr">
        <x:is>
          <x:t xml:space="preserve"/>
        </x:is>
      </x:c>
      <x:c r="U388" s="3" t="inlineStr">
        <x:is>
          <x:t xml:space="preserve">Resilience Gap</x:t>
        </x:is>
      </x:c>
      <x:c r="V388" s="3" t="inlineStr">
        <x:is>
          <x:t xml:space="preserve">Improve_Metrics</x:t>
        </x:is>
      </x:c>
      <x:c r="W388" s="3" t="inlineStr">
        <x:is>
          <x:t xml:space="preserve">Y</x:t>
        </x:is>
      </x:c>
      <x:c r="X388" s="3" t="inlineStr">
        <x:is>
          <x:t xml:space="preserve">Detection quality metrics (FP rate/precision).</x:t>
        </x:is>
      </x:c>
      <x:c r="Y388" s="6">
        <x:f>(S388*IF(E388="G",F388,0))+(S388*IF(G388="G",H388,0))</x:f>
      </x:c>
      <x:c r="Z388" s="6">
        <x:f>(S388*IF(E388="E",F388,0))+(S388*IF(G388="E",H388,0))</x:f>
      </x:c>
      <x:c r="AA388" s="6">
        <x:f>(S388*IF(E388="T",F388,0))+(S388*IF(G388="T",H388,0))</x:f>
      </x:c>
      <x:c r="AB388" s="6">
        <x:f>(S388*IF(E388="L",F388,0))+(S388*IF(G388="L",H388,0))</x:f>
      </x:c>
      <x:c r="AC388" s="6">
        <x:f>(S388*IF(E388="H",F388,0))+(S388*IF(G388="H",H388,0))</x:f>
      </x:c>
      <x:c r="AD388" s="6">
        <x:f>(S388*IF(E388="V",F388,0))+(S388*IF(G388="V",H388,0))</x:f>
      </x:c>
      <x:c r="AE388" s="6">
        <x:f>(S388*IF(E388="R",F388,0))+(S388*IF(G388="R",H388,0))</x:f>
      </x:c>
      <x:c r="AF388" s="6">
        <x:f>(S388*IF(E388="F",F388,0))+(S388*IF(G388="F",H388,0))</x:f>
      </x:c>
      <x:c r="AG388" s="6">
        <x:f>(S388*IF(E388="W",F388,0))+(S388*IF(G388="W",H388,0))</x:f>
      </x:c>
    </x:row>
    <x:row r="389">
      <x:c r="A389" s="3" t="inlineStr">
        <x:is>
          <x:t xml:space="preserve">Security</x:t>
        </x:is>
      </x:c>
      <x:c r="B389" s="3" t="inlineStr">
        <x:is>
          <x:t xml:space="preserve">SEC-D3-Q08</x:t>
        </x:is>
      </x:c>
      <x:c r="C389" s="3" t="inlineStr">
        <x:is>
          <x:t xml:space="preserve">T2</x:t>
        </x:is>
      </x:c>
      <x:c r="D389" s="3" t="inlineStr">
        <x:is>
          <x:t xml:space="preserve">3. Detection Use Cases &amp; Tuning</x:t>
        </x:is>
      </x:c>
      <x:c r="E389" s="3" t="inlineStr">
        <x:is>
          <x:t xml:space="preserve">E</x:t>
        </x:is>
      </x:c>
      <x:c r="F389" s="3" t="n">
        <x:v>1</x:v>
      </x:c>
      <x:c r="G389" s="3" t="inlineStr">
        <x:is>
          <x:t xml:space="preserve"/>
        </x:is>
      </x:c>
      <x:c r="H389" s="3" t="inlineStr">
        <x:is>
          <x:t xml:space="preserve"/>
        </x:is>
      </x:c>
      <x:c r="I389" s="3" t="inlineStr">
        <x:is>
          <x:t xml:space="preserve">(Shadow probe) When an alert fires, do analysts have time and guidance to investigate, or do alerts pile up?</x:t>
        </x:is>
      </x:c>
      <x:c r="J389" s="3" t="inlineStr">
        <x:is>
          <x:t xml:space="preserve">We are checking operational reality: backlog and whether the team can act on signals.</x:t>
        </x:is>
      </x:c>
      <x:c r="K389" s="3" t="inlineStr">
        <x:is>
          <x:t xml:space="preserve">Shadow fallback (Then → SEC-D4-Q10)</x:t>
        </x:is>
      </x:c>
      <x:c r="L389" s="3" t="inlineStr">
        <x:is>
          <x:t xml:space="preserve">OPS_STD</x:t>
        </x:is>
      </x:c>
      <x:c r="M389" s="3" t="n">
        <x:v>1</x:v>
      </x:c>
      <x:c r="N389" s="3" t="inlineStr">
        <x:is>
          <x:t xml:space="preserve"/>
        </x:is>
      </x:c>
      <x:c r="O389" s="3" t="inlineStr">
        <x:is>
          <x:t xml:space="preserve"/>
        </x:is>
      </x:c>
      <x:c r="P389" s="3" t="inlineStr">
        <x:is>
          <x:t xml:space="preserve">SEC-D3-Q08-A1</x:t>
        </x:is>
      </x:c>
      <x:c r="Q389" s="3" t="n">
        <x:v>1</x:v>
      </x:c>
      <x:c r="R389" s="3" t="inlineStr">
        <x:is>
          <x:t xml:space="preserve">Alerts mostly pile up; we focus on outages and external threats.</x:t>
        </x:is>
      </x:c>
      <x:c r="S389" s="3" t="n">
        <x:v>0</x:v>
      </x:c>
      <x:c r="T389" s="3" t="inlineStr">
        <x:is>
          <x:t xml:space="preserve">paper_dragon_signal</x:t>
        </x:is>
      </x:c>
      <x:c r="U389" s="3" t="inlineStr">
        <x:is>
          <x:t xml:space="preserve">Paper Dragon</x:t>
        </x:is>
      </x:c>
      <x:c r="V389" s="3" t="inlineStr">
        <x:is>
          <x:t xml:space="preserve">Assess_Detection</x:t>
        </x:is>
      </x:c>
      <x:c r="W389" s="3" t="inlineStr">
        <x:is>
          <x:t xml:space="preserve">N</x:t>
        </x:is>
      </x:c>
      <x:c r="X389" s="3" t="inlineStr">
        <x:is>
          <x:t xml:space="preserve"/>
        </x:is>
      </x:c>
      <x:c r="Y389" s="6">
        <x:f>(S389*IF(E389="G",F389,0))+(S389*IF(G389="G",H389,0))</x:f>
      </x:c>
      <x:c r="Z389" s="6">
        <x:f>(S389*IF(E389="E",F389,0))+(S389*IF(G389="E",H389,0))</x:f>
      </x:c>
      <x:c r="AA389" s="6">
        <x:f>(S389*IF(E389="T",F389,0))+(S389*IF(G389="T",H389,0))</x:f>
      </x:c>
      <x:c r="AB389" s="6">
        <x:f>(S389*IF(E389="L",F389,0))+(S389*IF(G389="L",H389,0))</x:f>
      </x:c>
      <x:c r="AC389" s="6">
        <x:f>(S389*IF(E389="H",F389,0))+(S389*IF(G389="H",H389,0))</x:f>
      </x:c>
      <x:c r="AD389" s="6">
        <x:f>(S389*IF(E389="V",F389,0))+(S389*IF(G389="V",H389,0))</x:f>
      </x:c>
      <x:c r="AE389" s="6">
        <x:f>(S389*IF(E389="R",F389,0))+(S389*IF(G389="R",H389,0))</x:f>
      </x:c>
      <x:c r="AF389" s="6">
        <x:f>(S389*IF(E389="F",F389,0))+(S389*IF(G389="F",H389,0))</x:f>
      </x:c>
      <x:c r="AG389" s="6">
        <x:f>(S389*IF(E389="W",F389,0))+(S389*IF(G389="W",H389,0))</x:f>
      </x:c>
    </x:row>
    <x:row r="390">
      <x:c r="A390" s="3" t="inlineStr">
        <x:is>
          <x:t xml:space="preserve">Security</x:t>
        </x:is>
      </x:c>
      <x:c r="B390" s="3" t="inlineStr">
        <x:is>
          <x:t xml:space="preserve">SEC-D3-Q08</x:t>
        </x:is>
      </x:c>
      <x:c r="C390" s="3" t="inlineStr">
        <x:is>
          <x:t xml:space="preserve">T2</x:t>
        </x:is>
      </x:c>
      <x:c r="D390" s="3" t="inlineStr">
        <x:is>
          <x:t xml:space="preserve">3. Detection Use Cases &amp; Tuning</x:t>
        </x:is>
      </x:c>
      <x:c r="E390" s="3" t="inlineStr">
        <x:is>
          <x:t xml:space="preserve">E</x:t>
        </x:is>
      </x:c>
      <x:c r="F390" s="3" t="n">
        <x:v>1</x:v>
      </x:c>
      <x:c r="G390" s="3" t="inlineStr">
        <x:is>
          <x:t xml:space="preserve"/>
        </x:is>
      </x:c>
      <x:c r="H390" s="3" t="inlineStr">
        <x:is>
          <x:t xml:space="preserve"/>
        </x:is>
      </x:c>
      <x:c r="I390" s="3" t="inlineStr">
        <x:is>
          <x:t xml:space="preserve">(Shadow probe) When an alert fires, do analysts have time and guidance to investigate, or do alerts pile up?</x:t>
        </x:is>
      </x:c>
      <x:c r="J390" s="3" t="inlineStr">
        <x:is>
          <x:t xml:space="preserve">We are checking operational reality: backlog and whether the team can act on signals.</x:t>
        </x:is>
      </x:c>
      <x:c r="K390" s="3" t="inlineStr">
        <x:is>
          <x:t xml:space="preserve">Shadow fallback (Then → SEC-D4-Q10)</x:t>
        </x:is>
      </x:c>
      <x:c r="L390" s="3" t="inlineStr">
        <x:is>
          <x:t xml:space="preserve">OPS_STD</x:t>
        </x:is>
      </x:c>
      <x:c r="M390" s="3" t="n">
        <x:v>1</x:v>
      </x:c>
      <x:c r="N390" s="3" t="inlineStr">
        <x:is>
          <x:t xml:space="preserve"/>
        </x:is>
      </x:c>
      <x:c r="O390" s="3" t="inlineStr">
        <x:is>
          <x:t xml:space="preserve"/>
        </x:is>
      </x:c>
      <x:c r="P390" s="3" t="inlineStr">
        <x:is>
          <x:t xml:space="preserve">SEC-D3-Q08-A2</x:t>
        </x:is>
      </x:c>
      <x:c r="Q390" s="3" t="n">
        <x:v>2</x:v>
      </x:c>
      <x:c r="R390" s="3" t="inlineStr">
        <x:is>
          <x:t xml:space="preserve">Some alerts are investigated; many are closed quickly due to lack of context.</x:t>
        </x:is>
      </x:c>
      <x:c r="S390" s="3" t="n">
        <x:v>2</x:v>
      </x:c>
      <x:c r="T390" s="3" t="inlineStr">
        <x:is>
          <x:t xml:space="preserve"/>
        </x:is>
      </x:c>
      <x:c r="U390" s="3" t="inlineStr">
        <x:is>
          <x:t xml:space="preserve">Operating Model Gap</x:t>
        </x:is>
      </x:c>
      <x:c r="V390" s="3" t="inlineStr">
        <x:is>
          <x:t xml:space="preserve">Assess_Case_Model</x:t>
        </x:is>
      </x:c>
      <x:c r="W390" s="3" t="inlineStr">
        <x:is>
          <x:t xml:space="preserve">N</x:t>
        </x:is>
      </x:c>
      <x:c r="X390" s="3" t="inlineStr">
        <x:is>
          <x:t xml:space="preserve"/>
        </x:is>
      </x:c>
      <x:c r="Y390" s="6">
        <x:f>(S390*IF(E390="G",F390,0))+(S390*IF(G390="G",H390,0))</x:f>
      </x:c>
      <x:c r="Z390" s="6">
        <x:f>(S390*IF(E390="E",F390,0))+(S390*IF(G390="E",H390,0))</x:f>
      </x:c>
      <x:c r="AA390" s="6">
        <x:f>(S390*IF(E390="T",F390,0))+(S390*IF(G390="T",H390,0))</x:f>
      </x:c>
      <x:c r="AB390" s="6">
        <x:f>(S390*IF(E390="L",F390,0))+(S390*IF(G390="L",H390,0))</x:f>
      </x:c>
      <x:c r="AC390" s="6">
        <x:f>(S390*IF(E390="H",F390,0))+(S390*IF(G390="H",H390,0))</x:f>
      </x:c>
      <x:c r="AD390" s="6">
        <x:f>(S390*IF(E390="V",F390,0))+(S390*IF(G390="V",H390,0))</x:f>
      </x:c>
      <x:c r="AE390" s="6">
        <x:f>(S390*IF(E390="R",F390,0))+(S390*IF(G390="R",H390,0))</x:f>
      </x:c>
      <x:c r="AF390" s="6">
        <x:f>(S390*IF(E390="F",F390,0))+(S390*IF(G390="F",H390,0))</x:f>
      </x:c>
      <x:c r="AG390" s="6">
        <x:f>(S390*IF(E390="W",F390,0))+(S390*IF(G390="W",H390,0))</x:f>
      </x:c>
    </x:row>
    <x:row r="391">
      <x:c r="A391" s="3" t="inlineStr">
        <x:is>
          <x:t xml:space="preserve">Security</x:t>
        </x:is>
      </x:c>
      <x:c r="B391" s="3" t="inlineStr">
        <x:is>
          <x:t xml:space="preserve">SEC-D3-Q08</x:t>
        </x:is>
      </x:c>
      <x:c r="C391" s="3" t="inlineStr">
        <x:is>
          <x:t xml:space="preserve">T2</x:t>
        </x:is>
      </x:c>
      <x:c r="D391" s="3" t="inlineStr">
        <x:is>
          <x:t xml:space="preserve">3. Detection Use Cases &amp; Tuning</x:t>
        </x:is>
      </x:c>
      <x:c r="E391" s="3" t="inlineStr">
        <x:is>
          <x:t xml:space="preserve">E</x:t>
        </x:is>
      </x:c>
      <x:c r="F391" s="3" t="n">
        <x:v>1</x:v>
      </x:c>
      <x:c r="G391" s="3" t="inlineStr">
        <x:is>
          <x:t xml:space="preserve"/>
        </x:is>
      </x:c>
      <x:c r="H391" s="3" t="inlineStr">
        <x:is>
          <x:t xml:space="preserve"/>
        </x:is>
      </x:c>
      <x:c r="I391" s="3" t="inlineStr">
        <x:is>
          <x:t xml:space="preserve">(Shadow probe) When an alert fires, do analysts have time and guidance to investigate, or do alerts pile up?</x:t>
        </x:is>
      </x:c>
      <x:c r="J391" s="3" t="inlineStr">
        <x:is>
          <x:t xml:space="preserve">We are checking operational reality: backlog and whether the team can act on signals.</x:t>
        </x:is>
      </x:c>
      <x:c r="K391" s="3" t="inlineStr">
        <x:is>
          <x:t xml:space="preserve">Shadow fallback (Then → SEC-D4-Q10)</x:t>
        </x:is>
      </x:c>
      <x:c r="L391" s="3" t="inlineStr">
        <x:is>
          <x:t xml:space="preserve">OPS_STD</x:t>
        </x:is>
      </x:c>
      <x:c r="M391" s="3" t="n">
        <x:v>1</x:v>
      </x:c>
      <x:c r="N391" s="3" t="inlineStr">
        <x:is>
          <x:t xml:space="preserve"/>
        </x:is>
      </x:c>
      <x:c r="O391" s="3" t="inlineStr">
        <x:is>
          <x:t xml:space="preserve"/>
        </x:is>
      </x:c>
      <x:c r="P391" s="3" t="inlineStr">
        <x:is>
          <x:t xml:space="preserve">SEC-D3-Q08-A3</x:t>
        </x:is>
      </x:c>
      <x:c r="Q391" s="3" t="n">
        <x:v>3</x:v>
      </x:c>
      <x:c r="R391" s="3" t="inlineStr">
        <x:is>
          <x:t xml:space="preserve">Alerts are generally triaged with time-boxing and escalation paths for high risk.</x:t>
        </x:is>
      </x:c>
      <x:c r="S391" s="3" t="n">
        <x:v>3</x:v>
      </x:c>
      <x:c r="T391" s="3" t="inlineStr">
        <x:is>
          <x:t xml:space="preserve"/>
        </x:is>
      </x:c>
      <x:c r="U391" s="3" t="inlineStr">
        <x:is>
          <x:t xml:space="preserve">Resilience Gap</x:t>
        </x:is>
      </x:c>
      <x:c r="V391" s="3" t="inlineStr">
        <x:is>
          <x:t xml:space="preserve">Assess_Case_Model</x:t>
        </x:is>
      </x:c>
      <x:c r="W391" s="3" t="inlineStr">
        <x:is>
          <x:t xml:space="preserve">Y</x:t>
        </x:is>
      </x:c>
      <x:c r="X391" s="3" t="inlineStr">
        <x:is>
          <x:t xml:space="preserve">Backlog/MTTT snapshot (redacted).</x:t>
        </x:is>
      </x:c>
      <x:c r="Y391" s="6">
        <x:f>(S391*IF(E391="G",F391,0))+(S391*IF(G391="G",H391,0))</x:f>
      </x:c>
      <x:c r="Z391" s="6">
        <x:f>(S391*IF(E391="E",F391,0))+(S391*IF(G391="E",H391,0))</x:f>
      </x:c>
      <x:c r="AA391" s="6">
        <x:f>(S391*IF(E391="T",F391,0))+(S391*IF(G391="T",H391,0))</x:f>
      </x:c>
      <x:c r="AB391" s="6">
        <x:f>(S391*IF(E391="L",F391,0))+(S391*IF(G391="L",H391,0))</x:f>
      </x:c>
      <x:c r="AC391" s="6">
        <x:f>(S391*IF(E391="H",F391,0))+(S391*IF(G391="H",H391,0))</x:f>
      </x:c>
      <x:c r="AD391" s="6">
        <x:f>(S391*IF(E391="V",F391,0))+(S391*IF(G391="V",H391,0))</x:f>
      </x:c>
      <x:c r="AE391" s="6">
        <x:f>(S391*IF(E391="R",F391,0))+(S391*IF(G391="R",H391,0))</x:f>
      </x:c>
      <x:c r="AF391" s="6">
        <x:f>(S391*IF(E391="F",F391,0))+(S391*IF(G391="F",H391,0))</x:f>
      </x:c>
      <x:c r="AG391" s="6">
        <x:f>(S391*IF(E391="W",F391,0))+(S391*IF(G391="W",H391,0))</x:f>
      </x:c>
    </x:row>
    <x:row r="392">
      <x:c r="A392" s="3" t="inlineStr">
        <x:is>
          <x:t xml:space="preserve">Security</x:t>
        </x:is>
      </x:c>
      <x:c r="B392" s="3" t="inlineStr">
        <x:is>
          <x:t xml:space="preserve">SEC-D3-Q09</x:t>
        </x:is>
      </x:c>
      <x:c r="C392" s="3" t="inlineStr">
        <x:is>
          <x:t xml:space="preserve">T2</x:t>
        </x:is>
      </x:c>
      <x:c r="D392" s="3" t="inlineStr">
        <x:is>
          <x:t xml:space="preserve">3. Detection Use Cases &amp; Tuning</x:t>
        </x:is>
      </x:c>
      <x:c r="E392" s="3" t="inlineStr">
        <x:is>
          <x:t xml:space="preserve">T</x:t>
        </x:is>
      </x:c>
      <x:c r="F392" s="3" t="n">
        <x:v>0.7</x:v>
      </x:c>
      <x:c r="G392" s="3" t="inlineStr">
        <x:is>
          <x:t xml:space="preserve">F</x:t>
        </x:is>
      </x:c>
      <x:c r="H392" s="3" t="n">
        <x:v>0.3</x:v>
      </x:c>
      <x:c r="I392" s="3" t="inlineStr">
        <x:is>
          <x:t xml:space="preserve">How do you manage false positives and business disruption caused by monitoring controls (so teams don’t create workarounds)?</x:t>
        </x:is>
      </x:c>
      <x:c r="J392" s="3" t="inlineStr">
        <x:is>
          <x:t xml:space="preserve">This is 'friction management': tuning, exception paths, and measuring bypass behavior.</x:t>
        </x:is>
      </x:c>
      <x:c r="K392" s="3" t="inlineStr">
        <x:is>
          <x:t xml:space="preserve">Drill-down</x:t>
        </x:is>
      </x:c>
      <x:c r="L392" s="3" t="inlineStr">
        <x:is>
          <x:t xml:space="preserve">OPS_STD</x:t>
        </x:is>
      </x:c>
      <x:c r="M392" s="3" t="n">
        <x:v>1</x:v>
      </x:c>
      <x:c r="N392" s="3" t="inlineStr">
        <x:is>
          <x:t xml:space="preserve"/>
        </x:is>
      </x:c>
      <x:c r="O392" s="3" t="inlineStr">
        <x:is>
          <x:t xml:space="preserve"/>
        </x:is>
      </x:c>
      <x:c r="P392" s="3" t="inlineStr">
        <x:is>
          <x:t xml:space="preserve">SEC-D3-Q09-A1</x:t>
        </x:is>
      </x:c>
      <x:c r="Q392" s="3" t="n">
        <x:v>1</x:v>
      </x:c>
      <x:c r="R392" s="3" t="inlineStr">
        <x:is>
          <x:t xml:space="preserve">We don’t measure it; users complain and find workarounds.</x:t>
        </x:is>
      </x:c>
      <x:c r="S392" s="3" t="n">
        <x:v>0</x:v>
      </x:c>
      <x:c r="T392" s="3" t="inlineStr">
        <x:is>
          <x:t xml:space="preserve">bypass_pressure</x:t>
        </x:is>
      </x:c>
      <x:c r="U392" s="3" t="inlineStr">
        <x:is>
          <x:t xml:space="preserve">Bypass Pressure</x:t>
        </x:is>
      </x:c>
      <x:c r="V392" s="3" t="inlineStr">
        <x:is>
          <x:t xml:space="preserve">Assess_Friction</x:t>
        </x:is>
      </x:c>
      <x:c r="W392" s="3" t="inlineStr">
        <x:is>
          <x:t xml:space="preserve">N</x:t>
        </x:is>
      </x:c>
      <x:c r="X392" s="3" t="inlineStr">
        <x:is>
          <x:t xml:space="preserve"/>
        </x:is>
      </x:c>
      <x:c r="Y392" s="6">
        <x:f>(S392*IF(E392="G",F392,0))+(S392*IF(G392="G",H392,0))</x:f>
      </x:c>
      <x:c r="Z392" s="6">
        <x:f>(S392*IF(E392="E",F392,0))+(S392*IF(G392="E",H392,0))</x:f>
      </x:c>
      <x:c r="AA392" s="6">
        <x:f>(S392*IF(E392="T",F392,0))+(S392*IF(G392="T",H392,0))</x:f>
      </x:c>
      <x:c r="AB392" s="6">
        <x:f>(S392*IF(E392="L",F392,0))+(S392*IF(G392="L",H392,0))</x:f>
      </x:c>
      <x:c r="AC392" s="6">
        <x:f>(S392*IF(E392="H",F392,0))+(S392*IF(G392="H",H392,0))</x:f>
      </x:c>
      <x:c r="AD392" s="6">
        <x:f>(S392*IF(E392="V",F392,0))+(S392*IF(G392="V",H392,0))</x:f>
      </x:c>
      <x:c r="AE392" s="6">
        <x:f>(S392*IF(E392="R",F392,0))+(S392*IF(G392="R",H392,0))</x:f>
      </x:c>
      <x:c r="AF392" s="6">
        <x:f>(S392*IF(E392="F",F392,0))+(S392*IF(G392="F",H392,0))</x:f>
      </x:c>
      <x:c r="AG392" s="6">
        <x:f>(S392*IF(E392="W",F392,0))+(S392*IF(G392="W",H392,0))</x:f>
      </x:c>
    </x:row>
    <x:row r="393">
      <x:c r="A393" s="3" t="inlineStr">
        <x:is>
          <x:t xml:space="preserve">Security</x:t>
        </x:is>
      </x:c>
      <x:c r="B393" s="3" t="inlineStr">
        <x:is>
          <x:t xml:space="preserve">SEC-D3-Q09</x:t>
        </x:is>
      </x:c>
      <x:c r="C393" s="3" t="inlineStr">
        <x:is>
          <x:t xml:space="preserve">T2</x:t>
        </x:is>
      </x:c>
      <x:c r="D393" s="3" t="inlineStr">
        <x:is>
          <x:t xml:space="preserve">3. Detection Use Cases &amp; Tuning</x:t>
        </x:is>
      </x:c>
      <x:c r="E393" s="3" t="inlineStr">
        <x:is>
          <x:t xml:space="preserve">T</x:t>
        </x:is>
      </x:c>
      <x:c r="F393" s="3" t="n">
        <x:v>0.7</x:v>
      </x:c>
      <x:c r="G393" s="3" t="inlineStr">
        <x:is>
          <x:t xml:space="preserve">F</x:t>
        </x:is>
      </x:c>
      <x:c r="H393" s="3" t="n">
        <x:v>0.3</x:v>
      </x:c>
      <x:c r="I393" s="3" t="inlineStr">
        <x:is>
          <x:t xml:space="preserve">How do you manage false positives and business disruption caused by monitoring controls (so teams don’t create workarounds)?</x:t>
        </x:is>
      </x:c>
      <x:c r="J393" s="3" t="inlineStr">
        <x:is>
          <x:t xml:space="preserve">This is 'friction management': tuning, exception paths, and measuring bypass behavior.</x:t>
        </x:is>
      </x:c>
      <x:c r="K393" s="3" t="inlineStr">
        <x:is>
          <x:t xml:space="preserve">Drill-down</x:t>
        </x:is>
      </x:c>
      <x:c r="L393" s="3" t="inlineStr">
        <x:is>
          <x:t xml:space="preserve">OPS_STD</x:t>
        </x:is>
      </x:c>
      <x:c r="M393" s="3" t="n">
        <x:v>1</x:v>
      </x:c>
      <x:c r="N393" s="3" t="inlineStr">
        <x:is>
          <x:t xml:space="preserve"/>
        </x:is>
      </x:c>
      <x:c r="O393" s="3" t="inlineStr">
        <x:is>
          <x:t xml:space="preserve"/>
        </x:is>
      </x:c>
      <x:c r="P393" s="3" t="inlineStr">
        <x:is>
          <x:t xml:space="preserve">SEC-D3-Q09-A2</x:t>
        </x:is>
      </x:c>
      <x:c r="Q393" s="3" t="n">
        <x:v>2</x:v>
      </x:c>
      <x:c r="R393" s="3" t="inlineStr">
        <x:is>
          <x:t xml:space="preserve">We tune occasionally after major complaints or incidents.</x:t>
        </x:is>
      </x:c>
      <x:c r="S393" s="3" t="n">
        <x:v>1</x:v>
      </x:c>
      <x:c r="T393" s="3" t="inlineStr">
        <x:is>
          <x:t xml:space="preserve">bypass_pressure</x:t>
        </x:is>
      </x:c>
      <x:c r="U393" s="3" t="inlineStr">
        <x:is>
          <x:t xml:space="preserve">Bypass Pressure</x:t>
        </x:is>
      </x:c>
      <x:c r="V393" s="3" t="inlineStr">
        <x:is>
          <x:t xml:space="preserve">Measure_Friction</x:t>
        </x:is>
      </x:c>
      <x:c r="W393" s="3" t="inlineStr">
        <x:is>
          <x:t xml:space="preserve">N</x:t>
        </x:is>
      </x:c>
      <x:c r="X393" s="3" t="inlineStr">
        <x:is>
          <x:t xml:space="preserve"/>
        </x:is>
      </x:c>
      <x:c r="Y393" s="6">
        <x:f>(S393*IF(E393="G",F393,0))+(S393*IF(G393="G",H393,0))</x:f>
      </x:c>
      <x:c r="Z393" s="6">
        <x:f>(S393*IF(E393="E",F393,0))+(S393*IF(G393="E",H393,0))</x:f>
      </x:c>
      <x:c r="AA393" s="6">
        <x:f>(S393*IF(E393="T",F393,0))+(S393*IF(G393="T",H393,0))</x:f>
      </x:c>
      <x:c r="AB393" s="6">
        <x:f>(S393*IF(E393="L",F393,0))+(S393*IF(G393="L",H393,0))</x:f>
      </x:c>
      <x:c r="AC393" s="6">
        <x:f>(S393*IF(E393="H",F393,0))+(S393*IF(G393="H",H393,0))</x:f>
      </x:c>
      <x:c r="AD393" s="6">
        <x:f>(S393*IF(E393="V",F393,0))+(S393*IF(G393="V",H393,0))</x:f>
      </x:c>
      <x:c r="AE393" s="6">
        <x:f>(S393*IF(E393="R",F393,0))+(S393*IF(G393="R",H393,0))</x:f>
      </x:c>
      <x:c r="AF393" s="6">
        <x:f>(S393*IF(E393="F",F393,0))+(S393*IF(G393="F",H393,0))</x:f>
      </x:c>
      <x:c r="AG393" s="6">
        <x:f>(S393*IF(E393="W",F393,0))+(S393*IF(G393="W",H393,0))</x:f>
      </x:c>
    </x:row>
    <x:row r="394">
      <x:c r="A394" s="3" t="inlineStr">
        <x:is>
          <x:t xml:space="preserve">Security</x:t>
        </x:is>
      </x:c>
      <x:c r="B394" s="3" t="inlineStr">
        <x:is>
          <x:t xml:space="preserve">SEC-D3-Q09</x:t>
        </x:is>
      </x:c>
      <x:c r="C394" s="3" t="inlineStr">
        <x:is>
          <x:t xml:space="preserve">T2</x:t>
        </x:is>
      </x:c>
      <x:c r="D394" s="3" t="inlineStr">
        <x:is>
          <x:t xml:space="preserve">3. Detection Use Cases &amp; Tuning</x:t>
        </x:is>
      </x:c>
      <x:c r="E394" s="3" t="inlineStr">
        <x:is>
          <x:t xml:space="preserve">T</x:t>
        </x:is>
      </x:c>
      <x:c r="F394" s="3" t="n">
        <x:v>0.7</x:v>
      </x:c>
      <x:c r="G394" s="3" t="inlineStr">
        <x:is>
          <x:t xml:space="preserve">F</x:t>
        </x:is>
      </x:c>
      <x:c r="H394" s="3" t="n">
        <x:v>0.3</x:v>
      </x:c>
      <x:c r="I394" s="3" t="inlineStr">
        <x:is>
          <x:t xml:space="preserve">How do you manage false positives and business disruption caused by monitoring controls (so teams don’t create workarounds)?</x:t>
        </x:is>
      </x:c>
      <x:c r="J394" s="3" t="inlineStr">
        <x:is>
          <x:t xml:space="preserve">This is 'friction management': tuning, exception paths, and measuring bypass behavior.</x:t>
        </x:is>
      </x:c>
      <x:c r="K394" s="3" t="inlineStr">
        <x:is>
          <x:t xml:space="preserve">Drill-down</x:t>
        </x:is>
      </x:c>
      <x:c r="L394" s="3" t="inlineStr">
        <x:is>
          <x:t xml:space="preserve">OPS_STD</x:t>
        </x:is>
      </x:c>
      <x:c r="M394" s="3" t="n">
        <x:v>1</x:v>
      </x:c>
      <x:c r="N394" s="3" t="inlineStr">
        <x:is>
          <x:t xml:space="preserve"/>
        </x:is>
      </x:c>
      <x:c r="O394" s="3" t="inlineStr">
        <x:is>
          <x:t xml:space="preserve"/>
        </x:is>
      </x:c>
      <x:c r="P394" s="3" t="inlineStr">
        <x:is>
          <x:t xml:space="preserve">SEC-D3-Q09-A3</x:t>
        </x:is>
      </x:c>
      <x:c r="Q394" s="3" t="n">
        <x:v>3</x:v>
      </x:c>
      <x:c r="R394" s="3" t="inlineStr">
        <x:is>
          <x:t xml:space="preserve">We track exceptions/false positives and tune on a schedule.</x:t>
        </x:is>
      </x:c>
      <x:c r="S394" s="3" t="n">
        <x:v>3</x:v>
      </x:c>
      <x:c r="T394" s="3" t="inlineStr">
        <x:is>
          <x:t xml:space="preserve"/>
        </x:is>
      </x:c>
      <x:c r="U394" s="3" t="inlineStr">
        <x:is>
          <x:t xml:space="preserve">Bypass Pressure</x:t>
        </x:is>
      </x:c>
      <x:c r="V394" s="3" t="inlineStr">
        <x:is>
          <x:t xml:space="preserve">Measure_Friction</x:t>
        </x:is>
      </x:c>
      <x:c r="W394" s="3" t="inlineStr">
        <x:is>
          <x:t xml:space="preserve">Y</x:t>
        </x:is>
      </x:c>
      <x:c r="X394" s="3" t="inlineStr">
        <x:is>
          <x:t xml:space="preserve">Exception log or tuning backlog.</x:t>
        </x:is>
      </x:c>
      <x:c r="Y394" s="6">
        <x:f>(S394*IF(E394="G",F394,0))+(S394*IF(G394="G",H394,0))</x:f>
      </x:c>
      <x:c r="Z394" s="6">
        <x:f>(S394*IF(E394="E",F394,0))+(S394*IF(G394="E",H394,0))</x:f>
      </x:c>
      <x:c r="AA394" s="6">
        <x:f>(S394*IF(E394="T",F394,0))+(S394*IF(G394="T",H394,0))</x:f>
      </x:c>
      <x:c r="AB394" s="6">
        <x:f>(S394*IF(E394="L",F394,0))+(S394*IF(G394="L",H394,0))</x:f>
      </x:c>
      <x:c r="AC394" s="6">
        <x:f>(S394*IF(E394="H",F394,0))+(S394*IF(G394="H",H394,0))</x:f>
      </x:c>
      <x:c r="AD394" s="6">
        <x:f>(S394*IF(E394="V",F394,0))+(S394*IF(G394="V",H394,0))</x:f>
      </x:c>
      <x:c r="AE394" s="6">
        <x:f>(S394*IF(E394="R",F394,0))+(S394*IF(G394="R",H394,0))</x:f>
      </x:c>
      <x:c r="AF394" s="6">
        <x:f>(S394*IF(E394="F",F394,0))+(S394*IF(G394="F",H394,0))</x:f>
      </x:c>
      <x:c r="AG394" s="6">
        <x:f>(S394*IF(E394="W",F394,0))+(S394*IF(G394="W",H394,0))</x:f>
      </x:c>
    </x:row>
    <x:row r="395">
      <x:c r="A395" s="3" t="inlineStr">
        <x:is>
          <x:t xml:space="preserve">Security</x:t>
        </x:is>
      </x:c>
      <x:c r="B395" s="3" t="inlineStr">
        <x:is>
          <x:t xml:space="preserve">SEC-D3-Q09</x:t>
        </x:is>
      </x:c>
      <x:c r="C395" s="3" t="inlineStr">
        <x:is>
          <x:t xml:space="preserve">T2</x:t>
        </x:is>
      </x:c>
      <x:c r="D395" s="3" t="inlineStr">
        <x:is>
          <x:t xml:space="preserve">3. Detection Use Cases &amp; Tuning</x:t>
        </x:is>
      </x:c>
      <x:c r="E395" s="3" t="inlineStr">
        <x:is>
          <x:t xml:space="preserve">T</x:t>
        </x:is>
      </x:c>
      <x:c r="F395" s="3" t="n">
        <x:v>0.7</x:v>
      </x:c>
      <x:c r="G395" s="3" t="inlineStr">
        <x:is>
          <x:t xml:space="preserve">F</x:t>
        </x:is>
      </x:c>
      <x:c r="H395" s="3" t="n">
        <x:v>0.3</x:v>
      </x:c>
      <x:c r="I395" s="3" t="inlineStr">
        <x:is>
          <x:t xml:space="preserve">How do you manage false positives and business disruption caused by monitoring controls (so teams don’t create workarounds)?</x:t>
        </x:is>
      </x:c>
      <x:c r="J395" s="3" t="inlineStr">
        <x:is>
          <x:t xml:space="preserve">This is 'friction management': tuning, exception paths, and measuring bypass behavior.</x:t>
        </x:is>
      </x:c>
      <x:c r="K395" s="3" t="inlineStr">
        <x:is>
          <x:t xml:space="preserve">Drill-down</x:t>
        </x:is>
      </x:c>
      <x:c r="L395" s="3" t="inlineStr">
        <x:is>
          <x:t xml:space="preserve">OPS_STD</x:t>
        </x:is>
      </x:c>
      <x:c r="M395" s="3" t="n">
        <x:v>1</x:v>
      </x:c>
      <x:c r="N395" s="3" t="inlineStr">
        <x:is>
          <x:t xml:space="preserve"/>
        </x:is>
      </x:c>
      <x:c r="O395" s="3" t="inlineStr">
        <x:is>
          <x:t xml:space="preserve"/>
        </x:is>
      </x:c>
      <x:c r="P395" s="3" t="inlineStr">
        <x:is>
          <x:t xml:space="preserve">SEC-D3-Q09-A4</x:t>
        </x:is>
      </x:c>
      <x:c r="Q395" s="3" t="n">
        <x:v>4</x:v>
      </x:c>
      <x:c r="R395" s="3" t="inlineStr">
        <x:is>
          <x:t xml:space="preserve">Optimized: we measure disruption, reduce bypass drivers, and have fast exception paths with oversight.</x:t>
        </x:is>
      </x:c>
      <x:c r="S395" s="3" t="n">
        <x:v>4</x:v>
      </x:c>
      <x:c r="T395" s="3" t="inlineStr">
        <x:is>
          <x:t xml:space="preserve"/>
        </x:is>
      </x:c>
      <x:c r="U395" s="3" t="inlineStr">
        <x:is>
          <x:t xml:space="preserve">Bypass Pressure</x:t>
        </x:is>
      </x:c>
      <x:c r="V395" s="3" t="inlineStr">
        <x:is>
          <x:t xml:space="preserve">Measure_Friction</x:t>
        </x:is>
      </x:c>
      <x:c r="W395" s="3" t="inlineStr">
        <x:is>
          <x:t xml:space="preserve">Y</x:t>
        </x:is>
      </x:c>
      <x:c r="X395" s="3" t="inlineStr">
        <x:is>
          <x:t xml:space="preserve">Metrics + exception governance.</x:t>
        </x:is>
      </x:c>
      <x:c r="Y395" s="6">
        <x:f>(S395*IF(E395="G",F395,0))+(S395*IF(G395="G",H395,0))</x:f>
      </x:c>
      <x:c r="Z395" s="6">
        <x:f>(S395*IF(E395="E",F395,0))+(S395*IF(G395="E",H395,0))</x:f>
      </x:c>
      <x:c r="AA395" s="6">
        <x:f>(S395*IF(E395="T",F395,0))+(S395*IF(G395="T",H395,0))</x:f>
      </x:c>
      <x:c r="AB395" s="6">
        <x:f>(S395*IF(E395="L",F395,0))+(S395*IF(G395="L",H395,0))</x:f>
      </x:c>
      <x:c r="AC395" s="6">
        <x:f>(S395*IF(E395="H",F395,0))+(S395*IF(G395="H",H395,0))</x:f>
      </x:c>
      <x:c r="AD395" s="6">
        <x:f>(S395*IF(E395="V",F395,0))+(S395*IF(G395="V",H395,0))</x:f>
      </x:c>
      <x:c r="AE395" s="6">
        <x:f>(S395*IF(E395="R",F395,0))+(S395*IF(G395="R",H395,0))</x:f>
      </x:c>
      <x:c r="AF395" s="6">
        <x:f>(S395*IF(E395="F",F395,0))+(S395*IF(G395="F",H395,0))</x:f>
      </x:c>
      <x:c r="AG395" s="6">
        <x:f>(S395*IF(E395="W",F395,0))+(S395*IF(G395="W",H395,0))</x:f>
      </x:c>
    </x:row>
    <x:row r="396">
      <x:c r="A396" s="3" t="inlineStr">
        <x:is>
          <x:t xml:space="preserve">Security</x:t>
        </x:is>
      </x:c>
      <x:c r="B396" s="3" t="inlineStr">
        <x:is>
          <x:t xml:space="preserve">SEC-D4-Q10</x:t>
        </x:is>
      </x:c>
      <x:c r="C396" s="3" t="inlineStr">
        <x:is>
          <x:t xml:space="preserve">T1</x:t>
        </x:is>
      </x:c>
      <x:c r="D396" s="3" t="inlineStr">
        <x:is>
          <x:t xml:space="preserve">4. High‑Risk Roles &amp; Privileged Monitoring</x:t>
        </x:is>
      </x:c>
      <x:c r="E396" s="3" t="inlineStr">
        <x:is>
          <x:t xml:space="preserve">V</x:t>
        </x:is>
      </x:c>
      <x:c r="F396" s="3" t="n">
        <x:v>0.6</x:v>
      </x:c>
      <x:c r="G396" s="3" t="inlineStr">
        <x:is>
          <x:t xml:space="preserve">T</x:t>
        </x:is>
      </x:c>
      <x:c r="H396" s="3" t="n">
        <x:v>0.4</x:v>
      </x:c>
      <x:c r="I396" s="3" t="inlineStr">
        <x:is>
          <x:t xml:space="preserve">Do you know which roles/accounts have the highest ability to cause harm (admins, finance approvers, HR admins), and are they monitored differently?</x:t>
        </x:is>
      </x:c>
      <x:c r="J396" s="3" t="inlineStr">
        <x:is>
          <x:t xml:space="preserve">Includes privileged IT accounts and business roles with high-impact actions (approve payments, change payroll, export customer lists).</x:t>
        </x:is>
      </x:c>
      <x:c r="K396" s="3" t="inlineStr">
        <x:is>
          <x:t xml:space="preserve">Gatekeeper (If BaseScore &lt;2 → SEC-D4-Q11; If ≥2 → SEC-D4-Q12)</x:t>
        </x:is>
      </x:c>
      <x:c r="L396" s="3" t="inlineStr">
        <x:is>
          <x:t xml:space="preserve">RISK_STD</x:t>
        </x:is>
      </x:c>
      <x:c r="M396" s="3" t="n">
        <x:v>1.5</x:v>
      </x:c>
      <x:c r="N396" s="3" t="n">
        <x:v>0.5</x:v>
      </x:c>
      <x:c r="O396" s="3" t="inlineStr">
        <x:is>
          <x:t xml:space="preserve"/>
        </x:is>
      </x:c>
      <x:c r="P396" s="3" t="inlineStr">
        <x:is>
          <x:t xml:space="preserve">SEC-D4-Q10-A1</x:t>
        </x:is>
      </x:c>
      <x:c r="Q396" s="3" t="n">
        <x:v>1</x:v>
      </x:c>
      <x:c r="R396" s="3" t="inlineStr">
        <x:is>
          <x:t xml:space="preserve">No — high‑risk roles are not mapped; all users are treated the same.</x:t>
        </x:is>
      </x:c>
      <x:c r="S396" s="3" t="n">
        <x:v>0</x:v>
      </x:c>
      <x:c r="T396" s="3" t="inlineStr">
        <x:is>
          <x:t xml:space="preserve">visibility_gap</x:t>
        </x:is>
      </x:c>
      <x:c r="U396" s="3" t="inlineStr">
        <x:is>
          <x:t xml:space="preserve">Visibility Gap</x:t>
        </x:is>
      </x:c>
      <x:c r="V396" s="3" t="inlineStr">
        <x:is>
          <x:t xml:space="preserve">Improve_Visibility</x:t>
        </x:is>
      </x:c>
      <x:c r="W396" s="3" t="inlineStr">
        <x:is>
          <x:t xml:space="preserve">N</x:t>
        </x:is>
      </x:c>
      <x:c r="X396" s="3" t="inlineStr">
        <x:is>
          <x:t xml:space="preserve"/>
        </x:is>
      </x:c>
      <x:c r="Y396" s="6">
        <x:f>(S396*IF(E396="G",F396,0))+(S396*IF(G396="G",H396,0))</x:f>
      </x:c>
      <x:c r="Z396" s="6">
        <x:f>(S396*IF(E396="E",F396,0))+(S396*IF(G396="E",H396,0))</x:f>
      </x:c>
      <x:c r="AA396" s="6">
        <x:f>(S396*IF(E396="T",F396,0))+(S396*IF(G396="T",H396,0))</x:f>
      </x:c>
      <x:c r="AB396" s="6">
        <x:f>(S396*IF(E396="L",F396,0))+(S396*IF(G396="L",H396,0))</x:f>
      </x:c>
      <x:c r="AC396" s="6">
        <x:f>(S396*IF(E396="H",F396,0))+(S396*IF(G396="H",H396,0))</x:f>
      </x:c>
      <x:c r="AD396" s="6">
        <x:f>(S396*IF(E396="V",F396,0))+(S396*IF(G396="V",H396,0))</x:f>
      </x:c>
      <x:c r="AE396" s="6">
        <x:f>(S396*IF(E396="R",F396,0))+(S396*IF(G396="R",H396,0))</x:f>
      </x:c>
      <x:c r="AF396" s="6">
        <x:f>(S396*IF(E396="F",F396,0))+(S396*IF(G396="F",H396,0))</x:f>
      </x:c>
      <x:c r="AG396" s="6">
        <x:f>(S396*IF(E396="W",F396,0))+(S396*IF(G396="W",H396,0))</x:f>
      </x:c>
    </x:row>
    <x:row r="397">
      <x:c r="A397" s="3" t="inlineStr">
        <x:is>
          <x:t xml:space="preserve">Security</x:t>
        </x:is>
      </x:c>
      <x:c r="B397" s="3" t="inlineStr">
        <x:is>
          <x:t xml:space="preserve">SEC-D4-Q10</x:t>
        </x:is>
      </x:c>
      <x:c r="C397" s="3" t="inlineStr">
        <x:is>
          <x:t xml:space="preserve">T1</x:t>
        </x:is>
      </x:c>
      <x:c r="D397" s="3" t="inlineStr">
        <x:is>
          <x:t xml:space="preserve">4. High‑Risk Roles &amp; Privileged Monitoring</x:t>
        </x:is>
      </x:c>
      <x:c r="E397" s="3" t="inlineStr">
        <x:is>
          <x:t xml:space="preserve">V</x:t>
        </x:is>
      </x:c>
      <x:c r="F397" s="3" t="n">
        <x:v>0.6</x:v>
      </x:c>
      <x:c r="G397" s="3" t="inlineStr">
        <x:is>
          <x:t xml:space="preserve">T</x:t>
        </x:is>
      </x:c>
      <x:c r="H397" s="3" t="n">
        <x:v>0.4</x:v>
      </x:c>
      <x:c r="I397" s="3" t="inlineStr">
        <x:is>
          <x:t xml:space="preserve">Do you know which roles/accounts have the highest ability to cause harm (admins, finance approvers, HR admins), and are they monitored differently?</x:t>
        </x:is>
      </x:c>
      <x:c r="J397" s="3" t="inlineStr">
        <x:is>
          <x:t xml:space="preserve">Includes privileged IT accounts and business roles with high-impact actions (approve payments, change payroll, export customer lists).</x:t>
        </x:is>
      </x:c>
      <x:c r="K397" s="3" t="inlineStr">
        <x:is>
          <x:t xml:space="preserve">Gatekeeper (If BaseScore &lt;2 → SEC-D4-Q11; If ≥2 → SEC-D4-Q12)</x:t>
        </x:is>
      </x:c>
      <x:c r="L397" s="3" t="inlineStr">
        <x:is>
          <x:t xml:space="preserve">RISK_STD</x:t>
        </x:is>
      </x:c>
      <x:c r="M397" s="3" t="n">
        <x:v>1.5</x:v>
      </x:c>
      <x:c r="N397" s="3" t="n">
        <x:v>0.5</x:v>
      </x:c>
      <x:c r="O397" s="3" t="inlineStr">
        <x:is>
          <x:t xml:space="preserve"/>
        </x:is>
      </x:c>
      <x:c r="P397" s="3" t="inlineStr">
        <x:is>
          <x:t xml:space="preserve">SEC-D4-Q10-A2</x:t>
        </x:is>
      </x:c>
      <x:c r="Q397" s="3" t="n">
        <x:v>2</x:v>
      </x:c>
      <x:c r="R397" s="3" t="inlineStr">
        <x:is>
          <x:t xml:space="preserve">Partially — IT admins are known, but high‑risk business roles are not mapped.</x:t>
        </x:is>
      </x:c>
      <x:c r="S397" s="3" t="n">
        <x:v>2</x:v>
      </x:c>
      <x:c r="T397" s="3" t="inlineStr">
        <x:is>
          <x:t xml:space="preserve"/>
        </x:is>
      </x:c>
      <x:c r="U397" s="3" t="inlineStr">
        <x:is>
          <x:t xml:space="preserve">Visibility Gap</x:t>
        </x:is>
      </x:c>
      <x:c r="V397" s="3" t="inlineStr">
        <x:is>
          <x:t xml:space="preserve">Improve_Visibility</x:t>
        </x:is>
      </x:c>
      <x:c r="W397" s="3" t="inlineStr">
        <x:is>
          <x:t xml:space="preserve">N</x:t>
        </x:is>
      </x:c>
      <x:c r="X397" s="3" t="inlineStr">
        <x:is>
          <x:t xml:space="preserve"/>
        </x:is>
      </x:c>
      <x:c r="Y397" s="6">
        <x:f>(S397*IF(E397="G",F397,0))+(S397*IF(G397="G",H397,0))</x:f>
      </x:c>
      <x:c r="Z397" s="6">
        <x:f>(S397*IF(E397="E",F397,0))+(S397*IF(G397="E",H397,0))</x:f>
      </x:c>
      <x:c r="AA397" s="6">
        <x:f>(S397*IF(E397="T",F397,0))+(S397*IF(G397="T",H397,0))</x:f>
      </x:c>
      <x:c r="AB397" s="6">
        <x:f>(S397*IF(E397="L",F397,0))+(S397*IF(G397="L",H397,0))</x:f>
      </x:c>
      <x:c r="AC397" s="6">
        <x:f>(S397*IF(E397="H",F397,0))+(S397*IF(G397="H",H397,0))</x:f>
      </x:c>
      <x:c r="AD397" s="6">
        <x:f>(S397*IF(E397="V",F397,0))+(S397*IF(G397="V",H397,0))</x:f>
      </x:c>
      <x:c r="AE397" s="6">
        <x:f>(S397*IF(E397="R",F397,0))+(S397*IF(G397="R",H397,0))</x:f>
      </x:c>
      <x:c r="AF397" s="6">
        <x:f>(S397*IF(E397="F",F397,0))+(S397*IF(G397="F",H397,0))</x:f>
      </x:c>
      <x:c r="AG397" s="6">
        <x:f>(S397*IF(E397="W",F397,0))+(S397*IF(G397="W",H397,0))</x:f>
      </x:c>
    </x:row>
    <x:row r="398">
      <x:c r="A398" s="3" t="inlineStr">
        <x:is>
          <x:t xml:space="preserve">Security</x:t>
        </x:is>
      </x:c>
      <x:c r="B398" s="3" t="inlineStr">
        <x:is>
          <x:t xml:space="preserve">SEC-D4-Q10</x:t>
        </x:is>
      </x:c>
      <x:c r="C398" s="3" t="inlineStr">
        <x:is>
          <x:t xml:space="preserve">T1</x:t>
        </x:is>
      </x:c>
      <x:c r="D398" s="3" t="inlineStr">
        <x:is>
          <x:t xml:space="preserve">4. High‑Risk Roles &amp; Privileged Monitoring</x:t>
        </x:is>
      </x:c>
      <x:c r="E398" s="3" t="inlineStr">
        <x:is>
          <x:t xml:space="preserve">V</x:t>
        </x:is>
      </x:c>
      <x:c r="F398" s="3" t="n">
        <x:v>0.6</x:v>
      </x:c>
      <x:c r="G398" s="3" t="inlineStr">
        <x:is>
          <x:t xml:space="preserve">T</x:t>
        </x:is>
      </x:c>
      <x:c r="H398" s="3" t="n">
        <x:v>0.4</x:v>
      </x:c>
      <x:c r="I398" s="3" t="inlineStr">
        <x:is>
          <x:t xml:space="preserve">Do you know which roles/accounts have the highest ability to cause harm (admins, finance approvers, HR admins), and are they monitored differently?</x:t>
        </x:is>
      </x:c>
      <x:c r="J398" s="3" t="inlineStr">
        <x:is>
          <x:t xml:space="preserve">Includes privileged IT accounts and business roles with high-impact actions (approve payments, change payroll, export customer lists).</x:t>
        </x:is>
      </x:c>
      <x:c r="K398" s="3" t="inlineStr">
        <x:is>
          <x:t xml:space="preserve">Gatekeeper (If BaseScore &lt;2 → SEC-D4-Q11; If ≥2 → SEC-D4-Q12)</x:t>
        </x:is>
      </x:c>
      <x:c r="L398" s="3" t="inlineStr">
        <x:is>
          <x:t xml:space="preserve">RISK_STD</x:t>
        </x:is>
      </x:c>
      <x:c r="M398" s="3" t="n">
        <x:v>1.5</x:v>
      </x:c>
      <x:c r="N398" s="3" t="n">
        <x:v>0.5</x:v>
      </x:c>
      <x:c r="O398" s="3" t="inlineStr">
        <x:is>
          <x:t xml:space="preserve"/>
        </x:is>
      </x:c>
      <x:c r="P398" s="3" t="inlineStr">
        <x:is>
          <x:t xml:space="preserve">SEC-D4-Q10-A3</x:t>
        </x:is>
      </x:c>
      <x:c r="Q398" s="3" t="n">
        <x:v>3</x:v>
      </x:c>
      <x:c r="R398" s="3" t="inlineStr">
        <x:is>
          <x:t xml:space="preserve">Yes — a list exists and extra monitoring/review is applied.</x:t>
        </x:is>
      </x:c>
      <x:c r="S398" s="3" t="n">
        <x:v>3</x:v>
      </x:c>
      <x:c r="T398" s="3" t="inlineStr">
        <x:is>
          <x:t xml:space="preserve"/>
        </x:is>
      </x:c>
      <x:c r="U398" s="3" t="inlineStr">
        <x:is>
          <x:t xml:space="preserve">Visibility Gap</x:t>
        </x:is>
      </x:c>
      <x:c r="V398" s="3" t="inlineStr">
        <x:is>
          <x:t xml:space="preserve">Assess_Detection</x:t>
        </x:is>
      </x:c>
      <x:c r="W398" s="3" t="inlineStr">
        <x:is>
          <x:t xml:space="preserve">Y</x:t>
        </x:is>
      </x:c>
      <x:c r="X398" s="3" t="inlineStr">
        <x:is>
          <x:t xml:space="preserve">Role list (redacted) + monitoring approach.</x:t>
        </x:is>
      </x:c>
      <x:c r="Y398" s="6">
        <x:f>(S398*IF(E398="G",F398,0))+(S398*IF(G398="G",H398,0))</x:f>
      </x:c>
      <x:c r="Z398" s="6">
        <x:f>(S398*IF(E398="E",F398,0))+(S398*IF(G398="E",H398,0))</x:f>
      </x:c>
      <x:c r="AA398" s="6">
        <x:f>(S398*IF(E398="T",F398,0))+(S398*IF(G398="T",H398,0))</x:f>
      </x:c>
      <x:c r="AB398" s="6">
        <x:f>(S398*IF(E398="L",F398,0))+(S398*IF(G398="L",H398,0))</x:f>
      </x:c>
      <x:c r="AC398" s="6">
        <x:f>(S398*IF(E398="H",F398,0))+(S398*IF(G398="H",H398,0))</x:f>
      </x:c>
      <x:c r="AD398" s="6">
        <x:f>(S398*IF(E398="V",F398,0))+(S398*IF(G398="V",H398,0))</x:f>
      </x:c>
      <x:c r="AE398" s="6">
        <x:f>(S398*IF(E398="R",F398,0))+(S398*IF(G398="R",H398,0))</x:f>
      </x:c>
      <x:c r="AF398" s="6">
        <x:f>(S398*IF(E398="F",F398,0))+(S398*IF(G398="F",H398,0))</x:f>
      </x:c>
      <x:c r="AG398" s="6">
        <x:f>(S398*IF(E398="W",F398,0))+(S398*IF(G398="W",H398,0))</x:f>
      </x:c>
    </x:row>
    <x:row r="399">
      <x:c r="A399" s="3" t="inlineStr">
        <x:is>
          <x:t xml:space="preserve">Security</x:t>
        </x:is>
      </x:c>
      <x:c r="B399" s="3" t="inlineStr">
        <x:is>
          <x:t xml:space="preserve">SEC-D4-Q10</x:t>
        </x:is>
      </x:c>
      <x:c r="C399" s="3" t="inlineStr">
        <x:is>
          <x:t xml:space="preserve">T1</x:t>
        </x:is>
      </x:c>
      <x:c r="D399" s="3" t="inlineStr">
        <x:is>
          <x:t xml:space="preserve">4. High‑Risk Roles &amp; Privileged Monitoring</x:t>
        </x:is>
      </x:c>
      <x:c r="E399" s="3" t="inlineStr">
        <x:is>
          <x:t xml:space="preserve">V</x:t>
        </x:is>
      </x:c>
      <x:c r="F399" s="3" t="n">
        <x:v>0.6</x:v>
      </x:c>
      <x:c r="G399" s="3" t="inlineStr">
        <x:is>
          <x:t xml:space="preserve">T</x:t>
        </x:is>
      </x:c>
      <x:c r="H399" s="3" t="n">
        <x:v>0.4</x:v>
      </x:c>
      <x:c r="I399" s="3" t="inlineStr">
        <x:is>
          <x:t xml:space="preserve">Do you know which roles/accounts have the highest ability to cause harm (admins, finance approvers, HR admins), and are they monitored differently?</x:t>
        </x:is>
      </x:c>
      <x:c r="J399" s="3" t="inlineStr">
        <x:is>
          <x:t xml:space="preserve">Includes privileged IT accounts and business roles with high-impact actions (approve payments, change payroll, export customer lists).</x:t>
        </x:is>
      </x:c>
      <x:c r="K399" s="3" t="inlineStr">
        <x:is>
          <x:t xml:space="preserve">Gatekeeper (If BaseScore &lt;2 → SEC-D4-Q11; If ≥2 → SEC-D4-Q12)</x:t>
        </x:is>
      </x:c>
      <x:c r="L399" s="3" t="inlineStr">
        <x:is>
          <x:t xml:space="preserve">RISK_STD</x:t>
        </x:is>
      </x:c>
      <x:c r="M399" s="3" t="n">
        <x:v>1.5</x:v>
      </x:c>
      <x:c r="N399" s="3" t="n">
        <x:v>0.5</x:v>
      </x:c>
      <x:c r="O399" s="3" t="inlineStr">
        <x:is>
          <x:t xml:space="preserve"/>
        </x:is>
      </x:c>
      <x:c r="P399" s="3" t="inlineStr">
        <x:is>
          <x:t xml:space="preserve">SEC-D4-Q10-A4</x:t>
        </x:is>
      </x:c>
      <x:c r="Q399" s="3" t="n">
        <x:v>4</x:v>
      </x:c>
      <x:c r="R399" s="3" t="inlineStr">
        <x:is>
          <x:t xml:space="preserve">Optimized — risk-tiered role model linked to access reviews and detections.</x:t>
        </x:is>
      </x:c>
      <x:c r="S399" s="3" t="n">
        <x:v>4</x:v>
      </x:c>
      <x:c r="T399" s="3" t="inlineStr">
        <x:is>
          <x:t xml:space="preserve"/>
        </x:is>
      </x:c>
      <x:c r="U399" s="3" t="inlineStr">
        <x:is>
          <x:t xml:space="preserve">Visibility Gap</x:t>
        </x:is>
      </x:c>
      <x:c r="V399" s="3" t="inlineStr">
        <x:is>
          <x:t xml:space="preserve">Plan_Assurance</x:t>
        </x:is>
      </x:c>
      <x:c r="W399" s="3" t="inlineStr">
        <x:is>
          <x:t xml:space="preserve">Y</x:t>
        </x:is>
      </x:c>
      <x:c r="X399" s="3" t="inlineStr">
        <x:is>
          <x:t xml:space="preserve">Latest access review output (redacted).</x:t>
        </x:is>
      </x:c>
      <x:c r="Y399" s="6">
        <x:f>(S399*IF(E399="G",F399,0))+(S399*IF(G399="G",H399,0))</x:f>
      </x:c>
      <x:c r="Z399" s="6">
        <x:f>(S399*IF(E399="E",F399,0))+(S399*IF(G399="E",H399,0))</x:f>
      </x:c>
      <x:c r="AA399" s="6">
        <x:f>(S399*IF(E399="T",F399,0))+(S399*IF(G399="T",H399,0))</x:f>
      </x:c>
      <x:c r="AB399" s="6">
        <x:f>(S399*IF(E399="L",F399,0))+(S399*IF(G399="L",H399,0))</x:f>
      </x:c>
      <x:c r="AC399" s="6">
        <x:f>(S399*IF(E399="H",F399,0))+(S399*IF(G399="H",H399,0))</x:f>
      </x:c>
      <x:c r="AD399" s="6">
        <x:f>(S399*IF(E399="V",F399,0))+(S399*IF(G399="V",H399,0))</x:f>
      </x:c>
      <x:c r="AE399" s="6">
        <x:f>(S399*IF(E399="R",F399,0))+(S399*IF(G399="R",H399,0))</x:f>
      </x:c>
      <x:c r="AF399" s="6">
        <x:f>(S399*IF(E399="F",F399,0))+(S399*IF(G399="F",H399,0))</x:f>
      </x:c>
      <x:c r="AG399" s="6">
        <x:f>(S399*IF(E399="W",F399,0))+(S399*IF(G399="W",H399,0))</x:f>
      </x:c>
    </x:row>
    <x:row r="400">
      <x:c r="A400" s="3" t="inlineStr">
        <x:is>
          <x:t xml:space="preserve">Security</x:t>
        </x:is>
      </x:c>
      <x:c r="B400" s="3" t="inlineStr">
        <x:is>
          <x:t xml:space="preserve">SEC-D4-Q11</x:t>
        </x:is>
      </x:c>
      <x:c r="C400" s="3" t="inlineStr">
        <x:is>
          <x:t xml:space="preserve">T2</x:t>
        </x:is>
      </x:c>
      <x:c r="D400" s="3" t="inlineStr">
        <x:is>
          <x:t xml:space="preserve">4. High‑Risk Roles &amp; Privileged Monitoring</x:t>
        </x:is>
      </x:c>
      <x:c r="E400" s="3" t="inlineStr">
        <x:is>
          <x:t xml:space="preserve">E</x:t>
        </x:is>
      </x:c>
      <x:c r="F400" s="3" t="n">
        <x:v>0.5</x:v>
      </x:c>
      <x:c r="G400" s="3" t="inlineStr">
        <x:is>
          <x:t xml:space="preserve">V</x:t>
        </x:is>
      </x:c>
      <x:c r="H400" s="3" t="n">
        <x:v>0.5</x:v>
      </x:c>
      <x:c r="I400" s="3" t="inlineStr">
        <x:is>
          <x:t xml:space="preserve">(Shadow probe) If asked today, could you quickly identify the top 10 people with broad access to sensitive systems?</x:t>
        </x:is>
      </x:c>
      <x:c r="J400" s="3" t="inlineStr">
        <x:is>
          <x:t xml:space="preserve">Checks whether 'key holders' can be found quickly (even if the process is informal).</x:t>
        </x:is>
      </x:c>
      <x:c r="K400" s="3" t="inlineStr">
        <x:is>
          <x:t xml:space="preserve">Shadow fallback (Then → SEC-D5-Q13)</x:t>
        </x:is>
      </x:c>
      <x:c r="L400" s="3" t="inlineStr">
        <x:is>
          <x:t xml:space="preserve">RISK_STD</x:t>
        </x:is>
      </x:c>
      <x:c r="M400" s="3" t="n">
        <x:v>1</x:v>
      </x:c>
      <x:c r="N400" s="3" t="inlineStr">
        <x:is>
          <x:t xml:space="preserve"/>
        </x:is>
      </x:c>
      <x:c r="O400" s="3" t="inlineStr">
        <x:is>
          <x:t xml:space="preserve"/>
        </x:is>
      </x:c>
      <x:c r="P400" s="3" t="inlineStr">
        <x:is>
          <x:t xml:space="preserve">SEC-D4-Q11-A1</x:t>
        </x:is>
      </x:c>
      <x:c r="Q400" s="3" t="n">
        <x:v>1</x:v>
      </x:c>
      <x:c r="R400" s="3" t="inlineStr">
        <x:is>
          <x:t xml:space="preserve">No — it would take weeks or would be guesswork.</x:t>
        </x:is>
      </x:c>
      <x:c r="S400" s="3" t="n">
        <x:v>0</x:v>
      </x:c>
      <x:c r="T400" s="3" t="inlineStr">
        <x:is>
          <x:t xml:space="preserve">visibility_gap</x:t>
        </x:is>
      </x:c>
      <x:c r="U400" s="3" t="inlineStr">
        <x:is>
          <x:t xml:space="preserve">Visibility Gap</x:t>
        </x:is>
      </x:c>
      <x:c r="V400" s="3" t="inlineStr">
        <x:is>
          <x:t xml:space="preserve">Improve_Visibility</x:t>
        </x:is>
      </x:c>
      <x:c r="W400" s="3" t="inlineStr">
        <x:is>
          <x:t xml:space="preserve">N</x:t>
        </x:is>
      </x:c>
      <x:c r="X400" s="3" t="inlineStr">
        <x:is>
          <x:t xml:space="preserve"/>
        </x:is>
      </x:c>
      <x:c r="Y400" s="6">
        <x:f>(S400*IF(E400="G",F400,0))+(S400*IF(G400="G",H400,0))</x:f>
      </x:c>
      <x:c r="Z400" s="6">
        <x:f>(S400*IF(E400="E",F400,0))+(S400*IF(G400="E",H400,0))</x:f>
      </x:c>
      <x:c r="AA400" s="6">
        <x:f>(S400*IF(E400="T",F400,0))+(S400*IF(G400="T",H400,0))</x:f>
      </x:c>
      <x:c r="AB400" s="6">
        <x:f>(S400*IF(E400="L",F400,0))+(S400*IF(G400="L",H400,0))</x:f>
      </x:c>
      <x:c r="AC400" s="6">
        <x:f>(S400*IF(E400="H",F400,0))+(S400*IF(G400="H",H400,0))</x:f>
      </x:c>
      <x:c r="AD400" s="6">
        <x:f>(S400*IF(E400="V",F400,0))+(S400*IF(G400="V",H400,0))</x:f>
      </x:c>
      <x:c r="AE400" s="6">
        <x:f>(S400*IF(E400="R",F400,0))+(S400*IF(G400="R",H400,0))</x:f>
      </x:c>
      <x:c r="AF400" s="6">
        <x:f>(S400*IF(E400="F",F400,0))+(S400*IF(G400="F",H400,0))</x:f>
      </x:c>
      <x:c r="AG400" s="6">
        <x:f>(S400*IF(E400="W",F400,0))+(S400*IF(G400="W",H400,0))</x:f>
      </x:c>
    </x:row>
    <x:row r="401">
      <x:c r="A401" s="3" t="inlineStr">
        <x:is>
          <x:t xml:space="preserve">Security</x:t>
        </x:is>
      </x:c>
      <x:c r="B401" s="3" t="inlineStr">
        <x:is>
          <x:t xml:space="preserve">SEC-D4-Q11</x:t>
        </x:is>
      </x:c>
      <x:c r="C401" s="3" t="inlineStr">
        <x:is>
          <x:t xml:space="preserve">T2</x:t>
        </x:is>
      </x:c>
      <x:c r="D401" s="3" t="inlineStr">
        <x:is>
          <x:t xml:space="preserve">4. High‑Risk Roles &amp; Privileged Monitoring</x:t>
        </x:is>
      </x:c>
      <x:c r="E401" s="3" t="inlineStr">
        <x:is>
          <x:t xml:space="preserve">E</x:t>
        </x:is>
      </x:c>
      <x:c r="F401" s="3" t="n">
        <x:v>0.5</x:v>
      </x:c>
      <x:c r="G401" s="3" t="inlineStr">
        <x:is>
          <x:t xml:space="preserve">V</x:t>
        </x:is>
      </x:c>
      <x:c r="H401" s="3" t="n">
        <x:v>0.5</x:v>
      </x:c>
      <x:c r="I401" s="3" t="inlineStr">
        <x:is>
          <x:t xml:space="preserve">(Shadow probe) If asked today, could you quickly identify the top 10 people with broad access to sensitive systems?</x:t>
        </x:is>
      </x:c>
      <x:c r="J401" s="3" t="inlineStr">
        <x:is>
          <x:t xml:space="preserve">Checks whether 'key holders' can be found quickly (even if the process is informal).</x:t>
        </x:is>
      </x:c>
      <x:c r="K401" s="3" t="inlineStr">
        <x:is>
          <x:t xml:space="preserve">Shadow fallback (Then → SEC-D5-Q13)</x:t>
        </x:is>
      </x:c>
      <x:c r="L401" s="3" t="inlineStr">
        <x:is>
          <x:t xml:space="preserve">RISK_STD</x:t>
        </x:is>
      </x:c>
      <x:c r="M401" s="3" t="n">
        <x:v>1</x:v>
      </x:c>
      <x:c r="N401" s="3" t="inlineStr">
        <x:is>
          <x:t xml:space="preserve"/>
        </x:is>
      </x:c>
      <x:c r="O401" s="3" t="inlineStr">
        <x:is>
          <x:t xml:space="preserve"/>
        </x:is>
      </x:c>
      <x:c r="P401" s="3" t="inlineStr">
        <x:is>
          <x:t xml:space="preserve">SEC-D4-Q11-A2</x:t>
        </x:is>
      </x:c>
      <x:c r="Q401" s="3" t="n">
        <x:v>2</x:v>
      </x:c>
      <x:c r="R401" s="3" t="inlineStr">
        <x:is>
          <x:t xml:space="preserve">Some managers know informally, but there is no reliable list.</x:t>
        </x:is>
      </x:c>
      <x:c r="S401" s="3" t="n">
        <x:v>2</x:v>
      </x:c>
      <x:c r="T401" s="3" t="inlineStr">
        <x:is>
          <x:t xml:space="preserve">shadow_mature_signal</x:t>
        </x:is>
      </x:c>
      <x:c r="U401" s="3" t="inlineStr">
        <x:is>
          <x:t xml:space="preserve">Visibility Gap</x:t>
        </x:is>
      </x:c>
      <x:c r="V401" s="3" t="inlineStr">
        <x:is>
          <x:t xml:space="preserve">Align_On_Crown_Jewels</x:t>
        </x:is>
      </x:c>
      <x:c r="W401" s="3" t="inlineStr">
        <x:is>
          <x:t xml:space="preserve">N</x:t>
        </x:is>
      </x:c>
      <x:c r="X401" s="3" t="inlineStr">
        <x:is>
          <x:t xml:space="preserve"/>
        </x:is>
      </x:c>
      <x:c r="Y401" s="6">
        <x:f>(S401*IF(E401="G",F401,0))+(S401*IF(G401="G",H401,0))</x:f>
      </x:c>
      <x:c r="Z401" s="6">
        <x:f>(S401*IF(E401="E",F401,0))+(S401*IF(G401="E",H401,0))</x:f>
      </x:c>
      <x:c r="AA401" s="6">
        <x:f>(S401*IF(E401="T",F401,0))+(S401*IF(G401="T",H401,0))</x:f>
      </x:c>
      <x:c r="AB401" s="6">
        <x:f>(S401*IF(E401="L",F401,0))+(S401*IF(G401="L",H401,0))</x:f>
      </x:c>
      <x:c r="AC401" s="6">
        <x:f>(S401*IF(E401="H",F401,0))+(S401*IF(G401="H",H401,0))</x:f>
      </x:c>
      <x:c r="AD401" s="6">
        <x:f>(S401*IF(E401="V",F401,0))+(S401*IF(G401="V",H401,0))</x:f>
      </x:c>
      <x:c r="AE401" s="6">
        <x:f>(S401*IF(E401="R",F401,0))+(S401*IF(G401="R",H401,0))</x:f>
      </x:c>
      <x:c r="AF401" s="6">
        <x:f>(S401*IF(E401="F",F401,0))+(S401*IF(G401="F",H401,0))</x:f>
      </x:c>
      <x:c r="AG401" s="6">
        <x:f>(S401*IF(E401="W",F401,0))+(S401*IF(G401="W",H401,0))</x:f>
      </x:c>
    </x:row>
    <x:row r="402">
      <x:c r="A402" s="3" t="inlineStr">
        <x:is>
          <x:t xml:space="preserve">Security</x:t>
        </x:is>
      </x:c>
      <x:c r="B402" s="3" t="inlineStr">
        <x:is>
          <x:t xml:space="preserve">SEC-D4-Q11</x:t>
        </x:is>
      </x:c>
      <x:c r="C402" s="3" t="inlineStr">
        <x:is>
          <x:t xml:space="preserve">T2</x:t>
        </x:is>
      </x:c>
      <x:c r="D402" s="3" t="inlineStr">
        <x:is>
          <x:t xml:space="preserve">4. High‑Risk Roles &amp; Privileged Monitoring</x:t>
        </x:is>
      </x:c>
      <x:c r="E402" s="3" t="inlineStr">
        <x:is>
          <x:t xml:space="preserve">E</x:t>
        </x:is>
      </x:c>
      <x:c r="F402" s="3" t="n">
        <x:v>0.5</x:v>
      </x:c>
      <x:c r="G402" s="3" t="inlineStr">
        <x:is>
          <x:t xml:space="preserve">V</x:t>
        </x:is>
      </x:c>
      <x:c r="H402" s="3" t="n">
        <x:v>0.5</x:v>
      </x:c>
      <x:c r="I402" s="3" t="inlineStr">
        <x:is>
          <x:t xml:space="preserve">(Shadow probe) If asked today, could you quickly identify the top 10 people with broad access to sensitive systems?</x:t>
        </x:is>
      </x:c>
      <x:c r="J402" s="3" t="inlineStr">
        <x:is>
          <x:t xml:space="preserve">Checks whether 'key holders' can be found quickly (even if the process is informal).</x:t>
        </x:is>
      </x:c>
      <x:c r="K402" s="3" t="inlineStr">
        <x:is>
          <x:t xml:space="preserve">Shadow fallback (Then → SEC-D5-Q13)</x:t>
        </x:is>
      </x:c>
      <x:c r="L402" s="3" t="inlineStr">
        <x:is>
          <x:t xml:space="preserve">RISK_STD</x:t>
        </x:is>
      </x:c>
      <x:c r="M402" s="3" t="n">
        <x:v>1</x:v>
      </x:c>
      <x:c r="N402" s="3" t="inlineStr">
        <x:is>
          <x:t xml:space="preserve"/>
        </x:is>
      </x:c>
      <x:c r="O402" s="3" t="inlineStr">
        <x:is>
          <x:t xml:space="preserve"/>
        </x:is>
      </x:c>
      <x:c r="P402" s="3" t="inlineStr">
        <x:is>
          <x:t xml:space="preserve">SEC-D4-Q11-A3</x:t>
        </x:is>
      </x:c>
      <x:c r="Q402" s="3" t="n">
        <x:v>3</x:v>
      </x:c>
      <x:c r="R402" s="3" t="inlineStr">
        <x:is>
          <x:t xml:space="preserve">Yes — we can produce a list quickly from IAM/audit data.</x:t>
        </x:is>
      </x:c>
      <x:c r="S402" s="3" t="n">
        <x:v>3</x:v>
      </x:c>
      <x:c r="T402" s="3" t="inlineStr">
        <x:is>
          <x:t xml:space="preserve"/>
        </x:is>
      </x:c>
      <x:c r="U402" s="3" t="inlineStr">
        <x:is>
          <x:t xml:space="preserve">Visibility Gap</x:t>
        </x:is>
      </x:c>
      <x:c r="V402" s="3" t="inlineStr">
        <x:is>
          <x:t xml:space="preserve">Improve_Visibility</x:t>
        </x:is>
      </x:c>
      <x:c r="W402" s="3" t="inlineStr">
        <x:is>
          <x:t xml:space="preserve">Y</x:t>
        </x:is>
      </x:c>
      <x:c r="X402" s="3" t="inlineStr">
        <x:is>
          <x:t xml:space="preserve">Sample access export (redacted).</x:t>
        </x:is>
      </x:c>
      <x:c r="Y402" s="6">
        <x:f>(S402*IF(E402="G",F402,0))+(S402*IF(G402="G",H402,0))</x:f>
      </x:c>
      <x:c r="Z402" s="6">
        <x:f>(S402*IF(E402="E",F402,0))+(S402*IF(G402="E",H402,0))</x:f>
      </x:c>
      <x:c r="AA402" s="6">
        <x:f>(S402*IF(E402="T",F402,0))+(S402*IF(G402="T",H402,0))</x:f>
      </x:c>
      <x:c r="AB402" s="6">
        <x:f>(S402*IF(E402="L",F402,0))+(S402*IF(G402="L",H402,0))</x:f>
      </x:c>
      <x:c r="AC402" s="6">
        <x:f>(S402*IF(E402="H",F402,0))+(S402*IF(G402="H",H402,0))</x:f>
      </x:c>
      <x:c r="AD402" s="6">
        <x:f>(S402*IF(E402="V",F402,0))+(S402*IF(G402="V",H402,0))</x:f>
      </x:c>
      <x:c r="AE402" s="6">
        <x:f>(S402*IF(E402="R",F402,0))+(S402*IF(G402="R",H402,0))</x:f>
      </x:c>
      <x:c r="AF402" s="6">
        <x:f>(S402*IF(E402="F",F402,0))+(S402*IF(G402="F",H402,0))</x:f>
      </x:c>
      <x:c r="AG402" s="6">
        <x:f>(S402*IF(E402="W",F402,0))+(S402*IF(G402="W",H402,0))</x:f>
      </x:c>
    </x:row>
    <x:row r="403">
      <x:c r="A403" s="3" t="inlineStr">
        <x:is>
          <x:t xml:space="preserve">Security</x:t>
        </x:is>
      </x:c>
      <x:c r="B403" s="3" t="inlineStr">
        <x:is>
          <x:t xml:space="preserve">SEC-D4-Q12</x:t>
        </x:is>
      </x:c>
      <x:c r="C403" s="3" t="inlineStr">
        <x:is>
          <x:t xml:space="preserve">T2</x:t>
        </x:is>
      </x:c>
      <x:c r="D403" s="3" t="inlineStr">
        <x:is>
          <x:t xml:space="preserve">4. High‑Risk Roles &amp; Privileged Monitoring</x:t>
        </x:is>
      </x:c>
      <x:c r="E403" s="3" t="inlineStr">
        <x:is>
          <x:t xml:space="preserve">T</x:t>
        </x:is>
      </x:c>
      <x:c r="F403" s="3" t="n">
        <x:v>1</x:v>
      </x:c>
      <x:c r="G403" s="3" t="inlineStr">
        <x:is>
          <x:t xml:space="preserve"/>
        </x:is>
      </x:c>
      <x:c r="H403" s="3" t="inlineStr">
        <x:is>
          <x:t xml:space="preserve"/>
        </x:is>
      </x:c>
      <x:c r="I403" s="3" t="inlineStr">
        <x:is>
          <x:t xml:space="preserve">How are privileged/admin actions monitored and reviewed (e.g., creating accounts, changing permissions, exporting data)?</x:t>
        </x:is>
      </x:c>
      <x:c r="J403" s="3" t="inlineStr">
        <x:is>
          <x:t xml:space="preserve">We’re looking for coverage and independent review for the highest‑risk actions.</x:t>
        </x:is>
      </x:c>
      <x:c r="K403" s="3" t="inlineStr">
        <x:is>
          <x:t xml:space="preserve">Drill-down</x:t>
        </x:is>
      </x:c>
      <x:c r="L403" s="3" t="inlineStr">
        <x:is>
          <x:t xml:space="preserve">OPS_STD</x:t>
        </x:is>
      </x:c>
      <x:c r="M403" s="3" t="n">
        <x:v>1.4</x:v>
      </x:c>
      <x:c r="N403" s="3" t="n">
        <x:v>0.5</x:v>
      </x:c>
      <x:c r="O403" s="3" t="inlineStr">
        <x:is>
          <x:t xml:space="preserve"/>
        </x:is>
      </x:c>
      <x:c r="P403" s="3" t="inlineStr">
        <x:is>
          <x:t xml:space="preserve">SEC-D4-Q12-A1</x:t>
        </x:is>
      </x:c>
      <x:c r="Q403" s="3" t="n">
        <x:v>1</x:v>
      </x:c>
      <x:c r="R403" s="3" t="inlineStr">
        <x:is>
          <x:t xml:space="preserve">Privileged logs are not reviewed; admins are effectively exempt.</x:t>
        </x:is>
      </x:c>
      <x:c r="S403" s="3" t="n">
        <x:v>0</x:v>
      </x:c>
      <x:c r="T403" s="3" t="inlineStr">
        <x:is>
          <x:t xml:space="preserve">paper_dragon_signal</x:t>
        </x:is>
      </x:c>
      <x:c r="U403" s="3" t="inlineStr">
        <x:is>
          <x:t xml:space="preserve">Paper Dragon</x:t>
        </x:is>
      </x:c>
      <x:c r="V403" s="3" t="inlineStr">
        <x:is>
          <x:t xml:space="preserve">Assess_Detection</x:t>
        </x:is>
      </x:c>
      <x:c r="W403" s="3" t="inlineStr">
        <x:is>
          <x:t xml:space="preserve">N</x:t>
        </x:is>
      </x:c>
      <x:c r="X403" s="3" t="inlineStr">
        <x:is>
          <x:t xml:space="preserve"/>
        </x:is>
      </x:c>
      <x:c r="Y403" s="6">
        <x:f>(S403*IF(E403="G",F403,0))+(S403*IF(G403="G",H403,0))</x:f>
      </x:c>
      <x:c r="Z403" s="6">
        <x:f>(S403*IF(E403="E",F403,0))+(S403*IF(G403="E",H403,0))</x:f>
      </x:c>
      <x:c r="AA403" s="6">
        <x:f>(S403*IF(E403="T",F403,0))+(S403*IF(G403="T",H403,0))</x:f>
      </x:c>
      <x:c r="AB403" s="6">
        <x:f>(S403*IF(E403="L",F403,0))+(S403*IF(G403="L",H403,0))</x:f>
      </x:c>
      <x:c r="AC403" s="6">
        <x:f>(S403*IF(E403="H",F403,0))+(S403*IF(G403="H",H403,0))</x:f>
      </x:c>
      <x:c r="AD403" s="6">
        <x:f>(S403*IF(E403="V",F403,0))+(S403*IF(G403="V",H403,0))</x:f>
      </x:c>
      <x:c r="AE403" s="6">
        <x:f>(S403*IF(E403="R",F403,0))+(S403*IF(G403="R",H403,0))</x:f>
      </x:c>
      <x:c r="AF403" s="6">
        <x:f>(S403*IF(E403="F",F403,0))+(S403*IF(G403="F",H403,0))</x:f>
      </x:c>
      <x:c r="AG403" s="6">
        <x:f>(S403*IF(E403="W",F403,0))+(S403*IF(G403="W",H403,0))</x:f>
      </x:c>
    </x:row>
    <x:row r="404">
      <x:c r="A404" s="3" t="inlineStr">
        <x:is>
          <x:t xml:space="preserve">Security</x:t>
        </x:is>
      </x:c>
      <x:c r="B404" s="3" t="inlineStr">
        <x:is>
          <x:t xml:space="preserve">SEC-D4-Q12</x:t>
        </x:is>
      </x:c>
      <x:c r="C404" s="3" t="inlineStr">
        <x:is>
          <x:t xml:space="preserve">T2</x:t>
        </x:is>
      </x:c>
      <x:c r="D404" s="3" t="inlineStr">
        <x:is>
          <x:t xml:space="preserve">4. High‑Risk Roles &amp; Privileged Monitoring</x:t>
        </x:is>
      </x:c>
      <x:c r="E404" s="3" t="inlineStr">
        <x:is>
          <x:t xml:space="preserve">T</x:t>
        </x:is>
      </x:c>
      <x:c r="F404" s="3" t="n">
        <x:v>1</x:v>
      </x:c>
      <x:c r="G404" s="3" t="inlineStr">
        <x:is>
          <x:t xml:space="preserve"/>
        </x:is>
      </x:c>
      <x:c r="H404" s="3" t="inlineStr">
        <x:is>
          <x:t xml:space="preserve"/>
        </x:is>
      </x:c>
      <x:c r="I404" s="3" t="inlineStr">
        <x:is>
          <x:t xml:space="preserve">How are privileged/admin actions monitored and reviewed (e.g., creating accounts, changing permissions, exporting data)?</x:t>
        </x:is>
      </x:c>
      <x:c r="J404" s="3" t="inlineStr">
        <x:is>
          <x:t xml:space="preserve">We’re looking for coverage and independent review for the highest‑risk actions.</x:t>
        </x:is>
      </x:c>
      <x:c r="K404" s="3" t="inlineStr">
        <x:is>
          <x:t xml:space="preserve">Drill-down</x:t>
        </x:is>
      </x:c>
      <x:c r="L404" s="3" t="inlineStr">
        <x:is>
          <x:t xml:space="preserve">OPS_STD</x:t>
        </x:is>
      </x:c>
      <x:c r="M404" s="3" t="n">
        <x:v>1.4</x:v>
      </x:c>
      <x:c r="N404" s="3" t="n">
        <x:v>0.5</x:v>
      </x:c>
      <x:c r="O404" s="3" t="inlineStr">
        <x:is>
          <x:t xml:space="preserve"/>
        </x:is>
      </x:c>
      <x:c r="P404" s="3" t="inlineStr">
        <x:is>
          <x:t xml:space="preserve">SEC-D4-Q12-A2</x:t>
        </x:is>
      </x:c>
      <x:c r="Q404" s="3" t="n">
        <x:v>2</x:v>
      </x:c>
      <x:c r="R404" s="3" t="inlineStr">
        <x:is>
          <x:t xml:space="preserve">Logs exist but are reviewed only after incidents.</x:t>
        </x:is>
      </x:c>
      <x:c r="S404" s="3" t="n">
        <x:v>1</x:v>
      </x:c>
      <x:c r="T404" s="3" t="inlineStr">
        <x:is>
          <x:t xml:space="preserve">paper_dragon_signal</x:t>
        </x:is>
      </x:c>
      <x:c r="U404" s="3" t="inlineStr">
        <x:is>
          <x:t xml:space="preserve">Paper Dragon</x:t>
        </x:is>
      </x:c>
      <x:c r="V404" s="3" t="inlineStr">
        <x:is>
          <x:t xml:space="preserve">Assess_Detection</x:t>
        </x:is>
      </x:c>
      <x:c r="W404" s="3" t="inlineStr">
        <x:is>
          <x:t xml:space="preserve">N</x:t>
        </x:is>
      </x:c>
      <x:c r="X404" s="3" t="inlineStr">
        <x:is>
          <x:t xml:space="preserve"/>
        </x:is>
      </x:c>
      <x:c r="Y404" s="6">
        <x:f>(S404*IF(E404="G",F404,0))+(S404*IF(G404="G",H404,0))</x:f>
      </x:c>
      <x:c r="Z404" s="6">
        <x:f>(S404*IF(E404="E",F404,0))+(S404*IF(G404="E",H404,0))</x:f>
      </x:c>
      <x:c r="AA404" s="6">
        <x:f>(S404*IF(E404="T",F404,0))+(S404*IF(G404="T",H404,0))</x:f>
      </x:c>
      <x:c r="AB404" s="6">
        <x:f>(S404*IF(E404="L",F404,0))+(S404*IF(G404="L",H404,0))</x:f>
      </x:c>
      <x:c r="AC404" s="6">
        <x:f>(S404*IF(E404="H",F404,0))+(S404*IF(G404="H",H404,0))</x:f>
      </x:c>
      <x:c r="AD404" s="6">
        <x:f>(S404*IF(E404="V",F404,0))+(S404*IF(G404="V",H404,0))</x:f>
      </x:c>
      <x:c r="AE404" s="6">
        <x:f>(S404*IF(E404="R",F404,0))+(S404*IF(G404="R",H404,0))</x:f>
      </x:c>
      <x:c r="AF404" s="6">
        <x:f>(S404*IF(E404="F",F404,0))+(S404*IF(G404="F",H404,0))</x:f>
      </x:c>
      <x:c r="AG404" s="6">
        <x:f>(S404*IF(E404="W",F404,0))+(S404*IF(G404="W",H404,0))</x:f>
      </x:c>
    </x:row>
    <x:row r="405">
      <x:c r="A405" s="3" t="inlineStr">
        <x:is>
          <x:t xml:space="preserve">Security</x:t>
        </x:is>
      </x:c>
      <x:c r="B405" s="3" t="inlineStr">
        <x:is>
          <x:t xml:space="preserve">SEC-D4-Q12</x:t>
        </x:is>
      </x:c>
      <x:c r="C405" s="3" t="inlineStr">
        <x:is>
          <x:t xml:space="preserve">T2</x:t>
        </x:is>
      </x:c>
      <x:c r="D405" s="3" t="inlineStr">
        <x:is>
          <x:t xml:space="preserve">4. High‑Risk Roles &amp; Privileged Monitoring</x:t>
        </x:is>
      </x:c>
      <x:c r="E405" s="3" t="inlineStr">
        <x:is>
          <x:t xml:space="preserve">T</x:t>
        </x:is>
      </x:c>
      <x:c r="F405" s="3" t="n">
        <x:v>1</x:v>
      </x:c>
      <x:c r="G405" s="3" t="inlineStr">
        <x:is>
          <x:t xml:space="preserve"/>
        </x:is>
      </x:c>
      <x:c r="H405" s="3" t="inlineStr">
        <x:is>
          <x:t xml:space="preserve"/>
        </x:is>
      </x:c>
      <x:c r="I405" s="3" t="inlineStr">
        <x:is>
          <x:t xml:space="preserve">How are privileged/admin actions monitored and reviewed (e.g., creating accounts, changing permissions, exporting data)?</x:t>
        </x:is>
      </x:c>
      <x:c r="J405" s="3" t="inlineStr">
        <x:is>
          <x:t xml:space="preserve">We’re looking for coverage and independent review for the highest‑risk actions.</x:t>
        </x:is>
      </x:c>
      <x:c r="K405" s="3" t="inlineStr">
        <x:is>
          <x:t xml:space="preserve">Drill-down</x:t>
        </x:is>
      </x:c>
      <x:c r="L405" s="3" t="inlineStr">
        <x:is>
          <x:t xml:space="preserve">OPS_STD</x:t>
        </x:is>
      </x:c>
      <x:c r="M405" s="3" t="n">
        <x:v>1.4</x:v>
      </x:c>
      <x:c r="N405" s="3" t="n">
        <x:v>0.5</x:v>
      </x:c>
      <x:c r="O405" s="3" t="inlineStr">
        <x:is>
          <x:t xml:space="preserve"/>
        </x:is>
      </x:c>
      <x:c r="P405" s="3" t="inlineStr">
        <x:is>
          <x:t xml:space="preserve">SEC-D4-Q12-A3</x:t>
        </x:is>
      </x:c>
      <x:c r="Q405" s="3" t="n">
        <x:v>3</x:v>
      </x:c>
      <x:c r="R405" s="3" t="inlineStr">
        <x:is>
          <x:t xml:space="preserve">Regular review exists, but it depends on the same admins who have the access.</x:t>
        </x:is>
      </x:c>
      <x:c r="S405" s="3" t="n">
        <x:v>2</x:v>
      </x:c>
      <x:c r="T405" s="3" t="inlineStr">
        <x:is>
          <x:t xml:space="preserve"/>
        </x:is>
      </x:c>
      <x:c r="U405" s="3" t="inlineStr">
        <x:is>
          <x:t xml:space="preserve">Operating Model Gap</x:t>
        </x:is>
      </x:c>
      <x:c r="V405" s="3" t="inlineStr">
        <x:is>
          <x:t xml:space="preserve">Align_Policy_To_Reality</x:t>
        </x:is>
      </x:c>
      <x:c r="W405" s="3" t="inlineStr">
        <x:is>
          <x:t xml:space="preserve">N</x:t>
        </x:is>
      </x:c>
      <x:c r="X405" s="3" t="inlineStr">
        <x:is>
          <x:t xml:space="preserve"/>
        </x:is>
      </x:c>
      <x:c r="Y405" s="6">
        <x:f>(S405*IF(E405="G",F405,0))+(S405*IF(G405="G",H405,0))</x:f>
      </x:c>
      <x:c r="Z405" s="6">
        <x:f>(S405*IF(E405="E",F405,0))+(S405*IF(G405="E",H405,0))</x:f>
      </x:c>
      <x:c r="AA405" s="6">
        <x:f>(S405*IF(E405="T",F405,0))+(S405*IF(G405="T",H405,0))</x:f>
      </x:c>
      <x:c r="AB405" s="6">
        <x:f>(S405*IF(E405="L",F405,0))+(S405*IF(G405="L",H405,0))</x:f>
      </x:c>
      <x:c r="AC405" s="6">
        <x:f>(S405*IF(E405="H",F405,0))+(S405*IF(G405="H",H405,0))</x:f>
      </x:c>
      <x:c r="AD405" s="6">
        <x:f>(S405*IF(E405="V",F405,0))+(S405*IF(G405="V",H405,0))</x:f>
      </x:c>
      <x:c r="AE405" s="6">
        <x:f>(S405*IF(E405="R",F405,0))+(S405*IF(G405="R",H405,0))</x:f>
      </x:c>
      <x:c r="AF405" s="6">
        <x:f>(S405*IF(E405="F",F405,0))+(S405*IF(G405="F",H405,0))</x:f>
      </x:c>
      <x:c r="AG405" s="6">
        <x:f>(S405*IF(E405="W",F405,0))+(S405*IF(G405="W",H405,0))</x:f>
      </x:c>
    </x:row>
    <x:row r="406">
      <x:c r="A406" s="3" t="inlineStr">
        <x:is>
          <x:t xml:space="preserve">Security</x:t>
        </x:is>
      </x:c>
      <x:c r="B406" s="3" t="inlineStr">
        <x:is>
          <x:t xml:space="preserve">SEC-D4-Q12</x:t>
        </x:is>
      </x:c>
      <x:c r="C406" s="3" t="inlineStr">
        <x:is>
          <x:t xml:space="preserve">T2</x:t>
        </x:is>
      </x:c>
      <x:c r="D406" s="3" t="inlineStr">
        <x:is>
          <x:t xml:space="preserve">4. High‑Risk Roles &amp; Privileged Monitoring</x:t>
        </x:is>
      </x:c>
      <x:c r="E406" s="3" t="inlineStr">
        <x:is>
          <x:t xml:space="preserve">T</x:t>
        </x:is>
      </x:c>
      <x:c r="F406" s="3" t="n">
        <x:v>1</x:v>
      </x:c>
      <x:c r="G406" s="3" t="inlineStr">
        <x:is>
          <x:t xml:space="preserve"/>
        </x:is>
      </x:c>
      <x:c r="H406" s="3" t="inlineStr">
        <x:is>
          <x:t xml:space="preserve"/>
        </x:is>
      </x:c>
      <x:c r="I406" s="3" t="inlineStr">
        <x:is>
          <x:t xml:space="preserve">How are privileged/admin actions monitored and reviewed (e.g., creating accounts, changing permissions, exporting data)?</x:t>
        </x:is>
      </x:c>
      <x:c r="J406" s="3" t="inlineStr">
        <x:is>
          <x:t xml:space="preserve">We’re looking for coverage and independent review for the highest‑risk actions.</x:t>
        </x:is>
      </x:c>
      <x:c r="K406" s="3" t="inlineStr">
        <x:is>
          <x:t xml:space="preserve">Drill-down</x:t>
        </x:is>
      </x:c>
      <x:c r="L406" s="3" t="inlineStr">
        <x:is>
          <x:t xml:space="preserve">OPS_STD</x:t>
        </x:is>
      </x:c>
      <x:c r="M406" s="3" t="n">
        <x:v>1.4</x:v>
      </x:c>
      <x:c r="N406" s="3" t="n">
        <x:v>0.5</x:v>
      </x:c>
      <x:c r="O406" s="3" t="inlineStr">
        <x:is>
          <x:t xml:space="preserve"/>
        </x:is>
      </x:c>
      <x:c r="P406" s="3" t="inlineStr">
        <x:is>
          <x:t xml:space="preserve">SEC-D4-Q12-A4</x:t>
        </x:is>
      </x:c>
      <x:c r="Q406" s="3" t="n">
        <x:v>4</x:v>
      </x:c>
      <x:c r="R406" s="3" t="inlineStr">
        <x:is>
          <x:t xml:space="preserve">Independent review by Security (or separate team) for high‑risk privileged actions.</x:t>
        </x:is>
      </x:c>
      <x:c r="S406" s="3" t="n">
        <x:v>3</x:v>
      </x:c>
      <x:c r="T406" s="3" t="inlineStr">
        <x:is>
          <x:t xml:space="preserve"/>
        </x:is>
      </x:c>
      <x:c r="U406" s="3" t="inlineStr">
        <x:is>
          <x:t xml:space="preserve">Resilience Gap</x:t>
        </x:is>
      </x:c>
      <x:c r="V406" s="3" t="inlineStr">
        <x:is>
          <x:t xml:space="preserve">Plan_Assurance</x:t>
        </x:is>
      </x:c>
      <x:c r="W406" s="3" t="inlineStr">
        <x:is>
          <x:t xml:space="preserve">Y</x:t>
        </x:is>
      </x:c>
      <x:c r="X406" s="3" t="inlineStr">
        <x:is>
          <x:t xml:space="preserve">Review evidence (redacted).</x:t>
        </x:is>
      </x:c>
      <x:c r="Y406" s="6">
        <x:f>(S406*IF(E406="G",F406,0))+(S406*IF(G406="G",H406,0))</x:f>
      </x:c>
      <x:c r="Z406" s="6">
        <x:f>(S406*IF(E406="E",F406,0))+(S406*IF(G406="E",H406,0))</x:f>
      </x:c>
      <x:c r="AA406" s="6">
        <x:f>(S406*IF(E406="T",F406,0))+(S406*IF(G406="T",H406,0))</x:f>
      </x:c>
      <x:c r="AB406" s="6">
        <x:f>(S406*IF(E406="L",F406,0))+(S406*IF(G406="L",H406,0))</x:f>
      </x:c>
      <x:c r="AC406" s="6">
        <x:f>(S406*IF(E406="H",F406,0))+(S406*IF(G406="H",H406,0))</x:f>
      </x:c>
      <x:c r="AD406" s="6">
        <x:f>(S406*IF(E406="V",F406,0))+(S406*IF(G406="V",H406,0))</x:f>
      </x:c>
      <x:c r="AE406" s="6">
        <x:f>(S406*IF(E406="R",F406,0))+(S406*IF(G406="R",H406,0))</x:f>
      </x:c>
      <x:c r="AF406" s="6">
        <x:f>(S406*IF(E406="F",F406,0))+(S406*IF(G406="F",H406,0))</x:f>
      </x:c>
      <x:c r="AG406" s="6">
        <x:f>(S406*IF(E406="W",F406,0))+(S406*IF(G406="W",H406,0))</x:f>
      </x:c>
    </x:row>
    <x:row r="407">
      <x:c r="A407" s="3" t="inlineStr">
        <x:is>
          <x:t xml:space="preserve">Security</x:t>
        </x:is>
      </x:c>
      <x:c r="B407" s="3" t="inlineStr">
        <x:is>
          <x:t xml:space="preserve">SEC-D4-Q12</x:t>
        </x:is>
      </x:c>
      <x:c r="C407" s="3" t="inlineStr">
        <x:is>
          <x:t xml:space="preserve">T2</x:t>
        </x:is>
      </x:c>
      <x:c r="D407" s="3" t="inlineStr">
        <x:is>
          <x:t xml:space="preserve">4. High‑Risk Roles &amp; Privileged Monitoring</x:t>
        </x:is>
      </x:c>
      <x:c r="E407" s="3" t="inlineStr">
        <x:is>
          <x:t xml:space="preserve">T</x:t>
        </x:is>
      </x:c>
      <x:c r="F407" s="3" t="n">
        <x:v>1</x:v>
      </x:c>
      <x:c r="G407" s="3" t="inlineStr">
        <x:is>
          <x:t xml:space="preserve"/>
        </x:is>
      </x:c>
      <x:c r="H407" s="3" t="inlineStr">
        <x:is>
          <x:t xml:space="preserve"/>
        </x:is>
      </x:c>
      <x:c r="I407" s="3" t="inlineStr">
        <x:is>
          <x:t xml:space="preserve">How are privileged/admin actions monitored and reviewed (e.g., creating accounts, changing permissions, exporting data)?</x:t>
        </x:is>
      </x:c>
      <x:c r="J407" s="3" t="inlineStr">
        <x:is>
          <x:t xml:space="preserve">We’re looking for coverage and independent review for the highest‑risk actions.</x:t>
        </x:is>
      </x:c>
      <x:c r="K407" s="3" t="inlineStr">
        <x:is>
          <x:t xml:space="preserve">Drill-down</x:t>
        </x:is>
      </x:c>
      <x:c r="L407" s="3" t="inlineStr">
        <x:is>
          <x:t xml:space="preserve">OPS_STD</x:t>
        </x:is>
      </x:c>
      <x:c r="M407" s="3" t="n">
        <x:v>1.4</x:v>
      </x:c>
      <x:c r="N407" s="3" t="n">
        <x:v>0.5</x:v>
      </x:c>
      <x:c r="O407" s="3" t="inlineStr">
        <x:is>
          <x:t xml:space="preserve"/>
        </x:is>
      </x:c>
      <x:c r="P407" s="3" t="inlineStr">
        <x:is>
          <x:t xml:space="preserve">SEC-D4-Q12-A5</x:t>
        </x:is>
      </x:c>
      <x:c r="Q407" s="3" t="n">
        <x:v>5</x:v>
      </x:c>
      <x:c r="R407" s="3" t="inlineStr">
        <x:is>
          <x:t xml:space="preserve">Optimized: tiered privileged monitoring + 'four‑eyes' for critical actions + anomaly alerting.</x:t>
        </x:is>
      </x:c>
      <x:c r="S407" s="3" t="n">
        <x:v>4</x:v>
      </x:c>
      <x:c r="T407" s="3" t="inlineStr">
        <x:is>
          <x:t xml:space="preserve"/>
        </x:is>
      </x:c>
      <x:c r="U407" s="3" t="inlineStr">
        <x:is>
          <x:t xml:space="preserve">Resilience Gap</x:t>
        </x:is>
      </x:c>
      <x:c r="V407" s="3" t="inlineStr">
        <x:is>
          <x:t xml:space="preserve">Plan_Assurance</x:t>
        </x:is>
      </x:c>
      <x:c r="W407" s="3" t="inlineStr">
        <x:is>
          <x:t xml:space="preserve">Y</x:t>
        </x:is>
      </x:c>
      <x:c r="X407" s="3" t="inlineStr">
        <x:is>
          <x:t xml:space="preserve">Covered actions list + sample alert.</x:t>
        </x:is>
      </x:c>
      <x:c r="Y407" s="6">
        <x:f>(S407*IF(E407="G",F407,0))+(S407*IF(G407="G",H407,0))</x:f>
      </x:c>
      <x:c r="Z407" s="6">
        <x:f>(S407*IF(E407="E",F407,0))+(S407*IF(G407="E",H407,0))</x:f>
      </x:c>
      <x:c r="AA407" s="6">
        <x:f>(S407*IF(E407="T",F407,0))+(S407*IF(G407="T",H407,0))</x:f>
      </x:c>
      <x:c r="AB407" s="6">
        <x:f>(S407*IF(E407="L",F407,0))+(S407*IF(G407="L",H407,0))</x:f>
      </x:c>
      <x:c r="AC407" s="6">
        <x:f>(S407*IF(E407="H",F407,0))+(S407*IF(G407="H",H407,0))</x:f>
      </x:c>
      <x:c r="AD407" s="6">
        <x:f>(S407*IF(E407="V",F407,0))+(S407*IF(G407="V",H407,0))</x:f>
      </x:c>
      <x:c r="AE407" s="6">
        <x:f>(S407*IF(E407="R",F407,0))+(S407*IF(G407="R",H407,0))</x:f>
      </x:c>
      <x:c r="AF407" s="6">
        <x:f>(S407*IF(E407="F",F407,0))+(S407*IF(G407="F",H407,0))</x:f>
      </x:c>
      <x:c r="AG407" s="6">
        <x:f>(S407*IF(E407="W",F407,0))+(S407*IF(G407="W",H407,0))</x:f>
      </x:c>
    </x:row>
    <x:row r="408">
      <x:c r="A408" s="3" t="inlineStr">
        <x:is>
          <x:t xml:space="preserve">Security</x:t>
        </x:is>
      </x:c>
      <x:c r="B408" s="3" t="inlineStr">
        <x:is>
          <x:t xml:space="preserve">SEC-D5-Q13</x:t>
        </x:is>
      </x:c>
      <x:c r="C408" s="3" t="inlineStr">
        <x:is>
          <x:t xml:space="preserve">T1</x:t>
        </x:is>
      </x:c>
      <x:c r="D408" s="3" t="inlineStr">
        <x:is>
          <x:t xml:space="preserve">5. Investigations &amp; Case Management</x:t>
        </x:is>
      </x:c>
      <x:c r="E408" s="3" t="inlineStr">
        <x:is>
          <x:t xml:space="preserve">R</x:t>
        </x:is>
      </x:c>
      <x:c r="F408" s="3" t="n">
        <x:v>0.6</x:v>
      </x:c>
      <x:c r="G408" s="3" t="inlineStr">
        <x:is>
          <x:t xml:space="preserve">E</x:t>
        </x:is>
      </x:c>
      <x:c r="H408" s="3" t="n">
        <x:v>0.4</x:v>
      </x:c>
      <x:c r="I408" s="3" t="inlineStr">
        <x:is>
          <x:t xml:space="preserve">When an internal misuse concern is raised, do you have a consistent cross‑functional investigation process (Security + HR + Legal/Privacy)?</x:t>
        </x:is>
      </x:c>
      <x:c r="J408" s="3" t="inlineStr">
        <x:is>
          <x:t xml:space="preserve">We mean a repeatable process with clear steps, not necessarily a separate insider threat team.</x:t>
        </x:is>
      </x:c>
      <x:c r="K408" s="3" t="inlineStr">
        <x:is>
          <x:t xml:space="preserve">Gatekeeper (If BaseScore &lt;2 → SEC-D5-Q14; If ≥2 → SEC-D5-Q15)</x:t>
        </x:is>
      </x:c>
      <x:c r="L408" s="3" t="inlineStr">
        <x:is>
          <x:t xml:space="preserve">OPS_STD</x:t>
        </x:is>
      </x:c>
      <x:c r="M408" s="3" t="n">
        <x:v>1.5</x:v>
      </x:c>
      <x:c r="N408" s="3" t="n">
        <x:v>0.5</x:v>
      </x:c>
      <x:c r="O408" s="3" t="inlineStr">
        <x:is>
          <x:t xml:space="preserve"/>
        </x:is>
      </x:c>
      <x:c r="P408" s="3" t="inlineStr">
        <x:is>
          <x:t xml:space="preserve">SEC-D5-Q13-A1</x:t>
        </x:is>
      </x:c>
      <x:c r="Q408" s="3" t="n">
        <x:v>1</x:v>
      </x:c>
      <x:c r="R408" s="3" t="inlineStr">
        <x:is>
          <x:t xml:space="preserve">No — each case is handled differently and coordination is ad‑hoc.</x:t>
        </x:is>
      </x:c>
      <x:c r="S408" s="3" t="n">
        <x:v>0</x:v>
      </x:c>
      <x:c r="T408" s="3" t="inlineStr">
        <x:is>
          <x:t xml:space="preserve"/>
        </x:is>
      </x:c>
      <x:c r="U408" s="3" t="inlineStr">
        <x:is>
          <x:t xml:space="preserve">Operating Model Gap</x:t>
        </x:is>
      </x:c>
      <x:c r="V408" s="3" t="inlineStr">
        <x:is>
          <x:t xml:space="preserve">Assess_Case_Model</x:t>
        </x:is>
      </x:c>
      <x:c r="W408" s="3" t="inlineStr">
        <x:is>
          <x:t xml:space="preserve">N</x:t>
        </x:is>
      </x:c>
      <x:c r="X408" s="3" t="inlineStr">
        <x:is>
          <x:t xml:space="preserve"/>
        </x:is>
      </x:c>
      <x:c r="Y408" s="6">
        <x:f>(S408*IF(E408="G",F408,0))+(S408*IF(G408="G",H408,0))</x:f>
      </x:c>
      <x:c r="Z408" s="6">
        <x:f>(S408*IF(E408="E",F408,0))+(S408*IF(G408="E",H408,0))</x:f>
      </x:c>
      <x:c r="AA408" s="6">
        <x:f>(S408*IF(E408="T",F408,0))+(S408*IF(G408="T",H408,0))</x:f>
      </x:c>
      <x:c r="AB408" s="6">
        <x:f>(S408*IF(E408="L",F408,0))+(S408*IF(G408="L",H408,0))</x:f>
      </x:c>
      <x:c r="AC408" s="6">
        <x:f>(S408*IF(E408="H",F408,0))+(S408*IF(G408="H",H408,0))</x:f>
      </x:c>
      <x:c r="AD408" s="6">
        <x:f>(S408*IF(E408="V",F408,0))+(S408*IF(G408="V",H408,0))</x:f>
      </x:c>
      <x:c r="AE408" s="6">
        <x:f>(S408*IF(E408="R",F408,0))+(S408*IF(G408="R",H408,0))</x:f>
      </x:c>
      <x:c r="AF408" s="6">
        <x:f>(S408*IF(E408="F",F408,0))+(S408*IF(G408="F",H408,0))</x:f>
      </x:c>
      <x:c r="AG408" s="6">
        <x:f>(S408*IF(E408="W",F408,0))+(S408*IF(G408="W",H408,0))</x:f>
      </x:c>
    </x:row>
    <x:row r="409">
      <x:c r="A409" s="3" t="inlineStr">
        <x:is>
          <x:t xml:space="preserve">Security</x:t>
        </x:is>
      </x:c>
      <x:c r="B409" s="3" t="inlineStr">
        <x:is>
          <x:t xml:space="preserve">SEC-D5-Q13</x:t>
        </x:is>
      </x:c>
      <x:c r="C409" s="3" t="inlineStr">
        <x:is>
          <x:t xml:space="preserve">T1</x:t>
        </x:is>
      </x:c>
      <x:c r="D409" s="3" t="inlineStr">
        <x:is>
          <x:t xml:space="preserve">5. Investigations &amp; Case Management</x:t>
        </x:is>
      </x:c>
      <x:c r="E409" s="3" t="inlineStr">
        <x:is>
          <x:t xml:space="preserve">R</x:t>
        </x:is>
      </x:c>
      <x:c r="F409" s="3" t="n">
        <x:v>0.6</x:v>
      </x:c>
      <x:c r="G409" s="3" t="inlineStr">
        <x:is>
          <x:t xml:space="preserve">E</x:t>
        </x:is>
      </x:c>
      <x:c r="H409" s="3" t="n">
        <x:v>0.4</x:v>
      </x:c>
      <x:c r="I409" s="3" t="inlineStr">
        <x:is>
          <x:t xml:space="preserve">When an internal misuse concern is raised, do you have a consistent cross‑functional investigation process (Security + HR + Legal/Privacy)?</x:t>
        </x:is>
      </x:c>
      <x:c r="J409" s="3" t="inlineStr">
        <x:is>
          <x:t xml:space="preserve">We mean a repeatable process with clear steps, not necessarily a separate insider threat team.</x:t>
        </x:is>
      </x:c>
      <x:c r="K409" s="3" t="inlineStr">
        <x:is>
          <x:t xml:space="preserve">Gatekeeper (If BaseScore &lt;2 → SEC-D5-Q14; If ≥2 → SEC-D5-Q15)</x:t>
        </x:is>
      </x:c>
      <x:c r="L409" s="3" t="inlineStr">
        <x:is>
          <x:t xml:space="preserve">OPS_STD</x:t>
        </x:is>
      </x:c>
      <x:c r="M409" s="3" t="n">
        <x:v>1.5</x:v>
      </x:c>
      <x:c r="N409" s="3" t="n">
        <x:v>0.5</x:v>
      </x:c>
      <x:c r="O409" s="3" t="inlineStr">
        <x:is>
          <x:t xml:space="preserve"/>
        </x:is>
      </x:c>
      <x:c r="P409" s="3" t="inlineStr">
        <x:is>
          <x:t xml:space="preserve">SEC-D5-Q13-A2</x:t>
        </x:is>
      </x:c>
      <x:c r="Q409" s="3" t="n">
        <x:v>2</x:v>
      </x:c>
      <x:c r="R409" s="3" t="inlineStr">
        <x:is>
          <x:t xml:space="preserve">Some coordination happens, but roles/timelines are unclear and decisions stall.</x:t>
        </x:is>
      </x:c>
      <x:c r="S409" s="3" t="n">
        <x:v>2</x:v>
      </x:c>
      <x:c r="T409" s="3" t="inlineStr">
        <x:is>
          <x:t xml:space="preserve"/>
        </x:is>
      </x:c>
      <x:c r="U409" s="3" t="inlineStr">
        <x:is>
          <x:t xml:space="preserve">Operating Model Gap</x:t>
        </x:is>
      </x:c>
      <x:c r="V409" s="3" t="inlineStr">
        <x:is>
          <x:t xml:space="preserve">Assess_Case_Model</x:t>
        </x:is>
      </x:c>
      <x:c r="W409" s="3" t="inlineStr">
        <x:is>
          <x:t xml:space="preserve">N</x:t>
        </x:is>
      </x:c>
      <x:c r="X409" s="3" t="inlineStr">
        <x:is>
          <x:t xml:space="preserve"/>
        </x:is>
      </x:c>
      <x:c r="Y409" s="6">
        <x:f>(S409*IF(E409="G",F409,0))+(S409*IF(G409="G",H409,0))</x:f>
      </x:c>
      <x:c r="Z409" s="6">
        <x:f>(S409*IF(E409="E",F409,0))+(S409*IF(G409="E",H409,0))</x:f>
      </x:c>
      <x:c r="AA409" s="6">
        <x:f>(S409*IF(E409="T",F409,0))+(S409*IF(G409="T",H409,0))</x:f>
      </x:c>
      <x:c r="AB409" s="6">
        <x:f>(S409*IF(E409="L",F409,0))+(S409*IF(G409="L",H409,0))</x:f>
      </x:c>
      <x:c r="AC409" s="6">
        <x:f>(S409*IF(E409="H",F409,0))+(S409*IF(G409="H",H409,0))</x:f>
      </x:c>
      <x:c r="AD409" s="6">
        <x:f>(S409*IF(E409="V",F409,0))+(S409*IF(G409="V",H409,0))</x:f>
      </x:c>
      <x:c r="AE409" s="6">
        <x:f>(S409*IF(E409="R",F409,0))+(S409*IF(G409="R",H409,0))</x:f>
      </x:c>
      <x:c r="AF409" s="6">
        <x:f>(S409*IF(E409="F",F409,0))+(S409*IF(G409="F",H409,0))</x:f>
      </x:c>
      <x:c r="AG409" s="6">
        <x:f>(S409*IF(E409="W",F409,0))+(S409*IF(G409="W",H409,0))</x:f>
      </x:c>
    </x:row>
    <x:row r="410">
      <x:c r="A410" s="3" t="inlineStr">
        <x:is>
          <x:t xml:space="preserve">Security</x:t>
        </x:is>
      </x:c>
      <x:c r="B410" s="3" t="inlineStr">
        <x:is>
          <x:t xml:space="preserve">SEC-D5-Q13</x:t>
        </x:is>
      </x:c>
      <x:c r="C410" s="3" t="inlineStr">
        <x:is>
          <x:t xml:space="preserve">T1</x:t>
        </x:is>
      </x:c>
      <x:c r="D410" s="3" t="inlineStr">
        <x:is>
          <x:t xml:space="preserve">5. Investigations &amp; Case Management</x:t>
        </x:is>
      </x:c>
      <x:c r="E410" s="3" t="inlineStr">
        <x:is>
          <x:t xml:space="preserve">R</x:t>
        </x:is>
      </x:c>
      <x:c r="F410" s="3" t="n">
        <x:v>0.6</x:v>
      </x:c>
      <x:c r="G410" s="3" t="inlineStr">
        <x:is>
          <x:t xml:space="preserve">E</x:t>
        </x:is>
      </x:c>
      <x:c r="H410" s="3" t="n">
        <x:v>0.4</x:v>
      </x:c>
      <x:c r="I410" s="3" t="inlineStr">
        <x:is>
          <x:t xml:space="preserve">When an internal misuse concern is raised, do you have a consistent cross‑functional investigation process (Security + HR + Legal/Privacy)?</x:t>
        </x:is>
      </x:c>
      <x:c r="J410" s="3" t="inlineStr">
        <x:is>
          <x:t xml:space="preserve">We mean a repeatable process with clear steps, not necessarily a separate insider threat team.</x:t>
        </x:is>
      </x:c>
      <x:c r="K410" s="3" t="inlineStr">
        <x:is>
          <x:t xml:space="preserve">Gatekeeper (If BaseScore &lt;2 → SEC-D5-Q14; If ≥2 → SEC-D5-Q15)</x:t>
        </x:is>
      </x:c>
      <x:c r="L410" s="3" t="inlineStr">
        <x:is>
          <x:t xml:space="preserve">OPS_STD</x:t>
        </x:is>
      </x:c>
      <x:c r="M410" s="3" t="n">
        <x:v>1.5</x:v>
      </x:c>
      <x:c r="N410" s="3" t="n">
        <x:v>0.5</x:v>
      </x:c>
      <x:c r="O410" s="3" t="inlineStr">
        <x:is>
          <x:t xml:space="preserve"/>
        </x:is>
      </x:c>
      <x:c r="P410" s="3" t="inlineStr">
        <x:is>
          <x:t xml:space="preserve">SEC-D5-Q13-A3</x:t>
        </x:is>
      </x:c>
      <x:c r="Q410" s="3" t="n">
        <x:v>3</x:v>
      </x:c>
      <x:c r="R410" s="3" t="inlineStr">
        <x:is>
          <x:t xml:space="preserve">Yes — defined process and named contacts exist and are used for most cases.</x:t>
        </x:is>
      </x:c>
      <x:c r="S410" s="3" t="n">
        <x:v>3</x:v>
      </x:c>
      <x:c r="T410" s="3" t="inlineStr">
        <x:is>
          <x:t xml:space="preserve"/>
        </x:is>
      </x:c>
      <x:c r="U410" s="3" t="inlineStr">
        <x:is>
          <x:t xml:space="preserve">Resilience Gap</x:t>
        </x:is>
      </x:c>
      <x:c r="V410" s="3" t="inlineStr">
        <x:is>
          <x:t xml:space="preserve">Insider_Playbooks</x:t>
        </x:is>
      </x:c>
      <x:c r="W410" s="3" t="inlineStr">
        <x:is>
          <x:t xml:space="preserve">Y</x:t>
        </x:is>
      </x:c>
      <x:c r="X410" s="3" t="inlineStr">
        <x:is>
          <x:t xml:space="preserve">Process doc + recent case timeline (redacted).</x:t>
        </x:is>
      </x:c>
      <x:c r="Y410" s="6">
        <x:f>(S410*IF(E410="G",F410,0))+(S410*IF(G410="G",H410,0))</x:f>
      </x:c>
      <x:c r="Z410" s="6">
        <x:f>(S410*IF(E410="E",F410,0))+(S410*IF(G410="E",H410,0))</x:f>
      </x:c>
      <x:c r="AA410" s="6">
        <x:f>(S410*IF(E410="T",F410,0))+(S410*IF(G410="T",H410,0))</x:f>
      </x:c>
      <x:c r="AB410" s="6">
        <x:f>(S410*IF(E410="L",F410,0))+(S410*IF(G410="L",H410,0))</x:f>
      </x:c>
      <x:c r="AC410" s="6">
        <x:f>(S410*IF(E410="H",F410,0))+(S410*IF(G410="H",H410,0))</x:f>
      </x:c>
      <x:c r="AD410" s="6">
        <x:f>(S410*IF(E410="V",F410,0))+(S410*IF(G410="V",H410,0))</x:f>
      </x:c>
      <x:c r="AE410" s="6">
        <x:f>(S410*IF(E410="R",F410,0))+(S410*IF(G410="R",H410,0))</x:f>
      </x:c>
      <x:c r="AF410" s="6">
        <x:f>(S410*IF(E410="F",F410,0))+(S410*IF(G410="F",H410,0))</x:f>
      </x:c>
      <x:c r="AG410" s="6">
        <x:f>(S410*IF(E410="W",F410,0))+(S410*IF(G410="W",H410,0))</x:f>
      </x:c>
    </x:row>
    <x:row r="411">
      <x:c r="A411" s="3" t="inlineStr">
        <x:is>
          <x:t xml:space="preserve">Security</x:t>
        </x:is>
      </x:c>
      <x:c r="B411" s="3" t="inlineStr">
        <x:is>
          <x:t xml:space="preserve">SEC-D5-Q13</x:t>
        </x:is>
      </x:c>
      <x:c r="C411" s="3" t="inlineStr">
        <x:is>
          <x:t xml:space="preserve">T1</x:t>
        </x:is>
      </x:c>
      <x:c r="D411" s="3" t="inlineStr">
        <x:is>
          <x:t xml:space="preserve">5. Investigations &amp; Case Management</x:t>
        </x:is>
      </x:c>
      <x:c r="E411" s="3" t="inlineStr">
        <x:is>
          <x:t xml:space="preserve">R</x:t>
        </x:is>
      </x:c>
      <x:c r="F411" s="3" t="n">
        <x:v>0.6</x:v>
      </x:c>
      <x:c r="G411" s="3" t="inlineStr">
        <x:is>
          <x:t xml:space="preserve">E</x:t>
        </x:is>
      </x:c>
      <x:c r="H411" s="3" t="n">
        <x:v>0.4</x:v>
      </x:c>
      <x:c r="I411" s="3" t="inlineStr">
        <x:is>
          <x:t xml:space="preserve">When an internal misuse concern is raised, do you have a consistent cross‑functional investigation process (Security + HR + Legal/Privacy)?</x:t>
        </x:is>
      </x:c>
      <x:c r="J411" s="3" t="inlineStr">
        <x:is>
          <x:t xml:space="preserve">We mean a repeatable process with clear steps, not necessarily a separate insider threat team.</x:t>
        </x:is>
      </x:c>
      <x:c r="K411" s="3" t="inlineStr">
        <x:is>
          <x:t xml:space="preserve">Gatekeeper (If BaseScore &lt;2 → SEC-D5-Q14; If ≥2 → SEC-D5-Q15)</x:t>
        </x:is>
      </x:c>
      <x:c r="L411" s="3" t="inlineStr">
        <x:is>
          <x:t xml:space="preserve">OPS_STD</x:t>
        </x:is>
      </x:c>
      <x:c r="M411" s="3" t="n">
        <x:v>1.5</x:v>
      </x:c>
      <x:c r="N411" s="3" t="n">
        <x:v>0.5</x:v>
      </x:c>
      <x:c r="O411" s="3" t="inlineStr">
        <x:is>
          <x:t xml:space="preserve"/>
        </x:is>
      </x:c>
      <x:c r="P411" s="3" t="inlineStr">
        <x:is>
          <x:t xml:space="preserve">SEC-D5-Q13-A4</x:t>
        </x:is>
      </x:c>
      <x:c r="Q411" s="3" t="n">
        <x:v>4</x:v>
      </x:c>
      <x:c r="R411" s="3" t="inlineStr">
        <x:is>
          <x:t xml:space="preserve">Optimized: unified case management with auditable decisions and periodic reviews.</x:t>
        </x:is>
      </x:c>
      <x:c r="S411" s="3" t="n">
        <x:v>4</x:v>
      </x:c>
      <x:c r="T411" s="3" t="inlineStr">
        <x:is>
          <x:t xml:space="preserve"/>
        </x:is>
      </x:c>
      <x:c r="U411" s="3" t="inlineStr">
        <x:is>
          <x:t xml:space="preserve">Resilience Gap</x:t>
        </x:is>
      </x:c>
      <x:c r="V411" s="3" t="inlineStr">
        <x:is>
          <x:t xml:space="preserve">Improve_Metrics</x:t>
        </x:is>
      </x:c>
      <x:c r="W411" s="3" t="inlineStr">
        <x:is>
          <x:t xml:space="preserve">Y</x:t>
        </x:is>
      </x:c>
      <x:c r="X411" s="3" t="inlineStr">
        <x:is>
          <x:t xml:space="preserve">Case system screenshot (redacted).</x:t>
        </x:is>
      </x:c>
      <x:c r="Y411" s="6">
        <x:f>(S411*IF(E411="G",F411,0))+(S411*IF(G411="G",H411,0))</x:f>
      </x:c>
      <x:c r="Z411" s="6">
        <x:f>(S411*IF(E411="E",F411,0))+(S411*IF(G411="E",H411,0))</x:f>
      </x:c>
      <x:c r="AA411" s="6">
        <x:f>(S411*IF(E411="T",F411,0))+(S411*IF(G411="T",H411,0))</x:f>
      </x:c>
      <x:c r="AB411" s="6">
        <x:f>(S411*IF(E411="L",F411,0))+(S411*IF(G411="L",H411,0))</x:f>
      </x:c>
      <x:c r="AC411" s="6">
        <x:f>(S411*IF(E411="H",F411,0))+(S411*IF(G411="H",H411,0))</x:f>
      </x:c>
      <x:c r="AD411" s="6">
        <x:f>(S411*IF(E411="V",F411,0))+(S411*IF(G411="V",H411,0))</x:f>
      </x:c>
      <x:c r="AE411" s="6">
        <x:f>(S411*IF(E411="R",F411,0))+(S411*IF(G411="R",H411,0))</x:f>
      </x:c>
      <x:c r="AF411" s="6">
        <x:f>(S411*IF(E411="F",F411,0))+(S411*IF(G411="F",H411,0))</x:f>
      </x:c>
      <x:c r="AG411" s="6">
        <x:f>(S411*IF(E411="W",F411,0))+(S411*IF(G411="W",H411,0))</x:f>
      </x:c>
    </x:row>
    <x:row r="412">
      <x:c r="A412" s="3" t="inlineStr">
        <x:is>
          <x:t xml:space="preserve">Security</x:t>
        </x:is>
      </x:c>
      <x:c r="B412" s="3" t="inlineStr">
        <x:is>
          <x:t xml:space="preserve">SEC-D5-Q14</x:t>
        </x:is>
      </x:c>
      <x:c r="C412" s="3" t="inlineStr">
        <x:is>
          <x:t xml:space="preserve">T2</x:t>
        </x:is>
      </x:c>
      <x:c r="D412" s="3" t="inlineStr">
        <x:is>
          <x:t xml:space="preserve">5. Investigations &amp; Case Management</x:t>
        </x:is>
      </x:c>
      <x:c r="E412" s="3" t="inlineStr">
        <x:is>
          <x:t xml:space="preserve">E</x:t>
        </x:is>
      </x:c>
      <x:c r="F412" s="3" t="n">
        <x:v>1</x:v>
      </x:c>
      <x:c r="G412" s="3" t="inlineStr">
        <x:is>
          <x:t xml:space="preserve"/>
        </x:is>
      </x:c>
      <x:c r="H412" s="3" t="inlineStr">
        <x:is>
          <x:t xml:space="preserve"/>
        </x:is>
      </x:c>
      <x:c r="I412" s="3" t="inlineStr">
        <x:is>
          <x:t xml:space="preserve">(Shadow probe) Even without a formal process, do Security/HR/Legal know who to call and respond quickly when a serious concern arises?</x:t>
        </x:is>
      </x:c>
      <x:c r="J412" s="3" t="inlineStr">
        <x:is>
          <x:t xml:space="preserve">Checks response speed and clarity: 'who is on point' for internal cases.</x:t>
        </x:is>
      </x:c>
      <x:c r="K412" s="3" t="inlineStr">
        <x:is>
          <x:t xml:space="preserve">Shadow fallback (Then → SEC-D6-Q16)</x:t>
        </x:is>
      </x:c>
      <x:c r="L412" s="3" t="inlineStr">
        <x:is>
          <x:t xml:space="preserve">OPS_STD</x:t>
        </x:is>
      </x:c>
      <x:c r="M412" s="3" t="n">
        <x:v>1</x:v>
      </x:c>
      <x:c r="N412" s="3" t="inlineStr">
        <x:is>
          <x:t xml:space="preserve"/>
        </x:is>
      </x:c>
      <x:c r="O412" s="3" t="inlineStr">
        <x:is>
          <x:t xml:space="preserve"/>
        </x:is>
      </x:c>
      <x:c r="P412" s="3" t="inlineStr">
        <x:is>
          <x:t xml:space="preserve">SEC-D5-Q14-A1</x:t>
        </x:is>
      </x:c>
      <x:c r="Q412" s="3" t="n">
        <x:v>1</x:v>
      </x:c>
      <x:c r="R412" s="3" t="inlineStr">
        <x:is>
          <x:t xml:space="preserve">No — it depends on personal networks and availability.</x:t>
        </x:is>
      </x:c>
      <x:c r="S412" s="3" t="n">
        <x:v>0</x:v>
      </x:c>
      <x:c r="T412" s="3" t="inlineStr">
        <x:is>
          <x:t xml:space="preserve">shadow_mature_signal</x:t>
        </x:is>
      </x:c>
      <x:c r="U412" s="3" t="inlineStr">
        <x:is>
          <x:t xml:space="preserve">Shadow Mature</x:t>
        </x:is>
      </x:c>
      <x:c r="V412" s="3" t="inlineStr">
        <x:is>
          <x:t xml:space="preserve">Capture_Informal_Practices</x:t>
        </x:is>
      </x:c>
      <x:c r="W412" s="3" t="inlineStr">
        <x:is>
          <x:t xml:space="preserve">N</x:t>
        </x:is>
      </x:c>
      <x:c r="X412" s="3" t="inlineStr">
        <x:is>
          <x:t xml:space="preserve"/>
        </x:is>
      </x:c>
      <x:c r="Y412" s="6">
        <x:f>(S412*IF(E412="G",F412,0))+(S412*IF(G412="G",H412,0))</x:f>
      </x:c>
      <x:c r="Z412" s="6">
        <x:f>(S412*IF(E412="E",F412,0))+(S412*IF(G412="E",H412,0))</x:f>
      </x:c>
      <x:c r="AA412" s="6">
        <x:f>(S412*IF(E412="T",F412,0))+(S412*IF(G412="T",H412,0))</x:f>
      </x:c>
      <x:c r="AB412" s="6">
        <x:f>(S412*IF(E412="L",F412,0))+(S412*IF(G412="L",H412,0))</x:f>
      </x:c>
      <x:c r="AC412" s="6">
        <x:f>(S412*IF(E412="H",F412,0))+(S412*IF(G412="H",H412,0))</x:f>
      </x:c>
      <x:c r="AD412" s="6">
        <x:f>(S412*IF(E412="V",F412,0))+(S412*IF(G412="V",H412,0))</x:f>
      </x:c>
      <x:c r="AE412" s="6">
        <x:f>(S412*IF(E412="R",F412,0))+(S412*IF(G412="R",H412,0))</x:f>
      </x:c>
      <x:c r="AF412" s="6">
        <x:f>(S412*IF(E412="F",F412,0))+(S412*IF(G412="F",H412,0))</x:f>
      </x:c>
      <x:c r="AG412" s="6">
        <x:f>(S412*IF(E412="W",F412,0))+(S412*IF(G412="W",H412,0))</x:f>
      </x:c>
    </x:row>
    <x:row r="413">
      <x:c r="A413" s="3" t="inlineStr">
        <x:is>
          <x:t xml:space="preserve">Security</x:t>
        </x:is>
      </x:c>
      <x:c r="B413" s="3" t="inlineStr">
        <x:is>
          <x:t xml:space="preserve">SEC-D5-Q14</x:t>
        </x:is>
      </x:c>
      <x:c r="C413" s="3" t="inlineStr">
        <x:is>
          <x:t xml:space="preserve">T2</x:t>
        </x:is>
      </x:c>
      <x:c r="D413" s="3" t="inlineStr">
        <x:is>
          <x:t xml:space="preserve">5. Investigations &amp; Case Management</x:t>
        </x:is>
      </x:c>
      <x:c r="E413" s="3" t="inlineStr">
        <x:is>
          <x:t xml:space="preserve">E</x:t>
        </x:is>
      </x:c>
      <x:c r="F413" s="3" t="n">
        <x:v>1</x:v>
      </x:c>
      <x:c r="G413" s="3" t="inlineStr">
        <x:is>
          <x:t xml:space="preserve"/>
        </x:is>
      </x:c>
      <x:c r="H413" s="3" t="inlineStr">
        <x:is>
          <x:t xml:space="preserve"/>
        </x:is>
      </x:c>
      <x:c r="I413" s="3" t="inlineStr">
        <x:is>
          <x:t xml:space="preserve">(Shadow probe) Even without a formal process, do Security/HR/Legal know who to call and respond quickly when a serious concern arises?</x:t>
        </x:is>
      </x:c>
      <x:c r="J413" s="3" t="inlineStr">
        <x:is>
          <x:t xml:space="preserve">Checks response speed and clarity: 'who is on point' for internal cases.</x:t>
        </x:is>
      </x:c>
      <x:c r="K413" s="3" t="inlineStr">
        <x:is>
          <x:t xml:space="preserve">Shadow fallback (Then → SEC-D6-Q16)</x:t>
        </x:is>
      </x:c>
      <x:c r="L413" s="3" t="inlineStr">
        <x:is>
          <x:t xml:space="preserve">OPS_STD</x:t>
        </x:is>
      </x:c>
      <x:c r="M413" s="3" t="n">
        <x:v>1</x:v>
      </x:c>
      <x:c r="N413" s="3" t="inlineStr">
        <x:is>
          <x:t xml:space="preserve"/>
        </x:is>
      </x:c>
      <x:c r="O413" s="3" t="inlineStr">
        <x:is>
          <x:t xml:space="preserve"/>
        </x:is>
      </x:c>
      <x:c r="P413" s="3" t="inlineStr">
        <x:is>
          <x:t xml:space="preserve">SEC-D5-Q14-A2</x:t>
        </x:is>
      </x:c>
      <x:c r="Q413" s="3" t="n">
        <x:v>2</x:v>
      </x:c>
      <x:c r="R413" s="3" t="inlineStr">
        <x:is>
          <x:t xml:space="preserve">Sometimes — key people exist, but coverage is inconsistent.</x:t>
        </x:is>
      </x:c>
      <x:c r="S413" s="3" t="n">
        <x:v>2</x:v>
      </x:c>
      <x:c r="T413" s="3" t="inlineStr">
        <x:is>
          <x:t xml:space="preserve">shadow_mature_signal</x:t>
        </x:is>
      </x:c>
      <x:c r="U413" s="3" t="inlineStr">
        <x:is>
          <x:t xml:space="preserve">Shadow Mature</x:t>
        </x:is>
      </x:c>
      <x:c r="V413" s="3" t="inlineStr">
        <x:is>
          <x:t xml:space="preserve">Align_Policy_To_Reality</x:t>
        </x:is>
      </x:c>
      <x:c r="W413" s="3" t="inlineStr">
        <x:is>
          <x:t xml:space="preserve">N</x:t>
        </x:is>
      </x:c>
      <x:c r="X413" s="3" t="inlineStr">
        <x:is>
          <x:t xml:space="preserve"/>
        </x:is>
      </x:c>
      <x:c r="Y413" s="6">
        <x:f>(S413*IF(E413="G",F413,0))+(S413*IF(G413="G",H413,0))</x:f>
      </x:c>
      <x:c r="Z413" s="6">
        <x:f>(S413*IF(E413="E",F413,0))+(S413*IF(G413="E",H413,0))</x:f>
      </x:c>
      <x:c r="AA413" s="6">
        <x:f>(S413*IF(E413="T",F413,0))+(S413*IF(G413="T",H413,0))</x:f>
      </x:c>
      <x:c r="AB413" s="6">
        <x:f>(S413*IF(E413="L",F413,0))+(S413*IF(G413="L",H413,0))</x:f>
      </x:c>
      <x:c r="AC413" s="6">
        <x:f>(S413*IF(E413="H",F413,0))+(S413*IF(G413="H",H413,0))</x:f>
      </x:c>
      <x:c r="AD413" s="6">
        <x:f>(S413*IF(E413="V",F413,0))+(S413*IF(G413="V",H413,0))</x:f>
      </x:c>
      <x:c r="AE413" s="6">
        <x:f>(S413*IF(E413="R",F413,0))+(S413*IF(G413="R",H413,0))</x:f>
      </x:c>
      <x:c r="AF413" s="6">
        <x:f>(S413*IF(E413="F",F413,0))+(S413*IF(G413="F",H413,0))</x:f>
      </x:c>
      <x:c r="AG413" s="6">
        <x:f>(S413*IF(E413="W",F413,0))+(S413*IF(G413="W",H413,0))</x:f>
      </x:c>
    </x:row>
    <x:row r="414">
      <x:c r="A414" s="3" t="inlineStr">
        <x:is>
          <x:t xml:space="preserve">Security</x:t>
        </x:is>
      </x:c>
      <x:c r="B414" s="3" t="inlineStr">
        <x:is>
          <x:t xml:space="preserve">SEC-D5-Q14</x:t>
        </x:is>
      </x:c>
      <x:c r="C414" s="3" t="inlineStr">
        <x:is>
          <x:t xml:space="preserve">T2</x:t>
        </x:is>
      </x:c>
      <x:c r="D414" s="3" t="inlineStr">
        <x:is>
          <x:t xml:space="preserve">5. Investigations &amp; Case Management</x:t>
        </x:is>
      </x:c>
      <x:c r="E414" s="3" t="inlineStr">
        <x:is>
          <x:t xml:space="preserve">E</x:t>
        </x:is>
      </x:c>
      <x:c r="F414" s="3" t="n">
        <x:v>1</x:v>
      </x:c>
      <x:c r="G414" s="3" t="inlineStr">
        <x:is>
          <x:t xml:space="preserve"/>
        </x:is>
      </x:c>
      <x:c r="H414" s="3" t="inlineStr">
        <x:is>
          <x:t xml:space="preserve"/>
        </x:is>
      </x:c>
      <x:c r="I414" s="3" t="inlineStr">
        <x:is>
          <x:t xml:space="preserve">(Shadow probe) Even without a formal process, do Security/HR/Legal know who to call and respond quickly when a serious concern arises?</x:t>
        </x:is>
      </x:c>
      <x:c r="J414" s="3" t="inlineStr">
        <x:is>
          <x:t xml:space="preserve">Checks response speed and clarity: 'who is on point' for internal cases.</x:t>
        </x:is>
      </x:c>
      <x:c r="K414" s="3" t="inlineStr">
        <x:is>
          <x:t xml:space="preserve">Shadow fallback (Then → SEC-D6-Q16)</x:t>
        </x:is>
      </x:c>
      <x:c r="L414" s="3" t="inlineStr">
        <x:is>
          <x:t xml:space="preserve">OPS_STD</x:t>
        </x:is>
      </x:c>
      <x:c r="M414" s="3" t="n">
        <x:v>1</x:v>
      </x:c>
      <x:c r="N414" s="3" t="inlineStr">
        <x:is>
          <x:t xml:space="preserve"/>
        </x:is>
      </x:c>
      <x:c r="O414" s="3" t="inlineStr">
        <x:is>
          <x:t xml:space="preserve"/>
        </x:is>
      </x:c>
      <x:c r="P414" s="3" t="inlineStr">
        <x:is>
          <x:t xml:space="preserve">SEC-D5-Q14-A3</x:t>
        </x:is>
      </x:c>
      <x:c r="Q414" s="3" t="n">
        <x:v>3</x:v>
      </x:c>
      <x:c r="R414" s="3" t="inlineStr">
        <x:is>
          <x:t xml:space="preserve">Yes — an informal but reliable contact pattern exists (e.g., on‑call list).</x:t>
        </x:is>
      </x:c>
      <x:c r="S414" s="3" t="n">
        <x:v>3</x:v>
      </x:c>
      <x:c r="T414" s="3" t="inlineStr">
        <x:is>
          <x:t xml:space="preserve">shadow_mature_signal</x:t>
        </x:is>
      </x:c>
      <x:c r="U414" s="3" t="inlineStr">
        <x:is>
          <x:t xml:space="preserve">Shadow Mature</x:t>
        </x:is>
      </x:c>
      <x:c r="V414" s="3" t="inlineStr">
        <x:is>
          <x:t xml:space="preserve">Capture_Informal_Practices</x:t>
        </x:is>
      </x:c>
      <x:c r="W414" s="3" t="inlineStr">
        <x:is>
          <x:t xml:space="preserve">Y</x:t>
        </x:is>
      </x:c>
      <x:c r="X414" s="3" t="inlineStr">
        <x:is>
          <x:t xml:space="preserve">Contact list/on‑call rota (redacted).</x:t>
        </x:is>
      </x:c>
      <x:c r="Y414" s="6">
        <x:f>(S414*IF(E414="G",F414,0))+(S414*IF(G414="G",H414,0))</x:f>
      </x:c>
      <x:c r="Z414" s="6">
        <x:f>(S414*IF(E414="E",F414,0))+(S414*IF(G414="E",H414,0))</x:f>
      </x:c>
      <x:c r="AA414" s="6">
        <x:f>(S414*IF(E414="T",F414,0))+(S414*IF(G414="T",H414,0))</x:f>
      </x:c>
      <x:c r="AB414" s="6">
        <x:f>(S414*IF(E414="L",F414,0))+(S414*IF(G414="L",H414,0))</x:f>
      </x:c>
      <x:c r="AC414" s="6">
        <x:f>(S414*IF(E414="H",F414,0))+(S414*IF(G414="H",H414,0))</x:f>
      </x:c>
      <x:c r="AD414" s="6">
        <x:f>(S414*IF(E414="V",F414,0))+(S414*IF(G414="V",H414,0))</x:f>
      </x:c>
      <x:c r="AE414" s="6">
        <x:f>(S414*IF(E414="R",F414,0))+(S414*IF(G414="R",H414,0))</x:f>
      </x:c>
      <x:c r="AF414" s="6">
        <x:f>(S414*IF(E414="F",F414,0))+(S414*IF(G414="F",H414,0))</x:f>
      </x:c>
      <x:c r="AG414" s="6">
        <x:f>(S414*IF(E414="W",F414,0))+(S414*IF(G414="W",H414,0))</x:f>
      </x:c>
    </x:row>
    <x:row r="415">
      <x:c r="A415" s="3" t="inlineStr">
        <x:is>
          <x:t xml:space="preserve">Security</x:t>
        </x:is>
      </x:c>
      <x:c r="B415" s="3" t="inlineStr">
        <x:is>
          <x:t xml:space="preserve">SEC-D5-Q15</x:t>
        </x:is>
      </x:c>
      <x:c r="C415" s="3" t="inlineStr">
        <x:is>
          <x:t xml:space="preserve">T2</x:t>
        </x:is>
      </x:c>
      <x:c r="D415" s="3" t="inlineStr">
        <x:is>
          <x:t xml:space="preserve">5. Investigations &amp; Case Management</x:t>
        </x:is>
      </x:c>
      <x:c r="E415" s="3" t="inlineStr">
        <x:is>
          <x:t xml:space="preserve">R</x:t>
        </x:is>
      </x:c>
      <x:c r="F415" s="3" t="n">
        <x:v>1</x:v>
      </x:c>
      <x:c r="G415" s="3" t="inlineStr">
        <x:is>
          <x:t xml:space="preserve"/>
        </x:is>
      </x:c>
      <x:c r="H415" s="3" t="inlineStr">
        <x:is>
          <x:t xml:space="preserve"/>
        </x:is>
      </x:c>
      <x:c r="I415" s="3" t="inlineStr">
        <x:is>
          <x:t xml:space="preserve">How do you ensure investigation decisions are consistent and defensible (not based on rumors or personal conflicts)?</x:t>
        </x:is>
      </x:c>
      <x:c r="J415" s="3" t="inlineStr">
        <x:is>
          <x:t xml:space="preserve">Procedural fairness: documented decisions, separation of duties, and review/appeal paths for higher‑impact actions.</x:t>
        </x:is>
      </x:c>
      <x:c r="K415" s="3" t="inlineStr">
        <x:is>
          <x:t xml:space="preserve">Drill-down</x:t>
        </x:is>
      </x:c>
      <x:c r="L415" s="3" t="inlineStr">
        <x:is>
          <x:t xml:space="preserve">LEG_STRICT</x:t>
        </x:is>
      </x:c>
      <x:c r="M415" s="3" t="n">
        <x:v>1.3</x:v>
      </x:c>
      <x:c r="N415" s="3" t="n">
        <x:v>0.5</x:v>
      </x:c>
      <x:c r="O415" s="3" t="inlineStr">
        <x:is>
          <x:t xml:space="preserve"/>
        </x:is>
      </x:c>
      <x:c r="P415" s="3" t="inlineStr">
        <x:is>
          <x:t xml:space="preserve">SEC-D5-Q15-A1</x:t>
        </x:is>
      </x:c>
      <x:c r="Q415" s="3" t="n">
        <x:v>1</x:v>
      </x:c>
      <x:c r="R415" s="3" t="inlineStr">
        <x:is>
          <x:t xml:space="preserve">We don’t have safeguards; decisions are made by whoever raises the concern.</x:t>
        </x:is>
      </x:c>
      <x:c r="S415" s="3" t="n">
        <x:v>0</x:v>
      </x:c>
      <x:c r="T415" s="3" t="inlineStr">
        <x:is>
          <x:t xml:space="preserve">toxic_enforcer_signal</x:t>
        </x:is>
      </x:c>
      <x:c r="U415" s="3" t="inlineStr">
        <x:is>
          <x:t xml:space="preserve">Toxic Enforcer</x:t>
        </x:is>
      </x:c>
      <x:c r="V415" s="3" t="inlineStr">
        <x:is>
          <x:t xml:space="preserve">Add_Appeals_Process</x:t>
        </x:is>
      </x:c>
      <x:c r="W415" s="3" t="inlineStr">
        <x:is>
          <x:t xml:space="preserve">N</x:t>
        </x:is>
      </x:c>
      <x:c r="X415" s="3" t="inlineStr">
        <x:is>
          <x:t xml:space="preserve"/>
        </x:is>
      </x:c>
      <x:c r="Y415" s="6">
        <x:f>(S415*IF(E415="G",F415,0))+(S415*IF(G415="G",H415,0))</x:f>
      </x:c>
      <x:c r="Z415" s="6">
        <x:f>(S415*IF(E415="E",F415,0))+(S415*IF(G415="E",H415,0))</x:f>
      </x:c>
      <x:c r="AA415" s="6">
        <x:f>(S415*IF(E415="T",F415,0))+(S415*IF(G415="T",H415,0))</x:f>
      </x:c>
      <x:c r="AB415" s="6">
        <x:f>(S415*IF(E415="L",F415,0))+(S415*IF(G415="L",H415,0))</x:f>
      </x:c>
      <x:c r="AC415" s="6">
        <x:f>(S415*IF(E415="H",F415,0))+(S415*IF(G415="H",H415,0))</x:f>
      </x:c>
      <x:c r="AD415" s="6">
        <x:f>(S415*IF(E415="V",F415,0))+(S415*IF(G415="V",H415,0))</x:f>
      </x:c>
      <x:c r="AE415" s="6">
        <x:f>(S415*IF(E415="R",F415,0))+(S415*IF(G415="R",H415,0))</x:f>
      </x:c>
      <x:c r="AF415" s="6">
        <x:f>(S415*IF(E415="F",F415,0))+(S415*IF(G415="F",H415,0))</x:f>
      </x:c>
      <x:c r="AG415" s="6">
        <x:f>(S415*IF(E415="W",F415,0))+(S415*IF(G415="W",H415,0))</x:f>
      </x:c>
    </x:row>
    <x:row r="416">
      <x:c r="A416" s="3" t="inlineStr">
        <x:is>
          <x:t xml:space="preserve">Security</x:t>
        </x:is>
      </x:c>
      <x:c r="B416" s="3" t="inlineStr">
        <x:is>
          <x:t xml:space="preserve">SEC-D5-Q15</x:t>
        </x:is>
      </x:c>
      <x:c r="C416" s="3" t="inlineStr">
        <x:is>
          <x:t xml:space="preserve">T2</x:t>
        </x:is>
      </x:c>
      <x:c r="D416" s="3" t="inlineStr">
        <x:is>
          <x:t xml:space="preserve">5. Investigations &amp; Case Management</x:t>
        </x:is>
      </x:c>
      <x:c r="E416" s="3" t="inlineStr">
        <x:is>
          <x:t xml:space="preserve">R</x:t>
        </x:is>
      </x:c>
      <x:c r="F416" s="3" t="n">
        <x:v>1</x:v>
      </x:c>
      <x:c r="G416" s="3" t="inlineStr">
        <x:is>
          <x:t xml:space="preserve"/>
        </x:is>
      </x:c>
      <x:c r="H416" s="3" t="inlineStr">
        <x:is>
          <x:t xml:space="preserve"/>
        </x:is>
      </x:c>
      <x:c r="I416" s="3" t="inlineStr">
        <x:is>
          <x:t xml:space="preserve">How do you ensure investigation decisions are consistent and defensible (not based on rumors or personal conflicts)?</x:t>
        </x:is>
      </x:c>
      <x:c r="J416" s="3" t="inlineStr">
        <x:is>
          <x:t xml:space="preserve">Procedural fairness: documented decisions, separation of duties, and review/appeal paths for higher‑impact actions.</x:t>
        </x:is>
      </x:c>
      <x:c r="K416" s="3" t="inlineStr">
        <x:is>
          <x:t xml:space="preserve">Drill-down</x:t>
        </x:is>
      </x:c>
      <x:c r="L416" s="3" t="inlineStr">
        <x:is>
          <x:t xml:space="preserve">LEG_STRICT</x:t>
        </x:is>
      </x:c>
      <x:c r="M416" s="3" t="n">
        <x:v>1.3</x:v>
      </x:c>
      <x:c r="N416" s="3" t="n">
        <x:v>0.5</x:v>
      </x:c>
      <x:c r="O416" s="3" t="inlineStr">
        <x:is>
          <x:t xml:space="preserve"/>
        </x:is>
      </x:c>
      <x:c r="P416" s="3" t="inlineStr">
        <x:is>
          <x:t xml:space="preserve">SEC-D5-Q15-A2</x:t>
        </x:is>
      </x:c>
      <x:c r="Q416" s="3" t="n">
        <x:v>2</x:v>
      </x:c>
      <x:c r="R416" s="3" t="inlineStr">
        <x:is>
          <x:t xml:space="preserve">Some safeguards exist, but they are informal and not documented.</x:t>
        </x:is>
      </x:c>
      <x:c r="S416" s="3" t="n">
        <x:v>1</x:v>
      </x:c>
      <x:c r="T416" s="3" t="inlineStr">
        <x:is>
          <x:t xml:space="preserve"/>
        </x:is>
      </x:c>
      <x:c r="U416" s="3" t="inlineStr">
        <x:is>
          <x:t xml:space="preserve">Operating Model Gap</x:t>
        </x:is>
      </x:c>
      <x:c r="V416" s="3" t="inlineStr">
        <x:is>
          <x:t xml:space="preserve">Add_Appeals_Process</x:t>
        </x:is>
      </x:c>
      <x:c r="W416" s="3" t="inlineStr">
        <x:is>
          <x:t xml:space="preserve">N</x:t>
        </x:is>
      </x:c>
      <x:c r="X416" s="3" t="inlineStr">
        <x:is>
          <x:t xml:space="preserve"/>
        </x:is>
      </x:c>
      <x:c r="Y416" s="6">
        <x:f>(S416*IF(E416="G",F416,0))+(S416*IF(G416="G",H416,0))</x:f>
      </x:c>
      <x:c r="Z416" s="6">
        <x:f>(S416*IF(E416="E",F416,0))+(S416*IF(G416="E",H416,0))</x:f>
      </x:c>
      <x:c r="AA416" s="6">
        <x:f>(S416*IF(E416="T",F416,0))+(S416*IF(G416="T",H416,0))</x:f>
      </x:c>
      <x:c r="AB416" s="6">
        <x:f>(S416*IF(E416="L",F416,0))+(S416*IF(G416="L",H416,0))</x:f>
      </x:c>
      <x:c r="AC416" s="6">
        <x:f>(S416*IF(E416="H",F416,0))+(S416*IF(G416="H",H416,0))</x:f>
      </x:c>
      <x:c r="AD416" s="6">
        <x:f>(S416*IF(E416="V",F416,0))+(S416*IF(G416="V",H416,0))</x:f>
      </x:c>
      <x:c r="AE416" s="6">
        <x:f>(S416*IF(E416="R",F416,0))+(S416*IF(G416="R",H416,0))</x:f>
      </x:c>
      <x:c r="AF416" s="6">
        <x:f>(S416*IF(E416="F",F416,0))+(S416*IF(G416="F",H416,0))</x:f>
      </x:c>
      <x:c r="AG416" s="6">
        <x:f>(S416*IF(E416="W",F416,0))+(S416*IF(G416="W",H416,0))</x:f>
      </x:c>
    </x:row>
    <x:row r="417">
      <x:c r="A417" s="3" t="inlineStr">
        <x:is>
          <x:t xml:space="preserve">Security</x:t>
        </x:is>
      </x:c>
      <x:c r="B417" s="3" t="inlineStr">
        <x:is>
          <x:t xml:space="preserve">SEC-D5-Q15</x:t>
        </x:is>
      </x:c>
      <x:c r="C417" s="3" t="inlineStr">
        <x:is>
          <x:t xml:space="preserve">T2</x:t>
        </x:is>
      </x:c>
      <x:c r="D417" s="3" t="inlineStr">
        <x:is>
          <x:t xml:space="preserve">5. Investigations &amp; Case Management</x:t>
        </x:is>
      </x:c>
      <x:c r="E417" s="3" t="inlineStr">
        <x:is>
          <x:t xml:space="preserve">R</x:t>
        </x:is>
      </x:c>
      <x:c r="F417" s="3" t="n">
        <x:v>1</x:v>
      </x:c>
      <x:c r="G417" s="3" t="inlineStr">
        <x:is>
          <x:t xml:space="preserve"/>
        </x:is>
      </x:c>
      <x:c r="H417" s="3" t="inlineStr">
        <x:is>
          <x:t xml:space="preserve"/>
        </x:is>
      </x:c>
      <x:c r="I417" s="3" t="inlineStr">
        <x:is>
          <x:t xml:space="preserve">How do you ensure investigation decisions are consistent and defensible (not based on rumors or personal conflicts)?</x:t>
        </x:is>
      </x:c>
      <x:c r="J417" s="3" t="inlineStr">
        <x:is>
          <x:t xml:space="preserve">Procedural fairness: documented decisions, separation of duties, and review/appeal paths for higher‑impact actions.</x:t>
        </x:is>
      </x:c>
      <x:c r="K417" s="3" t="inlineStr">
        <x:is>
          <x:t xml:space="preserve">Drill-down</x:t>
        </x:is>
      </x:c>
      <x:c r="L417" s="3" t="inlineStr">
        <x:is>
          <x:t xml:space="preserve">LEG_STRICT</x:t>
        </x:is>
      </x:c>
      <x:c r="M417" s="3" t="n">
        <x:v>1.3</x:v>
      </x:c>
      <x:c r="N417" s="3" t="n">
        <x:v>0.5</x:v>
      </x:c>
      <x:c r="O417" s="3" t="inlineStr">
        <x:is>
          <x:t xml:space="preserve"/>
        </x:is>
      </x:c>
      <x:c r="P417" s="3" t="inlineStr">
        <x:is>
          <x:t xml:space="preserve">SEC-D5-Q15-A3</x:t>
        </x:is>
      </x:c>
      <x:c r="Q417" s="3" t="n">
        <x:v>3</x:v>
      </x:c>
      <x:c r="R417" s="3" t="inlineStr">
        <x:is>
          <x:t xml:space="preserve">Decisions and evidence are documented; HR/Legal review is common for serious cases.</x:t>
        </x:is>
      </x:c>
      <x:c r="S417" s="3" t="n">
        <x:v>3</x:v>
      </x:c>
      <x:c r="T417" s="3" t="inlineStr">
        <x:is>
          <x:t xml:space="preserve"/>
        </x:is>
      </x:c>
      <x:c r="U417" s="3" t="inlineStr">
        <x:is>
          <x:t xml:space="preserve">Legal Exposure</x:t>
        </x:is>
      </x:c>
      <x:c r="V417" s="3" t="inlineStr">
        <x:is>
          <x:t xml:space="preserve">Assess_Evidence_Handling</x:t>
        </x:is>
      </x:c>
      <x:c r="W417" s="3" t="inlineStr">
        <x:is>
          <x:t xml:space="preserve">Y</x:t>
        </x:is>
      </x:c>
      <x:c r="X417" s="3" t="inlineStr">
        <x:is>
          <x:t xml:space="preserve">Sample redacted decision memo.</x:t>
        </x:is>
      </x:c>
      <x:c r="Y417" s="6">
        <x:f>(S417*IF(E417="G",F417,0))+(S417*IF(G417="G",H417,0))</x:f>
      </x:c>
      <x:c r="Z417" s="6">
        <x:f>(S417*IF(E417="E",F417,0))+(S417*IF(G417="E",H417,0))</x:f>
      </x:c>
      <x:c r="AA417" s="6">
        <x:f>(S417*IF(E417="T",F417,0))+(S417*IF(G417="T",H417,0))</x:f>
      </x:c>
      <x:c r="AB417" s="6">
        <x:f>(S417*IF(E417="L",F417,0))+(S417*IF(G417="L",H417,0))</x:f>
      </x:c>
      <x:c r="AC417" s="6">
        <x:f>(S417*IF(E417="H",F417,0))+(S417*IF(G417="H",H417,0))</x:f>
      </x:c>
      <x:c r="AD417" s="6">
        <x:f>(S417*IF(E417="V",F417,0))+(S417*IF(G417="V",H417,0))</x:f>
      </x:c>
      <x:c r="AE417" s="6">
        <x:f>(S417*IF(E417="R",F417,0))+(S417*IF(G417="R",H417,0))</x:f>
      </x:c>
      <x:c r="AF417" s="6">
        <x:f>(S417*IF(E417="F",F417,0))+(S417*IF(G417="F",H417,0))</x:f>
      </x:c>
      <x:c r="AG417" s="6">
        <x:f>(S417*IF(E417="W",F417,0))+(S417*IF(G417="W",H417,0))</x:f>
      </x:c>
    </x:row>
    <x:row r="418">
      <x:c r="A418" s="3" t="inlineStr">
        <x:is>
          <x:t xml:space="preserve">Security</x:t>
        </x:is>
      </x:c>
      <x:c r="B418" s="3" t="inlineStr">
        <x:is>
          <x:t xml:space="preserve">SEC-D5-Q15</x:t>
        </x:is>
      </x:c>
      <x:c r="C418" s="3" t="inlineStr">
        <x:is>
          <x:t xml:space="preserve">T2</x:t>
        </x:is>
      </x:c>
      <x:c r="D418" s="3" t="inlineStr">
        <x:is>
          <x:t xml:space="preserve">5. Investigations &amp; Case Management</x:t>
        </x:is>
      </x:c>
      <x:c r="E418" s="3" t="inlineStr">
        <x:is>
          <x:t xml:space="preserve">R</x:t>
        </x:is>
      </x:c>
      <x:c r="F418" s="3" t="n">
        <x:v>1</x:v>
      </x:c>
      <x:c r="G418" s="3" t="inlineStr">
        <x:is>
          <x:t xml:space="preserve"/>
        </x:is>
      </x:c>
      <x:c r="H418" s="3" t="inlineStr">
        <x:is>
          <x:t xml:space="preserve"/>
        </x:is>
      </x:c>
      <x:c r="I418" s="3" t="inlineStr">
        <x:is>
          <x:t xml:space="preserve">How do you ensure investigation decisions are consistent and defensible (not based on rumors or personal conflicts)?</x:t>
        </x:is>
      </x:c>
      <x:c r="J418" s="3" t="inlineStr">
        <x:is>
          <x:t xml:space="preserve">Procedural fairness: documented decisions, separation of duties, and review/appeal paths for higher‑impact actions.</x:t>
        </x:is>
      </x:c>
      <x:c r="K418" s="3" t="inlineStr">
        <x:is>
          <x:t xml:space="preserve">Drill-down</x:t>
        </x:is>
      </x:c>
      <x:c r="L418" s="3" t="inlineStr">
        <x:is>
          <x:t xml:space="preserve">LEG_STRICT</x:t>
        </x:is>
      </x:c>
      <x:c r="M418" s="3" t="n">
        <x:v>1.3</x:v>
      </x:c>
      <x:c r="N418" s="3" t="n">
        <x:v>0.5</x:v>
      </x:c>
      <x:c r="O418" s="3" t="inlineStr">
        <x:is>
          <x:t xml:space="preserve"/>
        </x:is>
      </x:c>
      <x:c r="P418" s="3" t="inlineStr">
        <x:is>
          <x:t xml:space="preserve">SEC-D5-Q15-A4</x:t>
        </x:is>
      </x:c>
      <x:c r="Q418" s="3" t="n">
        <x:v>4</x:v>
      </x:c>
      <x:c r="R418" s="3" t="inlineStr">
        <x:is>
          <x:t xml:space="preserve">Optimized: standardized criteria, auditable approvals, and independent review for higher‑impact actions.</x:t>
        </x:is>
      </x:c>
      <x:c r="S418" s="3" t="n">
        <x:v>4</x:v>
      </x:c>
      <x:c r="T418" s="3" t="inlineStr">
        <x:is>
          <x:t xml:space="preserve"/>
        </x:is>
      </x:c>
      <x:c r="U418" s="3" t="inlineStr">
        <x:is>
          <x:t xml:space="preserve">Legal Exposure</x:t>
        </x:is>
      </x:c>
      <x:c r="V418" s="3" t="inlineStr">
        <x:is>
          <x:t xml:space="preserve">Legal_Defensibility_Audit</x:t>
        </x:is>
      </x:c>
      <x:c r="W418" s="3" t="inlineStr">
        <x:is>
          <x:t xml:space="preserve">Y</x:t>
        </x:is>
      </x:c>
      <x:c r="X418" s="3" t="inlineStr">
        <x:is>
          <x:t xml:space="preserve">Criteria + audit evidence.</x:t>
        </x:is>
      </x:c>
      <x:c r="Y418" s="6">
        <x:f>(S418*IF(E418="G",F418,0))+(S418*IF(G418="G",H418,0))</x:f>
      </x:c>
      <x:c r="Z418" s="6">
        <x:f>(S418*IF(E418="E",F418,0))+(S418*IF(G418="E",H418,0))</x:f>
      </x:c>
      <x:c r="AA418" s="6">
        <x:f>(S418*IF(E418="T",F418,0))+(S418*IF(G418="T",H418,0))</x:f>
      </x:c>
      <x:c r="AB418" s="6">
        <x:f>(S418*IF(E418="L",F418,0))+(S418*IF(G418="L",H418,0))</x:f>
      </x:c>
      <x:c r="AC418" s="6">
        <x:f>(S418*IF(E418="H",F418,0))+(S418*IF(G418="H",H418,0))</x:f>
      </x:c>
      <x:c r="AD418" s="6">
        <x:f>(S418*IF(E418="V",F418,0))+(S418*IF(G418="V",H418,0))</x:f>
      </x:c>
      <x:c r="AE418" s="6">
        <x:f>(S418*IF(E418="R",F418,0))+(S418*IF(G418="R",H418,0))</x:f>
      </x:c>
      <x:c r="AF418" s="6">
        <x:f>(S418*IF(E418="F",F418,0))+(S418*IF(G418="F",H418,0))</x:f>
      </x:c>
      <x:c r="AG418" s="6">
        <x:f>(S418*IF(E418="W",F418,0))+(S418*IF(G418="W",H418,0))</x:f>
      </x:c>
    </x:row>
    <x:row r="419">
      <x:c r="A419" s="3" t="inlineStr">
        <x:is>
          <x:t xml:space="preserve">Security</x:t>
        </x:is>
      </x:c>
      <x:c r="B419" s="3" t="inlineStr">
        <x:is>
          <x:t xml:space="preserve">SEC-D6-Q16</x:t>
        </x:is>
      </x:c>
      <x:c r="C419" s="3" t="inlineStr">
        <x:is>
          <x:t xml:space="preserve">T1</x:t>
        </x:is>
      </x:c>
      <x:c r="D419" s="3" t="inlineStr">
        <x:is>
          <x:t xml:space="preserve">6. Containment &amp; Response Automation</x:t>
        </x:is>
      </x:c>
      <x:c r="E419" s="3" t="inlineStr">
        <x:is>
          <x:t xml:space="preserve">T</x:t>
        </x:is>
      </x:c>
      <x:c r="F419" s="3" t="n">
        <x:v>0.6</x:v>
      </x:c>
      <x:c r="G419" s="3" t="inlineStr">
        <x:is>
          <x:t xml:space="preserve">R</x:t>
        </x:is>
      </x:c>
      <x:c r="H419" s="3" t="n">
        <x:v>0.4</x:v>
      </x:c>
      <x:c r="I419" s="3" t="inlineStr">
        <x:is>
          <x:t xml:space="preserve">If you see a credible insider risk, can you quickly reduce risk (revoke access, block sharing, isolate a device) in a controlled way?</x:t>
        </x:is>
      </x:c>
      <x:c r="J419" s="3" t="inlineStr">
        <x:is>
          <x:t xml:space="preserve">'Controlled' means approvals, logging, and minimizing unnecessary business disruption.</x:t>
        </x:is>
      </x:c>
      <x:c r="K419" s="3" t="inlineStr">
        <x:is>
          <x:t xml:space="preserve">Gatekeeper (If BaseScore &lt;2 → SEC-D6-Q17; If ≥2 → SEC-D6-Q18)</x:t>
        </x:is>
      </x:c>
      <x:c r="L419" s="3" t="inlineStr">
        <x:is>
          <x:t xml:space="preserve">OPS_STD</x:t>
        </x:is>
      </x:c>
      <x:c r="M419" s="3" t="n">
        <x:v>1.5</x:v>
      </x:c>
      <x:c r="N419" s="3" t="n">
        <x:v>0.5</x:v>
      </x:c>
      <x:c r="O419" s="3" t="inlineStr">
        <x:is>
          <x:t xml:space="preserve"/>
        </x:is>
      </x:c>
      <x:c r="P419" s="3" t="inlineStr">
        <x:is>
          <x:t xml:space="preserve">SEC-D6-Q16-A1</x:t>
        </x:is>
      </x:c>
      <x:c r="Q419" s="3" t="n">
        <x:v>1</x:v>
      </x:c>
      <x:c r="R419" s="3" t="inlineStr">
        <x:is>
          <x:t xml:space="preserve">No — steps are manual and slow; approvals are unclear.</x:t>
        </x:is>
      </x:c>
      <x:c r="S419" s="3" t="n">
        <x:v>0</x:v>
      </x:c>
      <x:c r="T419" s="3" t="inlineStr">
        <x:is>
          <x:t xml:space="preserve"/>
        </x:is>
      </x:c>
      <x:c r="U419" s="3" t="inlineStr">
        <x:is>
          <x:t xml:space="preserve">Resilience Gap</x:t>
        </x:is>
      </x:c>
      <x:c r="V419" s="3" t="inlineStr">
        <x:is>
          <x:t xml:space="preserve">Insider_Playbooks</x:t>
        </x:is>
      </x:c>
      <x:c r="W419" s="3" t="inlineStr">
        <x:is>
          <x:t xml:space="preserve">N</x:t>
        </x:is>
      </x:c>
      <x:c r="X419" s="3" t="inlineStr">
        <x:is>
          <x:t xml:space="preserve"/>
        </x:is>
      </x:c>
      <x:c r="Y419" s="6">
        <x:f>(S419*IF(E419="G",F419,0))+(S419*IF(G419="G",H419,0))</x:f>
      </x:c>
      <x:c r="Z419" s="6">
        <x:f>(S419*IF(E419="E",F419,0))+(S419*IF(G419="E",H419,0))</x:f>
      </x:c>
      <x:c r="AA419" s="6">
        <x:f>(S419*IF(E419="T",F419,0))+(S419*IF(G419="T",H419,0))</x:f>
      </x:c>
      <x:c r="AB419" s="6">
        <x:f>(S419*IF(E419="L",F419,0))+(S419*IF(G419="L",H419,0))</x:f>
      </x:c>
      <x:c r="AC419" s="6">
        <x:f>(S419*IF(E419="H",F419,0))+(S419*IF(G419="H",H419,0))</x:f>
      </x:c>
      <x:c r="AD419" s="6">
        <x:f>(S419*IF(E419="V",F419,0))+(S419*IF(G419="V",H419,0))</x:f>
      </x:c>
      <x:c r="AE419" s="6">
        <x:f>(S419*IF(E419="R",F419,0))+(S419*IF(G419="R",H419,0))</x:f>
      </x:c>
      <x:c r="AF419" s="6">
        <x:f>(S419*IF(E419="F",F419,0))+(S419*IF(G419="F",H419,0))</x:f>
      </x:c>
      <x:c r="AG419" s="6">
        <x:f>(S419*IF(E419="W",F419,0))+(S419*IF(G419="W",H419,0))</x:f>
      </x:c>
    </x:row>
    <x:row r="420">
      <x:c r="A420" s="3" t="inlineStr">
        <x:is>
          <x:t xml:space="preserve">Security</x:t>
        </x:is>
      </x:c>
      <x:c r="B420" s="3" t="inlineStr">
        <x:is>
          <x:t xml:space="preserve">SEC-D6-Q16</x:t>
        </x:is>
      </x:c>
      <x:c r="C420" s="3" t="inlineStr">
        <x:is>
          <x:t xml:space="preserve">T1</x:t>
        </x:is>
      </x:c>
      <x:c r="D420" s="3" t="inlineStr">
        <x:is>
          <x:t xml:space="preserve">6. Containment &amp; Response Automation</x:t>
        </x:is>
      </x:c>
      <x:c r="E420" s="3" t="inlineStr">
        <x:is>
          <x:t xml:space="preserve">T</x:t>
        </x:is>
      </x:c>
      <x:c r="F420" s="3" t="n">
        <x:v>0.6</x:v>
      </x:c>
      <x:c r="G420" s="3" t="inlineStr">
        <x:is>
          <x:t xml:space="preserve">R</x:t>
        </x:is>
      </x:c>
      <x:c r="H420" s="3" t="n">
        <x:v>0.4</x:v>
      </x:c>
      <x:c r="I420" s="3" t="inlineStr">
        <x:is>
          <x:t xml:space="preserve">If you see a credible insider risk, can you quickly reduce risk (revoke access, block sharing, isolate a device) in a controlled way?</x:t>
        </x:is>
      </x:c>
      <x:c r="J420" s="3" t="inlineStr">
        <x:is>
          <x:t xml:space="preserve">'Controlled' means approvals, logging, and minimizing unnecessary business disruption.</x:t>
        </x:is>
      </x:c>
      <x:c r="K420" s="3" t="inlineStr">
        <x:is>
          <x:t xml:space="preserve">Gatekeeper (If BaseScore &lt;2 → SEC-D6-Q17; If ≥2 → SEC-D6-Q18)</x:t>
        </x:is>
      </x:c>
      <x:c r="L420" s="3" t="inlineStr">
        <x:is>
          <x:t xml:space="preserve">OPS_STD</x:t>
        </x:is>
      </x:c>
      <x:c r="M420" s="3" t="n">
        <x:v>1.5</x:v>
      </x:c>
      <x:c r="N420" s="3" t="n">
        <x:v>0.5</x:v>
      </x:c>
      <x:c r="O420" s="3" t="inlineStr">
        <x:is>
          <x:t xml:space="preserve"/>
        </x:is>
      </x:c>
      <x:c r="P420" s="3" t="inlineStr">
        <x:is>
          <x:t xml:space="preserve">SEC-D6-Q16-A2</x:t>
        </x:is>
      </x:c>
      <x:c r="Q420" s="3" t="n">
        <x:v>2</x:v>
      </x:c>
      <x:c r="R420" s="3" t="inlineStr">
        <x:is>
          <x:t xml:space="preserve">Partially — we can disable accounts, but it is risky and may disrupt operations.</x:t>
        </x:is>
      </x:c>
      <x:c r="S420" s="3" t="n">
        <x:v>2</x:v>
      </x:c>
      <x:c r="T420" s="3" t="inlineStr">
        <x:is>
          <x:t xml:space="preserve"/>
        </x:is>
      </x:c>
      <x:c r="U420" s="3" t="inlineStr">
        <x:is>
          <x:t xml:space="preserve">Resilience Gap</x:t>
        </x:is>
      </x:c>
      <x:c r="V420" s="3" t="inlineStr">
        <x:is>
          <x:t xml:space="preserve">Insider_Playbooks</x:t>
        </x:is>
      </x:c>
      <x:c r="W420" s="3" t="inlineStr">
        <x:is>
          <x:t xml:space="preserve">N</x:t>
        </x:is>
      </x:c>
      <x:c r="X420" s="3" t="inlineStr">
        <x:is>
          <x:t xml:space="preserve"/>
        </x:is>
      </x:c>
      <x:c r="Y420" s="6">
        <x:f>(S420*IF(E420="G",F420,0))+(S420*IF(G420="G",H420,0))</x:f>
      </x:c>
      <x:c r="Z420" s="6">
        <x:f>(S420*IF(E420="E",F420,0))+(S420*IF(G420="E",H420,0))</x:f>
      </x:c>
      <x:c r="AA420" s="6">
        <x:f>(S420*IF(E420="T",F420,0))+(S420*IF(G420="T",H420,0))</x:f>
      </x:c>
      <x:c r="AB420" s="6">
        <x:f>(S420*IF(E420="L",F420,0))+(S420*IF(G420="L",H420,0))</x:f>
      </x:c>
      <x:c r="AC420" s="6">
        <x:f>(S420*IF(E420="H",F420,0))+(S420*IF(G420="H",H420,0))</x:f>
      </x:c>
      <x:c r="AD420" s="6">
        <x:f>(S420*IF(E420="V",F420,0))+(S420*IF(G420="V",H420,0))</x:f>
      </x:c>
      <x:c r="AE420" s="6">
        <x:f>(S420*IF(E420="R",F420,0))+(S420*IF(G420="R",H420,0))</x:f>
      </x:c>
      <x:c r="AF420" s="6">
        <x:f>(S420*IF(E420="F",F420,0))+(S420*IF(G420="F",H420,0))</x:f>
      </x:c>
      <x:c r="AG420" s="6">
        <x:f>(S420*IF(E420="W",F420,0))+(S420*IF(G420="W",H420,0))</x:f>
      </x:c>
    </x:row>
    <x:row r="421">
      <x:c r="A421" s="3" t="inlineStr">
        <x:is>
          <x:t xml:space="preserve">Security</x:t>
        </x:is>
      </x:c>
      <x:c r="B421" s="3" t="inlineStr">
        <x:is>
          <x:t xml:space="preserve">SEC-D6-Q16</x:t>
        </x:is>
      </x:c>
      <x:c r="C421" s="3" t="inlineStr">
        <x:is>
          <x:t xml:space="preserve">T1</x:t>
        </x:is>
      </x:c>
      <x:c r="D421" s="3" t="inlineStr">
        <x:is>
          <x:t xml:space="preserve">6. Containment &amp; Response Automation</x:t>
        </x:is>
      </x:c>
      <x:c r="E421" s="3" t="inlineStr">
        <x:is>
          <x:t xml:space="preserve">T</x:t>
        </x:is>
      </x:c>
      <x:c r="F421" s="3" t="n">
        <x:v>0.6</x:v>
      </x:c>
      <x:c r="G421" s="3" t="inlineStr">
        <x:is>
          <x:t xml:space="preserve">R</x:t>
        </x:is>
      </x:c>
      <x:c r="H421" s="3" t="n">
        <x:v>0.4</x:v>
      </x:c>
      <x:c r="I421" s="3" t="inlineStr">
        <x:is>
          <x:t xml:space="preserve">If you see a credible insider risk, can you quickly reduce risk (revoke access, block sharing, isolate a device) in a controlled way?</x:t>
        </x:is>
      </x:c>
      <x:c r="J421" s="3" t="inlineStr">
        <x:is>
          <x:t xml:space="preserve">'Controlled' means approvals, logging, and minimizing unnecessary business disruption.</x:t>
        </x:is>
      </x:c>
      <x:c r="K421" s="3" t="inlineStr">
        <x:is>
          <x:t xml:space="preserve">Gatekeeper (If BaseScore &lt;2 → SEC-D6-Q17; If ≥2 → SEC-D6-Q18)</x:t>
        </x:is>
      </x:c>
      <x:c r="L421" s="3" t="inlineStr">
        <x:is>
          <x:t xml:space="preserve">OPS_STD</x:t>
        </x:is>
      </x:c>
      <x:c r="M421" s="3" t="n">
        <x:v>1.5</x:v>
      </x:c>
      <x:c r="N421" s="3" t="n">
        <x:v>0.5</x:v>
      </x:c>
      <x:c r="O421" s="3" t="inlineStr">
        <x:is>
          <x:t xml:space="preserve"/>
        </x:is>
      </x:c>
      <x:c r="P421" s="3" t="inlineStr">
        <x:is>
          <x:t xml:space="preserve">SEC-D6-Q16-A3</x:t>
        </x:is>
      </x:c>
      <x:c r="Q421" s="3" t="n">
        <x:v>3</x:v>
      </x:c>
      <x:c r="R421" s="3" t="inlineStr">
        <x:is>
          <x:t xml:space="preserve">Yes — a documented rapid response path exists with audit logs and defined approvals.</x:t>
        </x:is>
      </x:c>
      <x:c r="S421" s="3" t="n">
        <x:v>3</x:v>
      </x:c>
      <x:c r="T421" s="3" t="inlineStr">
        <x:is>
          <x:t xml:space="preserve"/>
        </x:is>
      </x:c>
      <x:c r="U421" s="3" t="inlineStr">
        <x:is>
          <x:t xml:space="preserve">Resilience Gap</x:t>
        </x:is>
      </x:c>
      <x:c r="V421" s="3" t="inlineStr">
        <x:is>
          <x:t xml:space="preserve">Insider_Playbooks</x:t>
        </x:is>
      </x:c>
      <x:c r="W421" s="3" t="inlineStr">
        <x:is>
          <x:t xml:space="preserve">Y</x:t>
        </x:is>
      </x:c>
      <x:c r="X421" s="3" t="inlineStr">
        <x:is>
          <x:t xml:space="preserve">Playbook excerpt + recent use (redacted).</x:t>
        </x:is>
      </x:c>
      <x:c r="Y421" s="6">
        <x:f>(S421*IF(E421="G",F421,0))+(S421*IF(G421="G",H421,0))</x:f>
      </x:c>
      <x:c r="Z421" s="6">
        <x:f>(S421*IF(E421="E",F421,0))+(S421*IF(G421="E",H421,0))</x:f>
      </x:c>
      <x:c r="AA421" s="6">
        <x:f>(S421*IF(E421="T",F421,0))+(S421*IF(G421="T",H421,0))</x:f>
      </x:c>
      <x:c r="AB421" s="6">
        <x:f>(S421*IF(E421="L",F421,0))+(S421*IF(G421="L",H421,0))</x:f>
      </x:c>
      <x:c r="AC421" s="6">
        <x:f>(S421*IF(E421="H",F421,0))+(S421*IF(G421="H",H421,0))</x:f>
      </x:c>
      <x:c r="AD421" s="6">
        <x:f>(S421*IF(E421="V",F421,0))+(S421*IF(G421="V",H421,0))</x:f>
      </x:c>
      <x:c r="AE421" s="6">
        <x:f>(S421*IF(E421="R",F421,0))+(S421*IF(G421="R",H421,0))</x:f>
      </x:c>
      <x:c r="AF421" s="6">
        <x:f>(S421*IF(E421="F",F421,0))+(S421*IF(G421="F",H421,0))</x:f>
      </x:c>
      <x:c r="AG421" s="6">
        <x:f>(S421*IF(E421="W",F421,0))+(S421*IF(G421="W",H421,0))</x:f>
      </x:c>
    </x:row>
    <x:row r="422">
      <x:c r="A422" s="3" t="inlineStr">
        <x:is>
          <x:t xml:space="preserve">Security</x:t>
        </x:is>
      </x:c>
      <x:c r="B422" s="3" t="inlineStr">
        <x:is>
          <x:t xml:space="preserve">SEC-D6-Q16</x:t>
        </x:is>
      </x:c>
      <x:c r="C422" s="3" t="inlineStr">
        <x:is>
          <x:t xml:space="preserve">T1</x:t>
        </x:is>
      </x:c>
      <x:c r="D422" s="3" t="inlineStr">
        <x:is>
          <x:t xml:space="preserve">6. Containment &amp; Response Automation</x:t>
        </x:is>
      </x:c>
      <x:c r="E422" s="3" t="inlineStr">
        <x:is>
          <x:t xml:space="preserve">T</x:t>
        </x:is>
      </x:c>
      <x:c r="F422" s="3" t="n">
        <x:v>0.6</x:v>
      </x:c>
      <x:c r="G422" s="3" t="inlineStr">
        <x:is>
          <x:t xml:space="preserve">R</x:t>
        </x:is>
      </x:c>
      <x:c r="H422" s="3" t="n">
        <x:v>0.4</x:v>
      </x:c>
      <x:c r="I422" s="3" t="inlineStr">
        <x:is>
          <x:t xml:space="preserve">If you see a credible insider risk, can you quickly reduce risk (revoke access, block sharing, isolate a device) in a controlled way?</x:t>
        </x:is>
      </x:c>
      <x:c r="J422" s="3" t="inlineStr">
        <x:is>
          <x:t xml:space="preserve">'Controlled' means approvals, logging, and minimizing unnecessary business disruption.</x:t>
        </x:is>
      </x:c>
      <x:c r="K422" s="3" t="inlineStr">
        <x:is>
          <x:t xml:space="preserve">Gatekeeper (If BaseScore &lt;2 → SEC-D6-Q17; If ≥2 → SEC-D6-Q18)</x:t>
        </x:is>
      </x:c>
      <x:c r="L422" s="3" t="inlineStr">
        <x:is>
          <x:t xml:space="preserve">OPS_STD</x:t>
        </x:is>
      </x:c>
      <x:c r="M422" s="3" t="n">
        <x:v>1.5</x:v>
      </x:c>
      <x:c r="N422" s="3" t="n">
        <x:v>0.5</x:v>
      </x:c>
      <x:c r="O422" s="3" t="inlineStr">
        <x:is>
          <x:t xml:space="preserve"/>
        </x:is>
      </x:c>
      <x:c r="P422" s="3" t="inlineStr">
        <x:is>
          <x:t xml:space="preserve">SEC-D6-Q16-A4</x:t>
        </x:is>
      </x:c>
      <x:c r="Q422" s="3" t="n">
        <x:v>4</x:v>
      </x:c>
      <x:c r="R422" s="3" t="inlineStr">
        <x:is>
          <x:t xml:space="preserve">Optimized — automated containment exists for defined scenarios with human oversight.</x:t>
        </x:is>
      </x:c>
      <x:c r="S422" s="3" t="n">
        <x:v>4</x:v>
      </x:c>
      <x:c r="T422" s="3" t="inlineStr">
        <x:is>
          <x:t xml:space="preserve"/>
        </x:is>
      </x:c>
      <x:c r="U422" s="3" t="inlineStr">
        <x:is>
          <x:t xml:space="preserve">Resilience Gap</x:t>
        </x:is>
      </x:c>
      <x:c r="V422" s="3" t="inlineStr">
        <x:is>
          <x:t xml:space="preserve">Build_Detection_Strategy</x:t>
        </x:is>
      </x:c>
      <x:c r="W422" s="3" t="inlineStr">
        <x:is>
          <x:t xml:space="preserve">Y</x:t>
        </x:is>
      </x:c>
      <x:c r="X422" s="3" t="inlineStr">
        <x:is>
          <x:t xml:space="preserve">SOAR/playbook list.</x:t>
        </x:is>
      </x:c>
      <x:c r="Y422" s="6">
        <x:f>(S422*IF(E422="G",F422,0))+(S422*IF(G422="G",H422,0))</x:f>
      </x:c>
      <x:c r="Z422" s="6">
        <x:f>(S422*IF(E422="E",F422,0))+(S422*IF(G422="E",H422,0))</x:f>
      </x:c>
      <x:c r="AA422" s="6">
        <x:f>(S422*IF(E422="T",F422,0))+(S422*IF(G422="T",H422,0))</x:f>
      </x:c>
      <x:c r="AB422" s="6">
        <x:f>(S422*IF(E422="L",F422,0))+(S422*IF(G422="L",H422,0))</x:f>
      </x:c>
      <x:c r="AC422" s="6">
        <x:f>(S422*IF(E422="H",F422,0))+(S422*IF(G422="H",H422,0))</x:f>
      </x:c>
      <x:c r="AD422" s="6">
        <x:f>(S422*IF(E422="V",F422,0))+(S422*IF(G422="V",H422,0))</x:f>
      </x:c>
      <x:c r="AE422" s="6">
        <x:f>(S422*IF(E422="R",F422,0))+(S422*IF(G422="R",H422,0))</x:f>
      </x:c>
      <x:c r="AF422" s="6">
        <x:f>(S422*IF(E422="F",F422,0))+(S422*IF(G422="F",H422,0))</x:f>
      </x:c>
      <x:c r="AG422" s="6">
        <x:f>(S422*IF(E422="W",F422,0))+(S422*IF(G422="W",H422,0))</x:f>
      </x:c>
    </x:row>
    <x:row r="423">
      <x:c r="A423" s="3" t="inlineStr">
        <x:is>
          <x:t xml:space="preserve">Security</x:t>
        </x:is>
      </x:c>
      <x:c r="B423" s="3" t="inlineStr">
        <x:is>
          <x:t xml:space="preserve">SEC-D6-Q17</x:t>
        </x:is>
      </x:c>
      <x:c r="C423" s="3" t="inlineStr">
        <x:is>
          <x:t xml:space="preserve">T2</x:t>
        </x:is>
      </x:c>
      <x:c r="D423" s="3" t="inlineStr">
        <x:is>
          <x:t xml:space="preserve">6. Containment &amp; Response Automation</x:t>
        </x:is>
      </x:c>
      <x:c r="E423" s="3" t="inlineStr">
        <x:is>
          <x:t xml:space="preserve">E</x:t>
        </x:is>
      </x:c>
      <x:c r="F423" s="3" t="n">
        <x:v>1</x:v>
      </x:c>
      <x:c r="G423" s="3" t="inlineStr">
        <x:is>
          <x:t xml:space="preserve"/>
        </x:is>
      </x:c>
      <x:c r="H423" s="3" t="inlineStr">
        <x:is>
          <x:t xml:space="preserve"/>
        </x:is>
      </x:c>
      <x:c r="I423" s="3" t="inlineStr">
        <x:is>
          <x:t xml:space="preserve">(Shadow probe) In practice, can you get quick business approval for containment without creating chaos or outages?</x:t>
        </x:is>
      </x:c>
      <x:c r="J423" s="3" t="inlineStr">
        <x:is>
          <x:t xml:space="preserve">Checks whether the organization can act fast without breaking critical operations.</x:t>
        </x:is>
      </x:c>
      <x:c r="K423" s="3" t="inlineStr">
        <x:is>
          <x:t xml:space="preserve">Shadow fallback (Then → SEC-D7-Q19)</x:t>
        </x:is>
      </x:c>
      <x:c r="L423" s="3" t="inlineStr">
        <x:is>
          <x:t xml:space="preserve">OPS_STD</x:t>
        </x:is>
      </x:c>
      <x:c r="M423" s="3" t="n">
        <x:v>1</x:v>
      </x:c>
      <x:c r="N423" s="3" t="inlineStr">
        <x:is>
          <x:t xml:space="preserve"/>
        </x:is>
      </x:c>
      <x:c r="O423" s="3" t="inlineStr">
        <x:is>
          <x:t xml:space="preserve"/>
        </x:is>
      </x:c>
      <x:c r="P423" s="3" t="inlineStr">
        <x:is>
          <x:t xml:space="preserve">SEC-D6-Q17-A1</x:t>
        </x:is>
      </x:c>
      <x:c r="Q423" s="3" t="n">
        <x:v>1</x:v>
      </x:c>
      <x:c r="R423" s="3" t="inlineStr">
        <x:is>
          <x:t xml:space="preserve">No — approvals are unclear; teams hesitate to act.</x:t>
        </x:is>
      </x:c>
      <x:c r="S423" s="3" t="n">
        <x:v>0</x:v>
      </x:c>
      <x:c r="T423" s="3" t="inlineStr">
        <x:is>
          <x:t xml:space="preserve">control_lag_high</x:t>
        </x:is>
      </x:c>
      <x:c r="U423" s="3" t="inlineStr">
        <x:is>
          <x:t xml:space="preserve">Control Lag</x:t>
        </x:is>
      </x:c>
      <x:c r="V423" s="3" t="inlineStr">
        <x:is>
          <x:t xml:space="preserve">Measure_Control_Lag</x:t>
        </x:is>
      </x:c>
      <x:c r="W423" s="3" t="inlineStr">
        <x:is>
          <x:t xml:space="preserve">N</x:t>
        </x:is>
      </x:c>
      <x:c r="X423" s="3" t="inlineStr">
        <x:is>
          <x:t xml:space="preserve"/>
        </x:is>
      </x:c>
      <x:c r="Y423" s="6">
        <x:f>(S423*IF(E423="G",F423,0))+(S423*IF(G423="G",H423,0))</x:f>
      </x:c>
      <x:c r="Z423" s="6">
        <x:f>(S423*IF(E423="E",F423,0))+(S423*IF(G423="E",H423,0))</x:f>
      </x:c>
      <x:c r="AA423" s="6">
        <x:f>(S423*IF(E423="T",F423,0))+(S423*IF(G423="T",H423,0))</x:f>
      </x:c>
      <x:c r="AB423" s="6">
        <x:f>(S423*IF(E423="L",F423,0))+(S423*IF(G423="L",H423,0))</x:f>
      </x:c>
      <x:c r="AC423" s="6">
        <x:f>(S423*IF(E423="H",F423,0))+(S423*IF(G423="H",H423,0))</x:f>
      </x:c>
      <x:c r="AD423" s="6">
        <x:f>(S423*IF(E423="V",F423,0))+(S423*IF(G423="V",H423,0))</x:f>
      </x:c>
      <x:c r="AE423" s="6">
        <x:f>(S423*IF(E423="R",F423,0))+(S423*IF(G423="R",H423,0))</x:f>
      </x:c>
      <x:c r="AF423" s="6">
        <x:f>(S423*IF(E423="F",F423,0))+(S423*IF(G423="F",H423,0))</x:f>
      </x:c>
      <x:c r="AG423" s="6">
        <x:f>(S423*IF(E423="W",F423,0))+(S423*IF(G423="W",H423,0))</x:f>
      </x:c>
    </x:row>
    <x:row r="424">
      <x:c r="A424" s="3" t="inlineStr">
        <x:is>
          <x:t xml:space="preserve">Security</x:t>
        </x:is>
      </x:c>
      <x:c r="B424" s="3" t="inlineStr">
        <x:is>
          <x:t xml:space="preserve">SEC-D6-Q17</x:t>
        </x:is>
      </x:c>
      <x:c r="C424" s="3" t="inlineStr">
        <x:is>
          <x:t xml:space="preserve">T2</x:t>
        </x:is>
      </x:c>
      <x:c r="D424" s="3" t="inlineStr">
        <x:is>
          <x:t xml:space="preserve">6. Containment &amp; Response Automation</x:t>
        </x:is>
      </x:c>
      <x:c r="E424" s="3" t="inlineStr">
        <x:is>
          <x:t xml:space="preserve">E</x:t>
        </x:is>
      </x:c>
      <x:c r="F424" s="3" t="n">
        <x:v>1</x:v>
      </x:c>
      <x:c r="G424" s="3" t="inlineStr">
        <x:is>
          <x:t xml:space="preserve"/>
        </x:is>
      </x:c>
      <x:c r="H424" s="3" t="inlineStr">
        <x:is>
          <x:t xml:space="preserve"/>
        </x:is>
      </x:c>
      <x:c r="I424" s="3" t="inlineStr">
        <x:is>
          <x:t xml:space="preserve">(Shadow probe) In practice, can you get quick business approval for containment without creating chaos or outages?</x:t>
        </x:is>
      </x:c>
      <x:c r="J424" s="3" t="inlineStr">
        <x:is>
          <x:t xml:space="preserve">Checks whether the organization can act fast without breaking critical operations.</x:t>
        </x:is>
      </x:c>
      <x:c r="K424" s="3" t="inlineStr">
        <x:is>
          <x:t xml:space="preserve">Shadow fallback (Then → SEC-D7-Q19)</x:t>
        </x:is>
      </x:c>
      <x:c r="L424" s="3" t="inlineStr">
        <x:is>
          <x:t xml:space="preserve">OPS_STD</x:t>
        </x:is>
      </x:c>
      <x:c r="M424" s="3" t="n">
        <x:v>1</x:v>
      </x:c>
      <x:c r="N424" s="3" t="inlineStr">
        <x:is>
          <x:t xml:space="preserve"/>
        </x:is>
      </x:c>
      <x:c r="O424" s="3" t="inlineStr">
        <x:is>
          <x:t xml:space="preserve"/>
        </x:is>
      </x:c>
      <x:c r="P424" s="3" t="inlineStr">
        <x:is>
          <x:t xml:space="preserve">SEC-D6-Q17-A2</x:t>
        </x:is>
      </x:c>
      <x:c r="Q424" s="3" t="n">
        <x:v>2</x:v>
      </x:c>
      <x:c r="R424" s="3" t="inlineStr">
        <x:is>
          <x:t xml:space="preserve">Sometimes — approval depends on who is available.</x:t>
        </x:is>
      </x:c>
      <x:c r="S424" s="3" t="n">
        <x:v>2</x:v>
      </x:c>
      <x:c r="T424" s="3" t="inlineStr">
        <x:is>
          <x:t xml:space="preserve">shadow_mature_signal</x:t>
        </x:is>
      </x:c>
      <x:c r="U424" s="3" t="inlineStr">
        <x:is>
          <x:t xml:space="preserve">Control Lag</x:t>
        </x:is>
      </x:c>
      <x:c r="V424" s="3" t="inlineStr">
        <x:is>
          <x:t xml:space="preserve">Capture_Informal_Practices</x:t>
        </x:is>
      </x:c>
      <x:c r="W424" s="3" t="inlineStr">
        <x:is>
          <x:t xml:space="preserve">N</x:t>
        </x:is>
      </x:c>
      <x:c r="X424" s="3" t="inlineStr">
        <x:is>
          <x:t xml:space="preserve"/>
        </x:is>
      </x:c>
      <x:c r="Y424" s="6">
        <x:f>(S424*IF(E424="G",F424,0))+(S424*IF(G424="G",H424,0))</x:f>
      </x:c>
      <x:c r="Z424" s="6">
        <x:f>(S424*IF(E424="E",F424,0))+(S424*IF(G424="E",H424,0))</x:f>
      </x:c>
      <x:c r="AA424" s="6">
        <x:f>(S424*IF(E424="T",F424,0))+(S424*IF(G424="T",H424,0))</x:f>
      </x:c>
      <x:c r="AB424" s="6">
        <x:f>(S424*IF(E424="L",F424,0))+(S424*IF(G424="L",H424,0))</x:f>
      </x:c>
      <x:c r="AC424" s="6">
        <x:f>(S424*IF(E424="H",F424,0))+(S424*IF(G424="H",H424,0))</x:f>
      </x:c>
      <x:c r="AD424" s="6">
        <x:f>(S424*IF(E424="V",F424,0))+(S424*IF(G424="V",H424,0))</x:f>
      </x:c>
      <x:c r="AE424" s="6">
        <x:f>(S424*IF(E424="R",F424,0))+(S424*IF(G424="R",H424,0))</x:f>
      </x:c>
      <x:c r="AF424" s="6">
        <x:f>(S424*IF(E424="F",F424,0))+(S424*IF(G424="F",H424,0))</x:f>
      </x:c>
      <x:c r="AG424" s="6">
        <x:f>(S424*IF(E424="W",F424,0))+(S424*IF(G424="W",H424,0))</x:f>
      </x:c>
    </x:row>
    <x:row r="425">
      <x:c r="A425" s="3" t="inlineStr">
        <x:is>
          <x:t xml:space="preserve">Security</x:t>
        </x:is>
      </x:c>
      <x:c r="B425" s="3" t="inlineStr">
        <x:is>
          <x:t xml:space="preserve">SEC-D6-Q17</x:t>
        </x:is>
      </x:c>
      <x:c r="C425" s="3" t="inlineStr">
        <x:is>
          <x:t xml:space="preserve">T2</x:t>
        </x:is>
      </x:c>
      <x:c r="D425" s="3" t="inlineStr">
        <x:is>
          <x:t xml:space="preserve">6. Containment &amp; Response Automation</x:t>
        </x:is>
      </x:c>
      <x:c r="E425" s="3" t="inlineStr">
        <x:is>
          <x:t xml:space="preserve">E</x:t>
        </x:is>
      </x:c>
      <x:c r="F425" s="3" t="n">
        <x:v>1</x:v>
      </x:c>
      <x:c r="G425" s="3" t="inlineStr">
        <x:is>
          <x:t xml:space="preserve"/>
        </x:is>
      </x:c>
      <x:c r="H425" s="3" t="inlineStr">
        <x:is>
          <x:t xml:space="preserve"/>
        </x:is>
      </x:c>
      <x:c r="I425" s="3" t="inlineStr">
        <x:is>
          <x:t xml:space="preserve">(Shadow probe) In practice, can you get quick business approval for containment without creating chaos or outages?</x:t>
        </x:is>
      </x:c>
      <x:c r="J425" s="3" t="inlineStr">
        <x:is>
          <x:t xml:space="preserve">Checks whether the organization can act fast without breaking critical operations.</x:t>
        </x:is>
      </x:c>
      <x:c r="K425" s="3" t="inlineStr">
        <x:is>
          <x:t xml:space="preserve">Shadow fallback (Then → SEC-D7-Q19)</x:t>
        </x:is>
      </x:c>
      <x:c r="L425" s="3" t="inlineStr">
        <x:is>
          <x:t xml:space="preserve">OPS_STD</x:t>
        </x:is>
      </x:c>
      <x:c r="M425" s="3" t="n">
        <x:v>1</x:v>
      </x:c>
      <x:c r="N425" s="3" t="inlineStr">
        <x:is>
          <x:t xml:space="preserve"/>
        </x:is>
      </x:c>
      <x:c r="O425" s="3" t="inlineStr">
        <x:is>
          <x:t xml:space="preserve"/>
        </x:is>
      </x:c>
      <x:c r="P425" s="3" t="inlineStr">
        <x:is>
          <x:t xml:space="preserve">SEC-D6-Q17-A3</x:t>
        </x:is>
      </x:c>
      <x:c r="Q425" s="3" t="n">
        <x:v>3</x:v>
      </x:c>
      <x:c r="R425" s="3" t="inlineStr">
        <x:is>
          <x:t xml:space="preserve">Yes — a clear fast approval route exists for high‑risk actions.</x:t>
        </x:is>
      </x:c>
      <x:c r="S425" s="3" t="n">
        <x:v>3</x:v>
      </x:c>
      <x:c r="T425" s="3" t="inlineStr">
        <x:is>
          <x:t xml:space="preserve"/>
        </x:is>
      </x:c>
      <x:c r="U425" s="3" t="inlineStr">
        <x:is>
          <x:t xml:space="preserve">Control Lag</x:t>
        </x:is>
      </x:c>
      <x:c r="V425" s="3" t="inlineStr">
        <x:is>
          <x:t xml:space="preserve">Measure_Control_Lag</x:t>
        </x:is>
      </x:c>
      <x:c r="W425" s="3" t="inlineStr">
        <x:is>
          <x:t xml:space="preserve">Y</x:t>
        </x:is>
      </x:c>
      <x:c r="X425" s="3" t="inlineStr">
        <x:is>
          <x:t xml:space="preserve">On‑call approval chain (redacted).</x:t>
        </x:is>
      </x:c>
      <x:c r="Y425" s="6">
        <x:f>(S425*IF(E425="G",F425,0))+(S425*IF(G425="G",H425,0))</x:f>
      </x:c>
      <x:c r="Z425" s="6">
        <x:f>(S425*IF(E425="E",F425,0))+(S425*IF(G425="E",H425,0))</x:f>
      </x:c>
      <x:c r="AA425" s="6">
        <x:f>(S425*IF(E425="T",F425,0))+(S425*IF(G425="T",H425,0))</x:f>
      </x:c>
      <x:c r="AB425" s="6">
        <x:f>(S425*IF(E425="L",F425,0))+(S425*IF(G425="L",H425,0))</x:f>
      </x:c>
      <x:c r="AC425" s="6">
        <x:f>(S425*IF(E425="H",F425,0))+(S425*IF(G425="H",H425,0))</x:f>
      </x:c>
      <x:c r="AD425" s="6">
        <x:f>(S425*IF(E425="V",F425,0))+(S425*IF(G425="V",H425,0))</x:f>
      </x:c>
      <x:c r="AE425" s="6">
        <x:f>(S425*IF(E425="R",F425,0))+(S425*IF(G425="R",H425,0))</x:f>
      </x:c>
      <x:c r="AF425" s="6">
        <x:f>(S425*IF(E425="F",F425,0))+(S425*IF(G425="F",H425,0))</x:f>
      </x:c>
      <x:c r="AG425" s="6">
        <x:f>(S425*IF(E425="W",F425,0))+(S425*IF(G425="W",H425,0))</x:f>
      </x:c>
    </x:row>
    <x:row r="426">
      <x:c r="A426" s="3" t="inlineStr">
        <x:is>
          <x:t xml:space="preserve">Security</x:t>
        </x:is>
      </x:c>
      <x:c r="B426" s="3" t="inlineStr">
        <x:is>
          <x:t xml:space="preserve">SEC-D6-Q18</x:t>
        </x:is>
      </x:c>
      <x:c r="C426" s="3" t="inlineStr">
        <x:is>
          <x:t xml:space="preserve">T2</x:t>
        </x:is>
      </x:c>
      <x:c r="D426" s="3" t="inlineStr">
        <x:is>
          <x:t xml:space="preserve">6. Containment &amp; Response Automation</x:t>
        </x:is>
      </x:c>
      <x:c r="E426" s="3" t="inlineStr">
        <x:is>
          <x:t xml:space="preserve">T</x:t>
        </x:is>
      </x:c>
      <x:c r="F426" s="3" t="n">
        <x:v>0.7</x:v>
      </x:c>
      <x:c r="G426" s="3" t="inlineStr">
        <x:is>
          <x:t xml:space="preserve">F</x:t>
        </x:is>
      </x:c>
      <x:c r="H426" s="3" t="n">
        <x:v>0.3</x:v>
      </x:c>
      <x:c r="I426" s="3" t="inlineStr">
        <x:is>
          <x:t xml:space="preserve">Do containment actions minimize unnecessary disruption (so teams don’t shift to shadow IT/workarounds)?</x:t>
        </x:is>
      </x:c>
      <x:c r="J426" s="3" t="inlineStr">
        <x:is>
          <x:t xml:space="preserve">Proportionate controls: strong where needed, tuned so legitimate work continues.</x:t>
        </x:is>
      </x:c>
      <x:c r="K426" s="3" t="inlineStr">
        <x:is>
          <x:t xml:space="preserve">Drill-down</x:t>
        </x:is>
      </x:c>
      <x:c r="L426" s="3" t="inlineStr">
        <x:is>
          <x:t xml:space="preserve">OPS_STD</x:t>
        </x:is>
      </x:c>
      <x:c r="M426" s="3" t="n">
        <x:v>1</x:v>
      </x:c>
      <x:c r="N426" s="3" t="inlineStr">
        <x:is>
          <x:t xml:space="preserve"/>
        </x:is>
      </x:c>
      <x:c r="O426" s="3" t="inlineStr">
        <x:is>
          <x:t xml:space="preserve"/>
        </x:is>
      </x:c>
      <x:c r="P426" s="3" t="inlineStr">
        <x:is>
          <x:t xml:space="preserve">SEC-D6-Q18-A1</x:t>
        </x:is>
      </x:c>
      <x:c r="Q426" s="3" t="n">
        <x:v>1</x:v>
      </x:c>
      <x:c r="R426" s="3" t="inlineStr">
        <x:is>
          <x:t xml:space="preserve">Containment is heavy-handed and often disrupts normal work.</x:t>
        </x:is>
      </x:c>
      <x:c r="S426" s="3" t="n">
        <x:v>0</x:v>
      </x:c>
      <x:c r="T426" s="3" t="inlineStr">
        <x:is>
          <x:t xml:space="preserve">bypass_pressure,toxic_enforcer_signal</x:t>
        </x:is>
      </x:c>
      <x:c r="U426" s="3" t="inlineStr">
        <x:is>
          <x:t xml:space="preserve">Bypass Pressure</x:t>
        </x:is>
      </x:c>
      <x:c r="V426" s="3" t="inlineStr">
        <x:is>
          <x:t xml:space="preserve">Assess_Friction</x:t>
        </x:is>
      </x:c>
      <x:c r="W426" s="3" t="inlineStr">
        <x:is>
          <x:t xml:space="preserve">N</x:t>
        </x:is>
      </x:c>
      <x:c r="X426" s="3" t="inlineStr">
        <x:is>
          <x:t xml:space="preserve"/>
        </x:is>
      </x:c>
      <x:c r="Y426" s="6">
        <x:f>(S426*IF(E426="G",F426,0))+(S426*IF(G426="G",H426,0))</x:f>
      </x:c>
      <x:c r="Z426" s="6">
        <x:f>(S426*IF(E426="E",F426,0))+(S426*IF(G426="E",H426,0))</x:f>
      </x:c>
      <x:c r="AA426" s="6">
        <x:f>(S426*IF(E426="T",F426,0))+(S426*IF(G426="T",H426,0))</x:f>
      </x:c>
      <x:c r="AB426" s="6">
        <x:f>(S426*IF(E426="L",F426,0))+(S426*IF(G426="L",H426,0))</x:f>
      </x:c>
      <x:c r="AC426" s="6">
        <x:f>(S426*IF(E426="H",F426,0))+(S426*IF(G426="H",H426,0))</x:f>
      </x:c>
      <x:c r="AD426" s="6">
        <x:f>(S426*IF(E426="V",F426,0))+(S426*IF(G426="V",H426,0))</x:f>
      </x:c>
      <x:c r="AE426" s="6">
        <x:f>(S426*IF(E426="R",F426,0))+(S426*IF(G426="R",H426,0))</x:f>
      </x:c>
      <x:c r="AF426" s="6">
        <x:f>(S426*IF(E426="F",F426,0))+(S426*IF(G426="F",H426,0))</x:f>
      </x:c>
      <x:c r="AG426" s="6">
        <x:f>(S426*IF(E426="W",F426,0))+(S426*IF(G426="W",H426,0))</x:f>
      </x:c>
    </x:row>
    <x:row r="427">
      <x:c r="A427" s="3" t="inlineStr">
        <x:is>
          <x:t xml:space="preserve">Security</x:t>
        </x:is>
      </x:c>
      <x:c r="B427" s="3" t="inlineStr">
        <x:is>
          <x:t xml:space="preserve">SEC-D6-Q18</x:t>
        </x:is>
      </x:c>
      <x:c r="C427" s="3" t="inlineStr">
        <x:is>
          <x:t xml:space="preserve">T2</x:t>
        </x:is>
      </x:c>
      <x:c r="D427" s="3" t="inlineStr">
        <x:is>
          <x:t xml:space="preserve">6. Containment &amp; Response Automation</x:t>
        </x:is>
      </x:c>
      <x:c r="E427" s="3" t="inlineStr">
        <x:is>
          <x:t xml:space="preserve">T</x:t>
        </x:is>
      </x:c>
      <x:c r="F427" s="3" t="n">
        <x:v>0.7</x:v>
      </x:c>
      <x:c r="G427" s="3" t="inlineStr">
        <x:is>
          <x:t xml:space="preserve">F</x:t>
        </x:is>
      </x:c>
      <x:c r="H427" s="3" t="n">
        <x:v>0.3</x:v>
      </x:c>
      <x:c r="I427" s="3" t="inlineStr">
        <x:is>
          <x:t xml:space="preserve">Do containment actions minimize unnecessary disruption (so teams don’t shift to shadow IT/workarounds)?</x:t>
        </x:is>
      </x:c>
      <x:c r="J427" s="3" t="inlineStr">
        <x:is>
          <x:t xml:space="preserve">Proportionate controls: strong where needed, tuned so legitimate work continues.</x:t>
        </x:is>
      </x:c>
      <x:c r="K427" s="3" t="inlineStr">
        <x:is>
          <x:t xml:space="preserve">Drill-down</x:t>
        </x:is>
      </x:c>
      <x:c r="L427" s="3" t="inlineStr">
        <x:is>
          <x:t xml:space="preserve">OPS_STD</x:t>
        </x:is>
      </x:c>
      <x:c r="M427" s="3" t="n">
        <x:v>1</x:v>
      </x:c>
      <x:c r="N427" s="3" t="inlineStr">
        <x:is>
          <x:t xml:space="preserve"/>
        </x:is>
      </x:c>
      <x:c r="O427" s="3" t="inlineStr">
        <x:is>
          <x:t xml:space="preserve"/>
        </x:is>
      </x:c>
      <x:c r="P427" s="3" t="inlineStr">
        <x:is>
          <x:t xml:space="preserve">SEC-D6-Q18-A2</x:t>
        </x:is>
      </x:c>
      <x:c r="Q427" s="3" t="n">
        <x:v>2</x:v>
      </x:c>
      <x:c r="R427" s="3" t="inlineStr">
        <x:is>
          <x:t xml:space="preserve">We avoid acting because disruption risk is high.</x:t>
        </x:is>
      </x:c>
      <x:c r="S427" s="3" t="n">
        <x:v>1</x:v>
      </x:c>
      <x:c r="T427" s="3" t="inlineStr">
        <x:is>
          <x:t xml:space="preserve">paper_dragon_signal</x:t>
        </x:is>
      </x:c>
      <x:c r="U427" s="3" t="inlineStr">
        <x:is>
          <x:t xml:space="preserve">Paper Dragon</x:t>
        </x:is>
      </x:c>
      <x:c r="V427" s="3" t="inlineStr">
        <x:is>
          <x:t xml:space="preserve">Assess_Friction</x:t>
        </x:is>
      </x:c>
      <x:c r="W427" s="3" t="inlineStr">
        <x:is>
          <x:t xml:space="preserve">N</x:t>
        </x:is>
      </x:c>
      <x:c r="X427" s="3" t="inlineStr">
        <x:is>
          <x:t xml:space="preserve"/>
        </x:is>
      </x:c>
      <x:c r="Y427" s="6">
        <x:f>(S427*IF(E427="G",F427,0))+(S427*IF(G427="G",H427,0))</x:f>
      </x:c>
      <x:c r="Z427" s="6">
        <x:f>(S427*IF(E427="E",F427,0))+(S427*IF(G427="E",H427,0))</x:f>
      </x:c>
      <x:c r="AA427" s="6">
        <x:f>(S427*IF(E427="T",F427,0))+(S427*IF(G427="T",H427,0))</x:f>
      </x:c>
      <x:c r="AB427" s="6">
        <x:f>(S427*IF(E427="L",F427,0))+(S427*IF(G427="L",H427,0))</x:f>
      </x:c>
      <x:c r="AC427" s="6">
        <x:f>(S427*IF(E427="H",F427,0))+(S427*IF(G427="H",H427,0))</x:f>
      </x:c>
      <x:c r="AD427" s="6">
        <x:f>(S427*IF(E427="V",F427,0))+(S427*IF(G427="V",H427,0))</x:f>
      </x:c>
      <x:c r="AE427" s="6">
        <x:f>(S427*IF(E427="R",F427,0))+(S427*IF(G427="R",H427,0))</x:f>
      </x:c>
      <x:c r="AF427" s="6">
        <x:f>(S427*IF(E427="F",F427,0))+(S427*IF(G427="F",H427,0))</x:f>
      </x:c>
      <x:c r="AG427" s="6">
        <x:f>(S427*IF(E427="W",F427,0))+(S427*IF(G427="W",H427,0))</x:f>
      </x:c>
    </x:row>
    <x:row r="428">
      <x:c r="A428" s="3" t="inlineStr">
        <x:is>
          <x:t xml:space="preserve">Security</x:t>
        </x:is>
      </x:c>
      <x:c r="B428" s="3" t="inlineStr">
        <x:is>
          <x:t xml:space="preserve">SEC-D6-Q18</x:t>
        </x:is>
      </x:c>
      <x:c r="C428" s="3" t="inlineStr">
        <x:is>
          <x:t xml:space="preserve">T2</x:t>
        </x:is>
      </x:c>
      <x:c r="D428" s="3" t="inlineStr">
        <x:is>
          <x:t xml:space="preserve">6. Containment &amp; Response Automation</x:t>
        </x:is>
      </x:c>
      <x:c r="E428" s="3" t="inlineStr">
        <x:is>
          <x:t xml:space="preserve">T</x:t>
        </x:is>
      </x:c>
      <x:c r="F428" s="3" t="n">
        <x:v>0.7</x:v>
      </x:c>
      <x:c r="G428" s="3" t="inlineStr">
        <x:is>
          <x:t xml:space="preserve">F</x:t>
        </x:is>
      </x:c>
      <x:c r="H428" s="3" t="n">
        <x:v>0.3</x:v>
      </x:c>
      <x:c r="I428" s="3" t="inlineStr">
        <x:is>
          <x:t xml:space="preserve">Do containment actions minimize unnecessary disruption (so teams don’t shift to shadow IT/workarounds)?</x:t>
        </x:is>
      </x:c>
      <x:c r="J428" s="3" t="inlineStr">
        <x:is>
          <x:t xml:space="preserve">Proportionate controls: strong where needed, tuned so legitimate work continues.</x:t>
        </x:is>
      </x:c>
      <x:c r="K428" s="3" t="inlineStr">
        <x:is>
          <x:t xml:space="preserve">Drill-down</x:t>
        </x:is>
      </x:c>
      <x:c r="L428" s="3" t="inlineStr">
        <x:is>
          <x:t xml:space="preserve">OPS_STD</x:t>
        </x:is>
      </x:c>
      <x:c r="M428" s="3" t="n">
        <x:v>1</x:v>
      </x:c>
      <x:c r="N428" s="3" t="inlineStr">
        <x:is>
          <x:t xml:space="preserve"/>
        </x:is>
      </x:c>
      <x:c r="O428" s="3" t="inlineStr">
        <x:is>
          <x:t xml:space="preserve"/>
        </x:is>
      </x:c>
      <x:c r="P428" s="3" t="inlineStr">
        <x:is>
          <x:t xml:space="preserve">SEC-D6-Q18-A3</x:t>
        </x:is>
      </x:c>
      <x:c r="Q428" s="3" t="n">
        <x:v>3</x:v>
      </x:c>
      <x:c r="R428" s="3" t="inlineStr">
        <x:is>
          <x:t xml:space="preserve">We can act with minimal disruption for most scenarios due to tuning and clear comms.</x:t>
        </x:is>
      </x:c>
      <x:c r="S428" s="3" t="n">
        <x:v>3</x:v>
      </x:c>
      <x:c r="T428" s="3" t="inlineStr">
        <x:is>
          <x:t xml:space="preserve"/>
        </x:is>
      </x:c>
      <x:c r="U428" s="3" t="inlineStr">
        <x:is>
          <x:t xml:space="preserve">Bypass Pressure</x:t>
        </x:is>
      </x:c>
      <x:c r="V428" s="3" t="inlineStr">
        <x:is>
          <x:t xml:space="preserve">Measure_Friction</x:t>
        </x:is>
      </x:c>
      <x:c r="W428" s="3" t="inlineStr">
        <x:is>
          <x:t xml:space="preserve">N</x:t>
        </x:is>
      </x:c>
      <x:c r="X428" s="3" t="inlineStr">
        <x:is>
          <x:t xml:space="preserve"/>
        </x:is>
      </x:c>
      <x:c r="Y428" s="6">
        <x:f>(S428*IF(E428="G",F428,0))+(S428*IF(G428="G",H428,0))</x:f>
      </x:c>
      <x:c r="Z428" s="6">
        <x:f>(S428*IF(E428="E",F428,0))+(S428*IF(G428="E",H428,0))</x:f>
      </x:c>
      <x:c r="AA428" s="6">
        <x:f>(S428*IF(E428="T",F428,0))+(S428*IF(G428="T",H428,0))</x:f>
      </x:c>
      <x:c r="AB428" s="6">
        <x:f>(S428*IF(E428="L",F428,0))+(S428*IF(G428="L",H428,0))</x:f>
      </x:c>
      <x:c r="AC428" s="6">
        <x:f>(S428*IF(E428="H",F428,0))+(S428*IF(G428="H",H428,0))</x:f>
      </x:c>
      <x:c r="AD428" s="6">
        <x:f>(S428*IF(E428="V",F428,0))+(S428*IF(G428="V",H428,0))</x:f>
      </x:c>
      <x:c r="AE428" s="6">
        <x:f>(S428*IF(E428="R",F428,0))+(S428*IF(G428="R",H428,0))</x:f>
      </x:c>
      <x:c r="AF428" s="6">
        <x:f>(S428*IF(E428="F",F428,0))+(S428*IF(G428="F",H428,0))</x:f>
      </x:c>
      <x:c r="AG428" s="6">
        <x:f>(S428*IF(E428="W",F428,0))+(S428*IF(G428="W",H428,0))</x:f>
      </x:c>
    </x:row>
    <x:row r="429">
      <x:c r="A429" s="3" t="inlineStr">
        <x:is>
          <x:t xml:space="preserve">Security</x:t>
        </x:is>
      </x:c>
      <x:c r="B429" s="3" t="inlineStr">
        <x:is>
          <x:t xml:space="preserve">SEC-D6-Q18</x:t>
        </x:is>
      </x:c>
      <x:c r="C429" s="3" t="inlineStr">
        <x:is>
          <x:t xml:space="preserve">T2</x:t>
        </x:is>
      </x:c>
      <x:c r="D429" s="3" t="inlineStr">
        <x:is>
          <x:t xml:space="preserve">6. Containment &amp; Response Automation</x:t>
        </x:is>
      </x:c>
      <x:c r="E429" s="3" t="inlineStr">
        <x:is>
          <x:t xml:space="preserve">T</x:t>
        </x:is>
      </x:c>
      <x:c r="F429" s="3" t="n">
        <x:v>0.7</x:v>
      </x:c>
      <x:c r="G429" s="3" t="inlineStr">
        <x:is>
          <x:t xml:space="preserve">F</x:t>
        </x:is>
      </x:c>
      <x:c r="H429" s="3" t="n">
        <x:v>0.3</x:v>
      </x:c>
      <x:c r="I429" s="3" t="inlineStr">
        <x:is>
          <x:t xml:space="preserve">Do containment actions minimize unnecessary disruption (so teams don’t shift to shadow IT/workarounds)?</x:t>
        </x:is>
      </x:c>
      <x:c r="J429" s="3" t="inlineStr">
        <x:is>
          <x:t xml:space="preserve">Proportionate controls: strong where needed, tuned so legitimate work continues.</x:t>
        </x:is>
      </x:c>
      <x:c r="K429" s="3" t="inlineStr">
        <x:is>
          <x:t xml:space="preserve">Drill-down</x:t>
        </x:is>
      </x:c>
      <x:c r="L429" s="3" t="inlineStr">
        <x:is>
          <x:t xml:space="preserve">OPS_STD</x:t>
        </x:is>
      </x:c>
      <x:c r="M429" s="3" t="n">
        <x:v>1</x:v>
      </x:c>
      <x:c r="N429" s="3" t="inlineStr">
        <x:is>
          <x:t xml:space="preserve"/>
        </x:is>
      </x:c>
      <x:c r="O429" s="3" t="inlineStr">
        <x:is>
          <x:t xml:space="preserve"/>
        </x:is>
      </x:c>
      <x:c r="P429" s="3" t="inlineStr">
        <x:is>
          <x:t xml:space="preserve">SEC-D6-Q18-A4</x:t>
        </x:is>
      </x:c>
      <x:c r="Q429" s="3" t="n">
        <x:v>4</x:v>
      </x:c>
      <x:c r="R429" s="3" t="inlineStr">
        <x:is>
          <x:t xml:space="preserve">Optimized: tiered containment with measured business impact and continuous improvement.</x:t>
        </x:is>
      </x:c>
      <x:c r="S429" s="3" t="n">
        <x:v>4</x:v>
      </x:c>
      <x:c r="T429" s="3" t="inlineStr">
        <x:is>
          <x:t xml:space="preserve"/>
        </x:is>
      </x:c>
      <x:c r="U429" s="3" t="inlineStr">
        <x:is>
          <x:t xml:space="preserve">Bypass Pressure</x:t>
        </x:is>
      </x:c>
      <x:c r="V429" s="3" t="inlineStr">
        <x:is>
          <x:t xml:space="preserve">Measure_Friction</x:t>
        </x:is>
      </x:c>
      <x:c r="W429" s="3" t="inlineStr">
        <x:is>
          <x:t xml:space="preserve">Y</x:t>
        </x:is>
      </x:c>
      <x:c r="X429" s="3" t="inlineStr">
        <x:is>
          <x:t xml:space="preserve">Examples of tiered actions.</x:t>
        </x:is>
      </x:c>
      <x:c r="Y429" s="6">
        <x:f>(S429*IF(E429="G",F429,0))+(S429*IF(G429="G",H429,0))</x:f>
      </x:c>
      <x:c r="Z429" s="6">
        <x:f>(S429*IF(E429="E",F429,0))+(S429*IF(G429="E",H429,0))</x:f>
      </x:c>
      <x:c r="AA429" s="6">
        <x:f>(S429*IF(E429="T",F429,0))+(S429*IF(G429="T",H429,0))</x:f>
      </x:c>
      <x:c r="AB429" s="6">
        <x:f>(S429*IF(E429="L",F429,0))+(S429*IF(G429="L",H429,0))</x:f>
      </x:c>
      <x:c r="AC429" s="6">
        <x:f>(S429*IF(E429="H",F429,0))+(S429*IF(G429="H",H429,0))</x:f>
      </x:c>
      <x:c r="AD429" s="6">
        <x:f>(S429*IF(E429="V",F429,0))+(S429*IF(G429="V",H429,0))</x:f>
      </x:c>
      <x:c r="AE429" s="6">
        <x:f>(S429*IF(E429="R",F429,0))+(S429*IF(G429="R",H429,0))</x:f>
      </x:c>
      <x:c r="AF429" s="6">
        <x:f>(S429*IF(E429="F",F429,0))+(S429*IF(G429="F",H429,0))</x:f>
      </x:c>
      <x:c r="AG429" s="6">
        <x:f>(S429*IF(E429="W",F429,0))+(S429*IF(G429="W",H429,0))</x:f>
      </x:c>
    </x:row>
    <x:row r="430">
      <x:c r="A430" s="3" t="inlineStr">
        <x:is>
          <x:t xml:space="preserve">Security</x:t>
        </x:is>
      </x:c>
      <x:c r="B430" s="3" t="inlineStr">
        <x:is>
          <x:t xml:space="preserve">SEC-D7-Q19</x:t>
        </x:is>
      </x:c>
      <x:c r="C430" s="3" t="inlineStr">
        <x:is>
          <x:t xml:space="preserve">T1</x:t>
        </x:is>
      </x:c>
      <x:c r="D430" s="3" t="inlineStr">
        <x:is>
          <x:t xml:space="preserve">7. Evidence &amp; Forensics Readiness</x:t>
        </x:is>
      </x:c>
      <x:c r="E430" s="3" t="inlineStr">
        <x:is>
          <x:t xml:space="preserve">R</x:t>
        </x:is>
      </x:c>
      <x:c r="F430" s="3" t="n">
        <x:v>0.5</x:v>
      </x:c>
      <x:c r="G430" s="3" t="inlineStr">
        <x:is>
          <x:t xml:space="preserve">L</x:t>
        </x:is>
      </x:c>
      <x:c r="H430" s="3" t="n">
        <x:v>0.5</x:v>
      </x:c>
      <x:c r="I430" s="3" t="inlineStr">
        <x:is>
          <x:t xml:space="preserve">Can you preserve and present evidence from internal cases so HR/Legal can rely on it (chain of custody, tamper resistance)?</x:t>
        </x:is>
      </x:c>
      <x:c r="J430" s="3" t="inlineStr">
        <x:is>
          <x:t xml:space="preserve">This affects HR actions and legal disputes. Evidence should be traceable: who collected what, when, and whether it was altered.</x:t>
        </x:is>
      </x:c>
      <x:c r="K430" s="3" t="inlineStr">
        <x:is>
          <x:t xml:space="preserve">Gatekeeper (If BaseScore &lt;2 → SEC-D7-Q20; If ≥2 → SEC-D7-Q21)</x:t>
        </x:is>
      </x:c>
      <x:c r="L430" s="3" t="inlineStr">
        <x:is>
          <x:t xml:space="preserve">LEG_STRICT</x:t>
        </x:is>
      </x:c>
      <x:c r="M430" s="3" t="n">
        <x:v>1.5</x:v>
      </x:c>
      <x:c r="N430" s="3" t="n">
        <x:v>0.5</x:v>
      </x:c>
      <x:c r="O430" s="3" t="inlineStr">
        <x:is>
          <x:t xml:space="preserve"/>
        </x:is>
      </x:c>
      <x:c r="P430" s="3" t="inlineStr">
        <x:is>
          <x:t xml:space="preserve">SEC-D7-Q19-A1</x:t>
        </x:is>
      </x:c>
      <x:c r="Q430" s="3" t="n">
        <x:v>1</x:v>
      </x:c>
      <x:c r="R430" s="3" t="inlineStr">
        <x:is>
          <x:t xml:space="preserve">No — evidence is collected informally (screenshots/copies) with limited traceability.</x:t>
        </x:is>
      </x:c>
      <x:c r="S430" s="3" t="n">
        <x:v>0</x:v>
      </x:c>
      <x:c r="T430" s="3" t="inlineStr">
        <x:is>
          <x:t xml:space="preserve">legal_exposure</x:t>
        </x:is>
      </x:c>
      <x:c r="U430" s="3" t="inlineStr">
        <x:is>
          <x:t xml:space="preserve">Legal Exposure</x:t>
        </x:is>
      </x:c>
      <x:c r="V430" s="3" t="inlineStr">
        <x:is>
          <x:t xml:space="preserve">Assess_Evidence_Handling</x:t>
        </x:is>
      </x:c>
      <x:c r="W430" s="3" t="inlineStr">
        <x:is>
          <x:t xml:space="preserve">N</x:t>
        </x:is>
      </x:c>
      <x:c r="X430" s="3" t="inlineStr">
        <x:is>
          <x:t xml:space="preserve"/>
        </x:is>
      </x:c>
      <x:c r="Y430" s="6">
        <x:f>(S430*IF(E430="G",F430,0))+(S430*IF(G430="G",H430,0))</x:f>
      </x:c>
      <x:c r="Z430" s="6">
        <x:f>(S430*IF(E430="E",F430,0))+(S430*IF(G430="E",H430,0))</x:f>
      </x:c>
      <x:c r="AA430" s="6">
        <x:f>(S430*IF(E430="T",F430,0))+(S430*IF(G430="T",H430,0))</x:f>
      </x:c>
      <x:c r="AB430" s="6">
        <x:f>(S430*IF(E430="L",F430,0))+(S430*IF(G430="L",H430,0))</x:f>
      </x:c>
      <x:c r="AC430" s="6">
        <x:f>(S430*IF(E430="H",F430,0))+(S430*IF(G430="H",H430,0))</x:f>
      </x:c>
      <x:c r="AD430" s="6">
        <x:f>(S430*IF(E430="V",F430,0))+(S430*IF(G430="V",H430,0))</x:f>
      </x:c>
      <x:c r="AE430" s="6">
        <x:f>(S430*IF(E430="R",F430,0))+(S430*IF(G430="R",H430,0))</x:f>
      </x:c>
      <x:c r="AF430" s="6">
        <x:f>(S430*IF(E430="F",F430,0))+(S430*IF(G430="F",H430,0))</x:f>
      </x:c>
      <x:c r="AG430" s="6">
        <x:f>(S430*IF(E430="W",F430,0))+(S430*IF(G430="W",H430,0))</x:f>
      </x:c>
    </x:row>
    <x:row r="431">
      <x:c r="A431" s="3" t="inlineStr">
        <x:is>
          <x:t xml:space="preserve">Security</x:t>
        </x:is>
      </x:c>
      <x:c r="B431" s="3" t="inlineStr">
        <x:is>
          <x:t xml:space="preserve">SEC-D7-Q19</x:t>
        </x:is>
      </x:c>
      <x:c r="C431" s="3" t="inlineStr">
        <x:is>
          <x:t xml:space="preserve">T1</x:t>
        </x:is>
      </x:c>
      <x:c r="D431" s="3" t="inlineStr">
        <x:is>
          <x:t xml:space="preserve">7. Evidence &amp; Forensics Readiness</x:t>
        </x:is>
      </x:c>
      <x:c r="E431" s="3" t="inlineStr">
        <x:is>
          <x:t xml:space="preserve">R</x:t>
        </x:is>
      </x:c>
      <x:c r="F431" s="3" t="n">
        <x:v>0.5</x:v>
      </x:c>
      <x:c r="G431" s="3" t="inlineStr">
        <x:is>
          <x:t xml:space="preserve">L</x:t>
        </x:is>
      </x:c>
      <x:c r="H431" s="3" t="n">
        <x:v>0.5</x:v>
      </x:c>
      <x:c r="I431" s="3" t="inlineStr">
        <x:is>
          <x:t xml:space="preserve">Can you preserve and present evidence from internal cases so HR/Legal can rely on it (chain of custody, tamper resistance)?</x:t>
        </x:is>
      </x:c>
      <x:c r="J431" s="3" t="inlineStr">
        <x:is>
          <x:t xml:space="preserve">This affects HR actions and legal disputes. Evidence should be traceable: who collected what, when, and whether it was altered.</x:t>
        </x:is>
      </x:c>
      <x:c r="K431" s="3" t="inlineStr">
        <x:is>
          <x:t xml:space="preserve">Gatekeeper (If BaseScore &lt;2 → SEC-D7-Q20; If ≥2 → SEC-D7-Q21)</x:t>
        </x:is>
      </x:c>
      <x:c r="L431" s="3" t="inlineStr">
        <x:is>
          <x:t xml:space="preserve">LEG_STRICT</x:t>
        </x:is>
      </x:c>
      <x:c r="M431" s="3" t="n">
        <x:v>1.5</x:v>
      </x:c>
      <x:c r="N431" s="3" t="n">
        <x:v>0.5</x:v>
      </x:c>
      <x:c r="O431" s="3" t="inlineStr">
        <x:is>
          <x:t xml:space="preserve"/>
        </x:is>
      </x:c>
      <x:c r="P431" s="3" t="inlineStr">
        <x:is>
          <x:t xml:space="preserve">SEC-D7-Q19-A2</x:t>
        </x:is>
      </x:c>
      <x:c r="Q431" s="3" t="n">
        <x:v>2</x:v>
      </x:c>
      <x:c r="R431" s="3" t="inlineStr">
        <x:is>
          <x:t xml:space="preserve">Partially — steps exist but are not consistent or not for all systems.</x:t>
        </x:is>
      </x:c>
      <x:c r="S431" s="3" t="n">
        <x:v>2</x:v>
      </x:c>
      <x:c r="T431" s="3" t="inlineStr">
        <x:is>
          <x:t xml:space="preserve"/>
        </x:is>
      </x:c>
      <x:c r="U431" s="3" t="inlineStr">
        <x:is>
          <x:t xml:space="preserve">Legal Exposure</x:t>
        </x:is>
      </x:c>
      <x:c r="V431" s="3" t="inlineStr">
        <x:is>
          <x:t xml:space="preserve">Assess_Evidence_Handling</x:t>
        </x:is>
      </x:c>
      <x:c r="W431" s="3" t="inlineStr">
        <x:is>
          <x:t xml:space="preserve">N</x:t>
        </x:is>
      </x:c>
      <x:c r="X431" s="3" t="inlineStr">
        <x:is>
          <x:t xml:space="preserve"/>
        </x:is>
      </x:c>
      <x:c r="Y431" s="6">
        <x:f>(S431*IF(E431="G",F431,0))+(S431*IF(G431="G",H431,0))</x:f>
      </x:c>
      <x:c r="Z431" s="6">
        <x:f>(S431*IF(E431="E",F431,0))+(S431*IF(G431="E",H431,0))</x:f>
      </x:c>
      <x:c r="AA431" s="6">
        <x:f>(S431*IF(E431="T",F431,0))+(S431*IF(G431="T",H431,0))</x:f>
      </x:c>
      <x:c r="AB431" s="6">
        <x:f>(S431*IF(E431="L",F431,0))+(S431*IF(G431="L",H431,0))</x:f>
      </x:c>
      <x:c r="AC431" s="6">
        <x:f>(S431*IF(E431="H",F431,0))+(S431*IF(G431="H",H431,0))</x:f>
      </x:c>
      <x:c r="AD431" s="6">
        <x:f>(S431*IF(E431="V",F431,0))+(S431*IF(G431="V",H431,0))</x:f>
      </x:c>
      <x:c r="AE431" s="6">
        <x:f>(S431*IF(E431="R",F431,0))+(S431*IF(G431="R",H431,0))</x:f>
      </x:c>
      <x:c r="AF431" s="6">
        <x:f>(S431*IF(E431="F",F431,0))+(S431*IF(G431="F",H431,0))</x:f>
      </x:c>
      <x:c r="AG431" s="6">
        <x:f>(S431*IF(E431="W",F431,0))+(S431*IF(G431="W",H431,0))</x:f>
      </x:c>
    </x:row>
    <x:row r="432">
      <x:c r="A432" s="3" t="inlineStr">
        <x:is>
          <x:t xml:space="preserve">Security</x:t>
        </x:is>
      </x:c>
      <x:c r="B432" s="3" t="inlineStr">
        <x:is>
          <x:t xml:space="preserve">SEC-D7-Q19</x:t>
        </x:is>
      </x:c>
      <x:c r="C432" s="3" t="inlineStr">
        <x:is>
          <x:t xml:space="preserve">T1</x:t>
        </x:is>
      </x:c>
      <x:c r="D432" s="3" t="inlineStr">
        <x:is>
          <x:t xml:space="preserve">7. Evidence &amp; Forensics Readiness</x:t>
        </x:is>
      </x:c>
      <x:c r="E432" s="3" t="inlineStr">
        <x:is>
          <x:t xml:space="preserve">R</x:t>
        </x:is>
      </x:c>
      <x:c r="F432" s="3" t="n">
        <x:v>0.5</x:v>
      </x:c>
      <x:c r="G432" s="3" t="inlineStr">
        <x:is>
          <x:t xml:space="preserve">L</x:t>
        </x:is>
      </x:c>
      <x:c r="H432" s="3" t="n">
        <x:v>0.5</x:v>
      </x:c>
      <x:c r="I432" s="3" t="inlineStr">
        <x:is>
          <x:t xml:space="preserve">Can you preserve and present evidence from internal cases so HR/Legal can rely on it (chain of custody, tamper resistance)?</x:t>
        </x:is>
      </x:c>
      <x:c r="J432" s="3" t="inlineStr">
        <x:is>
          <x:t xml:space="preserve">This affects HR actions and legal disputes. Evidence should be traceable: who collected what, when, and whether it was altered.</x:t>
        </x:is>
      </x:c>
      <x:c r="K432" s="3" t="inlineStr">
        <x:is>
          <x:t xml:space="preserve">Gatekeeper (If BaseScore &lt;2 → SEC-D7-Q20; If ≥2 → SEC-D7-Q21)</x:t>
        </x:is>
      </x:c>
      <x:c r="L432" s="3" t="inlineStr">
        <x:is>
          <x:t xml:space="preserve">LEG_STRICT</x:t>
        </x:is>
      </x:c>
      <x:c r="M432" s="3" t="n">
        <x:v>1.5</x:v>
      </x:c>
      <x:c r="N432" s="3" t="n">
        <x:v>0.5</x:v>
      </x:c>
      <x:c r="O432" s="3" t="inlineStr">
        <x:is>
          <x:t xml:space="preserve"/>
        </x:is>
      </x:c>
      <x:c r="P432" s="3" t="inlineStr">
        <x:is>
          <x:t xml:space="preserve">SEC-D7-Q19-A3</x:t>
        </x:is>
      </x:c>
      <x:c r="Q432" s="3" t="n">
        <x:v>3</x:v>
      </x:c>
      <x:c r="R432" s="3" t="inlineStr">
        <x:is>
          <x:t xml:space="preserve">Yes — chain of custody is documented and used for serious cases.</x:t>
        </x:is>
      </x:c>
      <x:c r="S432" s="3" t="n">
        <x:v>3</x:v>
      </x:c>
      <x:c r="T432" s="3" t="inlineStr">
        <x:is>
          <x:t xml:space="preserve"/>
        </x:is>
      </x:c>
      <x:c r="U432" s="3" t="inlineStr">
        <x:is>
          <x:t xml:space="preserve">Legal Exposure</x:t>
        </x:is>
      </x:c>
      <x:c r="V432" s="3" t="inlineStr">
        <x:is>
          <x:t xml:space="preserve">Legal_Defensibility_Audit</x:t>
        </x:is>
      </x:c>
      <x:c r="W432" s="3" t="inlineStr">
        <x:is>
          <x:t xml:space="preserve">Y</x:t>
        </x:is>
      </x:c>
      <x:c r="X432" s="3" t="inlineStr">
        <x:is>
          <x:t xml:space="preserve">Template + sample (redacted).</x:t>
        </x:is>
      </x:c>
      <x:c r="Y432" s="6">
        <x:f>(S432*IF(E432="G",F432,0))+(S432*IF(G432="G",H432,0))</x:f>
      </x:c>
      <x:c r="Z432" s="6">
        <x:f>(S432*IF(E432="E",F432,0))+(S432*IF(G432="E",H432,0))</x:f>
      </x:c>
      <x:c r="AA432" s="6">
        <x:f>(S432*IF(E432="T",F432,0))+(S432*IF(G432="T",H432,0))</x:f>
      </x:c>
      <x:c r="AB432" s="6">
        <x:f>(S432*IF(E432="L",F432,0))+(S432*IF(G432="L",H432,0))</x:f>
      </x:c>
      <x:c r="AC432" s="6">
        <x:f>(S432*IF(E432="H",F432,0))+(S432*IF(G432="H",H432,0))</x:f>
      </x:c>
      <x:c r="AD432" s="6">
        <x:f>(S432*IF(E432="V",F432,0))+(S432*IF(G432="V",H432,0))</x:f>
      </x:c>
      <x:c r="AE432" s="6">
        <x:f>(S432*IF(E432="R",F432,0))+(S432*IF(G432="R",H432,0))</x:f>
      </x:c>
      <x:c r="AF432" s="6">
        <x:f>(S432*IF(E432="F",F432,0))+(S432*IF(G432="F",H432,0))</x:f>
      </x:c>
      <x:c r="AG432" s="6">
        <x:f>(S432*IF(E432="W",F432,0))+(S432*IF(G432="W",H432,0))</x:f>
      </x:c>
    </x:row>
    <x:row r="433">
      <x:c r="A433" s="3" t="inlineStr">
        <x:is>
          <x:t xml:space="preserve">Security</x:t>
        </x:is>
      </x:c>
      <x:c r="B433" s="3" t="inlineStr">
        <x:is>
          <x:t xml:space="preserve">SEC-D7-Q19</x:t>
        </x:is>
      </x:c>
      <x:c r="C433" s="3" t="inlineStr">
        <x:is>
          <x:t xml:space="preserve">T1</x:t>
        </x:is>
      </x:c>
      <x:c r="D433" s="3" t="inlineStr">
        <x:is>
          <x:t xml:space="preserve">7. Evidence &amp; Forensics Readiness</x:t>
        </x:is>
      </x:c>
      <x:c r="E433" s="3" t="inlineStr">
        <x:is>
          <x:t xml:space="preserve">R</x:t>
        </x:is>
      </x:c>
      <x:c r="F433" s="3" t="n">
        <x:v>0.5</x:v>
      </x:c>
      <x:c r="G433" s="3" t="inlineStr">
        <x:is>
          <x:t xml:space="preserve">L</x:t>
        </x:is>
      </x:c>
      <x:c r="H433" s="3" t="n">
        <x:v>0.5</x:v>
      </x:c>
      <x:c r="I433" s="3" t="inlineStr">
        <x:is>
          <x:t xml:space="preserve">Can you preserve and present evidence from internal cases so HR/Legal can rely on it (chain of custody, tamper resistance)?</x:t>
        </x:is>
      </x:c>
      <x:c r="J433" s="3" t="inlineStr">
        <x:is>
          <x:t xml:space="preserve">This affects HR actions and legal disputes. Evidence should be traceable: who collected what, when, and whether it was altered.</x:t>
        </x:is>
      </x:c>
      <x:c r="K433" s="3" t="inlineStr">
        <x:is>
          <x:t xml:space="preserve">Gatekeeper (If BaseScore &lt;2 → SEC-D7-Q20; If ≥2 → SEC-D7-Q21)</x:t>
        </x:is>
      </x:c>
      <x:c r="L433" s="3" t="inlineStr">
        <x:is>
          <x:t xml:space="preserve">LEG_STRICT</x:t>
        </x:is>
      </x:c>
      <x:c r="M433" s="3" t="n">
        <x:v>1.5</x:v>
      </x:c>
      <x:c r="N433" s="3" t="n">
        <x:v>0.5</x:v>
      </x:c>
      <x:c r="O433" s="3" t="inlineStr">
        <x:is>
          <x:t xml:space="preserve"/>
        </x:is>
      </x:c>
      <x:c r="P433" s="3" t="inlineStr">
        <x:is>
          <x:t xml:space="preserve">SEC-D7-Q19-A4</x:t>
        </x:is>
      </x:c>
      <x:c r="Q433" s="3" t="n">
        <x:v>4</x:v>
      </x:c>
      <x:c r="R433" s="3" t="inlineStr">
        <x:is>
          <x:t xml:space="preserve">Optimized — tamper‑resistant logs, controlled access, and periodic audits.</x:t>
        </x:is>
      </x:c>
      <x:c r="S433" s="3" t="n">
        <x:v>4</x:v>
      </x:c>
      <x:c r="T433" s="3" t="inlineStr">
        <x:is>
          <x:t xml:space="preserve"/>
        </x:is>
      </x:c>
      <x:c r="U433" s="3" t="inlineStr">
        <x:is>
          <x:t xml:space="preserve">Legal Exposure</x:t>
        </x:is>
      </x:c>
      <x:c r="V433" s="3" t="inlineStr">
        <x:is>
          <x:t xml:space="preserve">Legal_Defensibility_Audit</x:t>
        </x:is>
      </x:c>
      <x:c r="W433" s="3" t="inlineStr">
        <x:is>
          <x:t xml:space="preserve">Y</x:t>
        </x:is>
      </x:c>
      <x:c r="X433" s="3" t="inlineStr">
        <x:is>
          <x:t xml:space="preserve">Audit evidence or control logs.</x:t>
        </x:is>
      </x:c>
      <x:c r="Y433" s="6">
        <x:f>(S433*IF(E433="G",F433,0))+(S433*IF(G433="G",H433,0))</x:f>
      </x:c>
      <x:c r="Z433" s="6">
        <x:f>(S433*IF(E433="E",F433,0))+(S433*IF(G433="E",H433,0))</x:f>
      </x:c>
      <x:c r="AA433" s="6">
        <x:f>(S433*IF(E433="T",F433,0))+(S433*IF(G433="T",H433,0))</x:f>
      </x:c>
      <x:c r="AB433" s="6">
        <x:f>(S433*IF(E433="L",F433,0))+(S433*IF(G433="L",H433,0))</x:f>
      </x:c>
      <x:c r="AC433" s="6">
        <x:f>(S433*IF(E433="H",F433,0))+(S433*IF(G433="H",H433,0))</x:f>
      </x:c>
      <x:c r="AD433" s="6">
        <x:f>(S433*IF(E433="V",F433,0))+(S433*IF(G433="V",H433,0))</x:f>
      </x:c>
      <x:c r="AE433" s="6">
        <x:f>(S433*IF(E433="R",F433,0))+(S433*IF(G433="R",H433,0))</x:f>
      </x:c>
      <x:c r="AF433" s="6">
        <x:f>(S433*IF(E433="F",F433,0))+(S433*IF(G433="F",H433,0))</x:f>
      </x:c>
      <x:c r="AG433" s="6">
        <x:f>(S433*IF(E433="W",F433,0))+(S433*IF(G433="W",H433,0))</x:f>
      </x:c>
    </x:row>
    <x:row r="434">
      <x:c r="A434" s="3" t="inlineStr">
        <x:is>
          <x:t xml:space="preserve">Security</x:t>
        </x:is>
      </x:c>
      <x:c r="B434" s="3" t="inlineStr">
        <x:is>
          <x:t xml:space="preserve">SEC-D7-Q20</x:t>
        </x:is>
      </x:c>
      <x:c r="C434" s="3" t="inlineStr">
        <x:is>
          <x:t xml:space="preserve">T2</x:t>
        </x:is>
      </x:c>
      <x:c r="D434" s="3" t="inlineStr">
        <x:is>
          <x:t xml:space="preserve">7. Evidence &amp; Forensics Readiness</x:t>
        </x:is>
      </x:c>
      <x:c r="E434" s="3" t="inlineStr">
        <x:is>
          <x:t xml:space="preserve">E</x:t>
        </x:is>
      </x:c>
      <x:c r="F434" s="3" t="n">
        <x:v>1</x:v>
      </x:c>
      <x:c r="G434" s="3" t="inlineStr">
        <x:is>
          <x:t xml:space="preserve"/>
        </x:is>
      </x:c>
      <x:c r="H434" s="3" t="inlineStr">
        <x:is>
          <x:t xml:space="preserve"/>
        </x:is>
      </x:c>
      <x:c r="I434" s="3" t="inlineStr">
        <x:is>
          <x:t xml:space="preserve">(Shadow probe) When HR/Legal ask for proof, can you retrieve it quickly and consistently (without best guesses)?</x:t>
        </x:is>
      </x:c>
      <x:c r="J434" s="3" t="inlineStr">
        <x:is>
          <x:t xml:space="preserve">Checks speed and repeatability of evidence retrieval for common case types.</x:t>
        </x:is>
      </x:c>
      <x:c r="K434" s="3" t="inlineStr">
        <x:is>
          <x:t xml:space="preserve">Shadow fallback (Then → SEC-D8-Q22)</x:t>
        </x:is>
      </x:c>
      <x:c r="L434" s="3" t="inlineStr">
        <x:is>
          <x:t xml:space="preserve">OPS_STD</x:t>
        </x:is>
      </x:c>
      <x:c r="M434" s="3" t="n">
        <x:v>1</x:v>
      </x:c>
      <x:c r="N434" s="3" t="inlineStr">
        <x:is>
          <x:t xml:space="preserve"/>
        </x:is>
      </x:c>
      <x:c r="O434" s="3" t="inlineStr">
        <x:is>
          <x:t xml:space="preserve"/>
        </x:is>
      </x:c>
      <x:c r="P434" s="3" t="inlineStr">
        <x:is>
          <x:t xml:space="preserve">SEC-D7-Q20-A1</x:t>
        </x:is>
      </x:c>
      <x:c r="Q434" s="3" t="n">
        <x:v>1</x:v>
      </x:c>
      <x:c r="R434" s="3" t="inlineStr">
        <x:is>
          <x:t xml:space="preserve">No — evidence gathering is slow and depends on who knows the systems.</x:t>
        </x:is>
      </x:c>
      <x:c r="S434" s="3" t="n">
        <x:v>0</x:v>
      </x:c>
      <x:c r="T434" s="3" t="inlineStr">
        <x:is>
          <x:t xml:space="preserve">shadow_mature_signal</x:t>
        </x:is>
      </x:c>
      <x:c r="U434" s="3" t="inlineStr">
        <x:is>
          <x:t xml:space="preserve">Shadow Mature</x:t>
        </x:is>
      </x:c>
      <x:c r="V434" s="3" t="inlineStr">
        <x:is>
          <x:t xml:space="preserve">Assess_Evidence_Handling</x:t>
        </x:is>
      </x:c>
      <x:c r="W434" s="3" t="inlineStr">
        <x:is>
          <x:t xml:space="preserve">N</x:t>
        </x:is>
      </x:c>
      <x:c r="X434" s="3" t="inlineStr">
        <x:is>
          <x:t xml:space="preserve"/>
        </x:is>
      </x:c>
      <x:c r="Y434" s="6">
        <x:f>(S434*IF(E434="G",F434,0))+(S434*IF(G434="G",H434,0))</x:f>
      </x:c>
      <x:c r="Z434" s="6">
        <x:f>(S434*IF(E434="E",F434,0))+(S434*IF(G434="E",H434,0))</x:f>
      </x:c>
      <x:c r="AA434" s="6">
        <x:f>(S434*IF(E434="T",F434,0))+(S434*IF(G434="T",H434,0))</x:f>
      </x:c>
      <x:c r="AB434" s="6">
        <x:f>(S434*IF(E434="L",F434,0))+(S434*IF(G434="L",H434,0))</x:f>
      </x:c>
      <x:c r="AC434" s="6">
        <x:f>(S434*IF(E434="H",F434,0))+(S434*IF(G434="H",H434,0))</x:f>
      </x:c>
      <x:c r="AD434" s="6">
        <x:f>(S434*IF(E434="V",F434,0))+(S434*IF(G434="V",H434,0))</x:f>
      </x:c>
      <x:c r="AE434" s="6">
        <x:f>(S434*IF(E434="R",F434,0))+(S434*IF(G434="R",H434,0))</x:f>
      </x:c>
      <x:c r="AF434" s="6">
        <x:f>(S434*IF(E434="F",F434,0))+(S434*IF(G434="F",H434,0))</x:f>
      </x:c>
      <x:c r="AG434" s="6">
        <x:f>(S434*IF(E434="W",F434,0))+(S434*IF(G434="W",H434,0))</x:f>
      </x:c>
    </x:row>
    <x:row r="435">
      <x:c r="A435" s="3" t="inlineStr">
        <x:is>
          <x:t xml:space="preserve">Security</x:t>
        </x:is>
      </x:c>
      <x:c r="B435" s="3" t="inlineStr">
        <x:is>
          <x:t xml:space="preserve">SEC-D7-Q20</x:t>
        </x:is>
      </x:c>
      <x:c r="C435" s="3" t="inlineStr">
        <x:is>
          <x:t xml:space="preserve">T2</x:t>
        </x:is>
      </x:c>
      <x:c r="D435" s="3" t="inlineStr">
        <x:is>
          <x:t xml:space="preserve">7. Evidence &amp; Forensics Readiness</x:t>
        </x:is>
      </x:c>
      <x:c r="E435" s="3" t="inlineStr">
        <x:is>
          <x:t xml:space="preserve">E</x:t>
        </x:is>
      </x:c>
      <x:c r="F435" s="3" t="n">
        <x:v>1</x:v>
      </x:c>
      <x:c r="G435" s="3" t="inlineStr">
        <x:is>
          <x:t xml:space="preserve"/>
        </x:is>
      </x:c>
      <x:c r="H435" s="3" t="inlineStr">
        <x:is>
          <x:t xml:space="preserve"/>
        </x:is>
      </x:c>
      <x:c r="I435" s="3" t="inlineStr">
        <x:is>
          <x:t xml:space="preserve">(Shadow probe) When HR/Legal ask for proof, can you retrieve it quickly and consistently (without best guesses)?</x:t>
        </x:is>
      </x:c>
      <x:c r="J435" s="3" t="inlineStr">
        <x:is>
          <x:t xml:space="preserve">Checks speed and repeatability of evidence retrieval for common case types.</x:t>
        </x:is>
      </x:c>
      <x:c r="K435" s="3" t="inlineStr">
        <x:is>
          <x:t xml:space="preserve">Shadow fallback (Then → SEC-D8-Q22)</x:t>
        </x:is>
      </x:c>
      <x:c r="L435" s="3" t="inlineStr">
        <x:is>
          <x:t xml:space="preserve">OPS_STD</x:t>
        </x:is>
      </x:c>
      <x:c r="M435" s="3" t="n">
        <x:v>1</x:v>
      </x:c>
      <x:c r="N435" s="3" t="inlineStr">
        <x:is>
          <x:t xml:space="preserve"/>
        </x:is>
      </x:c>
      <x:c r="O435" s="3" t="inlineStr">
        <x:is>
          <x:t xml:space="preserve"/>
        </x:is>
      </x:c>
      <x:c r="P435" s="3" t="inlineStr">
        <x:is>
          <x:t xml:space="preserve">SEC-D7-Q20-A2</x:t>
        </x:is>
      </x:c>
      <x:c r="Q435" s="3" t="n">
        <x:v>2</x:v>
      </x:c>
      <x:c r="R435" s="3" t="inlineStr">
        <x:is>
          <x:t xml:space="preserve">Sometimes — we can retrieve evidence quickly for a few systems only.</x:t>
        </x:is>
      </x:c>
      <x:c r="S435" s="3" t="n">
        <x:v>2</x:v>
      </x:c>
      <x:c r="T435" s="3" t="inlineStr">
        <x:is>
          <x:t xml:space="preserve"/>
        </x:is>
      </x:c>
      <x:c r="U435" s="3" t="inlineStr">
        <x:is>
          <x:t xml:space="preserve">Operating Model Gap</x:t>
        </x:is>
      </x:c>
      <x:c r="V435" s="3" t="inlineStr">
        <x:is>
          <x:t xml:space="preserve">Assess_Evidence_Handling</x:t>
        </x:is>
      </x:c>
      <x:c r="W435" s="3" t="inlineStr">
        <x:is>
          <x:t xml:space="preserve">N</x:t>
        </x:is>
      </x:c>
      <x:c r="X435" s="3" t="inlineStr">
        <x:is>
          <x:t xml:space="preserve"/>
        </x:is>
      </x:c>
      <x:c r="Y435" s="6">
        <x:f>(S435*IF(E435="G",F435,0))+(S435*IF(G435="G",H435,0))</x:f>
      </x:c>
      <x:c r="Z435" s="6">
        <x:f>(S435*IF(E435="E",F435,0))+(S435*IF(G435="E",H435,0))</x:f>
      </x:c>
      <x:c r="AA435" s="6">
        <x:f>(S435*IF(E435="T",F435,0))+(S435*IF(G435="T",H435,0))</x:f>
      </x:c>
      <x:c r="AB435" s="6">
        <x:f>(S435*IF(E435="L",F435,0))+(S435*IF(G435="L",H435,0))</x:f>
      </x:c>
      <x:c r="AC435" s="6">
        <x:f>(S435*IF(E435="H",F435,0))+(S435*IF(G435="H",H435,0))</x:f>
      </x:c>
      <x:c r="AD435" s="6">
        <x:f>(S435*IF(E435="V",F435,0))+(S435*IF(G435="V",H435,0))</x:f>
      </x:c>
      <x:c r="AE435" s="6">
        <x:f>(S435*IF(E435="R",F435,0))+(S435*IF(G435="R",H435,0))</x:f>
      </x:c>
      <x:c r="AF435" s="6">
        <x:f>(S435*IF(E435="F",F435,0))+(S435*IF(G435="F",H435,0))</x:f>
      </x:c>
      <x:c r="AG435" s="6">
        <x:f>(S435*IF(E435="W",F435,0))+(S435*IF(G435="W",H435,0))</x:f>
      </x:c>
    </x:row>
    <x:row r="436">
      <x:c r="A436" s="3" t="inlineStr">
        <x:is>
          <x:t xml:space="preserve">Security</x:t>
        </x:is>
      </x:c>
      <x:c r="B436" s="3" t="inlineStr">
        <x:is>
          <x:t xml:space="preserve">SEC-D7-Q20</x:t>
        </x:is>
      </x:c>
      <x:c r="C436" s="3" t="inlineStr">
        <x:is>
          <x:t xml:space="preserve">T2</x:t>
        </x:is>
      </x:c>
      <x:c r="D436" s="3" t="inlineStr">
        <x:is>
          <x:t xml:space="preserve">7. Evidence &amp; Forensics Readiness</x:t>
        </x:is>
      </x:c>
      <x:c r="E436" s="3" t="inlineStr">
        <x:is>
          <x:t xml:space="preserve">E</x:t>
        </x:is>
      </x:c>
      <x:c r="F436" s="3" t="n">
        <x:v>1</x:v>
      </x:c>
      <x:c r="G436" s="3" t="inlineStr">
        <x:is>
          <x:t xml:space="preserve"/>
        </x:is>
      </x:c>
      <x:c r="H436" s="3" t="inlineStr">
        <x:is>
          <x:t xml:space="preserve"/>
        </x:is>
      </x:c>
      <x:c r="I436" s="3" t="inlineStr">
        <x:is>
          <x:t xml:space="preserve">(Shadow probe) When HR/Legal ask for proof, can you retrieve it quickly and consistently (without best guesses)?</x:t>
        </x:is>
      </x:c>
      <x:c r="J436" s="3" t="inlineStr">
        <x:is>
          <x:t xml:space="preserve">Checks speed and repeatability of evidence retrieval for common case types.</x:t>
        </x:is>
      </x:c>
      <x:c r="K436" s="3" t="inlineStr">
        <x:is>
          <x:t xml:space="preserve">Shadow fallback (Then → SEC-D8-Q22)</x:t>
        </x:is>
      </x:c>
      <x:c r="L436" s="3" t="inlineStr">
        <x:is>
          <x:t xml:space="preserve">OPS_STD</x:t>
        </x:is>
      </x:c>
      <x:c r="M436" s="3" t="n">
        <x:v>1</x:v>
      </x:c>
      <x:c r="N436" s="3" t="inlineStr">
        <x:is>
          <x:t xml:space="preserve"/>
        </x:is>
      </x:c>
      <x:c r="O436" s="3" t="inlineStr">
        <x:is>
          <x:t xml:space="preserve"/>
        </x:is>
      </x:c>
      <x:c r="P436" s="3" t="inlineStr">
        <x:is>
          <x:t xml:space="preserve">SEC-D7-Q20-A3</x:t>
        </x:is>
      </x:c>
      <x:c r="Q436" s="3" t="n">
        <x:v>3</x:v>
      </x:c>
      <x:c r="R436" s="3" t="inlineStr">
        <x:is>
          <x:t xml:space="preserve">Yes — repeatable retrieval steps exist for key systems and typical case types.</x:t>
        </x:is>
      </x:c>
      <x:c r="S436" s="3" t="n">
        <x:v>3</x:v>
      </x:c>
      <x:c r="T436" s="3" t="inlineStr">
        <x:is>
          <x:t xml:space="preserve"/>
        </x:is>
      </x:c>
      <x:c r="U436" s="3" t="inlineStr">
        <x:is>
          <x:t xml:space="preserve">Resilience Gap</x:t>
        </x:is>
      </x:c>
      <x:c r="V436" s="3" t="inlineStr">
        <x:is>
          <x:t xml:space="preserve">Assess_Evidence_Handling</x:t>
        </x:is>
      </x:c>
      <x:c r="W436" s="3" t="inlineStr">
        <x:is>
          <x:t xml:space="preserve">Y</x:t>
        </x:is>
      </x:c>
      <x:c r="X436" s="3" t="inlineStr">
        <x:is>
          <x:t xml:space="preserve">Retrieval SOP for 1 system.</x:t>
        </x:is>
      </x:c>
      <x:c r="Y436" s="6">
        <x:f>(S436*IF(E436="G",F436,0))+(S436*IF(G436="G",H436,0))</x:f>
      </x:c>
      <x:c r="Z436" s="6">
        <x:f>(S436*IF(E436="E",F436,0))+(S436*IF(G436="E",H436,0))</x:f>
      </x:c>
      <x:c r="AA436" s="6">
        <x:f>(S436*IF(E436="T",F436,0))+(S436*IF(G436="T",H436,0))</x:f>
      </x:c>
      <x:c r="AB436" s="6">
        <x:f>(S436*IF(E436="L",F436,0))+(S436*IF(G436="L",H436,0))</x:f>
      </x:c>
      <x:c r="AC436" s="6">
        <x:f>(S436*IF(E436="H",F436,0))+(S436*IF(G436="H",H436,0))</x:f>
      </x:c>
      <x:c r="AD436" s="6">
        <x:f>(S436*IF(E436="V",F436,0))+(S436*IF(G436="V",H436,0))</x:f>
      </x:c>
      <x:c r="AE436" s="6">
        <x:f>(S436*IF(E436="R",F436,0))+(S436*IF(G436="R",H436,0))</x:f>
      </x:c>
      <x:c r="AF436" s="6">
        <x:f>(S436*IF(E436="F",F436,0))+(S436*IF(G436="F",H436,0))</x:f>
      </x:c>
      <x:c r="AG436" s="6">
        <x:f>(S436*IF(E436="W",F436,0))+(S436*IF(G436="W",H436,0))</x:f>
      </x:c>
    </x:row>
    <x:row r="437">
      <x:c r="A437" s="3" t="inlineStr">
        <x:is>
          <x:t xml:space="preserve">Security</x:t>
        </x:is>
      </x:c>
      <x:c r="B437" s="3" t="inlineStr">
        <x:is>
          <x:t xml:space="preserve">SEC-D7-Q21</x:t>
        </x:is>
      </x:c>
      <x:c r="C437" s="3" t="inlineStr">
        <x:is>
          <x:t xml:space="preserve">T3</x:t>
        </x:is>
      </x:c>
      <x:c r="D437" s="3" t="inlineStr">
        <x:is>
          <x:t xml:space="preserve">7. Evidence &amp; Forensics Readiness</x:t>
        </x:is>
      </x:c>
      <x:c r="E437" s="3" t="inlineStr">
        <x:is>
          <x:t xml:space="preserve">T</x:t>
        </x:is>
      </x:c>
      <x:c r="F437" s="3" t="n">
        <x:v>0.5</x:v>
      </x:c>
      <x:c r="G437" s="3" t="inlineStr">
        <x:is>
          <x:t xml:space="preserve">L</x:t>
        </x:is>
      </x:c>
      <x:c r="H437" s="3" t="n">
        <x:v>0.5</x:v>
      </x:c>
      <x:c r="I437" s="3" t="inlineStr">
        <x:is>
          <x:t xml:space="preserve">Are monitoring logs protected (restricted access + audits) and retained long enough for investigations and legal requirements?</x:t>
        </x:is>
      </x:c>
      <x:c r="J437" s="3" t="inlineStr">
        <x:is>
          <x:t xml:space="preserve">Checks governance of monitoring data itself to prevent misuse and support defensibility.</x:t>
        </x:is>
      </x:c>
      <x:c r="K437" s="3" t="inlineStr">
        <x:is>
          <x:t xml:space="preserve">Business-proofing</x:t>
        </x:is>
      </x:c>
      <x:c r="L437" s="3" t="inlineStr">
        <x:is>
          <x:t xml:space="preserve">LEG_STRICT</x:t>
        </x:is>
      </x:c>
      <x:c r="M437" s="3" t="n">
        <x:v>1.3</x:v>
      </x:c>
      <x:c r="N437" s="3" t="n">
        <x:v>0.5</x:v>
      </x:c>
      <x:c r="O437" s="3" t="inlineStr">
        <x:is>
          <x:t xml:space="preserve"/>
        </x:is>
      </x:c>
      <x:c r="P437" s="3" t="inlineStr">
        <x:is>
          <x:t xml:space="preserve">SEC-D7-Q21-A1</x:t>
        </x:is>
      </x:c>
      <x:c r="Q437" s="3" t="n">
        <x:v>1</x:v>
      </x:c>
      <x:c r="R437" s="3" t="inlineStr">
        <x:is>
          <x:t xml:space="preserve">Logs are broadly accessible or retention is unpredictable.</x:t>
        </x:is>
      </x:c>
      <x:c r="S437" s="3" t="n">
        <x:v>0</x:v>
      </x:c>
      <x:c r="T437" s="3" t="inlineStr">
        <x:is>
          <x:t xml:space="preserve">legal_exposure</x:t>
        </x:is>
      </x:c>
      <x:c r="U437" s="3" t="inlineStr">
        <x:is>
          <x:t xml:space="preserve">Legal Exposure</x:t>
        </x:is>
      </x:c>
      <x:c r="V437" s="3" t="inlineStr">
        <x:is>
          <x:t xml:space="preserve">Assess_Evidence_Handling</x:t>
        </x:is>
      </x:c>
      <x:c r="W437" s="3" t="inlineStr">
        <x:is>
          <x:t xml:space="preserve">N</x:t>
        </x:is>
      </x:c>
      <x:c r="X437" s="3" t="inlineStr">
        <x:is>
          <x:t xml:space="preserve"/>
        </x:is>
      </x:c>
      <x:c r="Y437" s="6">
        <x:f>(S437*IF(E437="G",F437,0))+(S437*IF(G437="G",H437,0))</x:f>
      </x:c>
      <x:c r="Z437" s="6">
        <x:f>(S437*IF(E437="E",F437,0))+(S437*IF(G437="E",H437,0))</x:f>
      </x:c>
      <x:c r="AA437" s="6">
        <x:f>(S437*IF(E437="T",F437,0))+(S437*IF(G437="T",H437,0))</x:f>
      </x:c>
      <x:c r="AB437" s="6">
        <x:f>(S437*IF(E437="L",F437,0))+(S437*IF(G437="L",H437,0))</x:f>
      </x:c>
      <x:c r="AC437" s="6">
        <x:f>(S437*IF(E437="H",F437,0))+(S437*IF(G437="H",H437,0))</x:f>
      </x:c>
      <x:c r="AD437" s="6">
        <x:f>(S437*IF(E437="V",F437,0))+(S437*IF(G437="V",H437,0))</x:f>
      </x:c>
      <x:c r="AE437" s="6">
        <x:f>(S437*IF(E437="R",F437,0))+(S437*IF(G437="R",H437,0))</x:f>
      </x:c>
      <x:c r="AF437" s="6">
        <x:f>(S437*IF(E437="F",F437,0))+(S437*IF(G437="F",H437,0))</x:f>
      </x:c>
      <x:c r="AG437" s="6">
        <x:f>(S437*IF(E437="W",F437,0))+(S437*IF(G437="W",H437,0))</x:f>
      </x:c>
    </x:row>
    <x:row r="438">
      <x:c r="A438" s="3" t="inlineStr">
        <x:is>
          <x:t xml:space="preserve">Security</x:t>
        </x:is>
      </x:c>
      <x:c r="B438" s="3" t="inlineStr">
        <x:is>
          <x:t xml:space="preserve">SEC-D7-Q21</x:t>
        </x:is>
      </x:c>
      <x:c r="C438" s="3" t="inlineStr">
        <x:is>
          <x:t xml:space="preserve">T3</x:t>
        </x:is>
      </x:c>
      <x:c r="D438" s="3" t="inlineStr">
        <x:is>
          <x:t xml:space="preserve">7. Evidence &amp; Forensics Readiness</x:t>
        </x:is>
      </x:c>
      <x:c r="E438" s="3" t="inlineStr">
        <x:is>
          <x:t xml:space="preserve">T</x:t>
        </x:is>
      </x:c>
      <x:c r="F438" s="3" t="n">
        <x:v>0.5</x:v>
      </x:c>
      <x:c r="G438" s="3" t="inlineStr">
        <x:is>
          <x:t xml:space="preserve">L</x:t>
        </x:is>
      </x:c>
      <x:c r="H438" s="3" t="n">
        <x:v>0.5</x:v>
      </x:c>
      <x:c r="I438" s="3" t="inlineStr">
        <x:is>
          <x:t xml:space="preserve">Are monitoring logs protected (restricted access + audits) and retained long enough for investigations and legal requirements?</x:t>
        </x:is>
      </x:c>
      <x:c r="J438" s="3" t="inlineStr">
        <x:is>
          <x:t xml:space="preserve">Checks governance of monitoring data itself to prevent misuse and support defensibility.</x:t>
        </x:is>
      </x:c>
      <x:c r="K438" s="3" t="inlineStr">
        <x:is>
          <x:t xml:space="preserve">Business-proofing</x:t>
        </x:is>
      </x:c>
      <x:c r="L438" s="3" t="inlineStr">
        <x:is>
          <x:t xml:space="preserve">LEG_STRICT</x:t>
        </x:is>
      </x:c>
      <x:c r="M438" s="3" t="n">
        <x:v>1.3</x:v>
      </x:c>
      <x:c r="N438" s="3" t="n">
        <x:v>0.5</x:v>
      </x:c>
      <x:c r="O438" s="3" t="inlineStr">
        <x:is>
          <x:t xml:space="preserve"/>
        </x:is>
      </x:c>
      <x:c r="P438" s="3" t="inlineStr">
        <x:is>
          <x:t xml:space="preserve">SEC-D7-Q21-A2</x:t>
        </x:is>
      </x:c>
      <x:c r="Q438" s="3" t="n">
        <x:v>2</x:v>
      </x:c>
      <x:c r="R438" s="3" t="inlineStr">
        <x:is>
          <x:t xml:space="preserve">Retention/access controls exist, but audits are rare and some sources are excluded.</x:t>
        </x:is>
      </x:c>
      <x:c r="S438" s="3" t="n">
        <x:v>2</x:v>
      </x:c>
      <x:c r="T438" s="3" t="inlineStr">
        <x:is>
          <x:t xml:space="preserve"/>
        </x:is>
      </x:c>
      <x:c r="U438" s="3" t="inlineStr">
        <x:is>
          <x:t xml:space="preserve">Legal Exposure</x:t>
        </x:is>
      </x:c>
      <x:c r="V438" s="3" t="inlineStr">
        <x:is>
          <x:t xml:space="preserve">Assess_Data_Residency</x:t>
        </x:is>
      </x:c>
      <x:c r="W438" s="3" t="inlineStr">
        <x:is>
          <x:t xml:space="preserve">N</x:t>
        </x:is>
      </x:c>
      <x:c r="X438" s="3" t="inlineStr">
        <x:is>
          <x:t xml:space="preserve"/>
        </x:is>
      </x:c>
      <x:c r="Y438" s="6">
        <x:f>(S438*IF(E438="G",F438,0))+(S438*IF(G438="G",H438,0))</x:f>
      </x:c>
      <x:c r="Z438" s="6">
        <x:f>(S438*IF(E438="E",F438,0))+(S438*IF(G438="E",H438,0))</x:f>
      </x:c>
      <x:c r="AA438" s="6">
        <x:f>(S438*IF(E438="T",F438,0))+(S438*IF(G438="T",H438,0))</x:f>
      </x:c>
      <x:c r="AB438" s="6">
        <x:f>(S438*IF(E438="L",F438,0))+(S438*IF(G438="L",H438,0))</x:f>
      </x:c>
      <x:c r="AC438" s="6">
        <x:f>(S438*IF(E438="H",F438,0))+(S438*IF(G438="H",H438,0))</x:f>
      </x:c>
      <x:c r="AD438" s="6">
        <x:f>(S438*IF(E438="V",F438,0))+(S438*IF(G438="V",H438,0))</x:f>
      </x:c>
      <x:c r="AE438" s="6">
        <x:f>(S438*IF(E438="R",F438,0))+(S438*IF(G438="R",H438,0))</x:f>
      </x:c>
      <x:c r="AF438" s="6">
        <x:f>(S438*IF(E438="F",F438,0))+(S438*IF(G438="F",H438,0))</x:f>
      </x:c>
      <x:c r="AG438" s="6">
        <x:f>(S438*IF(E438="W",F438,0))+(S438*IF(G438="W",H438,0))</x:f>
      </x:c>
    </x:row>
    <x:row r="439">
      <x:c r="A439" s="3" t="inlineStr">
        <x:is>
          <x:t xml:space="preserve">Security</x:t>
        </x:is>
      </x:c>
      <x:c r="B439" s="3" t="inlineStr">
        <x:is>
          <x:t xml:space="preserve">SEC-D7-Q21</x:t>
        </x:is>
      </x:c>
      <x:c r="C439" s="3" t="inlineStr">
        <x:is>
          <x:t xml:space="preserve">T3</x:t>
        </x:is>
      </x:c>
      <x:c r="D439" s="3" t="inlineStr">
        <x:is>
          <x:t xml:space="preserve">7. Evidence &amp; Forensics Readiness</x:t>
        </x:is>
      </x:c>
      <x:c r="E439" s="3" t="inlineStr">
        <x:is>
          <x:t xml:space="preserve">T</x:t>
        </x:is>
      </x:c>
      <x:c r="F439" s="3" t="n">
        <x:v>0.5</x:v>
      </x:c>
      <x:c r="G439" s="3" t="inlineStr">
        <x:is>
          <x:t xml:space="preserve">L</x:t>
        </x:is>
      </x:c>
      <x:c r="H439" s="3" t="n">
        <x:v>0.5</x:v>
      </x:c>
      <x:c r="I439" s="3" t="inlineStr">
        <x:is>
          <x:t xml:space="preserve">Are monitoring logs protected (restricted access + audits) and retained long enough for investigations and legal requirements?</x:t>
        </x:is>
      </x:c>
      <x:c r="J439" s="3" t="inlineStr">
        <x:is>
          <x:t xml:space="preserve">Checks governance of monitoring data itself to prevent misuse and support defensibility.</x:t>
        </x:is>
      </x:c>
      <x:c r="K439" s="3" t="inlineStr">
        <x:is>
          <x:t xml:space="preserve">Business-proofing</x:t>
        </x:is>
      </x:c>
      <x:c r="L439" s="3" t="inlineStr">
        <x:is>
          <x:t xml:space="preserve">LEG_STRICT</x:t>
        </x:is>
      </x:c>
      <x:c r="M439" s="3" t="n">
        <x:v>1.3</x:v>
      </x:c>
      <x:c r="N439" s="3" t="n">
        <x:v>0.5</x:v>
      </x:c>
      <x:c r="O439" s="3" t="inlineStr">
        <x:is>
          <x:t xml:space="preserve"/>
        </x:is>
      </x:c>
      <x:c r="P439" s="3" t="inlineStr">
        <x:is>
          <x:t xml:space="preserve">SEC-D7-Q21-A3</x:t>
        </x:is>
      </x:c>
      <x:c r="Q439" s="3" t="n">
        <x:v>3</x:v>
      </x:c>
      <x:c r="R439" s="3" t="inlineStr">
        <x:is>
          <x:t xml:space="preserve">Access is restricted and audited for most sources; retention meets defined requirements.</x:t>
        </x:is>
      </x:c>
      <x:c r="S439" s="3" t="n">
        <x:v>3</x:v>
      </x:c>
      <x:c r="T439" s="3" t="inlineStr">
        <x:is>
          <x:t xml:space="preserve"/>
        </x:is>
      </x:c>
      <x:c r="U439" s="3" t="inlineStr">
        <x:is>
          <x:t xml:space="preserve">Legal Exposure</x:t>
        </x:is>
      </x:c>
      <x:c r="V439" s="3" t="inlineStr">
        <x:is>
          <x:t xml:space="preserve">Legal_Defensibility_Audit</x:t>
        </x:is>
      </x:c>
      <x:c r="W439" s="3" t="inlineStr">
        <x:is>
          <x:t xml:space="preserve">Y</x:t>
        </x:is>
      </x:c>
      <x:c r="X439" s="3" t="inlineStr">
        <x:is>
          <x:t xml:space="preserve">Access groups + retention settings summary.</x:t>
        </x:is>
      </x:c>
      <x:c r="Y439" s="6">
        <x:f>(S439*IF(E439="G",F439,0))+(S439*IF(G439="G",H439,0))</x:f>
      </x:c>
      <x:c r="Z439" s="6">
        <x:f>(S439*IF(E439="E",F439,0))+(S439*IF(G439="E",H439,0))</x:f>
      </x:c>
      <x:c r="AA439" s="6">
        <x:f>(S439*IF(E439="T",F439,0))+(S439*IF(G439="T",H439,0))</x:f>
      </x:c>
      <x:c r="AB439" s="6">
        <x:f>(S439*IF(E439="L",F439,0))+(S439*IF(G439="L",H439,0))</x:f>
      </x:c>
      <x:c r="AC439" s="6">
        <x:f>(S439*IF(E439="H",F439,0))+(S439*IF(G439="H",H439,0))</x:f>
      </x:c>
      <x:c r="AD439" s="6">
        <x:f>(S439*IF(E439="V",F439,0))+(S439*IF(G439="V",H439,0))</x:f>
      </x:c>
      <x:c r="AE439" s="6">
        <x:f>(S439*IF(E439="R",F439,0))+(S439*IF(G439="R",H439,0))</x:f>
      </x:c>
      <x:c r="AF439" s="6">
        <x:f>(S439*IF(E439="F",F439,0))+(S439*IF(G439="F",H439,0))</x:f>
      </x:c>
      <x:c r="AG439" s="6">
        <x:f>(S439*IF(E439="W",F439,0))+(S439*IF(G439="W",H439,0))</x:f>
      </x:c>
    </x:row>
    <x:row r="440">
      <x:c r="A440" s="3" t="inlineStr">
        <x:is>
          <x:t xml:space="preserve">Security</x:t>
        </x:is>
      </x:c>
      <x:c r="B440" s="3" t="inlineStr">
        <x:is>
          <x:t xml:space="preserve">SEC-D7-Q21</x:t>
        </x:is>
      </x:c>
      <x:c r="C440" s="3" t="inlineStr">
        <x:is>
          <x:t xml:space="preserve">T3</x:t>
        </x:is>
      </x:c>
      <x:c r="D440" s="3" t="inlineStr">
        <x:is>
          <x:t xml:space="preserve">7. Evidence &amp; Forensics Readiness</x:t>
        </x:is>
      </x:c>
      <x:c r="E440" s="3" t="inlineStr">
        <x:is>
          <x:t xml:space="preserve">T</x:t>
        </x:is>
      </x:c>
      <x:c r="F440" s="3" t="n">
        <x:v>0.5</x:v>
      </x:c>
      <x:c r="G440" s="3" t="inlineStr">
        <x:is>
          <x:t xml:space="preserve">L</x:t>
        </x:is>
      </x:c>
      <x:c r="H440" s="3" t="n">
        <x:v>0.5</x:v>
      </x:c>
      <x:c r="I440" s="3" t="inlineStr">
        <x:is>
          <x:t xml:space="preserve">Are monitoring logs protected (restricted access + audits) and retained long enough for investigations and legal requirements?</x:t>
        </x:is>
      </x:c>
      <x:c r="J440" s="3" t="inlineStr">
        <x:is>
          <x:t xml:space="preserve">Checks governance of monitoring data itself to prevent misuse and support defensibility.</x:t>
        </x:is>
      </x:c>
      <x:c r="K440" s="3" t="inlineStr">
        <x:is>
          <x:t xml:space="preserve">Business-proofing</x:t>
        </x:is>
      </x:c>
      <x:c r="L440" s="3" t="inlineStr">
        <x:is>
          <x:t xml:space="preserve">LEG_STRICT</x:t>
        </x:is>
      </x:c>
      <x:c r="M440" s="3" t="n">
        <x:v>1.3</x:v>
      </x:c>
      <x:c r="N440" s="3" t="n">
        <x:v>0.5</x:v>
      </x:c>
      <x:c r="O440" s="3" t="inlineStr">
        <x:is>
          <x:t xml:space="preserve"/>
        </x:is>
      </x:c>
      <x:c r="P440" s="3" t="inlineStr">
        <x:is>
          <x:t xml:space="preserve">SEC-D7-Q21-A4</x:t>
        </x:is>
      </x:c>
      <x:c r="Q440" s="3" t="n">
        <x:v>4</x:v>
      </x:c>
      <x:c r="R440" s="3" t="inlineStr">
        <x:is>
          <x:t xml:space="preserve">Optimized: centralized governance of retention, geo/scope controls where needed, and periodic reviews.</x:t>
        </x:is>
      </x:c>
      <x:c r="S440" s="3" t="n">
        <x:v>4</x:v>
      </x:c>
      <x:c r="T440" s="3" t="inlineStr">
        <x:is>
          <x:t xml:space="preserve"/>
        </x:is>
      </x:c>
      <x:c r="U440" s="3" t="inlineStr">
        <x:is>
          <x:t xml:space="preserve">Legal Exposure</x:t>
        </x:is>
      </x:c>
      <x:c r="V440" s="3" t="inlineStr">
        <x:is>
          <x:t xml:space="preserve">Legal_Defensibility_Audit</x:t>
        </x:is>
      </x:c>
      <x:c r="W440" s="3" t="inlineStr">
        <x:is>
          <x:t xml:space="preserve">Y</x:t>
        </x:is>
      </x:c>
      <x:c r="X440" s="3" t="inlineStr">
        <x:is>
          <x:t xml:space="preserve">Review record.</x:t>
        </x:is>
      </x:c>
      <x:c r="Y440" s="6">
        <x:f>(S440*IF(E440="G",F440,0))+(S440*IF(G440="G",H440,0))</x:f>
      </x:c>
      <x:c r="Z440" s="6">
        <x:f>(S440*IF(E440="E",F440,0))+(S440*IF(G440="E",H440,0))</x:f>
      </x:c>
      <x:c r="AA440" s="6">
        <x:f>(S440*IF(E440="T",F440,0))+(S440*IF(G440="T",H440,0))</x:f>
      </x:c>
      <x:c r="AB440" s="6">
        <x:f>(S440*IF(E440="L",F440,0))+(S440*IF(G440="L",H440,0))</x:f>
      </x:c>
      <x:c r="AC440" s="6">
        <x:f>(S440*IF(E440="H",F440,0))+(S440*IF(G440="H",H440,0))</x:f>
      </x:c>
      <x:c r="AD440" s="6">
        <x:f>(S440*IF(E440="V",F440,0))+(S440*IF(G440="V",H440,0))</x:f>
      </x:c>
      <x:c r="AE440" s="6">
        <x:f>(S440*IF(E440="R",F440,0))+(S440*IF(G440="R",H440,0))</x:f>
      </x:c>
      <x:c r="AF440" s="6">
        <x:f>(S440*IF(E440="F",F440,0))+(S440*IF(G440="F",H440,0))</x:f>
      </x:c>
      <x:c r="AG440" s="6">
        <x:f>(S440*IF(E440="W",F440,0))+(S440*IF(G440="W",H440,0))</x:f>
      </x:c>
    </x:row>
    <x:row r="441">
      <x:c r="A441" s="3" t="inlineStr">
        <x:is>
          <x:t xml:space="preserve">Security</x:t>
        </x:is>
      </x:c>
      <x:c r="B441" s="3" t="inlineStr">
        <x:is>
          <x:t xml:space="preserve">SEC-D8-Q22</x:t>
        </x:is>
      </x:c>
      <x:c r="C441" s="3" t="inlineStr">
        <x:is>
          <x:t xml:space="preserve">T1</x:t>
        </x:is>
      </x:c>
      <x:c r="D441" s="3" t="inlineStr">
        <x:is>
          <x:t xml:space="preserve">8. Third Parties &amp; Contractors</x:t>
        </x:is>
      </x:c>
      <x:c r="E441" s="3" t="inlineStr">
        <x:is>
          <x:t xml:space="preserve">V</x:t>
        </x:is>
      </x:c>
      <x:c r="F441" s="3" t="n">
        <x:v>0.6</x:v>
      </x:c>
      <x:c r="G441" s="3" t="inlineStr">
        <x:is>
          <x:t xml:space="preserve">T</x:t>
        </x:is>
      </x:c>
      <x:c r="H441" s="3" t="n">
        <x:v>0.4</x:v>
      </x:c>
      <x:c r="I441" s="3" t="inlineStr">
        <x:is>
          <x:t xml:space="preserve">Are contractors, vendors, and outsourced admins monitored with similar attention as employees when they access sensitive systems?</x:t>
        </x:is>
      </x:c>
      <x:c r="J441" s="3" t="inlineStr">
        <x:is>
          <x:t xml:space="preserve">Includes MSP/MSSP engineers, vendor developers, temporary staff, and BPOs with system access.</x:t>
        </x:is>
      </x:c>
      <x:c r="K441" s="3" t="inlineStr">
        <x:is>
          <x:t xml:space="preserve">Gatekeeper (If BaseScore &lt;2 → SEC-D8-Q23; If ≥2 → SEC-D8-Q24)</x:t>
        </x:is>
      </x:c>
      <x:c r="L441" s="3" t="inlineStr">
        <x:is>
          <x:t xml:space="preserve">RISK_STD</x:t>
        </x:is>
      </x:c>
      <x:c r="M441" s="3" t="n">
        <x:v>1.3</x:v>
      </x:c>
      <x:c r="N441" s="3" t="n">
        <x:v>0.5</x:v>
      </x:c>
      <x:c r="O441" s="3" t="inlineStr">
        <x:is>
          <x:t xml:space="preserve"/>
        </x:is>
      </x:c>
      <x:c r="P441" s="3" t="inlineStr">
        <x:is>
          <x:t xml:space="preserve">SEC-D8-Q22-A1</x:t>
        </x:is>
      </x:c>
      <x:c r="Q441" s="3" t="n">
        <x:v>1</x:v>
      </x:c>
      <x:c r="R441" s="3" t="inlineStr">
        <x:is>
          <x:t xml:space="preserve">No — contractors are largely out of scope once they have access.</x:t>
        </x:is>
      </x:c>
      <x:c r="S441" s="3" t="n">
        <x:v>0</x:v>
      </x:c>
      <x:c r="T441" s="3" t="inlineStr">
        <x:is>
          <x:t xml:space="preserve">visibility_gap</x:t>
        </x:is>
      </x:c>
      <x:c r="U441" s="3" t="inlineStr">
        <x:is>
          <x:t xml:space="preserve">Visibility Gap</x:t>
        </x:is>
      </x:c>
      <x:c r="V441" s="3" t="inlineStr">
        <x:is>
          <x:t xml:space="preserve">Assess_ThirdParty</x:t>
        </x:is>
      </x:c>
      <x:c r="W441" s="3" t="inlineStr">
        <x:is>
          <x:t xml:space="preserve">N</x:t>
        </x:is>
      </x:c>
      <x:c r="X441" s="3" t="inlineStr">
        <x:is>
          <x:t xml:space="preserve"/>
        </x:is>
      </x:c>
      <x:c r="Y441" s="6">
        <x:f>(S441*IF(E441="G",F441,0))+(S441*IF(G441="G",H441,0))</x:f>
      </x:c>
      <x:c r="Z441" s="6">
        <x:f>(S441*IF(E441="E",F441,0))+(S441*IF(G441="E",H441,0))</x:f>
      </x:c>
      <x:c r="AA441" s="6">
        <x:f>(S441*IF(E441="T",F441,0))+(S441*IF(G441="T",H441,0))</x:f>
      </x:c>
      <x:c r="AB441" s="6">
        <x:f>(S441*IF(E441="L",F441,0))+(S441*IF(G441="L",H441,0))</x:f>
      </x:c>
      <x:c r="AC441" s="6">
        <x:f>(S441*IF(E441="H",F441,0))+(S441*IF(G441="H",H441,0))</x:f>
      </x:c>
      <x:c r="AD441" s="6">
        <x:f>(S441*IF(E441="V",F441,0))+(S441*IF(G441="V",H441,0))</x:f>
      </x:c>
      <x:c r="AE441" s="6">
        <x:f>(S441*IF(E441="R",F441,0))+(S441*IF(G441="R",H441,0))</x:f>
      </x:c>
      <x:c r="AF441" s="6">
        <x:f>(S441*IF(E441="F",F441,0))+(S441*IF(G441="F",H441,0))</x:f>
      </x:c>
      <x:c r="AG441" s="6">
        <x:f>(S441*IF(E441="W",F441,0))+(S441*IF(G441="W",H441,0))</x:f>
      </x:c>
    </x:row>
    <x:row r="442">
      <x:c r="A442" s="3" t="inlineStr">
        <x:is>
          <x:t xml:space="preserve">Security</x:t>
        </x:is>
      </x:c>
      <x:c r="B442" s="3" t="inlineStr">
        <x:is>
          <x:t xml:space="preserve">SEC-D8-Q22</x:t>
        </x:is>
      </x:c>
      <x:c r="C442" s="3" t="inlineStr">
        <x:is>
          <x:t xml:space="preserve">T1</x:t>
        </x:is>
      </x:c>
      <x:c r="D442" s="3" t="inlineStr">
        <x:is>
          <x:t xml:space="preserve">8. Third Parties &amp; Contractors</x:t>
        </x:is>
      </x:c>
      <x:c r="E442" s="3" t="inlineStr">
        <x:is>
          <x:t xml:space="preserve">V</x:t>
        </x:is>
      </x:c>
      <x:c r="F442" s="3" t="n">
        <x:v>0.6</x:v>
      </x:c>
      <x:c r="G442" s="3" t="inlineStr">
        <x:is>
          <x:t xml:space="preserve">T</x:t>
        </x:is>
      </x:c>
      <x:c r="H442" s="3" t="n">
        <x:v>0.4</x:v>
      </x:c>
      <x:c r="I442" s="3" t="inlineStr">
        <x:is>
          <x:t xml:space="preserve">Are contractors, vendors, and outsourced admins monitored with similar attention as employees when they access sensitive systems?</x:t>
        </x:is>
      </x:c>
      <x:c r="J442" s="3" t="inlineStr">
        <x:is>
          <x:t xml:space="preserve">Includes MSP/MSSP engineers, vendor developers, temporary staff, and BPOs with system access.</x:t>
        </x:is>
      </x:c>
      <x:c r="K442" s="3" t="inlineStr">
        <x:is>
          <x:t xml:space="preserve">Gatekeeper (If BaseScore &lt;2 → SEC-D8-Q23; If ≥2 → SEC-D8-Q24)</x:t>
        </x:is>
      </x:c>
      <x:c r="L442" s="3" t="inlineStr">
        <x:is>
          <x:t xml:space="preserve">RISK_STD</x:t>
        </x:is>
      </x:c>
      <x:c r="M442" s="3" t="n">
        <x:v>1.3</x:v>
      </x:c>
      <x:c r="N442" s="3" t="n">
        <x:v>0.5</x:v>
      </x:c>
      <x:c r="O442" s="3" t="inlineStr">
        <x:is>
          <x:t xml:space="preserve"/>
        </x:is>
      </x:c>
      <x:c r="P442" s="3" t="inlineStr">
        <x:is>
          <x:t xml:space="preserve">SEC-D8-Q22-A2</x:t>
        </x:is>
      </x:c>
      <x:c r="Q442" s="3" t="n">
        <x:v>2</x:v>
      </x:c>
      <x:c r="R442" s="3" t="inlineStr">
        <x:is>
          <x:t xml:space="preserve">Partial — some monitoring exists, but identity/tooling is inconsistent.</x:t>
        </x:is>
      </x:c>
      <x:c r="S442" s="3" t="n">
        <x:v>2</x:v>
      </x:c>
      <x:c r="T442" s="3" t="inlineStr">
        <x:is>
          <x:t xml:space="preserve"/>
        </x:is>
      </x:c>
      <x:c r="U442" s="3" t="inlineStr">
        <x:is>
          <x:t xml:space="preserve">Visibility Gap</x:t>
        </x:is>
      </x:c>
      <x:c r="V442" s="3" t="inlineStr">
        <x:is>
          <x:t xml:space="preserve">Assess_ThirdParty</x:t>
        </x:is>
      </x:c>
      <x:c r="W442" s="3" t="inlineStr">
        <x:is>
          <x:t xml:space="preserve">N</x:t>
        </x:is>
      </x:c>
      <x:c r="X442" s="3" t="inlineStr">
        <x:is>
          <x:t xml:space="preserve"/>
        </x:is>
      </x:c>
      <x:c r="Y442" s="6">
        <x:f>(S442*IF(E442="G",F442,0))+(S442*IF(G442="G",H442,0))</x:f>
      </x:c>
      <x:c r="Z442" s="6">
        <x:f>(S442*IF(E442="E",F442,0))+(S442*IF(G442="E",H442,0))</x:f>
      </x:c>
      <x:c r="AA442" s="6">
        <x:f>(S442*IF(E442="T",F442,0))+(S442*IF(G442="T",H442,0))</x:f>
      </x:c>
      <x:c r="AB442" s="6">
        <x:f>(S442*IF(E442="L",F442,0))+(S442*IF(G442="L",H442,0))</x:f>
      </x:c>
      <x:c r="AC442" s="6">
        <x:f>(S442*IF(E442="H",F442,0))+(S442*IF(G442="H",H442,0))</x:f>
      </x:c>
      <x:c r="AD442" s="6">
        <x:f>(S442*IF(E442="V",F442,0))+(S442*IF(G442="V",H442,0))</x:f>
      </x:c>
      <x:c r="AE442" s="6">
        <x:f>(S442*IF(E442="R",F442,0))+(S442*IF(G442="R",H442,0))</x:f>
      </x:c>
      <x:c r="AF442" s="6">
        <x:f>(S442*IF(E442="F",F442,0))+(S442*IF(G442="F",H442,0))</x:f>
      </x:c>
      <x:c r="AG442" s="6">
        <x:f>(S442*IF(E442="W",F442,0))+(S442*IF(G442="W",H442,0))</x:f>
      </x:c>
    </x:row>
    <x:row r="443">
      <x:c r="A443" s="3" t="inlineStr">
        <x:is>
          <x:t xml:space="preserve">Security</x:t>
        </x:is>
      </x:c>
      <x:c r="B443" s="3" t="inlineStr">
        <x:is>
          <x:t xml:space="preserve">SEC-D8-Q22</x:t>
        </x:is>
      </x:c>
      <x:c r="C443" s="3" t="inlineStr">
        <x:is>
          <x:t xml:space="preserve">T1</x:t>
        </x:is>
      </x:c>
      <x:c r="D443" s="3" t="inlineStr">
        <x:is>
          <x:t xml:space="preserve">8. Third Parties &amp; Contractors</x:t>
        </x:is>
      </x:c>
      <x:c r="E443" s="3" t="inlineStr">
        <x:is>
          <x:t xml:space="preserve">V</x:t>
        </x:is>
      </x:c>
      <x:c r="F443" s="3" t="n">
        <x:v>0.6</x:v>
      </x:c>
      <x:c r="G443" s="3" t="inlineStr">
        <x:is>
          <x:t xml:space="preserve">T</x:t>
        </x:is>
      </x:c>
      <x:c r="H443" s="3" t="n">
        <x:v>0.4</x:v>
      </x:c>
      <x:c r="I443" s="3" t="inlineStr">
        <x:is>
          <x:t xml:space="preserve">Are contractors, vendors, and outsourced admins monitored with similar attention as employees when they access sensitive systems?</x:t>
        </x:is>
      </x:c>
      <x:c r="J443" s="3" t="inlineStr">
        <x:is>
          <x:t xml:space="preserve">Includes MSP/MSSP engineers, vendor developers, temporary staff, and BPOs with system access.</x:t>
        </x:is>
      </x:c>
      <x:c r="K443" s="3" t="inlineStr">
        <x:is>
          <x:t xml:space="preserve">Gatekeeper (If BaseScore &lt;2 → SEC-D8-Q23; If ≥2 → SEC-D8-Q24)</x:t>
        </x:is>
      </x:c>
      <x:c r="L443" s="3" t="inlineStr">
        <x:is>
          <x:t xml:space="preserve">RISK_STD</x:t>
        </x:is>
      </x:c>
      <x:c r="M443" s="3" t="n">
        <x:v>1.3</x:v>
      </x:c>
      <x:c r="N443" s="3" t="n">
        <x:v>0.5</x:v>
      </x:c>
      <x:c r="O443" s="3" t="inlineStr">
        <x:is>
          <x:t xml:space="preserve"/>
        </x:is>
      </x:c>
      <x:c r="P443" s="3" t="inlineStr">
        <x:is>
          <x:t xml:space="preserve">SEC-D8-Q22-A3</x:t>
        </x:is>
      </x:c>
      <x:c r="Q443" s="3" t="n">
        <x:v>3</x:v>
      </x:c>
      <x:c r="R443" s="3" t="inlineStr">
        <x:is>
          <x:t xml:space="preserve">Yes — contractors are included in monitoring for key systems and investigated similarly.</x:t>
        </x:is>
      </x:c>
      <x:c r="S443" s="3" t="n">
        <x:v>3</x:v>
      </x:c>
      <x:c r="T443" s="3" t="inlineStr">
        <x:is>
          <x:t xml:space="preserve"/>
        </x:is>
      </x:c>
      <x:c r="U443" s="3" t="inlineStr">
        <x:is>
          <x:t xml:space="preserve">Visibility Gap</x:t>
        </x:is>
      </x:c>
      <x:c r="V443" s="3" t="inlineStr">
        <x:is>
          <x:t xml:space="preserve">Assess_ThirdParty</x:t>
        </x:is>
      </x:c>
      <x:c r="W443" s="3" t="inlineStr">
        <x:is>
          <x:t xml:space="preserve">Y</x:t>
        </x:is>
      </x:c>
      <x:c r="X443" s="3" t="inlineStr">
        <x:is>
          <x:t xml:space="preserve">Contractor access list + monitoring approach.</x:t>
        </x:is>
      </x:c>
      <x:c r="Y443" s="6">
        <x:f>(S443*IF(E443="G",F443,0))+(S443*IF(G443="G",H443,0))</x:f>
      </x:c>
      <x:c r="Z443" s="6">
        <x:f>(S443*IF(E443="E",F443,0))+(S443*IF(G443="E",H443,0))</x:f>
      </x:c>
      <x:c r="AA443" s="6">
        <x:f>(S443*IF(E443="T",F443,0))+(S443*IF(G443="T",H443,0))</x:f>
      </x:c>
      <x:c r="AB443" s="6">
        <x:f>(S443*IF(E443="L",F443,0))+(S443*IF(G443="L",H443,0))</x:f>
      </x:c>
      <x:c r="AC443" s="6">
        <x:f>(S443*IF(E443="H",F443,0))+(S443*IF(G443="H",H443,0))</x:f>
      </x:c>
      <x:c r="AD443" s="6">
        <x:f>(S443*IF(E443="V",F443,0))+(S443*IF(G443="V",H443,0))</x:f>
      </x:c>
      <x:c r="AE443" s="6">
        <x:f>(S443*IF(E443="R",F443,0))+(S443*IF(G443="R",H443,0))</x:f>
      </x:c>
      <x:c r="AF443" s="6">
        <x:f>(S443*IF(E443="F",F443,0))+(S443*IF(G443="F",H443,0))</x:f>
      </x:c>
      <x:c r="AG443" s="6">
        <x:f>(S443*IF(E443="W",F443,0))+(S443*IF(G443="W",H443,0))</x:f>
      </x:c>
    </x:row>
    <x:row r="444">
      <x:c r="A444" s="3" t="inlineStr">
        <x:is>
          <x:t xml:space="preserve">Security</x:t>
        </x:is>
      </x:c>
      <x:c r="B444" s="3" t="inlineStr">
        <x:is>
          <x:t xml:space="preserve">SEC-D8-Q22</x:t>
        </x:is>
      </x:c>
      <x:c r="C444" s="3" t="inlineStr">
        <x:is>
          <x:t xml:space="preserve">T1</x:t>
        </x:is>
      </x:c>
      <x:c r="D444" s="3" t="inlineStr">
        <x:is>
          <x:t xml:space="preserve">8. Third Parties &amp; Contractors</x:t>
        </x:is>
      </x:c>
      <x:c r="E444" s="3" t="inlineStr">
        <x:is>
          <x:t xml:space="preserve">V</x:t>
        </x:is>
      </x:c>
      <x:c r="F444" s="3" t="n">
        <x:v>0.6</x:v>
      </x:c>
      <x:c r="G444" s="3" t="inlineStr">
        <x:is>
          <x:t xml:space="preserve">T</x:t>
        </x:is>
      </x:c>
      <x:c r="H444" s="3" t="n">
        <x:v>0.4</x:v>
      </x:c>
      <x:c r="I444" s="3" t="inlineStr">
        <x:is>
          <x:t xml:space="preserve">Are contractors, vendors, and outsourced admins monitored with similar attention as employees when they access sensitive systems?</x:t>
        </x:is>
      </x:c>
      <x:c r="J444" s="3" t="inlineStr">
        <x:is>
          <x:t xml:space="preserve">Includes MSP/MSSP engineers, vendor developers, temporary staff, and BPOs with system access.</x:t>
        </x:is>
      </x:c>
      <x:c r="K444" s="3" t="inlineStr">
        <x:is>
          <x:t xml:space="preserve">Gatekeeper (If BaseScore &lt;2 → SEC-D8-Q23; If ≥2 → SEC-D8-Q24)</x:t>
        </x:is>
      </x:c>
      <x:c r="L444" s="3" t="inlineStr">
        <x:is>
          <x:t xml:space="preserve">RISK_STD</x:t>
        </x:is>
      </x:c>
      <x:c r="M444" s="3" t="n">
        <x:v>1.3</x:v>
      </x:c>
      <x:c r="N444" s="3" t="n">
        <x:v>0.5</x:v>
      </x:c>
      <x:c r="O444" s="3" t="inlineStr">
        <x:is>
          <x:t xml:space="preserve"/>
        </x:is>
      </x:c>
      <x:c r="P444" s="3" t="inlineStr">
        <x:is>
          <x:t xml:space="preserve">SEC-D8-Q22-A4</x:t>
        </x:is>
      </x:c>
      <x:c r="Q444" s="3" t="n">
        <x:v>4</x:v>
      </x:c>
      <x:c r="R444" s="3" t="inlineStr">
        <x:is>
          <x:t xml:space="preserve">Optimized — third‑party risk tiers, scoped access, monitoring, and periodic reviews.</x:t>
        </x:is>
      </x:c>
      <x:c r="S444" s="3" t="n">
        <x:v>4</x:v>
      </x:c>
      <x:c r="T444" s="3" t="inlineStr">
        <x:is>
          <x:t xml:space="preserve"/>
        </x:is>
      </x:c>
      <x:c r="U444" s="3" t="inlineStr">
        <x:is>
          <x:t xml:space="preserve">Visibility Gap</x:t>
        </x:is>
      </x:c>
      <x:c r="V444" s="3" t="inlineStr">
        <x:is>
          <x:t xml:space="preserve">Assess_ThirdParty</x:t>
        </x:is>
      </x:c>
      <x:c r="W444" s="3" t="inlineStr">
        <x:is>
          <x:t xml:space="preserve">Y</x:t>
        </x:is>
      </x:c>
      <x:c r="X444" s="3" t="inlineStr">
        <x:is>
          <x:t xml:space="preserve">Third‑party tiering approach.</x:t>
        </x:is>
      </x:c>
      <x:c r="Y444" s="6">
        <x:f>(S444*IF(E444="G",F444,0))+(S444*IF(G444="G",H444,0))</x:f>
      </x:c>
      <x:c r="Z444" s="6">
        <x:f>(S444*IF(E444="E",F444,0))+(S444*IF(G444="E",H444,0))</x:f>
      </x:c>
      <x:c r="AA444" s="6">
        <x:f>(S444*IF(E444="T",F444,0))+(S444*IF(G444="T",H444,0))</x:f>
      </x:c>
      <x:c r="AB444" s="6">
        <x:f>(S444*IF(E444="L",F444,0))+(S444*IF(G444="L",H444,0))</x:f>
      </x:c>
      <x:c r="AC444" s="6">
        <x:f>(S444*IF(E444="H",F444,0))+(S444*IF(G444="H",H444,0))</x:f>
      </x:c>
      <x:c r="AD444" s="6">
        <x:f>(S444*IF(E444="V",F444,0))+(S444*IF(G444="V",H444,0))</x:f>
      </x:c>
      <x:c r="AE444" s="6">
        <x:f>(S444*IF(E444="R",F444,0))+(S444*IF(G444="R",H444,0))</x:f>
      </x:c>
      <x:c r="AF444" s="6">
        <x:f>(S444*IF(E444="F",F444,0))+(S444*IF(G444="F",H444,0))</x:f>
      </x:c>
      <x:c r="AG444" s="6">
        <x:f>(S444*IF(E444="W",F444,0))+(S444*IF(G444="W",H444,0))</x:f>
      </x:c>
    </x:row>
    <x:row r="445">
      <x:c r="A445" s="3" t="inlineStr">
        <x:is>
          <x:t xml:space="preserve">Security</x:t>
        </x:is>
      </x:c>
      <x:c r="B445" s="3" t="inlineStr">
        <x:is>
          <x:t xml:space="preserve">SEC-D8-Q23</x:t>
        </x:is>
      </x:c>
      <x:c r="C445" s="3" t="inlineStr">
        <x:is>
          <x:t xml:space="preserve">T2</x:t>
        </x:is>
      </x:c>
      <x:c r="D445" s="3" t="inlineStr">
        <x:is>
          <x:t xml:space="preserve">8. Third Parties &amp; Contractors</x:t>
        </x:is>
      </x:c>
      <x:c r="E445" s="3" t="inlineStr">
        <x:is>
          <x:t xml:space="preserve">E</x:t>
        </x:is>
      </x:c>
      <x:c r="F445" s="3" t="n">
        <x:v>1</x:v>
      </x:c>
      <x:c r="G445" s="3" t="inlineStr">
        <x:is>
          <x:t xml:space="preserve"/>
        </x:is>
      </x:c>
      <x:c r="H445" s="3" t="inlineStr">
        <x:is>
          <x:t xml:space="preserve"/>
        </x:is>
      </x:c>
      <x:c r="I445" s="3" t="inlineStr">
        <x:is>
          <x:t xml:space="preserve">(Shadow probe) When a contractor/vendor engagement ends, is access reliably removed quickly across systems?</x:t>
        </x:is>
      </x:c>
      <x:c r="J445" s="3" t="inlineStr">
        <x:is>
          <x:t xml:space="preserve">Checks offboarding reality for non‑employees.</x:t>
        </x:is>
      </x:c>
      <x:c r="K445" s="3" t="inlineStr">
        <x:is>
          <x:t xml:space="preserve">Shadow fallback (Then → SEC-D9-Q25)</x:t>
        </x:is>
      </x:c>
      <x:c r="L445" s="3" t="inlineStr">
        <x:is>
          <x:t xml:space="preserve">OPS_STD</x:t>
        </x:is>
      </x:c>
      <x:c r="M445" s="3" t="n">
        <x:v>1.2</x:v>
      </x:c>
      <x:c r="N445" s="3" t="n">
        <x:v>0.5</x:v>
      </x:c>
      <x:c r="O445" s="3" t="inlineStr">
        <x:is>
          <x:t xml:space="preserve"/>
        </x:is>
      </x:c>
      <x:c r="P445" s="3" t="inlineStr">
        <x:is>
          <x:t xml:space="preserve">SEC-D8-Q23-A1</x:t>
        </x:is>
      </x:c>
      <x:c r="Q445" s="3" t="n">
        <x:v>1</x:v>
      </x:c>
      <x:c r="R445" s="3" t="inlineStr">
        <x:is>
          <x:t xml:space="preserve">No — access removal is manual and often late.</x:t>
        </x:is>
      </x:c>
      <x:c r="S445" s="3" t="n">
        <x:v>0</x:v>
      </x:c>
      <x:c r="T445" s="3" t="inlineStr">
        <x:is>
          <x:t xml:space="preserve">control_lag_high</x:t>
        </x:is>
      </x:c>
      <x:c r="U445" s="3" t="inlineStr">
        <x:is>
          <x:t xml:space="preserve">Control Lag</x:t>
        </x:is>
      </x:c>
      <x:c r="V445" s="3" t="inlineStr">
        <x:is>
          <x:t xml:space="preserve">Assess_Control_Lag</x:t>
        </x:is>
      </x:c>
      <x:c r="W445" s="3" t="inlineStr">
        <x:is>
          <x:t xml:space="preserve">N</x:t>
        </x:is>
      </x:c>
      <x:c r="X445" s="3" t="inlineStr">
        <x:is>
          <x:t xml:space="preserve"/>
        </x:is>
      </x:c>
      <x:c r="Y445" s="6">
        <x:f>(S445*IF(E445="G",F445,0))+(S445*IF(G445="G",H445,0))</x:f>
      </x:c>
      <x:c r="Z445" s="6">
        <x:f>(S445*IF(E445="E",F445,0))+(S445*IF(G445="E",H445,0))</x:f>
      </x:c>
      <x:c r="AA445" s="6">
        <x:f>(S445*IF(E445="T",F445,0))+(S445*IF(G445="T",H445,0))</x:f>
      </x:c>
      <x:c r="AB445" s="6">
        <x:f>(S445*IF(E445="L",F445,0))+(S445*IF(G445="L",H445,0))</x:f>
      </x:c>
      <x:c r="AC445" s="6">
        <x:f>(S445*IF(E445="H",F445,0))+(S445*IF(G445="H",H445,0))</x:f>
      </x:c>
      <x:c r="AD445" s="6">
        <x:f>(S445*IF(E445="V",F445,0))+(S445*IF(G445="V",H445,0))</x:f>
      </x:c>
      <x:c r="AE445" s="6">
        <x:f>(S445*IF(E445="R",F445,0))+(S445*IF(G445="R",H445,0))</x:f>
      </x:c>
      <x:c r="AF445" s="6">
        <x:f>(S445*IF(E445="F",F445,0))+(S445*IF(G445="F",H445,0))</x:f>
      </x:c>
      <x:c r="AG445" s="6">
        <x:f>(S445*IF(E445="W",F445,0))+(S445*IF(G445="W",H445,0))</x:f>
      </x:c>
    </x:row>
    <x:row r="446">
      <x:c r="A446" s="3" t="inlineStr">
        <x:is>
          <x:t xml:space="preserve">Security</x:t>
        </x:is>
      </x:c>
      <x:c r="B446" s="3" t="inlineStr">
        <x:is>
          <x:t xml:space="preserve">SEC-D8-Q23</x:t>
        </x:is>
      </x:c>
      <x:c r="C446" s="3" t="inlineStr">
        <x:is>
          <x:t xml:space="preserve">T2</x:t>
        </x:is>
      </x:c>
      <x:c r="D446" s="3" t="inlineStr">
        <x:is>
          <x:t xml:space="preserve">8. Third Parties &amp; Contractors</x:t>
        </x:is>
      </x:c>
      <x:c r="E446" s="3" t="inlineStr">
        <x:is>
          <x:t xml:space="preserve">E</x:t>
        </x:is>
      </x:c>
      <x:c r="F446" s="3" t="n">
        <x:v>1</x:v>
      </x:c>
      <x:c r="G446" s="3" t="inlineStr">
        <x:is>
          <x:t xml:space="preserve"/>
        </x:is>
      </x:c>
      <x:c r="H446" s="3" t="inlineStr">
        <x:is>
          <x:t xml:space="preserve"/>
        </x:is>
      </x:c>
      <x:c r="I446" s="3" t="inlineStr">
        <x:is>
          <x:t xml:space="preserve">(Shadow probe) When a contractor/vendor engagement ends, is access reliably removed quickly across systems?</x:t>
        </x:is>
      </x:c>
      <x:c r="J446" s="3" t="inlineStr">
        <x:is>
          <x:t xml:space="preserve">Checks offboarding reality for non‑employees.</x:t>
        </x:is>
      </x:c>
      <x:c r="K446" s="3" t="inlineStr">
        <x:is>
          <x:t xml:space="preserve">Shadow fallback (Then → SEC-D9-Q25)</x:t>
        </x:is>
      </x:c>
      <x:c r="L446" s="3" t="inlineStr">
        <x:is>
          <x:t xml:space="preserve">OPS_STD</x:t>
        </x:is>
      </x:c>
      <x:c r="M446" s="3" t="n">
        <x:v>1.2</x:v>
      </x:c>
      <x:c r="N446" s="3" t="n">
        <x:v>0.5</x:v>
      </x:c>
      <x:c r="O446" s="3" t="inlineStr">
        <x:is>
          <x:t xml:space="preserve"/>
        </x:is>
      </x:c>
      <x:c r="P446" s="3" t="inlineStr">
        <x:is>
          <x:t xml:space="preserve">SEC-D8-Q23-A2</x:t>
        </x:is>
      </x:c>
      <x:c r="Q446" s="3" t="n">
        <x:v>2</x:v>
      </x:c>
      <x:c r="R446" s="3" t="inlineStr">
        <x:is>
          <x:t xml:space="preserve">Sometimes — critical systems are handled, but gaps happen.</x:t>
        </x:is>
      </x:c>
      <x:c r="S446" s="3" t="n">
        <x:v>2</x:v>
      </x:c>
      <x:c r="T446" s="3" t="inlineStr">
        <x:is>
          <x:t xml:space="preserve"/>
        </x:is>
      </x:c>
      <x:c r="U446" s="3" t="inlineStr">
        <x:is>
          <x:t xml:space="preserve">Control Lag</x:t>
        </x:is>
      </x:c>
      <x:c r="V446" s="3" t="inlineStr">
        <x:is>
          <x:t xml:space="preserve">Assess_Control_Lag</x:t>
        </x:is>
      </x:c>
      <x:c r="W446" s="3" t="inlineStr">
        <x:is>
          <x:t xml:space="preserve">N</x:t>
        </x:is>
      </x:c>
      <x:c r="X446" s="3" t="inlineStr">
        <x:is>
          <x:t xml:space="preserve"/>
        </x:is>
      </x:c>
      <x:c r="Y446" s="6">
        <x:f>(S446*IF(E446="G",F446,0))+(S446*IF(G446="G",H446,0))</x:f>
      </x:c>
      <x:c r="Z446" s="6">
        <x:f>(S446*IF(E446="E",F446,0))+(S446*IF(G446="E",H446,0))</x:f>
      </x:c>
      <x:c r="AA446" s="6">
        <x:f>(S446*IF(E446="T",F446,0))+(S446*IF(G446="T",H446,0))</x:f>
      </x:c>
      <x:c r="AB446" s="6">
        <x:f>(S446*IF(E446="L",F446,0))+(S446*IF(G446="L",H446,0))</x:f>
      </x:c>
      <x:c r="AC446" s="6">
        <x:f>(S446*IF(E446="H",F446,0))+(S446*IF(G446="H",H446,0))</x:f>
      </x:c>
      <x:c r="AD446" s="6">
        <x:f>(S446*IF(E446="V",F446,0))+(S446*IF(G446="V",H446,0))</x:f>
      </x:c>
      <x:c r="AE446" s="6">
        <x:f>(S446*IF(E446="R",F446,0))+(S446*IF(G446="R",H446,0))</x:f>
      </x:c>
      <x:c r="AF446" s="6">
        <x:f>(S446*IF(E446="F",F446,0))+(S446*IF(G446="F",H446,0))</x:f>
      </x:c>
      <x:c r="AG446" s="6">
        <x:f>(S446*IF(E446="W",F446,0))+(S446*IF(G446="W",H446,0))</x:f>
      </x:c>
    </x:row>
    <x:row r="447">
      <x:c r="A447" s="3" t="inlineStr">
        <x:is>
          <x:t xml:space="preserve">Security</x:t>
        </x:is>
      </x:c>
      <x:c r="B447" s="3" t="inlineStr">
        <x:is>
          <x:t xml:space="preserve">SEC-D8-Q23</x:t>
        </x:is>
      </x:c>
      <x:c r="C447" s="3" t="inlineStr">
        <x:is>
          <x:t xml:space="preserve">T2</x:t>
        </x:is>
      </x:c>
      <x:c r="D447" s="3" t="inlineStr">
        <x:is>
          <x:t xml:space="preserve">8. Third Parties &amp; Contractors</x:t>
        </x:is>
      </x:c>
      <x:c r="E447" s="3" t="inlineStr">
        <x:is>
          <x:t xml:space="preserve">E</x:t>
        </x:is>
      </x:c>
      <x:c r="F447" s="3" t="n">
        <x:v>1</x:v>
      </x:c>
      <x:c r="G447" s="3" t="inlineStr">
        <x:is>
          <x:t xml:space="preserve"/>
        </x:is>
      </x:c>
      <x:c r="H447" s="3" t="inlineStr">
        <x:is>
          <x:t xml:space="preserve"/>
        </x:is>
      </x:c>
      <x:c r="I447" s="3" t="inlineStr">
        <x:is>
          <x:t xml:space="preserve">(Shadow probe) When a contractor/vendor engagement ends, is access reliably removed quickly across systems?</x:t>
        </x:is>
      </x:c>
      <x:c r="J447" s="3" t="inlineStr">
        <x:is>
          <x:t xml:space="preserve">Checks offboarding reality for non‑employees.</x:t>
        </x:is>
      </x:c>
      <x:c r="K447" s="3" t="inlineStr">
        <x:is>
          <x:t xml:space="preserve">Shadow fallback (Then → SEC-D9-Q25)</x:t>
        </x:is>
      </x:c>
      <x:c r="L447" s="3" t="inlineStr">
        <x:is>
          <x:t xml:space="preserve">OPS_STD</x:t>
        </x:is>
      </x:c>
      <x:c r="M447" s="3" t="n">
        <x:v>1.2</x:v>
      </x:c>
      <x:c r="N447" s="3" t="n">
        <x:v>0.5</x:v>
      </x:c>
      <x:c r="O447" s="3" t="inlineStr">
        <x:is>
          <x:t xml:space="preserve"/>
        </x:is>
      </x:c>
      <x:c r="P447" s="3" t="inlineStr">
        <x:is>
          <x:t xml:space="preserve">SEC-D8-Q23-A3</x:t>
        </x:is>
      </x:c>
      <x:c r="Q447" s="3" t="n">
        <x:v>3</x:v>
      </x:c>
      <x:c r="R447" s="3" t="inlineStr">
        <x:is>
          <x:t xml:space="preserve">Yes — reliable process exists and is regularly audited for timeliness.</x:t>
        </x:is>
      </x:c>
      <x:c r="S447" s="3" t="n">
        <x:v>3</x:v>
      </x:c>
      <x:c r="T447" s="3" t="inlineStr">
        <x:is>
          <x:t xml:space="preserve"/>
        </x:is>
      </x:c>
      <x:c r="U447" s="3" t="inlineStr">
        <x:is>
          <x:t xml:space="preserve">Resilience Gap</x:t>
        </x:is>
      </x:c>
      <x:c r="V447" s="3" t="inlineStr">
        <x:is>
          <x:t xml:space="preserve">Plan_Assurance</x:t>
        </x:is>
      </x:c>
      <x:c r="W447" s="3" t="inlineStr">
        <x:is>
          <x:t xml:space="preserve">Y</x:t>
        </x:is>
      </x:c>
      <x:c r="X447" s="3" t="inlineStr">
        <x:is>
          <x:t xml:space="preserve">Last access removal audit result.</x:t>
        </x:is>
      </x:c>
      <x:c r="Y447" s="6">
        <x:f>(S447*IF(E447="G",F447,0))+(S447*IF(G447="G",H447,0))</x:f>
      </x:c>
      <x:c r="Z447" s="6">
        <x:f>(S447*IF(E447="E",F447,0))+(S447*IF(G447="E",H447,0))</x:f>
      </x:c>
      <x:c r="AA447" s="6">
        <x:f>(S447*IF(E447="T",F447,0))+(S447*IF(G447="T",H447,0))</x:f>
      </x:c>
      <x:c r="AB447" s="6">
        <x:f>(S447*IF(E447="L",F447,0))+(S447*IF(G447="L",H447,0))</x:f>
      </x:c>
      <x:c r="AC447" s="6">
        <x:f>(S447*IF(E447="H",F447,0))+(S447*IF(G447="H",H447,0))</x:f>
      </x:c>
      <x:c r="AD447" s="6">
        <x:f>(S447*IF(E447="V",F447,0))+(S447*IF(G447="V",H447,0))</x:f>
      </x:c>
      <x:c r="AE447" s="6">
        <x:f>(S447*IF(E447="R",F447,0))+(S447*IF(G447="R",H447,0))</x:f>
      </x:c>
      <x:c r="AF447" s="6">
        <x:f>(S447*IF(E447="F",F447,0))+(S447*IF(G447="F",H447,0))</x:f>
      </x:c>
      <x:c r="AG447" s="6">
        <x:f>(S447*IF(E447="W",F447,0))+(S447*IF(G447="W",H447,0))</x:f>
      </x:c>
    </x:row>
    <x:row r="448">
      <x:c r="A448" s="3" t="inlineStr">
        <x:is>
          <x:t xml:space="preserve">Security</x:t>
        </x:is>
      </x:c>
      <x:c r="B448" s="3" t="inlineStr">
        <x:is>
          <x:t xml:space="preserve">SEC-D8-Q24</x:t>
        </x:is>
      </x:c>
      <x:c r="C448" s="3" t="inlineStr">
        <x:is>
          <x:t xml:space="preserve">T3</x:t>
        </x:is>
      </x:c>
      <x:c r="D448" s="3" t="inlineStr">
        <x:is>
          <x:t xml:space="preserve">8. Third Parties &amp; Contractors</x:t>
        </x:is>
      </x:c>
      <x:c r="E448" s="3" t="inlineStr">
        <x:is>
          <x:t xml:space="preserve">T</x:t>
        </x:is>
      </x:c>
      <x:c r="F448" s="3" t="n">
        <x:v>0.5</x:v>
      </x:c>
      <x:c r="G448" s="3" t="inlineStr">
        <x:is>
          <x:t xml:space="preserve">R</x:t>
        </x:is>
      </x:c>
      <x:c r="H448" s="3" t="n">
        <x:v>0.5</x:v>
      </x:c>
      <x:c r="I448" s="3" t="inlineStr">
        <x:is>
          <x:t xml:space="preserve">Do you have a defined process for investigating third‑party misuse (evidence requests, contractual steps, escalation)?</x:t>
        </x:is>
      </x:c>
      <x:c r="J448" s="3" t="inlineStr">
        <x:is>
          <x:t xml:space="preserve">Checks readiness: who leads, what evidence can be requested, and how quickly you can escalate.</x:t>
        </x:is>
      </x:c>
      <x:c r="K448" s="3" t="inlineStr">
        <x:is>
          <x:t xml:space="preserve">Business-proofing</x:t>
        </x:is>
      </x:c>
      <x:c r="L448" s="3" t="inlineStr">
        <x:is>
          <x:t xml:space="preserve">OPS_STD</x:t>
        </x:is>
      </x:c>
      <x:c r="M448" s="3" t="n">
        <x:v>1</x:v>
      </x:c>
      <x:c r="N448" s="3" t="inlineStr">
        <x:is>
          <x:t xml:space="preserve"/>
        </x:is>
      </x:c>
      <x:c r="O448" s="3" t="inlineStr">
        <x:is>
          <x:t xml:space="preserve"/>
        </x:is>
      </x:c>
      <x:c r="P448" s="3" t="inlineStr">
        <x:is>
          <x:t xml:space="preserve">SEC-D8-Q24-A1</x:t>
        </x:is>
      </x:c>
      <x:c r="Q448" s="3" t="n">
        <x:v>1</x:v>
      </x:c>
      <x:c r="R448" s="3" t="inlineStr">
        <x:is>
          <x:t xml:space="preserve">No — we would improvise during a crisis.</x:t>
        </x:is>
      </x:c>
      <x:c r="S448" s="3" t="n">
        <x:v>0</x:v>
      </x:c>
      <x:c r="T448" s="3" t="inlineStr">
        <x:is>
          <x:t xml:space="preserve"/>
        </x:is>
      </x:c>
      <x:c r="U448" s="3" t="inlineStr">
        <x:is>
          <x:t xml:space="preserve">Resilience Gap</x:t>
        </x:is>
      </x:c>
      <x:c r="V448" s="3" t="inlineStr">
        <x:is>
          <x:t xml:space="preserve">Assess_ThirdParty</x:t>
        </x:is>
      </x:c>
      <x:c r="W448" s="3" t="inlineStr">
        <x:is>
          <x:t xml:space="preserve">N</x:t>
        </x:is>
      </x:c>
      <x:c r="X448" s="3" t="inlineStr">
        <x:is>
          <x:t xml:space="preserve"/>
        </x:is>
      </x:c>
      <x:c r="Y448" s="6">
        <x:f>(S448*IF(E448="G",F448,0))+(S448*IF(G448="G",H448,0))</x:f>
      </x:c>
      <x:c r="Z448" s="6">
        <x:f>(S448*IF(E448="E",F448,0))+(S448*IF(G448="E",H448,0))</x:f>
      </x:c>
      <x:c r="AA448" s="6">
        <x:f>(S448*IF(E448="T",F448,0))+(S448*IF(G448="T",H448,0))</x:f>
      </x:c>
      <x:c r="AB448" s="6">
        <x:f>(S448*IF(E448="L",F448,0))+(S448*IF(G448="L",H448,0))</x:f>
      </x:c>
      <x:c r="AC448" s="6">
        <x:f>(S448*IF(E448="H",F448,0))+(S448*IF(G448="H",H448,0))</x:f>
      </x:c>
      <x:c r="AD448" s="6">
        <x:f>(S448*IF(E448="V",F448,0))+(S448*IF(G448="V",H448,0))</x:f>
      </x:c>
      <x:c r="AE448" s="6">
        <x:f>(S448*IF(E448="R",F448,0))+(S448*IF(G448="R",H448,0))</x:f>
      </x:c>
      <x:c r="AF448" s="6">
        <x:f>(S448*IF(E448="F",F448,0))+(S448*IF(G448="F",H448,0))</x:f>
      </x:c>
      <x:c r="AG448" s="6">
        <x:f>(S448*IF(E448="W",F448,0))+(S448*IF(G448="W",H448,0))</x:f>
      </x:c>
    </x:row>
    <x:row r="449">
      <x:c r="A449" s="3" t="inlineStr">
        <x:is>
          <x:t xml:space="preserve">Security</x:t>
        </x:is>
      </x:c>
      <x:c r="B449" s="3" t="inlineStr">
        <x:is>
          <x:t xml:space="preserve">SEC-D8-Q24</x:t>
        </x:is>
      </x:c>
      <x:c r="C449" s="3" t="inlineStr">
        <x:is>
          <x:t xml:space="preserve">T3</x:t>
        </x:is>
      </x:c>
      <x:c r="D449" s="3" t="inlineStr">
        <x:is>
          <x:t xml:space="preserve">8. Third Parties &amp; Contractors</x:t>
        </x:is>
      </x:c>
      <x:c r="E449" s="3" t="inlineStr">
        <x:is>
          <x:t xml:space="preserve">T</x:t>
        </x:is>
      </x:c>
      <x:c r="F449" s="3" t="n">
        <x:v>0.5</x:v>
      </x:c>
      <x:c r="G449" s="3" t="inlineStr">
        <x:is>
          <x:t xml:space="preserve">R</x:t>
        </x:is>
      </x:c>
      <x:c r="H449" s="3" t="n">
        <x:v>0.5</x:v>
      </x:c>
      <x:c r="I449" s="3" t="inlineStr">
        <x:is>
          <x:t xml:space="preserve">Do you have a defined process for investigating third‑party misuse (evidence requests, contractual steps, escalation)?</x:t>
        </x:is>
      </x:c>
      <x:c r="J449" s="3" t="inlineStr">
        <x:is>
          <x:t xml:space="preserve">Checks readiness: who leads, what evidence can be requested, and how quickly you can escalate.</x:t>
        </x:is>
      </x:c>
      <x:c r="K449" s="3" t="inlineStr">
        <x:is>
          <x:t xml:space="preserve">Business-proofing</x:t>
        </x:is>
      </x:c>
      <x:c r="L449" s="3" t="inlineStr">
        <x:is>
          <x:t xml:space="preserve">OPS_STD</x:t>
        </x:is>
      </x:c>
      <x:c r="M449" s="3" t="n">
        <x:v>1</x:v>
      </x:c>
      <x:c r="N449" s="3" t="inlineStr">
        <x:is>
          <x:t xml:space="preserve"/>
        </x:is>
      </x:c>
      <x:c r="O449" s="3" t="inlineStr">
        <x:is>
          <x:t xml:space="preserve"/>
        </x:is>
      </x:c>
      <x:c r="P449" s="3" t="inlineStr">
        <x:is>
          <x:t xml:space="preserve">SEC-D8-Q24-A2</x:t>
        </x:is>
      </x:c>
      <x:c r="Q449" s="3" t="n">
        <x:v>2</x:v>
      </x:c>
      <x:c r="R449" s="3" t="inlineStr">
        <x:is>
          <x:t xml:space="preserve">Some clauses exist, but steps and owners are unclear.</x:t>
        </x:is>
      </x:c>
      <x:c r="S449" s="3" t="n">
        <x:v>1</x:v>
      </x:c>
      <x:c r="T449" s="3" t="inlineStr">
        <x:is>
          <x:t xml:space="preserve">paper_dragon_signal</x:t>
        </x:is>
      </x:c>
      <x:c r="U449" s="3" t="inlineStr">
        <x:is>
          <x:t xml:space="preserve">Paper Dragon</x:t>
        </x:is>
      </x:c>
      <x:c r="V449" s="3" t="inlineStr">
        <x:is>
          <x:t xml:space="preserve">Assess_ThirdParty</x:t>
        </x:is>
      </x:c>
      <x:c r="W449" s="3" t="inlineStr">
        <x:is>
          <x:t xml:space="preserve">N</x:t>
        </x:is>
      </x:c>
      <x:c r="X449" s="3" t="inlineStr">
        <x:is>
          <x:t xml:space="preserve"/>
        </x:is>
      </x:c>
      <x:c r="Y449" s="6">
        <x:f>(S449*IF(E449="G",F449,0))+(S449*IF(G449="G",H449,0))</x:f>
      </x:c>
      <x:c r="Z449" s="6">
        <x:f>(S449*IF(E449="E",F449,0))+(S449*IF(G449="E",H449,0))</x:f>
      </x:c>
      <x:c r="AA449" s="6">
        <x:f>(S449*IF(E449="T",F449,0))+(S449*IF(G449="T",H449,0))</x:f>
      </x:c>
      <x:c r="AB449" s="6">
        <x:f>(S449*IF(E449="L",F449,0))+(S449*IF(G449="L",H449,0))</x:f>
      </x:c>
      <x:c r="AC449" s="6">
        <x:f>(S449*IF(E449="H",F449,0))+(S449*IF(G449="H",H449,0))</x:f>
      </x:c>
      <x:c r="AD449" s="6">
        <x:f>(S449*IF(E449="V",F449,0))+(S449*IF(G449="V",H449,0))</x:f>
      </x:c>
      <x:c r="AE449" s="6">
        <x:f>(S449*IF(E449="R",F449,0))+(S449*IF(G449="R",H449,0))</x:f>
      </x:c>
      <x:c r="AF449" s="6">
        <x:f>(S449*IF(E449="F",F449,0))+(S449*IF(G449="F",H449,0))</x:f>
      </x:c>
      <x:c r="AG449" s="6">
        <x:f>(S449*IF(E449="W",F449,0))+(S449*IF(G449="W",H449,0))</x:f>
      </x:c>
    </x:row>
    <x:row r="450">
      <x:c r="A450" s="3" t="inlineStr">
        <x:is>
          <x:t xml:space="preserve">Security</x:t>
        </x:is>
      </x:c>
      <x:c r="B450" s="3" t="inlineStr">
        <x:is>
          <x:t xml:space="preserve">SEC-D8-Q24</x:t>
        </x:is>
      </x:c>
      <x:c r="C450" s="3" t="inlineStr">
        <x:is>
          <x:t xml:space="preserve">T3</x:t>
        </x:is>
      </x:c>
      <x:c r="D450" s="3" t="inlineStr">
        <x:is>
          <x:t xml:space="preserve">8. Third Parties &amp; Contractors</x:t>
        </x:is>
      </x:c>
      <x:c r="E450" s="3" t="inlineStr">
        <x:is>
          <x:t xml:space="preserve">T</x:t>
        </x:is>
      </x:c>
      <x:c r="F450" s="3" t="n">
        <x:v>0.5</x:v>
      </x:c>
      <x:c r="G450" s="3" t="inlineStr">
        <x:is>
          <x:t xml:space="preserve">R</x:t>
        </x:is>
      </x:c>
      <x:c r="H450" s="3" t="n">
        <x:v>0.5</x:v>
      </x:c>
      <x:c r="I450" s="3" t="inlineStr">
        <x:is>
          <x:t xml:space="preserve">Do you have a defined process for investigating third‑party misuse (evidence requests, contractual steps, escalation)?</x:t>
        </x:is>
      </x:c>
      <x:c r="J450" s="3" t="inlineStr">
        <x:is>
          <x:t xml:space="preserve">Checks readiness: who leads, what evidence can be requested, and how quickly you can escalate.</x:t>
        </x:is>
      </x:c>
      <x:c r="K450" s="3" t="inlineStr">
        <x:is>
          <x:t xml:space="preserve">Business-proofing</x:t>
        </x:is>
      </x:c>
      <x:c r="L450" s="3" t="inlineStr">
        <x:is>
          <x:t xml:space="preserve">OPS_STD</x:t>
        </x:is>
      </x:c>
      <x:c r="M450" s="3" t="n">
        <x:v>1</x:v>
      </x:c>
      <x:c r="N450" s="3" t="inlineStr">
        <x:is>
          <x:t xml:space="preserve"/>
        </x:is>
      </x:c>
      <x:c r="O450" s="3" t="inlineStr">
        <x:is>
          <x:t xml:space="preserve"/>
        </x:is>
      </x:c>
      <x:c r="P450" s="3" t="inlineStr">
        <x:is>
          <x:t xml:space="preserve">SEC-D8-Q24-A3</x:t>
        </x:is>
      </x:c>
      <x:c r="Q450" s="3" t="n">
        <x:v>3</x:v>
      </x:c>
      <x:c r="R450" s="3" t="inlineStr">
        <x:is>
          <x:t xml:space="preserve">Defined steps exist and have been exercised at least once.</x:t>
        </x:is>
      </x:c>
      <x:c r="S450" s="3" t="n">
        <x:v>3</x:v>
      </x:c>
      <x:c r="T450" s="3" t="inlineStr">
        <x:is>
          <x:t xml:space="preserve"/>
        </x:is>
      </x:c>
      <x:c r="U450" s="3" t="inlineStr">
        <x:is>
          <x:t xml:space="preserve">Resilience Gap</x:t>
        </x:is>
      </x:c>
      <x:c r="V450" s="3" t="inlineStr">
        <x:is>
          <x:t xml:space="preserve">Insider_Playbooks</x:t>
        </x:is>
      </x:c>
      <x:c r="W450" s="3" t="inlineStr">
        <x:is>
          <x:t xml:space="preserve">Y</x:t>
        </x:is>
      </x:c>
      <x:c r="X450" s="3" t="inlineStr">
        <x:is>
          <x:t xml:space="preserve">Vendor escalation procedure.</x:t>
        </x:is>
      </x:c>
      <x:c r="Y450" s="6">
        <x:f>(S450*IF(E450="G",F450,0))+(S450*IF(G450="G",H450,0))</x:f>
      </x:c>
      <x:c r="Z450" s="6">
        <x:f>(S450*IF(E450="E",F450,0))+(S450*IF(G450="E",H450,0))</x:f>
      </x:c>
      <x:c r="AA450" s="6">
        <x:f>(S450*IF(E450="T",F450,0))+(S450*IF(G450="T",H450,0))</x:f>
      </x:c>
      <x:c r="AB450" s="6">
        <x:f>(S450*IF(E450="L",F450,0))+(S450*IF(G450="L",H450,0))</x:f>
      </x:c>
      <x:c r="AC450" s="6">
        <x:f>(S450*IF(E450="H",F450,0))+(S450*IF(G450="H",H450,0))</x:f>
      </x:c>
      <x:c r="AD450" s="6">
        <x:f>(S450*IF(E450="V",F450,0))+(S450*IF(G450="V",H450,0))</x:f>
      </x:c>
      <x:c r="AE450" s="6">
        <x:f>(S450*IF(E450="R",F450,0))+(S450*IF(G450="R",H450,0))</x:f>
      </x:c>
      <x:c r="AF450" s="6">
        <x:f>(S450*IF(E450="F",F450,0))+(S450*IF(G450="F",H450,0))</x:f>
      </x:c>
      <x:c r="AG450" s="6">
        <x:f>(S450*IF(E450="W",F450,0))+(S450*IF(G450="W",H450,0))</x:f>
      </x:c>
    </x:row>
    <x:row r="451">
      <x:c r="A451" s="3" t="inlineStr">
        <x:is>
          <x:t xml:space="preserve">Security</x:t>
        </x:is>
      </x:c>
      <x:c r="B451" s="3" t="inlineStr">
        <x:is>
          <x:t xml:space="preserve">SEC-D8-Q24</x:t>
        </x:is>
      </x:c>
      <x:c r="C451" s="3" t="inlineStr">
        <x:is>
          <x:t xml:space="preserve">T3</x:t>
        </x:is>
      </x:c>
      <x:c r="D451" s="3" t="inlineStr">
        <x:is>
          <x:t xml:space="preserve">8. Third Parties &amp; Contractors</x:t>
        </x:is>
      </x:c>
      <x:c r="E451" s="3" t="inlineStr">
        <x:is>
          <x:t xml:space="preserve">T</x:t>
        </x:is>
      </x:c>
      <x:c r="F451" s="3" t="n">
        <x:v>0.5</x:v>
      </x:c>
      <x:c r="G451" s="3" t="inlineStr">
        <x:is>
          <x:t xml:space="preserve">R</x:t>
        </x:is>
      </x:c>
      <x:c r="H451" s="3" t="n">
        <x:v>0.5</x:v>
      </x:c>
      <x:c r="I451" s="3" t="inlineStr">
        <x:is>
          <x:t xml:space="preserve">Do you have a defined process for investigating third‑party misuse (evidence requests, contractual steps, escalation)?</x:t>
        </x:is>
      </x:c>
      <x:c r="J451" s="3" t="inlineStr">
        <x:is>
          <x:t xml:space="preserve">Checks readiness: who leads, what evidence can be requested, and how quickly you can escalate.</x:t>
        </x:is>
      </x:c>
      <x:c r="K451" s="3" t="inlineStr">
        <x:is>
          <x:t xml:space="preserve">Business-proofing</x:t>
        </x:is>
      </x:c>
      <x:c r="L451" s="3" t="inlineStr">
        <x:is>
          <x:t xml:space="preserve">OPS_STD</x:t>
        </x:is>
      </x:c>
      <x:c r="M451" s="3" t="n">
        <x:v>1</x:v>
      </x:c>
      <x:c r="N451" s="3" t="inlineStr">
        <x:is>
          <x:t xml:space="preserve"/>
        </x:is>
      </x:c>
      <x:c r="O451" s="3" t="inlineStr">
        <x:is>
          <x:t xml:space="preserve"/>
        </x:is>
      </x:c>
      <x:c r="P451" s="3" t="inlineStr">
        <x:is>
          <x:t xml:space="preserve">SEC-D8-Q24-A4</x:t>
        </x:is>
      </x:c>
      <x:c r="Q451" s="3" t="n">
        <x:v>4</x:v>
      </x:c>
      <x:c r="R451" s="3" t="inlineStr">
        <x:is>
          <x:t xml:space="preserve">Optimized: pre‑arranged contacts, evidence workflow, and tabletop exercises include third parties.</x:t>
        </x:is>
      </x:c>
      <x:c r="S451" s="3" t="n">
        <x:v>4</x:v>
      </x:c>
      <x:c r="T451" s="3" t="inlineStr">
        <x:is>
          <x:t xml:space="preserve"/>
        </x:is>
      </x:c>
      <x:c r="U451" s="3" t="inlineStr">
        <x:is>
          <x:t xml:space="preserve">Resilience Gap</x:t>
        </x:is>
      </x:c>
      <x:c r="V451" s="3" t="inlineStr">
        <x:is>
          <x:t xml:space="preserve">Insider_Playbooks</x:t>
        </x:is>
      </x:c>
      <x:c r="W451" s="3" t="inlineStr">
        <x:is>
          <x:t xml:space="preserve">Y</x:t>
        </x:is>
      </x:c>
      <x:c r="X451" s="3" t="inlineStr">
        <x:is>
          <x:t xml:space="preserve">Tabletop record (redacted).</x:t>
        </x:is>
      </x:c>
      <x:c r="Y451" s="6">
        <x:f>(S451*IF(E451="G",F451,0))+(S451*IF(G451="G",H451,0))</x:f>
      </x:c>
      <x:c r="Z451" s="6">
        <x:f>(S451*IF(E451="E",F451,0))+(S451*IF(G451="E",H451,0))</x:f>
      </x:c>
      <x:c r="AA451" s="6">
        <x:f>(S451*IF(E451="T",F451,0))+(S451*IF(G451="T",H451,0))</x:f>
      </x:c>
      <x:c r="AB451" s="6">
        <x:f>(S451*IF(E451="L",F451,0))+(S451*IF(G451="L",H451,0))</x:f>
      </x:c>
      <x:c r="AC451" s="6">
        <x:f>(S451*IF(E451="H",F451,0))+(S451*IF(G451="H",H451,0))</x:f>
      </x:c>
      <x:c r="AD451" s="6">
        <x:f>(S451*IF(E451="V",F451,0))+(S451*IF(G451="V",H451,0))</x:f>
      </x:c>
      <x:c r="AE451" s="6">
        <x:f>(S451*IF(E451="R",F451,0))+(S451*IF(G451="R",H451,0))</x:f>
      </x:c>
      <x:c r="AF451" s="6">
        <x:f>(S451*IF(E451="F",F451,0))+(S451*IF(G451="F",H451,0))</x:f>
      </x:c>
      <x:c r="AG451" s="6">
        <x:f>(S451*IF(E451="W",F451,0))+(S451*IF(G451="W",H451,0))</x:f>
      </x:c>
    </x:row>
    <x:row r="452">
      <x:c r="A452" s="3" t="inlineStr">
        <x:is>
          <x:t xml:space="preserve">Security</x:t>
        </x:is>
      </x:c>
      <x:c r="B452" s="3" t="inlineStr">
        <x:is>
          <x:t xml:space="preserve">SEC-D9-Q25</x:t>
        </x:is>
      </x:c>
      <x:c r="C452" s="3" t="inlineStr">
        <x:is>
          <x:t xml:space="preserve">T1</x:t>
        </x:is>
      </x:c>
      <x:c r="D452" s="3" t="inlineStr">
        <x:is>
          <x:t xml:space="preserve">9. Metrics &amp; Continuous Improvement</x:t>
        </x:is>
      </x:c>
      <x:c r="E452" s="3" t="inlineStr">
        <x:is>
          <x:t xml:space="preserve">E</x:t>
        </x:is>
      </x:c>
      <x:c r="F452" s="3" t="n">
        <x:v>0.5</x:v>
      </x:c>
      <x:c r="G452" s="3" t="inlineStr">
        <x:is>
          <x:t xml:space="preserve">R</x:t>
        </x:is>
      </x:c>
      <x:c r="H452" s="3" t="n">
        <x:v>0.5</x:v>
      </x:c>
      <x:c r="I452" s="3" t="inlineStr">
        <x:is>
          <x:t xml:space="preserve">Do you measure whether internal misuse monitoring is effective (not just how many alerts exist)?</x:t>
        </x:is>
      </x:c>
      <x:c r="J452" s="3" t="inlineStr">
        <x:is>
          <x:t xml:space="preserve">Examples: time to triage, investigation outcomes, false-positive rate, coverage of sensitive systems, and lessons learned.</x:t>
        </x:is>
      </x:c>
      <x:c r="K452" s="3" t="inlineStr">
        <x:is>
          <x:t xml:space="preserve">Gatekeeper (If BaseScore &lt;2 → SEC-D9-Q26; If ≥2 → SEC-D9-Q27)</x:t>
        </x:is>
      </x:c>
      <x:c r="L452" s="3" t="inlineStr">
        <x:is>
          <x:t xml:space="preserve">OPS_STD</x:t>
        </x:is>
      </x:c>
      <x:c r="M452" s="3" t="n">
        <x:v>1</x:v>
      </x:c>
      <x:c r="N452" s="3" t="inlineStr">
        <x:is>
          <x:t xml:space="preserve"/>
        </x:is>
      </x:c>
      <x:c r="O452" s="3" t="inlineStr">
        <x:is>
          <x:t xml:space="preserve"/>
        </x:is>
      </x:c>
      <x:c r="P452" s="3" t="inlineStr">
        <x:is>
          <x:t xml:space="preserve">SEC-D9-Q25-A1</x:t>
        </x:is>
      </x:c>
      <x:c r="Q452" s="3" t="n">
        <x:v>1</x:v>
      </x:c>
      <x:c r="R452" s="3" t="inlineStr">
        <x:is>
          <x:t xml:space="preserve">No — success is described qualitatively or by alert counts.</x:t>
        </x:is>
      </x:c>
      <x:c r="S452" s="3" t="n">
        <x:v>0</x:v>
      </x:c>
      <x:c r="T452" s="3" t="inlineStr">
        <x:is>
          <x:t xml:space="preserve">paper_dragon_signal</x:t>
        </x:is>
      </x:c>
      <x:c r="U452" s="3" t="inlineStr">
        <x:is>
          <x:t xml:space="preserve">Paper Dragon</x:t>
        </x:is>
      </x:c>
      <x:c r="V452" s="3" t="inlineStr">
        <x:is>
          <x:t xml:space="preserve">Improve_Metrics</x:t>
        </x:is>
      </x:c>
      <x:c r="W452" s="3" t="inlineStr">
        <x:is>
          <x:t xml:space="preserve">N</x:t>
        </x:is>
      </x:c>
      <x:c r="X452" s="3" t="inlineStr">
        <x:is>
          <x:t xml:space="preserve"/>
        </x:is>
      </x:c>
      <x:c r="Y452" s="6">
        <x:f>(S452*IF(E452="G",F452,0))+(S452*IF(G452="G",H452,0))</x:f>
      </x:c>
      <x:c r="Z452" s="6">
        <x:f>(S452*IF(E452="E",F452,0))+(S452*IF(G452="E",H452,0))</x:f>
      </x:c>
      <x:c r="AA452" s="6">
        <x:f>(S452*IF(E452="T",F452,0))+(S452*IF(G452="T",H452,0))</x:f>
      </x:c>
      <x:c r="AB452" s="6">
        <x:f>(S452*IF(E452="L",F452,0))+(S452*IF(G452="L",H452,0))</x:f>
      </x:c>
      <x:c r="AC452" s="6">
        <x:f>(S452*IF(E452="H",F452,0))+(S452*IF(G452="H",H452,0))</x:f>
      </x:c>
      <x:c r="AD452" s="6">
        <x:f>(S452*IF(E452="V",F452,0))+(S452*IF(G452="V",H452,0))</x:f>
      </x:c>
      <x:c r="AE452" s="6">
        <x:f>(S452*IF(E452="R",F452,0))+(S452*IF(G452="R",H452,0))</x:f>
      </x:c>
      <x:c r="AF452" s="6">
        <x:f>(S452*IF(E452="F",F452,0))+(S452*IF(G452="F",H452,0))</x:f>
      </x:c>
      <x:c r="AG452" s="6">
        <x:f>(S452*IF(E452="W",F452,0))+(S452*IF(G452="W",H452,0))</x:f>
      </x:c>
    </x:row>
    <x:row r="453">
      <x:c r="A453" s="3" t="inlineStr">
        <x:is>
          <x:t xml:space="preserve">Security</x:t>
        </x:is>
      </x:c>
      <x:c r="B453" s="3" t="inlineStr">
        <x:is>
          <x:t xml:space="preserve">SEC-D9-Q25</x:t>
        </x:is>
      </x:c>
      <x:c r="C453" s="3" t="inlineStr">
        <x:is>
          <x:t xml:space="preserve">T1</x:t>
        </x:is>
      </x:c>
      <x:c r="D453" s="3" t="inlineStr">
        <x:is>
          <x:t xml:space="preserve">9. Metrics &amp; Continuous Improvement</x:t>
        </x:is>
      </x:c>
      <x:c r="E453" s="3" t="inlineStr">
        <x:is>
          <x:t xml:space="preserve">E</x:t>
        </x:is>
      </x:c>
      <x:c r="F453" s="3" t="n">
        <x:v>0.5</x:v>
      </x:c>
      <x:c r="G453" s="3" t="inlineStr">
        <x:is>
          <x:t xml:space="preserve">R</x:t>
        </x:is>
      </x:c>
      <x:c r="H453" s="3" t="n">
        <x:v>0.5</x:v>
      </x:c>
      <x:c r="I453" s="3" t="inlineStr">
        <x:is>
          <x:t xml:space="preserve">Do you measure whether internal misuse monitoring is effective (not just how many alerts exist)?</x:t>
        </x:is>
      </x:c>
      <x:c r="J453" s="3" t="inlineStr">
        <x:is>
          <x:t xml:space="preserve">Examples: time to triage, investigation outcomes, false-positive rate, coverage of sensitive systems, and lessons learned.</x:t>
        </x:is>
      </x:c>
      <x:c r="K453" s="3" t="inlineStr">
        <x:is>
          <x:t xml:space="preserve">Gatekeeper (If BaseScore &lt;2 → SEC-D9-Q26; If ≥2 → SEC-D9-Q27)</x:t>
        </x:is>
      </x:c>
      <x:c r="L453" s="3" t="inlineStr">
        <x:is>
          <x:t xml:space="preserve">OPS_STD</x:t>
        </x:is>
      </x:c>
      <x:c r="M453" s="3" t="n">
        <x:v>1</x:v>
      </x:c>
      <x:c r="N453" s="3" t="inlineStr">
        <x:is>
          <x:t xml:space="preserve"/>
        </x:is>
      </x:c>
      <x:c r="O453" s="3" t="inlineStr">
        <x:is>
          <x:t xml:space="preserve"/>
        </x:is>
      </x:c>
      <x:c r="P453" s="3" t="inlineStr">
        <x:is>
          <x:t xml:space="preserve">SEC-D9-Q25-A2</x:t>
        </x:is>
      </x:c>
      <x:c r="Q453" s="3" t="n">
        <x:v>2</x:v>
      </x:c>
      <x:c r="R453" s="3" t="inlineStr">
        <x:is>
          <x:t xml:space="preserve">Some metrics exist, but they don’t drive improvements.</x:t>
        </x:is>
      </x:c>
      <x:c r="S453" s="3" t="n">
        <x:v>2</x:v>
      </x:c>
      <x:c r="T453" s="3" t="inlineStr">
        <x:is>
          <x:t xml:space="preserve"/>
        </x:is>
      </x:c>
      <x:c r="U453" s="3" t="inlineStr">
        <x:is>
          <x:t xml:space="preserve">Operating Model Gap</x:t>
        </x:is>
      </x:c>
      <x:c r="V453" s="3" t="inlineStr">
        <x:is>
          <x:t xml:space="preserve">Improve_Metrics</x:t>
        </x:is>
      </x:c>
      <x:c r="W453" s="3" t="inlineStr">
        <x:is>
          <x:t xml:space="preserve">N</x:t>
        </x:is>
      </x:c>
      <x:c r="X453" s="3" t="inlineStr">
        <x:is>
          <x:t xml:space="preserve"/>
        </x:is>
      </x:c>
      <x:c r="Y453" s="6">
        <x:f>(S453*IF(E453="G",F453,0))+(S453*IF(G453="G",H453,0))</x:f>
      </x:c>
      <x:c r="Z453" s="6">
        <x:f>(S453*IF(E453="E",F453,0))+(S453*IF(G453="E",H453,0))</x:f>
      </x:c>
      <x:c r="AA453" s="6">
        <x:f>(S453*IF(E453="T",F453,0))+(S453*IF(G453="T",H453,0))</x:f>
      </x:c>
      <x:c r="AB453" s="6">
        <x:f>(S453*IF(E453="L",F453,0))+(S453*IF(G453="L",H453,0))</x:f>
      </x:c>
      <x:c r="AC453" s="6">
        <x:f>(S453*IF(E453="H",F453,0))+(S453*IF(G453="H",H453,0))</x:f>
      </x:c>
      <x:c r="AD453" s="6">
        <x:f>(S453*IF(E453="V",F453,0))+(S453*IF(G453="V",H453,0))</x:f>
      </x:c>
      <x:c r="AE453" s="6">
        <x:f>(S453*IF(E453="R",F453,0))+(S453*IF(G453="R",H453,0))</x:f>
      </x:c>
      <x:c r="AF453" s="6">
        <x:f>(S453*IF(E453="F",F453,0))+(S453*IF(G453="F",H453,0))</x:f>
      </x:c>
      <x:c r="AG453" s="6">
        <x:f>(S453*IF(E453="W",F453,0))+(S453*IF(G453="W",H453,0))</x:f>
      </x:c>
    </x:row>
    <x:row r="454">
      <x:c r="A454" s="3" t="inlineStr">
        <x:is>
          <x:t xml:space="preserve">Security</x:t>
        </x:is>
      </x:c>
      <x:c r="B454" s="3" t="inlineStr">
        <x:is>
          <x:t xml:space="preserve">SEC-D9-Q25</x:t>
        </x:is>
      </x:c>
      <x:c r="C454" s="3" t="inlineStr">
        <x:is>
          <x:t xml:space="preserve">T1</x:t>
        </x:is>
      </x:c>
      <x:c r="D454" s="3" t="inlineStr">
        <x:is>
          <x:t xml:space="preserve">9. Metrics &amp; Continuous Improvement</x:t>
        </x:is>
      </x:c>
      <x:c r="E454" s="3" t="inlineStr">
        <x:is>
          <x:t xml:space="preserve">E</x:t>
        </x:is>
      </x:c>
      <x:c r="F454" s="3" t="n">
        <x:v>0.5</x:v>
      </x:c>
      <x:c r="G454" s="3" t="inlineStr">
        <x:is>
          <x:t xml:space="preserve">R</x:t>
        </x:is>
      </x:c>
      <x:c r="H454" s="3" t="n">
        <x:v>0.5</x:v>
      </x:c>
      <x:c r="I454" s="3" t="inlineStr">
        <x:is>
          <x:t xml:space="preserve">Do you measure whether internal misuse monitoring is effective (not just how many alerts exist)?</x:t>
        </x:is>
      </x:c>
      <x:c r="J454" s="3" t="inlineStr">
        <x:is>
          <x:t xml:space="preserve">Examples: time to triage, investigation outcomes, false-positive rate, coverage of sensitive systems, and lessons learned.</x:t>
        </x:is>
      </x:c>
      <x:c r="K454" s="3" t="inlineStr">
        <x:is>
          <x:t xml:space="preserve">Gatekeeper (If BaseScore &lt;2 → SEC-D9-Q26; If ≥2 → SEC-D9-Q27)</x:t>
        </x:is>
      </x:c>
      <x:c r="L454" s="3" t="inlineStr">
        <x:is>
          <x:t xml:space="preserve">OPS_STD</x:t>
        </x:is>
      </x:c>
      <x:c r="M454" s="3" t="n">
        <x:v>1</x:v>
      </x:c>
      <x:c r="N454" s="3" t="inlineStr">
        <x:is>
          <x:t xml:space="preserve"/>
        </x:is>
      </x:c>
      <x:c r="O454" s="3" t="inlineStr">
        <x:is>
          <x:t xml:space="preserve"/>
        </x:is>
      </x:c>
      <x:c r="P454" s="3" t="inlineStr">
        <x:is>
          <x:t xml:space="preserve">SEC-D9-Q25-A3</x:t>
        </x:is>
      </x:c>
      <x:c r="Q454" s="3" t="n">
        <x:v>3</x:v>
      </x:c>
      <x:c r="R454" s="3" t="inlineStr">
        <x:is>
          <x:t xml:space="preserve">Yes — we track a small set of KPIs/KRIs and review them regularly.</x:t>
        </x:is>
      </x:c>
      <x:c r="S454" s="3" t="n">
        <x:v>3</x:v>
      </x:c>
      <x:c r="T454" s="3" t="inlineStr">
        <x:is>
          <x:t xml:space="preserve"/>
        </x:is>
      </x:c>
      <x:c r="U454" s="3" t="inlineStr">
        <x:is>
          <x:t xml:space="preserve">Resilience Gap</x:t>
        </x:is>
      </x:c>
      <x:c r="V454" s="3" t="inlineStr">
        <x:is>
          <x:t xml:space="preserve">Improve_Metrics</x:t>
        </x:is>
      </x:c>
      <x:c r="W454" s="3" t="inlineStr">
        <x:is>
          <x:t xml:space="preserve">Y</x:t>
        </x:is>
      </x:c>
      <x:c r="X454" s="3" t="inlineStr">
        <x:is>
          <x:t xml:space="preserve">Dashboard (redacted).</x:t>
        </x:is>
      </x:c>
      <x:c r="Y454" s="6">
        <x:f>(S454*IF(E454="G",F454,0))+(S454*IF(G454="G",H454,0))</x:f>
      </x:c>
      <x:c r="Z454" s="6">
        <x:f>(S454*IF(E454="E",F454,0))+(S454*IF(G454="E",H454,0))</x:f>
      </x:c>
      <x:c r="AA454" s="6">
        <x:f>(S454*IF(E454="T",F454,0))+(S454*IF(G454="T",H454,0))</x:f>
      </x:c>
      <x:c r="AB454" s="6">
        <x:f>(S454*IF(E454="L",F454,0))+(S454*IF(G454="L",H454,0))</x:f>
      </x:c>
      <x:c r="AC454" s="6">
        <x:f>(S454*IF(E454="H",F454,0))+(S454*IF(G454="H",H454,0))</x:f>
      </x:c>
      <x:c r="AD454" s="6">
        <x:f>(S454*IF(E454="V",F454,0))+(S454*IF(G454="V",H454,0))</x:f>
      </x:c>
      <x:c r="AE454" s="6">
        <x:f>(S454*IF(E454="R",F454,0))+(S454*IF(G454="R",H454,0))</x:f>
      </x:c>
      <x:c r="AF454" s="6">
        <x:f>(S454*IF(E454="F",F454,0))+(S454*IF(G454="F",H454,0))</x:f>
      </x:c>
      <x:c r="AG454" s="6">
        <x:f>(S454*IF(E454="W",F454,0))+(S454*IF(G454="W",H454,0))</x:f>
      </x:c>
    </x:row>
    <x:row r="455">
      <x:c r="A455" s="3" t="inlineStr">
        <x:is>
          <x:t xml:space="preserve">Security</x:t>
        </x:is>
      </x:c>
      <x:c r="B455" s="3" t="inlineStr">
        <x:is>
          <x:t xml:space="preserve">SEC-D9-Q25</x:t>
        </x:is>
      </x:c>
      <x:c r="C455" s="3" t="inlineStr">
        <x:is>
          <x:t xml:space="preserve">T1</x:t>
        </x:is>
      </x:c>
      <x:c r="D455" s="3" t="inlineStr">
        <x:is>
          <x:t xml:space="preserve">9. Metrics &amp; Continuous Improvement</x:t>
        </x:is>
      </x:c>
      <x:c r="E455" s="3" t="inlineStr">
        <x:is>
          <x:t xml:space="preserve">E</x:t>
        </x:is>
      </x:c>
      <x:c r="F455" s="3" t="n">
        <x:v>0.5</x:v>
      </x:c>
      <x:c r="G455" s="3" t="inlineStr">
        <x:is>
          <x:t xml:space="preserve">R</x:t>
        </x:is>
      </x:c>
      <x:c r="H455" s="3" t="n">
        <x:v>0.5</x:v>
      </x:c>
      <x:c r="I455" s="3" t="inlineStr">
        <x:is>
          <x:t xml:space="preserve">Do you measure whether internal misuse monitoring is effective (not just how many alerts exist)?</x:t>
        </x:is>
      </x:c>
      <x:c r="J455" s="3" t="inlineStr">
        <x:is>
          <x:t xml:space="preserve">Examples: time to triage, investigation outcomes, false-positive rate, coverage of sensitive systems, and lessons learned.</x:t>
        </x:is>
      </x:c>
      <x:c r="K455" s="3" t="inlineStr">
        <x:is>
          <x:t xml:space="preserve">Gatekeeper (If BaseScore &lt;2 → SEC-D9-Q26; If ≥2 → SEC-D9-Q27)</x:t>
        </x:is>
      </x:c>
      <x:c r="L455" s="3" t="inlineStr">
        <x:is>
          <x:t xml:space="preserve">OPS_STD</x:t>
        </x:is>
      </x:c>
      <x:c r="M455" s="3" t="n">
        <x:v>1</x:v>
      </x:c>
      <x:c r="N455" s="3" t="inlineStr">
        <x:is>
          <x:t xml:space="preserve"/>
        </x:is>
      </x:c>
      <x:c r="O455" s="3" t="inlineStr">
        <x:is>
          <x:t xml:space="preserve"/>
        </x:is>
      </x:c>
      <x:c r="P455" s="3" t="inlineStr">
        <x:is>
          <x:t xml:space="preserve">SEC-D9-Q25-A4</x:t>
        </x:is>
      </x:c>
      <x:c r="Q455" s="3" t="n">
        <x:v>4</x:v>
      </x:c>
      <x:c r="R455" s="3" t="inlineStr">
        <x:is>
          <x:t xml:space="preserve">Optimized: metrics drive prioritized improvements, with periodic independent reviews.</x:t>
        </x:is>
      </x:c>
      <x:c r="S455" s="3" t="n">
        <x:v>4</x:v>
      </x:c>
      <x:c r="T455" s="3" t="inlineStr">
        <x:is>
          <x:t xml:space="preserve"/>
        </x:is>
      </x:c>
      <x:c r="U455" s="3" t="inlineStr">
        <x:is>
          <x:t xml:space="preserve">Resilience Gap</x:t>
        </x:is>
      </x:c>
      <x:c r="V455" s="3" t="inlineStr">
        <x:is>
          <x:t xml:space="preserve">Plan_Assurance</x:t>
        </x:is>
      </x:c>
      <x:c r="W455" s="3" t="inlineStr">
        <x:is>
          <x:t xml:space="preserve">Y</x:t>
        </x:is>
      </x:c>
      <x:c r="X455" s="3" t="inlineStr">
        <x:is>
          <x:t xml:space="preserve">Review minutes/audit excerpt.</x:t>
        </x:is>
      </x:c>
      <x:c r="Y455" s="6">
        <x:f>(S455*IF(E455="G",F455,0))+(S455*IF(G455="G",H455,0))</x:f>
      </x:c>
      <x:c r="Z455" s="6">
        <x:f>(S455*IF(E455="E",F455,0))+(S455*IF(G455="E",H455,0))</x:f>
      </x:c>
      <x:c r="AA455" s="6">
        <x:f>(S455*IF(E455="T",F455,0))+(S455*IF(G455="T",H455,0))</x:f>
      </x:c>
      <x:c r="AB455" s="6">
        <x:f>(S455*IF(E455="L",F455,0))+(S455*IF(G455="L",H455,0))</x:f>
      </x:c>
      <x:c r="AC455" s="6">
        <x:f>(S455*IF(E455="H",F455,0))+(S455*IF(G455="H",H455,0))</x:f>
      </x:c>
      <x:c r="AD455" s="6">
        <x:f>(S455*IF(E455="V",F455,0))+(S455*IF(G455="V",H455,0))</x:f>
      </x:c>
      <x:c r="AE455" s="6">
        <x:f>(S455*IF(E455="R",F455,0))+(S455*IF(G455="R",H455,0))</x:f>
      </x:c>
      <x:c r="AF455" s="6">
        <x:f>(S455*IF(E455="F",F455,0))+(S455*IF(G455="F",H455,0))</x:f>
      </x:c>
      <x:c r="AG455" s="6">
        <x:f>(S455*IF(E455="W",F455,0))+(S455*IF(G455="W",H455,0))</x:f>
      </x:c>
    </x:row>
    <x:row r="456">
      <x:c r="A456" s="3" t="inlineStr">
        <x:is>
          <x:t xml:space="preserve">Security</x:t>
        </x:is>
      </x:c>
      <x:c r="B456" s="3" t="inlineStr">
        <x:is>
          <x:t xml:space="preserve">SEC-D9-Q26</x:t>
        </x:is>
      </x:c>
      <x:c r="C456" s="3" t="inlineStr">
        <x:is>
          <x:t xml:space="preserve">T2</x:t>
        </x:is>
      </x:c>
      <x:c r="D456" s="3" t="inlineStr">
        <x:is>
          <x:t xml:space="preserve">9. Metrics &amp; Continuous Improvement</x:t>
        </x:is>
      </x:c>
      <x:c r="E456" s="3" t="inlineStr">
        <x:is>
          <x:t xml:space="preserve">E</x:t>
        </x:is>
      </x:c>
      <x:c r="F456" s="3" t="n">
        <x:v>1</x:v>
      </x:c>
      <x:c r="G456" s="3" t="inlineStr">
        <x:is>
          <x:t xml:space="preserve"/>
        </x:is>
      </x:c>
      <x:c r="H456" s="3" t="inlineStr">
        <x:is>
          <x:t xml:space="preserve"/>
        </x:is>
      </x:c>
      <x:c r="I456" s="3" t="inlineStr">
        <x:is>
          <x:t xml:space="preserve">(Shadow probe) Do you review 'near misses' (suspicious behavior caught early) to improve controls, even if nothing was lost?</x:t>
        </x:is>
      </x:c>
      <x:c r="J456" s="3" t="inlineStr">
        <x:is>
          <x:t xml:space="preserve">Near-miss reviews show learning without waiting for a breach.</x:t>
        </x:is>
      </x:c>
      <x:c r="K456" s="3" t="inlineStr">
        <x:is>
          <x:t xml:space="preserve">Shadow fallback (End)</x:t>
        </x:is>
      </x:c>
      <x:c r="L456" s="3" t="inlineStr">
        <x:is>
          <x:t xml:space="preserve">OPS_STD</x:t>
        </x:is>
      </x:c>
      <x:c r="M456" s="3" t="n">
        <x:v>1</x:v>
      </x:c>
      <x:c r="N456" s="3" t="inlineStr">
        <x:is>
          <x:t xml:space="preserve"/>
        </x:is>
      </x:c>
      <x:c r="O456" s="3" t="inlineStr">
        <x:is>
          <x:t xml:space="preserve"/>
        </x:is>
      </x:c>
      <x:c r="P456" s="3" t="inlineStr">
        <x:is>
          <x:t xml:space="preserve">SEC-D9-Q26-A1</x:t>
        </x:is>
      </x:c>
      <x:c r="Q456" s="3" t="n">
        <x:v>1</x:v>
      </x:c>
      <x:c r="R456" s="3" t="inlineStr">
        <x:is>
          <x:t xml:space="preserve">No — we only review after major incidents.</x:t>
        </x:is>
      </x:c>
      <x:c r="S456" s="3" t="n">
        <x:v>0</x:v>
      </x:c>
      <x:c r="T456" s="3" t="inlineStr">
        <x:is>
          <x:t xml:space="preserve"/>
        </x:is>
      </x:c>
      <x:c r="U456" s="3" t="inlineStr">
        <x:is>
          <x:t xml:space="preserve">Resilience Gap</x:t>
        </x:is>
      </x:c>
      <x:c r="V456" s="3" t="inlineStr">
        <x:is>
          <x:t xml:space="preserve">Improve_Metrics</x:t>
        </x:is>
      </x:c>
      <x:c r="W456" s="3" t="inlineStr">
        <x:is>
          <x:t xml:space="preserve">N</x:t>
        </x:is>
      </x:c>
      <x:c r="X456" s="3" t="inlineStr">
        <x:is>
          <x:t xml:space="preserve"/>
        </x:is>
      </x:c>
      <x:c r="Y456" s="6">
        <x:f>(S456*IF(E456="G",F456,0))+(S456*IF(G456="G",H456,0))</x:f>
      </x:c>
      <x:c r="Z456" s="6">
        <x:f>(S456*IF(E456="E",F456,0))+(S456*IF(G456="E",H456,0))</x:f>
      </x:c>
      <x:c r="AA456" s="6">
        <x:f>(S456*IF(E456="T",F456,0))+(S456*IF(G456="T",H456,0))</x:f>
      </x:c>
      <x:c r="AB456" s="6">
        <x:f>(S456*IF(E456="L",F456,0))+(S456*IF(G456="L",H456,0))</x:f>
      </x:c>
      <x:c r="AC456" s="6">
        <x:f>(S456*IF(E456="H",F456,0))+(S456*IF(G456="H",H456,0))</x:f>
      </x:c>
      <x:c r="AD456" s="6">
        <x:f>(S456*IF(E456="V",F456,0))+(S456*IF(G456="V",H456,0))</x:f>
      </x:c>
      <x:c r="AE456" s="6">
        <x:f>(S456*IF(E456="R",F456,0))+(S456*IF(G456="R",H456,0))</x:f>
      </x:c>
      <x:c r="AF456" s="6">
        <x:f>(S456*IF(E456="F",F456,0))+(S456*IF(G456="F",H456,0))</x:f>
      </x:c>
      <x:c r="AG456" s="6">
        <x:f>(S456*IF(E456="W",F456,0))+(S456*IF(G456="W",H456,0))</x:f>
      </x:c>
    </x:row>
    <x:row r="457">
      <x:c r="A457" s="3" t="inlineStr">
        <x:is>
          <x:t xml:space="preserve">Security</x:t>
        </x:is>
      </x:c>
      <x:c r="B457" s="3" t="inlineStr">
        <x:is>
          <x:t xml:space="preserve">SEC-D9-Q26</x:t>
        </x:is>
      </x:c>
      <x:c r="C457" s="3" t="inlineStr">
        <x:is>
          <x:t xml:space="preserve">T2</x:t>
        </x:is>
      </x:c>
      <x:c r="D457" s="3" t="inlineStr">
        <x:is>
          <x:t xml:space="preserve">9. Metrics &amp; Continuous Improvement</x:t>
        </x:is>
      </x:c>
      <x:c r="E457" s="3" t="inlineStr">
        <x:is>
          <x:t xml:space="preserve">E</x:t>
        </x:is>
      </x:c>
      <x:c r="F457" s="3" t="n">
        <x:v>1</x:v>
      </x:c>
      <x:c r="G457" s="3" t="inlineStr">
        <x:is>
          <x:t xml:space="preserve"/>
        </x:is>
      </x:c>
      <x:c r="H457" s="3" t="inlineStr">
        <x:is>
          <x:t xml:space="preserve"/>
        </x:is>
      </x:c>
      <x:c r="I457" s="3" t="inlineStr">
        <x:is>
          <x:t xml:space="preserve">(Shadow probe) Do you review 'near misses' (suspicious behavior caught early) to improve controls, even if nothing was lost?</x:t>
        </x:is>
      </x:c>
      <x:c r="J457" s="3" t="inlineStr">
        <x:is>
          <x:t xml:space="preserve">Near-miss reviews show learning without waiting for a breach.</x:t>
        </x:is>
      </x:c>
      <x:c r="K457" s="3" t="inlineStr">
        <x:is>
          <x:t xml:space="preserve">Shadow fallback (End)</x:t>
        </x:is>
      </x:c>
      <x:c r="L457" s="3" t="inlineStr">
        <x:is>
          <x:t xml:space="preserve">OPS_STD</x:t>
        </x:is>
      </x:c>
      <x:c r="M457" s="3" t="n">
        <x:v>1</x:v>
      </x:c>
      <x:c r="N457" s="3" t="inlineStr">
        <x:is>
          <x:t xml:space="preserve"/>
        </x:is>
      </x:c>
      <x:c r="O457" s="3" t="inlineStr">
        <x:is>
          <x:t xml:space="preserve"/>
        </x:is>
      </x:c>
      <x:c r="P457" s="3" t="inlineStr">
        <x:is>
          <x:t xml:space="preserve">SEC-D9-Q26-A2</x:t>
        </x:is>
      </x:c>
      <x:c r="Q457" s="3" t="n">
        <x:v>2</x:v>
      </x:c>
      <x:c r="R457" s="3" t="inlineStr">
        <x:is>
          <x:t xml:space="preserve">Sometimes — informal reviews happen if someone remembers.</x:t>
        </x:is>
      </x:c>
      <x:c r="S457" s="3" t="n">
        <x:v>2</x:v>
      </x:c>
      <x:c r="T457" s="3" t="inlineStr">
        <x:is>
          <x:t xml:space="preserve">shadow_mature_signal</x:t>
        </x:is>
      </x:c>
      <x:c r="U457" s="3" t="inlineStr">
        <x:is>
          <x:t xml:space="preserve">Shadow Mature</x:t>
        </x:is>
      </x:c>
      <x:c r="V457" s="3" t="inlineStr">
        <x:is>
          <x:t xml:space="preserve">Capture_Informal_Practices</x:t>
        </x:is>
      </x:c>
      <x:c r="W457" s="3" t="inlineStr">
        <x:is>
          <x:t xml:space="preserve">N</x:t>
        </x:is>
      </x:c>
      <x:c r="X457" s="3" t="inlineStr">
        <x:is>
          <x:t xml:space="preserve"/>
        </x:is>
      </x:c>
      <x:c r="Y457" s="6">
        <x:f>(S457*IF(E457="G",F457,0))+(S457*IF(G457="G",H457,0))</x:f>
      </x:c>
      <x:c r="Z457" s="6">
        <x:f>(S457*IF(E457="E",F457,0))+(S457*IF(G457="E",H457,0))</x:f>
      </x:c>
      <x:c r="AA457" s="6">
        <x:f>(S457*IF(E457="T",F457,0))+(S457*IF(G457="T",H457,0))</x:f>
      </x:c>
      <x:c r="AB457" s="6">
        <x:f>(S457*IF(E457="L",F457,0))+(S457*IF(G457="L",H457,0))</x:f>
      </x:c>
      <x:c r="AC457" s="6">
        <x:f>(S457*IF(E457="H",F457,0))+(S457*IF(G457="H",H457,0))</x:f>
      </x:c>
      <x:c r="AD457" s="6">
        <x:f>(S457*IF(E457="V",F457,0))+(S457*IF(G457="V",H457,0))</x:f>
      </x:c>
      <x:c r="AE457" s="6">
        <x:f>(S457*IF(E457="R",F457,0))+(S457*IF(G457="R",H457,0))</x:f>
      </x:c>
      <x:c r="AF457" s="6">
        <x:f>(S457*IF(E457="F",F457,0))+(S457*IF(G457="F",H457,0))</x:f>
      </x:c>
      <x:c r="AG457" s="6">
        <x:f>(S457*IF(E457="W",F457,0))+(S457*IF(G457="W",H457,0))</x:f>
      </x:c>
    </x:row>
    <x:row r="458">
      <x:c r="A458" s="3" t="inlineStr">
        <x:is>
          <x:t xml:space="preserve">Security</x:t>
        </x:is>
      </x:c>
      <x:c r="B458" s="3" t="inlineStr">
        <x:is>
          <x:t xml:space="preserve">SEC-D9-Q26</x:t>
        </x:is>
      </x:c>
      <x:c r="C458" s="3" t="inlineStr">
        <x:is>
          <x:t xml:space="preserve">T2</x:t>
        </x:is>
      </x:c>
      <x:c r="D458" s="3" t="inlineStr">
        <x:is>
          <x:t xml:space="preserve">9. Metrics &amp; Continuous Improvement</x:t>
        </x:is>
      </x:c>
      <x:c r="E458" s="3" t="inlineStr">
        <x:is>
          <x:t xml:space="preserve">E</x:t>
        </x:is>
      </x:c>
      <x:c r="F458" s="3" t="n">
        <x:v>1</x:v>
      </x:c>
      <x:c r="G458" s="3" t="inlineStr">
        <x:is>
          <x:t xml:space="preserve"/>
        </x:is>
      </x:c>
      <x:c r="H458" s="3" t="inlineStr">
        <x:is>
          <x:t xml:space="preserve"/>
        </x:is>
      </x:c>
      <x:c r="I458" s="3" t="inlineStr">
        <x:is>
          <x:t xml:space="preserve">(Shadow probe) Do you review 'near misses' (suspicious behavior caught early) to improve controls, even if nothing was lost?</x:t>
        </x:is>
      </x:c>
      <x:c r="J458" s="3" t="inlineStr">
        <x:is>
          <x:t xml:space="preserve">Near-miss reviews show learning without waiting for a breach.</x:t>
        </x:is>
      </x:c>
      <x:c r="K458" s="3" t="inlineStr">
        <x:is>
          <x:t xml:space="preserve">Shadow fallback (End)</x:t>
        </x:is>
      </x:c>
      <x:c r="L458" s="3" t="inlineStr">
        <x:is>
          <x:t xml:space="preserve">OPS_STD</x:t>
        </x:is>
      </x:c>
      <x:c r="M458" s="3" t="n">
        <x:v>1</x:v>
      </x:c>
      <x:c r="N458" s="3" t="inlineStr">
        <x:is>
          <x:t xml:space="preserve"/>
        </x:is>
      </x:c>
      <x:c r="O458" s="3" t="inlineStr">
        <x:is>
          <x:t xml:space="preserve"/>
        </x:is>
      </x:c>
      <x:c r="P458" s="3" t="inlineStr">
        <x:is>
          <x:t xml:space="preserve">SEC-D9-Q26-A3</x:t>
        </x:is>
      </x:c>
      <x:c r="Q458" s="3" t="n">
        <x:v>3</x:v>
      </x:c>
      <x:c r="R458" s="3" t="inlineStr">
        <x:is>
          <x:t xml:space="preserve">Yes — near misses are logged and reviewed to drive tuning and training.</x:t>
        </x:is>
      </x:c>
      <x:c r="S458" s="3" t="n">
        <x:v>3</x:v>
      </x:c>
      <x:c r="T458" s="3" t="inlineStr">
        <x:is>
          <x:t xml:space="preserve"/>
        </x:is>
      </x:c>
      <x:c r="U458" s="3" t="inlineStr">
        <x:is>
          <x:t xml:space="preserve">Resilience Gap</x:t>
        </x:is>
      </x:c>
      <x:c r="V458" s="3" t="inlineStr">
        <x:is>
          <x:t xml:space="preserve">Improve_Metrics</x:t>
        </x:is>
      </x:c>
      <x:c r="W458" s="3" t="inlineStr">
        <x:is>
          <x:t xml:space="preserve">Y</x:t>
        </x:is>
      </x:c>
      <x:c r="X458" s="3" t="inlineStr">
        <x:is>
          <x:t xml:space="preserve">Example near-miss record (redacted).</x:t>
        </x:is>
      </x:c>
      <x:c r="Y458" s="6">
        <x:f>(S458*IF(E458="G",F458,0))+(S458*IF(G458="G",H458,0))</x:f>
      </x:c>
      <x:c r="Z458" s="6">
        <x:f>(S458*IF(E458="E",F458,0))+(S458*IF(G458="E",H458,0))</x:f>
      </x:c>
      <x:c r="AA458" s="6">
        <x:f>(S458*IF(E458="T",F458,0))+(S458*IF(G458="T",H458,0))</x:f>
      </x:c>
      <x:c r="AB458" s="6">
        <x:f>(S458*IF(E458="L",F458,0))+(S458*IF(G458="L",H458,0))</x:f>
      </x:c>
      <x:c r="AC458" s="6">
        <x:f>(S458*IF(E458="H",F458,0))+(S458*IF(G458="H",H458,0))</x:f>
      </x:c>
      <x:c r="AD458" s="6">
        <x:f>(S458*IF(E458="V",F458,0))+(S458*IF(G458="V",H458,0))</x:f>
      </x:c>
      <x:c r="AE458" s="6">
        <x:f>(S458*IF(E458="R",F458,0))+(S458*IF(G458="R",H458,0))</x:f>
      </x:c>
      <x:c r="AF458" s="6">
        <x:f>(S458*IF(E458="F",F458,0))+(S458*IF(G458="F",H458,0))</x:f>
      </x:c>
      <x:c r="AG458" s="6">
        <x:f>(S458*IF(E458="W",F458,0))+(S458*IF(G458="W",H458,0))</x:f>
      </x:c>
    </x:row>
    <x:row r="459">
      <x:c r="A459" s="3" t="inlineStr">
        <x:is>
          <x:t xml:space="preserve">Security</x:t>
        </x:is>
      </x:c>
      <x:c r="B459" s="3" t="inlineStr">
        <x:is>
          <x:t xml:space="preserve">SEC-D9-Q27</x:t>
        </x:is>
      </x:c>
      <x:c r="C459" s="3" t="inlineStr">
        <x:is>
          <x:t xml:space="preserve">T3</x:t>
        </x:is>
      </x:c>
      <x:c r="D459" s="3" t="inlineStr">
        <x:is>
          <x:t xml:space="preserve">9. Metrics &amp; Continuous Improvement</x:t>
        </x:is>
      </x:c>
      <x:c r="E459" s="3" t="inlineStr">
        <x:is>
          <x:t xml:space="preserve">T</x:t>
        </x:is>
      </x:c>
      <x:c r="F459" s="3" t="n">
        <x:v>0.5</x:v>
      </x:c>
      <x:c r="G459" s="3" t="inlineStr">
        <x:is>
          <x:t xml:space="preserve">E</x:t>
        </x:is>
      </x:c>
      <x:c r="H459" s="3" t="n">
        <x:v>0.5</x:v>
      </x:c>
      <x:c r="I459" s="3" t="inlineStr">
        <x:is>
          <x:t xml:space="preserve">Is detection quality periodically tested (simulations, controlled tests, red/purple exercises) to reduce blind spots?</x:t>
        </x:is>
      </x:c>
      <x:c r="J459" s="3" t="inlineStr">
        <x:is>
          <x:t xml:space="preserve">This can be lightweight: test a few scenarios, verify alerts fire, and verify investigation time is within expectations.</x:t>
        </x:is>
      </x:c>
      <x:c r="K459" s="3" t="inlineStr">
        <x:is>
          <x:t xml:space="preserve">Business-proofing</x:t>
        </x:is>
      </x:c>
      <x:c r="L459" s="3" t="inlineStr">
        <x:is>
          <x:t xml:space="preserve">OPS_STD</x:t>
        </x:is>
      </x:c>
      <x:c r="M459" s="3" t="n">
        <x:v>1.2</x:v>
      </x:c>
      <x:c r="N459" s="3" t="inlineStr">
        <x:is>
          <x:t xml:space="preserve"/>
        </x:is>
      </x:c>
      <x:c r="O459" s="3" t="inlineStr">
        <x:is>
          <x:t xml:space="preserve"/>
        </x:is>
      </x:c>
      <x:c r="P459" s="3" t="inlineStr">
        <x:is>
          <x:t xml:space="preserve">SEC-D9-Q27-A1</x:t>
        </x:is>
      </x:c>
      <x:c r="Q459" s="3" t="n">
        <x:v>1</x:v>
      </x:c>
      <x:c r="R459" s="3" t="inlineStr">
        <x:is>
          <x:t xml:space="preserve">No — we assume detections work once enabled.</x:t>
        </x:is>
      </x:c>
      <x:c r="S459" s="3" t="n">
        <x:v>0</x:v>
      </x:c>
      <x:c r="T459" s="3" t="inlineStr">
        <x:is>
          <x:t xml:space="preserve">paper_dragon_signal</x:t>
        </x:is>
      </x:c>
      <x:c r="U459" s="3" t="inlineStr">
        <x:is>
          <x:t xml:space="preserve">Paper Dragon</x:t>
        </x:is>
      </x:c>
      <x:c r="V459" s="3" t="inlineStr">
        <x:is>
          <x:t xml:space="preserve">Plan_Assurance</x:t>
        </x:is>
      </x:c>
      <x:c r="W459" s="3" t="inlineStr">
        <x:is>
          <x:t xml:space="preserve">N</x:t>
        </x:is>
      </x:c>
      <x:c r="X459" s="3" t="inlineStr">
        <x:is>
          <x:t xml:space="preserve"/>
        </x:is>
      </x:c>
      <x:c r="Y459" s="6">
        <x:f>(S459*IF(E459="G",F459,0))+(S459*IF(G459="G",H459,0))</x:f>
      </x:c>
      <x:c r="Z459" s="6">
        <x:f>(S459*IF(E459="E",F459,0))+(S459*IF(G459="E",H459,0))</x:f>
      </x:c>
      <x:c r="AA459" s="6">
        <x:f>(S459*IF(E459="T",F459,0))+(S459*IF(G459="T",H459,0))</x:f>
      </x:c>
      <x:c r="AB459" s="6">
        <x:f>(S459*IF(E459="L",F459,0))+(S459*IF(G459="L",H459,0))</x:f>
      </x:c>
      <x:c r="AC459" s="6">
        <x:f>(S459*IF(E459="H",F459,0))+(S459*IF(G459="H",H459,0))</x:f>
      </x:c>
      <x:c r="AD459" s="6">
        <x:f>(S459*IF(E459="V",F459,0))+(S459*IF(G459="V",H459,0))</x:f>
      </x:c>
      <x:c r="AE459" s="6">
        <x:f>(S459*IF(E459="R",F459,0))+(S459*IF(G459="R",H459,0))</x:f>
      </x:c>
      <x:c r="AF459" s="6">
        <x:f>(S459*IF(E459="F",F459,0))+(S459*IF(G459="F",H459,0))</x:f>
      </x:c>
      <x:c r="AG459" s="6">
        <x:f>(S459*IF(E459="W",F459,0))+(S459*IF(G459="W",H459,0))</x:f>
      </x:c>
    </x:row>
    <x:row r="460">
      <x:c r="A460" s="3" t="inlineStr">
        <x:is>
          <x:t xml:space="preserve">Security</x:t>
        </x:is>
      </x:c>
      <x:c r="B460" s="3" t="inlineStr">
        <x:is>
          <x:t xml:space="preserve">SEC-D9-Q27</x:t>
        </x:is>
      </x:c>
      <x:c r="C460" s="3" t="inlineStr">
        <x:is>
          <x:t xml:space="preserve">T3</x:t>
        </x:is>
      </x:c>
      <x:c r="D460" s="3" t="inlineStr">
        <x:is>
          <x:t xml:space="preserve">9. Metrics &amp; Continuous Improvement</x:t>
        </x:is>
      </x:c>
      <x:c r="E460" s="3" t="inlineStr">
        <x:is>
          <x:t xml:space="preserve">T</x:t>
        </x:is>
      </x:c>
      <x:c r="F460" s="3" t="n">
        <x:v>0.5</x:v>
      </x:c>
      <x:c r="G460" s="3" t="inlineStr">
        <x:is>
          <x:t xml:space="preserve">E</x:t>
        </x:is>
      </x:c>
      <x:c r="H460" s="3" t="n">
        <x:v>0.5</x:v>
      </x:c>
      <x:c r="I460" s="3" t="inlineStr">
        <x:is>
          <x:t xml:space="preserve">Is detection quality periodically tested (simulations, controlled tests, red/purple exercises) to reduce blind spots?</x:t>
        </x:is>
      </x:c>
      <x:c r="J460" s="3" t="inlineStr">
        <x:is>
          <x:t xml:space="preserve">This can be lightweight: test a few scenarios, verify alerts fire, and verify investigation time is within expectations.</x:t>
        </x:is>
      </x:c>
      <x:c r="K460" s="3" t="inlineStr">
        <x:is>
          <x:t xml:space="preserve">Business-proofing</x:t>
        </x:is>
      </x:c>
      <x:c r="L460" s="3" t="inlineStr">
        <x:is>
          <x:t xml:space="preserve">OPS_STD</x:t>
        </x:is>
      </x:c>
      <x:c r="M460" s="3" t="n">
        <x:v>1.2</x:v>
      </x:c>
      <x:c r="N460" s="3" t="inlineStr">
        <x:is>
          <x:t xml:space="preserve"/>
        </x:is>
      </x:c>
      <x:c r="O460" s="3" t="inlineStr">
        <x:is>
          <x:t xml:space="preserve"/>
        </x:is>
      </x:c>
      <x:c r="P460" s="3" t="inlineStr">
        <x:is>
          <x:t xml:space="preserve">SEC-D9-Q27-A2</x:t>
        </x:is>
      </x:c>
      <x:c r="Q460" s="3" t="n">
        <x:v>2</x:v>
      </x:c>
      <x:c r="R460" s="3" t="inlineStr">
        <x:is>
          <x:t xml:space="preserve">Occasionally — tests happen after incidents or audits.</x:t>
        </x:is>
      </x:c>
      <x:c r="S460" s="3" t="n">
        <x:v>2</x:v>
      </x:c>
      <x:c r="T460" s="3" t="inlineStr">
        <x:is>
          <x:t xml:space="preserve"/>
        </x:is>
      </x:c>
      <x:c r="U460" s="3" t="inlineStr">
        <x:is>
          <x:t xml:space="preserve">Operating Model Gap</x:t>
        </x:is>
      </x:c>
      <x:c r="V460" s="3" t="inlineStr">
        <x:is>
          <x:t xml:space="preserve">Plan_Assurance</x:t>
        </x:is>
      </x:c>
      <x:c r="W460" s="3" t="inlineStr">
        <x:is>
          <x:t xml:space="preserve">N</x:t>
        </x:is>
      </x:c>
      <x:c r="X460" s="3" t="inlineStr">
        <x:is>
          <x:t xml:space="preserve"/>
        </x:is>
      </x:c>
      <x:c r="Y460" s="6">
        <x:f>(S460*IF(E460="G",F460,0))+(S460*IF(G460="G",H460,0))</x:f>
      </x:c>
      <x:c r="Z460" s="6">
        <x:f>(S460*IF(E460="E",F460,0))+(S460*IF(G460="E",H460,0))</x:f>
      </x:c>
      <x:c r="AA460" s="6">
        <x:f>(S460*IF(E460="T",F460,0))+(S460*IF(G460="T",H460,0))</x:f>
      </x:c>
      <x:c r="AB460" s="6">
        <x:f>(S460*IF(E460="L",F460,0))+(S460*IF(G460="L",H460,0))</x:f>
      </x:c>
      <x:c r="AC460" s="6">
        <x:f>(S460*IF(E460="H",F460,0))+(S460*IF(G460="H",H460,0))</x:f>
      </x:c>
      <x:c r="AD460" s="6">
        <x:f>(S460*IF(E460="V",F460,0))+(S460*IF(G460="V",H460,0))</x:f>
      </x:c>
      <x:c r="AE460" s="6">
        <x:f>(S460*IF(E460="R",F460,0))+(S460*IF(G460="R",H460,0))</x:f>
      </x:c>
      <x:c r="AF460" s="6">
        <x:f>(S460*IF(E460="F",F460,0))+(S460*IF(G460="F",H460,0))</x:f>
      </x:c>
      <x:c r="AG460" s="6">
        <x:f>(S460*IF(E460="W",F460,0))+(S460*IF(G460="W",H460,0))</x:f>
      </x:c>
    </x:row>
    <x:row r="461">
      <x:c r="A461" s="3" t="inlineStr">
        <x:is>
          <x:t xml:space="preserve">Security</x:t>
        </x:is>
      </x:c>
      <x:c r="B461" s="3" t="inlineStr">
        <x:is>
          <x:t xml:space="preserve">SEC-D9-Q27</x:t>
        </x:is>
      </x:c>
      <x:c r="C461" s="3" t="inlineStr">
        <x:is>
          <x:t xml:space="preserve">T3</x:t>
        </x:is>
      </x:c>
      <x:c r="D461" s="3" t="inlineStr">
        <x:is>
          <x:t xml:space="preserve">9. Metrics &amp; Continuous Improvement</x:t>
        </x:is>
      </x:c>
      <x:c r="E461" s="3" t="inlineStr">
        <x:is>
          <x:t xml:space="preserve">T</x:t>
        </x:is>
      </x:c>
      <x:c r="F461" s="3" t="n">
        <x:v>0.5</x:v>
      </x:c>
      <x:c r="G461" s="3" t="inlineStr">
        <x:is>
          <x:t xml:space="preserve">E</x:t>
        </x:is>
      </x:c>
      <x:c r="H461" s="3" t="n">
        <x:v>0.5</x:v>
      </x:c>
      <x:c r="I461" s="3" t="inlineStr">
        <x:is>
          <x:t xml:space="preserve">Is detection quality periodically tested (simulations, controlled tests, red/purple exercises) to reduce blind spots?</x:t>
        </x:is>
      </x:c>
      <x:c r="J461" s="3" t="inlineStr">
        <x:is>
          <x:t xml:space="preserve">This can be lightweight: test a few scenarios, verify alerts fire, and verify investigation time is within expectations.</x:t>
        </x:is>
      </x:c>
      <x:c r="K461" s="3" t="inlineStr">
        <x:is>
          <x:t xml:space="preserve">Business-proofing</x:t>
        </x:is>
      </x:c>
      <x:c r="L461" s="3" t="inlineStr">
        <x:is>
          <x:t xml:space="preserve">OPS_STD</x:t>
        </x:is>
      </x:c>
      <x:c r="M461" s="3" t="n">
        <x:v>1.2</x:v>
      </x:c>
      <x:c r="N461" s="3" t="inlineStr">
        <x:is>
          <x:t xml:space="preserve"/>
        </x:is>
      </x:c>
      <x:c r="O461" s="3" t="inlineStr">
        <x:is>
          <x:t xml:space="preserve"/>
        </x:is>
      </x:c>
      <x:c r="P461" s="3" t="inlineStr">
        <x:is>
          <x:t xml:space="preserve">SEC-D9-Q27-A3</x:t>
        </x:is>
      </x:c>
      <x:c r="Q461" s="3" t="n">
        <x:v>3</x:v>
      </x:c>
      <x:c r="R461" s="3" t="inlineStr">
        <x:is>
          <x:t xml:space="preserve">Yes — scheduled tests exist and results feed improvements.</x:t>
        </x:is>
      </x:c>
      <x:c r="S461" s="3" t="n">
        <x:v>3</x:v>
      </x:c>
      <x:c r="T461" s="3" t="inlineStr">
        <x:is>
          <x:t xml:space="preserve"/>
        </x:is>
      </x:c>
      <x:c r="U461" s="3" t="inlineStr">
        <x:is>
          <x:t xml:space="preserve">Resilience Gap</x:t>
        </x:is>
      </x:c>
      <x:c r="V461" s="3" t="inlineStr">
        <x:is>
          <x:t xml:space="preserve">Plan_Assurance</x:t>
        </x:is>
      </x:c>
      <x:c r="W461" s="3" t="inlineStr">
        <x:is>
          <x:t xml:space="preserve">Y</x:t>
        </x:is>
      </x:c>
      <x:c r="X461" s="3" t="inlineStr">
        <x:is>
          <x:t xml:space="preserve">Last test summary (redacted).</x:t>
        </x:is>
      </x:c>
      <x:c r="Y461" s="6">
        <x:f>(S461*IF(E461="G",F461,0))+(S461*IF(G461="G",H461,0))</x:f>
      </x:c>
      <x:c r="Z461" s="6">
        <x:f>(S461*IF(E461="E",F461,0))+(S461*IF(G461="E",H461,0))</x:f>
      </x:c>
      <x:c r="AA461" s="6">
        <x:f>(S461*IF(E461="T",F461,0))+(S461*IF(G461="T",H461,0))</x:f>
      </x:c>
      <x:c r="AB461" s="6">
        <x:f>(S461*IF(E461="L",F461,0))+(S461*IF(G461="L",H461,0))</x:f>
      </x:c>
      <x:c r="AC461" s="6">
        <x:f>(S461*IF(E461="H",F461,0))+(S461*IF(G461="H",H461,0))</x:f>
      </x:c>
      <x:c r="AD461" s="6">
        <x:f>(S461*IF(E461="V",F461,0))+(S461*IF(G461="V",H461,0))</x:f>
      </x:c>
      <x:c r="AE461" s="6">
        <x:f>(S461*IF(E461="R",F461,0))+(S461*IF(G461="R",H461,0))</x:f>
      </x:c>
      <x:c r="AF461" s="6">
        <x:f>(S461*IF(E461="F",F461,0))+(S461*IF(G461="F",H461,0))</x:f>
      </x:c>
      <x:c r="AG461" s="6">
        <x:f>(S461*IF(E461="W",F461,0))+(S461*IF(G461="W",H461,0))</x:f>
      </x:c>
    </x:row>
    <x:row r="462">
      <x:c r="A462" s="3" t="inlineStr">
        <x:is>
          <x:t xml:space="preserve">Security</x:t>
        </x:is>
      </x:c>
      <x:c r="B462" s="3" t="inlineStr">
        <x:is>
          <x:t xml:space="preserve">SEC-D9-Q27</x:t>
        </x:is>
      </x:c>
      <x:c r="C462" s="3" t="inlineStr">
        <x:is>
          <x:t xml:space="preserve">T3</x:t>
        </x:is>
      </x:c>
      <x:c r="D462" s="3" t="inlineStr">
        <x:is>
          <x:t xml:space="preserve">9. Metrics &amp; Continuous Improvement</x:t>
        </x:is>
      </x:c>
      <x:c r="E462" s="3" t="inlineStr">
        <x:is>
          <x:t xml:space="preserve">T</x:t>
        </x:is>
      </x:c>
      <x:c r="F462" s="3" t="n">
        <x:v>0.5</x:v>
      </x:c>
      <x:c r="G462" s="3" t="inlineStr">
        <x:is>
          <x:t xml:space="preserve">E</x:t>
        </x:is>
      </x:c>
      <x:c r="H462" s="3" t="n">
        <x:v>0.5</x:v>
      </x:c>
      <x:c r="I462" s="3" t="inlineStr">
        <x:is>
          <x:t xml:space="preserve">Is detection quality periodically tested (simulations, controlled tests, red/purple exercises) to reduce blind spots?</x:t>
        </x:is>
      </x:c>
      <x:c r="J462" s="3" t="inlineStr">
        <x:is>
          <x:t xml:space="preserve">This can be lightweight: test a few scenarios, verify alerts fire, and verify investigation time is within expectations.</x:t>
        </x:is>
      </x:c>
      <x:c r="K462" s="3" t="inlineStr">
        <x:is>
          <x:t xml:space="preserve">Business-proofing</x:t>
        </x:is>
      </x:c>
      <x:c r="L462" s="3" t="inlineStr">
        <x:is>
          <x:t xml:space="preserve">OPS_STD</x:t>
        </x:is>
      </x:c>
      <x:c r="M462" s="3" t="n">
        <x:v>1.2</x:v>
      </x:c>
      <x:c r="N462" s="3" t="inlineStr">
        <x:is>
          <x:t xml:space="preserve"/>
        </x:is>
      </x:c>
      <x:c r="O462" s="3" t="inlineStr">
        <x:is>
          <x:t xml:space="preserve"/>
        </x:is>
      </x:c>
      <x:c r="P462" s="3" t="inlineStr">
        <x:is>
          <x:t xml:space="preserve">SEC-D9-Q27-A4</x:t>
        </x:is>
      </x:c>
      <x:c r="Q462" s="3" t="n">
        <x:v>4</x:v>
      </x:c>
      <x:c r="R462" s="3" t="inlineStr">
        <x:is>
          <x:t xml:space="preserve">Optimized: independent/bias‑reduced testing and continuous validation of high‑risk detections.</x:t>
        </x:is>
      </x:c>
      <x:c r="S462" s="3" t="n">
        <x:v>4</x:v>
      </x:c>
      <x:c r="T462" s="3" t="inlineStr">
        <x:is>
          <x:t xml:space="preserve"/>
        </x:is>
      </x:c>
      <x:c r="U462" s="3" t="inlineStr">
        <x:is>
          <x:t xml:space="preserve">Resilience Gap</x:t>
        </x:is>
      </x:c>
      <x:c r="V462" s="3" t="inlineStr">
        <x:is>
          <x:t xml:space="preserve">Plan_Assurance</x:t>
        </x:is>
      </x:c>
      <x:c r="W462" s="3" t="inlineStr">
        <x:is>
          <x:t xml:space="preserve">Y</x:t>
        </x:is>
      </x:c>
      <x:c r="X462" s="3" t="inlineStr">
        <x:is>
          <x:t xml:space="preserve">Test program overview.</x:t>
        </x:is>
      </x:c>
      <x:c r="Y462" s="6">
        <x:f>(S462*IF(E462="G",F462,0))+(S462*IF(G462="G",H462,0))</x:f>
      </x:c>
      <x:c r="Z462" s="6">
        <x:f>(S462*IF(E462="E",F462,0))+(S462*IF(G462="E",H462,0))</x:f>
      </x:c>
      <x:c r="AA462" s="6">
        <x:f>(S462*IF(E462="T",F462,0))+(S462*IF(G462="T",H462,0))</x:f>
      </x:c>
      <x:c r="AB462" s="6">
        <x:f>(S462*IF(E462="L",F462,0))+(S462*IF(G462="L",H462,0))</x:f>
      </x:c>
      <x:c r="AC462" s="6">
        <x:f>(S462*IF(E462="H",F462,0))+(S462*IF(G462="H",H462,0))</x:f>
      </x:c>
      <x:c r="AD462" s="6">
        <x:f>(S462*IF(E462="V",F462,0))+(S462*IF(G462="V",H462,0))</x:f>
      </x:c>
      <x:c r="AE462" s="6">
        <x:f>(S462*IF(E462="R",F462,0))+(S462*IF(G462="R",H462,0))</x:f>
      </x:c>
      <x:c r="AF462" s="6">
        <x:f>(S462*IF(E462="F",F462,0))+(S462*IF(G462="F",H462,0))</x:f>
      </x:c>
      <x:c r="AG462" s="6">
        <x:f>(S462*IF(E462="W",F462,0))+(S462*IF(G462="W",H462,0))</x:f>
      </x:c>
    </x:row>
    <x:row r="463">
      <x:c r="A463" s="3" t="inlineStr">
        <x:is>
          <x:t xml:space="preserve">Security</x:t>
        </x:is>
      </x:c>
      <x:c r="B463" s="3" t="inlineStr">
        <x:is>
          <x:t xml:space="preserve">SEC-D10-Q28</x:t>
        </x:is>
      </x:c>
      <x:c r="C463" s="3" t="inlineStr">
        <x:is>
          <x:t xml:space="preserve">T3</x:t>
        </x:is>
      </x:c>
      <x:c r="D463" s="3" t="inlineStr">
        <x:is>
          <x:t xml:space="preserve">10. Deep Technical Drill‑down (Optional Annex)</x:t>
        </x:is>
      </x:c>
      <x:c r="E463" s="3" t="inlineStr">
        <x:is>
          <x:t xml:space="preserve">T</x:t>
        </x:is>
      </x:c>
      <x:c r="F463" s="3" t="n">
        <x:v>0.6</x:v>
      </x:c>
      <x:c r="G463" s="3" t="inlineStr">
        <x:is>
          <x:t xml:space="preserve">V</x:t>
        </x:is>
      </x:c>
      <x:c r="H463" s="3" t="n">
        <x:v>0.4</x:v>
      </x:c>
      <x:c r="I463" s="3" t="inlineStr">
        <x:is>
          <x:t xml:space="preserve">For the systems that matter most (email, file sharing, finance/ERP, source code, key databases), how complete is your log collection for insider investigations?</x:t>
        </x:is>
      </x:c>
      <x:c r="J463" s="3" t="inlineStr">
        <x:is>
          <x:t xml:space="preserve">Logs = activity records that show who did what, when, and from where. Focus on coverage: endpoints/laptops, servers, cloud services, and SaaS. If you’re unsure, choose the closest option.</x:t>
        </x:is>
      </x:c>
      <x:c r="K463" s="3" t="inlineStr">
        <x:is>
          <x:t xml:space="preserve">Optional Annex (Ask in Full/Deep mode OR if SEC-D2-Q04 BaseScore ≥ 2).</x:t>
        </x:is>
      </x:c>
      <x:c r="L463" s="3" t="inlineStr">
        <x:is>
          <x:t xml:space="preserve">OPS_STD</x:t>
        </x:is>
      </x:c>
      <x:c r="M463" s="3" t="n">
        <x:v>1.5</x:v>
      </x:c>
      <x:c r="N463" s="3" t="n">
        <x:v>0.5</x:v>
      </x:c>
      <x:c r="O463" s="3" t="n"/>
      <x:c r="P463" s="3" t="inlineStr">
        <x:is>
          <x:t xml:space="preserve">SEC-D10-Q28-A0</x:t>
        </x:is>
      </x:c>
      <x:c r="Q463" s="3" t="n">
        <x:v>1</x:v>
      </x:c>
      <x:c r="R463" s="3" t="inlineStr">
        <x:is>
          <x:t xml:space="preserve">I don’t know / not sure.</x:t>
        </x:is>
      </x:c>
      <x:c r="S463" s="3" t="n">
        <x:v>0</x:v>
      </x:c>
      <x:c r="T463" s="3" t="inlineStr">
        <x:is>
          <x:t xml:space="preserve">unknown</x:t>
        </x:is>
      </x:c>
      <x:c r="U463" s="3" t="inlineStr">
        <x:is>
          <x:t xml:space="preserve">Unknown</x:t>
        </x:is>
      </x:c>
      <x:c r="V463" s="3" t="inlineStr">
        <x:is>
          <x:t xml:space="preserve">Clarify_Stakeholders</x:t>
        </x:is>
      </x:c>
      <x:c r="W463" s="3" t="inlineStr">
        <x:is>
          <x:t xml:space="preserve">N</x:t>
        </x:is>
      </x:c>
      <x:c r="X463" s="3" t="inlineStr">
        <x:is>
          <x:t xml:space="preserve">None</x:t>
        </x:is>
      </x:c>
      <x:c r="Y463" s="6">
        <x:f>(S463*IF(E463="G",F463,0))+(S463*IF(G463="G",H463,0))</x:f>
      </x:c>
      <x:c r="Z463" s="6">
        <x:f>(S463*IF(E463="E",F463,0))+(S463*IF(G463="E",H463,0))</x:f>
      </x:c>
      <x:c r="AA463" s="6">
        <x:f>(S463*IF(E463="T",F463,0))+(S463*IF(G463="T",H463,0))</x:f>
      </x:c>
      <x:c r="AB463" s="6">
        <x:f>(S463*IF(E463="L",F463,0))+(S463*IF(G463="L",H463,0))</x:f>
      </x:c>
      <x:c r="AC463" s="6">
        <x:f>(S463*IF(E463="H",F463,0))+(S463*IF(G463="H",H463,0))</x:f>
      </x:c>
      <x:c r="AD463" s="6">
        <x:f>(S463*IF(E463="V",F463,0))+(S463*IF(G463="V",H463,0))</x:f>
      </x:c>
      <x:c r="AE463" s="6">
        <x:f>(S463*IF(E463="R",F463,0))+(S463*IF(G463="R",H463,0))</x:f>
      </x:c>
      <x:c r="AF463" s="6">
        <x:f>(S463*IF(E463="F",F463,0))+(S463*IF(G463="F",H463,0))</x:f>
      </x:c>
      <x:c r="AG463" s="6">
        <x:f>(S463*IF(E463="W",F463,0))+(S463*IF(G463="W",H463,0))</x:f>
      </x:c>
    </x:row>
    <x:row r="464">
      <x:c r="A464" s="3" t="inlineStr">
        <x:is>
          <x:t xml:space="preserve">Security</x:t>
        </x:is>
      </x:c>
      <x:c r="B464" s="3" t="inlineStr">
        <x:is>
          <x:t xml:space="preserve">SEC-D10-Q28</x:t>
        </x:is>
      </x:c>
      <x:c r="C464" s="3" t="inlineStr">
        <x:is>
          <x:t xml:space="preserve">T3</x:t>
        </x:is>
      </x:c>
      <x:c r="D464" s="3" t="inlineStr">
        <x:is>
          <x:t xml:space="preserve">10. Deep Technical Drill‑down (Optional Annex)</x:t>
        </x:is>
      </x:c>
      <x:c r="E464" s="3" t="inlineStr">
        <x:is>
          <x:t xml:space="preserve">T</x:t>
        </x:is>
      </x:c>
      <x:c r="F464" s="3" t="n">
        <x:v>0.6</x:v>
      </x:c>
      <x:c r="G464" s="3" t="inlineStr">
        <x:is>
          <x:t xml:space="preserve">V</x:t>
        </x:is>
      </x:c>
      <x:c r="H464" s="3" t="n">
        <x:v>0.4</x:v>
      </x:c>
      <x:c r="I464" s="3" t="inlineStr">
        <x:is>
          <x:t xml:space="preserve">For the systems that matter most (email, file sharing, finance/ERP, source code, key databases), how complete is your log collection for insider investigations?</x:t>
        </x:is>
      </x:c>
      <x:c r="J464" s="3" t="inlineStr">
        <x:is>
          <x:t xml:space="preserve">Logs = activity records that show who did what, when, and from where. Focus on coverage: endpoints/laptops, servers, cloud services, and SaaS. If you’re unsure, choose the closest option.</x:t>
        </x:is>
      </x:c>
      <x:c r="K464" s="3" t="inlineStr">
        <x:is>
          <x:t xml:space="preserve">Optional Annex (Ask in Full/Deep mode OR if SEC-D2-Q04 BaseScore ≥ 2).</x:t>
        </x:is>
      </x:c>
      <x:c r="L464" s="3" t="inlineStr">
        <x:is>
          <x:t xml:space="preserve">OPS_STD</x:t>
        </x:is>
      </x:c>
      <x:c r="M464" s="3" t="n">
        <x:v>1.5</x:v>
      </x:c>
      <x:c r="N464" s="3" t="n">
        <x:v>0.5</x:v>
      </x:c>
      <x:c r="O464" s="3" t="n"/>
      <x:c r="P464" s="3" t="inlineStr">
        <x:is>
          <x:t xml:space="preserve">SEC-D10-Q28-A1</x:t>
        </x:is>
      </x:c>
      <x:c r="Q464" s="3" t="n">
        <x:v>2</x:v>
      </x:c>
      <x:c r="R464" s="3" t="inlineStr">
        <x:is>
          <x:t xml:space="preserve">We don’t have a clear list of which logs exist; coverage is patchy and mostly limited to a few systems.</x:t>
        </x:is>
      </x:c>
      <x:c r="S464" s="3" t="n">
        <x:v>0</x:v>
      </x:c>
      <x:c r="T464" s="3" t="inlineStr">
        <x:is>
          <x:t xml:space="preserve">foundational_gap,visibility_gap</x:t>
        </x:is>
      </x:c>
      <x:c r="U464" s="3" t="inlineStr">
        <x:is>
          <x:t xml:space="preserve">Visibility Gap</x:t>
        </x:is>
      </x:c>
      <x:c r="V464" s="3" t="inlineStr">
        <x:is>
          <x:t xml:space="preserve">Assess_Detection</x:t>
        </x:is>
      </x:c>
      <x:c r="W464" s="3" t="inlineStr">
        <x:is>
          <x:t xml:space="preserve">N</x:t>
        </x:is>
      </x:c>
      <x:c r="X464" s="3" t="inlineStr">
        <x:is>
          <x:t xml:space="preserve">Log source inventory (if any)</x:t>
        </x:is>
      </x:c>
      <x:c r="Y464" s="6">
        <x:f>(S464*IF(E464="G",F464,0))+(S464*IF(G464="G",H464,0))</x:f>
      </x:c>
      <x:c r="Z464" s="6">
        <x:f>(S464*IF(E464="E",F464,0))+(S464*IF(G464="E",H464,0))</x:f>
      </x:c>
      <x:c r="AA464" s="6">
        <x:f>(S464*IF(E464="T",F464,0))+(S464*IF(G464="T",H464,0))</x:f>
      </x:c>
      <x:c r="AB464" s="6">
        <x:f>(S464*IF(E464="L",F464,0))+(S464*IF(G464="L",H464,0))</x:f>
      </x:c>
      <x:c r="AC464" s="6">
        <x:f>(S464*IF(E464="H",F464,0))+(S464*IF(G464="H",H464,0))</x:f>
      </x:c>
      <x:c r="AD464" s="6">
        <x:f>(S464*IF(E464="V",F464,0))+(S464*IF(G464="V",H464,0))</x:f>
      </x:c>
      <x:c r="AE464" s="6">
        <x:f>(S464*IF(E464="R",F464,0))+(S464*IF(G464="R",H464,0))</x:f>
      </x:c>
      <x:c r="AF464" s="6">
        <x:f>(S464*IF(E464="F",F464,0))+(S464*IF(G464="F",H464,0))</x:f>
      </x:c>
      <x:c r="AG464" s="6">
        <x:f>(S464*IF(E464="W",F464,0))+(S464*IF(G464="W",H464,0))</x:f>
      </x:c>
    </x:row>
    <x:row r="465">
      <x:c r="A465" s="3" t="inlineStr">
        <x:is>
          <x:t xml:space="preserve">Security</x:t>
        </x:is>
      </x:c>
      <x:c r="B465" s="3" t="inlineStr">
        <x:is>
          <x:t xml:space="preserve">SEC-D10-Q28</x:t>
        </x:is>
      </x:c>
      <x:c r="C465" s="3" t="inlineStr">
        <x:is>
          <x:t xml:space="preserve">T3</x:t>
        </x:is>
      </x:c>
      <x:c r="D465" s="3" t="inlineStr">
        <x:is>
          <x:t xml:space="preserve">10. Deep Technical Drill‑down (Optional Annex)</x:t>
        </x:is>
      </x:c>
      <x:c r="E465" s="3" t="inlineStr">
        <x:is>
          <x:t xml:space="preserve">T</x:t>
        </x:is>
      </x:c>
      <x:c r="F465" s="3" t="n">
        <x:v>0.6</x:v>
      </x:c>
      <x:c r="G465" s="3" t="inlineStr">
        <x:is>
          <x:t xml:space="preserve">V</x:t>
        </x:is>
      </x:c>
      <x:c r="H465" s="3" t="n">
        <x:v>0.4</x:v>
      </x:c>
      <x:c r="I465" s="3" t="inlineStr">
        <x:is>
          <x:t xml:space="preserve">For the systems that matter most (email, file sharing, finance/ERP, source code, key databases), how complete is your log collection for insider investigations?</x:t>
        </x:is>
      </x:c>
      <x:c r="J465" s="3" t="inlineStr">
        <x:is>
          <x:t xml:space="preserve">Logs = activity records that show who did what, when, and from where. Focus on coverage: endpoints/laptops, servers, cloud services, and SaaS. If you’re unsure, choose the closest option.</x:t>
        </x:is>
      </x:c>
      <x:c r="K465" s="3" t="inlineStr">
        <x:is>
          <x:t xml:space="preserve">Optional Annex (Ask in Full/Deep mode OR if SEC-D2-Q04 BaseScore ≥ 2).</x:t>
        </x:is>
      </x:c>
      <x:c r="L465" s="3" t="inlineStr">
        <x:is>
          <x:t xml:space="preserve">OPS_STD</x:t>
        </x:is>
      </x:c>
      <x:c r="M465" s="3" t="n">
        <x:v>1.5</x:v>
      </x:c>
      <x:c r="N465" s="3" t="n">
        <x:v>0.5</x:v>
      </x:c>
      <x:c r="O465" s="3" t="n"/>
      <x:c r="P465" s="3" t="inlineStr">
        <x:is>
          <x:t xml:space="preserve">SEC-D10-Q28-A2</x:t>
        </x:is>
      </x:c>
      <x:c r="Q465" s="3" t="n">
        <x:v>3</x:v>
      </x:c>
      <x:c r="R465" s="3" t="inlineStr">
        <x:is>
          <x:t xml:space="preserve">Logs exist for some systems, but key gaps remain (e.g., laptops/endpoints, cloud services, or SaaS).</x:t>
        </x:is>
      </x:c>
      <x:c r="S465" s="3" t="n">
        <x:v>1</x:v>
      </x:c>
      <x:c r="T465" s="3" t="inlineStr">
        <x:is>
          <x:t xml:space="preserve">partial_visibility,log_gap</x:t>
        </x:is>
      </x:c>
      <x:c r="U465" s="3" t="inlineStr">
        <x:is>
          <x:t xml:space="preserve">Visibility Gap</x:t>
        </x:is>
      </x:c>
      <x:c r="V465" s="3" t="inlineStr">
        <x:is>
          <x:t xml:space="preserve">Assess_Detection</x:t>
        </x:is>
      </x:c>
      <x:c r="W465" s="3" t="inlineStr">
        <x:is>
          <x:t xml:space="preserve">N</x:t>
        </x:is>
      </x:c>
      <x:c r="X465" s="3" t="inlineStr">
        <x:is>
          <x:t xml:space="preserve">List missing sources; retention settings</x:t>
        </x:is>
      </x:c>
      <x:c r="Y465" s="6">
        <x:f>(S465*IF(E465="G",F465,0))+(S465*IF(G465="G",H465,0))</x:f>
      </x:c>
      <x:c r="Z465" s="6">
        <x:f>(S465*IF(E465="E",F465,0))+(S465*IF(G465="E",H465,0))</x:f>
      </x:c>
      <x:c r="AA465" s="6">
        <x:f>(S465*IF(E465="T",F465,0))+(S465*IF(G465="T",H465,0))</x:f>
      </x:c>
      <x:c r="AB465" s="6">
        <x:f>(S465*IF(E465="L",F465,0))+(S465*IF(G465="L",H465,0))</x:f>
      </x:c>
      <x:c r="AC465" s="6">
        <x:f>(S465*IF(E465="H",F465,0))+(S465*IF(G465="H",H465,0))</x:f>
      </x:c>
      <x:c r="AD465" s="6">
        <x:f>(S465*IF(E465="V",F465,0))+(S465*IF(G465="V",H465,0))</x:f>
      </x:c>
      <x:c r="AE465" s="6">
        <x:f>(S465*IF(E465="R",F465,0))+(S465*IF(G465="R",H465,0))</x:f>
      </x:c>
      <x:c r="AF465" s="6">
        <x:f>(S465*IF(E465="F",F465,0))+(S465*IF(G465="F",H465,0))</x:f>
      </x:c>
      <x:c r="AG465" s="6">
        <x:f>(S465*IF(E465="W",F465,0))+(S465*IF(G465="W",H465,0))</x:f>
      </x:c>
    </x:row>
    <x:row r="466">
      <x:c r="A466" s="3" t="inlineStr">
        <x:is>
          <x:t xml:space="preserve">Security</x:t>
        </x:is>
      </x:c>
      <x:c r="B466" s="3" t="inlineStr">
        <x:is>
          <x:t xml:space="preserve">SEC-D10-Q28</x:t>
        </x:is>
      </x:c>
      <x:c r="C466" s="3" t="inlineStr">
        <x:is>
          <x:t xml:space="preserve">T3</x:t>
        </x:is>
      </x:c>
      <x:c r="D466" s="3" t="inlineStr">
        <x:is>
          <x:t xml:space="preserve">10. Deep Technical Drill‑down (Optional Annex)</x:t>
        </x:is>
      </x:c>
      <x:c r="E466" s="3" t="inlineStr">
        <x:is>
          <x:t xml:space="preserve">T</x:t>
        </x:is>
      </x:c>
      <x:c r="F466" s="3" t="n">
        <x:v>0.6</x:v>
      </x:c>
      <x:c r="G466" s="3" t="inlineStr">
        <x:is>
          <x:t xml:space="preserve">V</x:t>
        </x:is>
      </x:c>
      <x:c r="H466" s="3" t="n">
        <x:v>0.4</x:v>
      </x:c>
      <x:c r="I466" s="3" t="inlineStr">
        <x:is>
          <x:t xml:space="preserve">For the systems that matter most (email, file sharing, finance/ERP, source code, key databases), how complete is your log collection for insider investigations?</x:t>
        </x:is>
      </x:c>
      <x:c r="J466" s="3" t="inlineStr">
        <x:is>
          <x:t xml:space="preserve">Logs = activity records that show who did what, when, and from where. Focus on coverage: endpoints/laptops, servers, cloud services, and SaaS. If you’re unsure, choose the closest option.</x:t>
        </x:is>
      </x:c>
      <x:c r="K466" s="3" t="inlineStr">
        <x:is>
          <x:t xml:space="preserve">Optional Annex (Ask in Full/Deep mode OR if SEC-D2-Q04 BaseScore ≥ 2).</x:t>
        </x:is>
      </x:c>
      <x:c r="L466" s="3" t="inlineStr">
        <x:is>
          <x:t xml:space="preserve">OPS_STD</x:t>
        </x:is>
      </x:c>
      <x:c r="M466" s="3" t="n">
        <x:v>1.5</x:v>
      </x:c>
      <x:c r="N466" s="3" t="n">
        <x:v>0.5</x:v>
      </x:c>
      <x:c r="O466" s="3" t="n"/>
      <x:c r="P466" s="3" t="inlineStr">
        <x:is>
          <x:t xml:space="preserve">SEC-D10-Q28-A3</x:t>
        </x:is>
      </x:c>
      <x:c r="Q466" s="3" t="n">
        <x:v>4</x:v>
      </x:c>
      <x:c r="R466" s="3" t="inlineStr">
        <x:is>
          <x:t xml:space="preserve">Most key systems send logs somewhere central, but coverage is not regularly checked and gaps can go unnoticed.</x:t>
        </x:is>
      </x:c>
      <x:c r="S466" s="3" t="n">
        <x:v>2</x:v>
      </x:c>
      <x:c r="T466" s="3" t="inlineStr">
        <x:is>
          <x:t xml:space="preserve">partial_maturity,inconsistent_execution</x:t>
        </x:is>
      </x:c>
      <x:c r="U466" s="3" t="inlineStr">
        <x:is>
          <x:t xml:space="preserve">Paper Dragon</x:t>
        </x:is>
      </x:c>
      <x:c r="V466" s="3" t="inlineStr">
        <x:is>
          <x:t xml:space="preserve">Assurance_On_Reality</x:t>
        </x:is>
      </x:c>
      <x:c r="W466" s="3" t="inlineStr">
        <x:is>
          <x:t xml:space="preserve">N</x:t>
        </x:is>
      </x:c>
      <x:c r="X466" s="3" t="inlineStr">
        <x:is>
          <x:t xml:space="preserve">Example central log sources; last 30d retention evidence</x:t>
        </x:is>
      </x:c>
      <x:c r="Y466" s="6">
        <x:f>(S466*IF(E466="G",F466,0))+(S466*IF(G466="G",H466,0))</x:f>
      </x:c>
      <x:c r="Z466" s="6">
        <x:f>(S466*IF(E466="E",F466,0))+(S466*IF(G466="E",H466,0))</x:f>
      </x:c>
      <x:c r="AA466" s="6">
        <x:f>(S466*IF(E466="T",F466,0))+(S466*IF(G466="T",H466,0))</x:f>
      </x:c>
      <x:c r="AB466" s="6">
        <x:f>(S466*IF(E466="L",F466,0))+(S466*IF(G466="L",H466,0))</x:f>
      </x:c>
      <x:c r="AC466" s="6">
        <x:f>(S466*IF(E466="H",F466,0))+(S466*IF(G466="H",H466,0))</x:f>
      </x:c>
      <x:c r="AD466" s="6">
        <x:f>(S466*IF(E466="V",F466,0))+(S466*IF(G466="V",H466,0))</x:f>
      </x:c>
      <x:c r="AE466" s="6">
        <x:f>(S466*IF(E466="R",F466,0))+(S466*IF(G466="R",H466,0))</x:f>
      </x:c>
      <x:c r="AF466" s="6">
        <x:f>(S466*IF(E466="F",F466,0))+(S466*IF(G466="F",H466,0))</x:f>
      </x:c>
      <x:c r="AG466" s="6">
        <x:f>(S466*IF(E466="W",F466,0))+(S466*IF(G466="W",H466,0))</x:f>
      </x:c>
    </x:row>
    <x:row r="467">
      <x:c r="A467" s="3" t="inlineStr">
        <x:is>
          <x:t xml:space="preserve">Security</x:t>
        </x:is>
      </x:c>
      <x:c r="B467" s="3" t="inlineStr">
        <x:is>
          <x:t xml:space="preserve">SEC-D10-Q28</x:t>
        </x:is>
      </x:c>
      <x:c r="C467" s="3" t="inlineStr">
        <x:is>
          <x:t xml:space="preserve">T3</x:t>
        </x:is>
      </x:c>
      <x:c r="D467" s="3" t="inlineStr">
        <x:is>
          <x:t xml:space="preserve">10. Deep Technical Drill‑down (Optional Annex)</x:t>
        </x:is>
      </x:c>
      <x:c r="E467" s="3" t="inlineStr">
        <x:is>
          <x:t xml:space="preserve">T</x:t>
        </x:is>
      </x:c>
      <x:c r="F467" s="3" t="n">
        <x:v>0.6</x:v>
      </x:c>
      <x:c r="G467" s="3" t="inlineStr">
        <x:is>
          <x:t xml:space="preserve">V</x:t>
        </x:is>
      </x:c>
      <x:c r="H467" s="3" t="n">
        <x:v>0.4</x:v>
      </x:c>
      <x:c r="I467" s="3" t="inlineStr">
        <x:is>
          <x:t xml:space="preserve">For the systems that matter most (email, file sharing, finance/ERP, source code, key databases), how complete is your log collection for insider investigations?</x:t>
        </x:is>
      </x:c>
      <x:c r="J467" s="3" t="inlineStr">
        <x:is>
          <x:t xml:space="preserve">Logs = activity records that show who did what, when, and from where. Focus on coverage: endpoints/laptops, servers, cloud services, and SaaS. If you’re unsure, choose the closest option.</x:t>
        </x:is>
      </x:c>
      <x:c r="K467" s="3" t="inlineStr">
        <x:is>
          <x:t xml:space="preserve">Optional Annex (Ask in Full/Deep mode OR if SEC-D2-Q04 BaseScore ≥ 2).</x:t>
        </x:is>
      </x:c>
      <x:c r="L467" s="3" t="inlineStr">
        <x:is>
          <x:t xml:space="preserve">OPS_STD</x:t>
        </x:is>
      </x:c>
      <x:c r="M467" s="3" t="n">
        <x:v>1.5</x:v>
      </x:c>
      <x:c r="N467" s="3" t="n">
        <x:v>0.5</x:v>
      </x:c>
      <x:c r="O467" s="3" t="n"/>
      <x:c r="P467" s="3" t="inlineStr">
        <x:is>
          <x:t xml:space="preserve">SEC-D10-Q28-A4</x:t>
        </x:is>
      </x:c>
      <x:c r="Q467" s="3" t="n">
        <x:v>5</x:v>
      </x:c>
      <x:c r="R467" s="3" t="inlineStr">
        <x:is>
          <x:t xml:space="preserve">Key systems (including cloud/SaaS) feed centralized logs; coverage is reviewed periodically and gaps are tracked to closure.</x:t>
        </x:is>
      </x:c>
      <x:c r="S467" s="3" t="n">
        <x:v>3</x:v>
      </x:c>
      <x:c r="T467" s="3" t="inlineStr">
        <x:is>
          <x:t xml:space="preserve">good_practice,execution_strength</x:t>
        </x:is>
      </x:c>
      <x:c r="U467" s="3" t="n"/>
      <x:c r="V467" s="3" t="inlineStr">
        <x:is>
          <x:t xml:space="preserve">Request_Evidence</x:t>
        </x:is>
      </x:c>
      <x:c r="W467" s="3" t="inlineStr">
        <x:is>
          <x:t xml:space="preserve">N</x:t>
        </x:is>
      </x:c>
      <x:c r="X467" s="3" t="inlineStr">
        <x:is>
          <x:t xml:space="preserve">Coverage report / dashboard; retention policy</x:t>
        </x:is>
      </x:c>
      <x:c r="Y467" s="6">
        <x:f>(S467*IF(E467="G",F467,0))+(S467*IF(G467="G",H467,0))</x:f>
      </x:c>
      <x:c r="Z467" s="6">
        <x:f>(S467*IF(E467="E",F467,0))+(S467*IF(G467="E",H467,0))</x:f>
      </x:c>
      <x:c r="AA467" s="6">
        <x:f>(S467*IF(E467="T",F467,0))+(S467*IF(G467="T",H467,0))</x:f>
      </x:c>
      <x:c r="AB467" s="6">
        <x:f>(S467*IF(E467="L",F467,0))+(S467*IF(G467="L",H467,0))</x:f>
      </x:c>
      <x:c r="AC467" s="6">
        <x:f>(S467*IF(E467="H",F467,0))+(S467*IF(G467="H",H467,0))</x:f>
      </x:c>
      <x:c r="AD467" s="6">
        <x:f>(S467*IF(E467="V",F467,0))+(S467*IF(G467="V",H467,0))</x:f>
      </x:c>
      <x:c r="AE467" s="6">
        <x:f>(S467*IF(E467="R",F467,0))+(S467*IF(G467="R",H467,0))</x:f>
      </x:c>
      <x:c r="AF467" s="6">
        <x:f>(S467*IF(E467="F",F467,0))+(S467*IF(G467="F",H467,0))</x:f>
      </x:c>
      <x:c r="AG467" s="6">
        <x:f>(S467*IF(E467="W",F467,0))+(S467*IF(G467="W",H467,0))</x:f>
      </x:c>
    </x:row>
    <x:row r="468">
      <x:c r="A468" s="3" t="inlineStr">
        <x:is>
          <x:t xml:space="preserve">Security</x:t>
        </x:is>
      </x:c>
      <x:c r="B468" s="3" t="inlineStr">
        <x:is>
          <x:t xml:space="preserve">SEC-D10-Q28</x:t>
        </x:is>
      </x:c>
      <x:c r="C468" s="3" t="inlineStr">
        <x:is>
          <x:t xml:space="preserve">T3</x:t>
        </x:is>
      </x:c>
      <x:c r="D468" s="3" t="inlineStr">
        <x:is>
          <x:t xml:space="preserve">10. Deep Technical Drill‑down (Optional Annex)</x:t>
        </x:is>
      </x:c>
      <x:c r="E468" s="3" t="inlineStr">
        <x:is>
          <x:t xml:space="preserve">T</x:t>
        </x:is>
      </x:c>
      <x:c r="F468" s="3" t="n">
        <x:v>0.6</x:v>
      </x:c>
      <x:c r="G468" s="3" t="inlineStr">
        <x:is>
          <x:t xml:space="preserve">V</x:t>
        </x:is>
      </x:c>
      <x:c r="H468" s="3" t="n">
        <x:v>0.4</x:v>
      </x:c>
      <x:c r="I468" s="3" t="inlineStr">
        <x:is>
          <x:t xml:space="preserve">For the systems that matter most (email, file sharing, finance/ERP, source code, key databases), how complete is your log collection for insider investigations?</x:t>
        </x:is>
      </x:c>
      <x:c r="J468" s="3" t="inlineStr">
        <x:is>
          <x:t xml:space="preserve">Logs = activity records that show who did what, when, and from where. Focus on coverage: endpoints/laptops, servers, cloud services, and SaaS. If you’re unsure, choose the closest option.</x:t>
        </x:is>
      </x:c>
      <x:c r="K468" s="3" t="inlineStr">
        <x:is>
          <x:t xml:space="preserve">Optional Annex (Ask in Full/Deep mode OR if SEC-D2-Q04 BaseScore ≥ 2).</x:t>
        </x:is>
      </x:c>
      <x:c r="L468" s="3" t="inlineStr">
        <x:is>
          <x:t xml:space="preserve">OPS_STD</x:t>
        </x:is>
      </x:c>
      <x:c r="M468" s="3" t="n">
        <x:v>1.5</x:v>
      </x:c>
      <x:c r="N468" s="3" t="n">
        <x:v>0.5</x:v>
      </x:c>
      <x:c r="O468" s="3" t="n"/>
      <x:c r="P468" s="3" t="inlineStr">
        <x:is>
          <x:t xml:space="preserve">SEC-D10-Q28-A5</x:t>
        </x:is>
      </x:c>
      <x:c r="Q468" s="3" t="n">
        <x:v>6</x:v>
      </x:c>
      <x:c r="R468" s="3" t="inlineStr">
        <x:is>
          <x:t xml:space="preserve">Comprehensive coverage is validated (endpoints, cloud control plane, SaaS, privileged actions); alerts exist for missing telemetry.</x:t>
        </x:is>
      </x:c>
      <x:c r="S468" s="3" t="n">
        <x:v>4</x:v>
      </x:c>
      <x:c r="T468" s="3" t="inlineStr">
        <x:is>
          <x:t xml:space="preserve">optimized,execution_strength</x:t>
        </x:is>
      </x:c>
      <x:c r="U468" s="3" t="n"/>
      <x:c r="V468" s="3" t="inlineStr">
        <x:is>
          <x:t xml:space="preserve">Request_Evidence</x:t>
        </x:is>
      </x:c>
      <x:c r="W468" s="3" t="inlineStr">
        <x:is>
          <x:t xml:space="preserve">N</x:t>
        </x:is>
      </x:c>
      <x:c r="X468" s="3" t="inlineStr">
        <x:is>
          <x:t xml:space="preserve">Telemetry coverage KPIs; alerting proof</x:t>
        </x:is>
      </x:c>
      <x:c r="Y468" s="6">
        <x:f>(S468*IF(E468="G",F468,0))+(S468*IF(G468="G",H468,0))</x:f>
      </x:c>
      <x:c r="Z468" s="6">
        <x:f>(S468*IF(E468="E",F468,0))+(S468*IF(G468="E",H468,0))</x:f>
      </x:c>
      <x:c r="AA468" s="6">
        <x:f>(S468*IF(E468="T",F468,0))+(S468*IF(G468="T",H468,0))</x:f>
      </x:c>
      <x:c r="AB468" s="6">
        <x:f>(S468*IF(E468="L",F468,0))+(S468*IF(G468="L",H468,0))</x:f>
      </x:c>
      <x:c r="AC468" s="6">
        <x:f>(S468*IF(E468="H",F468,0))+(S468*IF(G468="H",H468,0))</x:f>
      </x:c>
      <x:c r="AD468" s="6">
        <x:f>(S468*IF(E468="V",F468,0))+(S468*IF(G468="V",H468,0))</x:f>
      </x:c>
      <x:c r="AE468" s="6">
        <x:f>(S468*IF(E468="R",F468,0))+(S468*IF(G468="R",H468,0))</x:f>
      </x:c>
      <x:c r="AF468" s="6">
        <x:f>(S468*IF(E468="F",F468,0))+(S468*IF(G468="F",H468,0))</x:f>
      </x:c>
      <x:c r="AG468" s="6">
        <x:f>(S468*IF(E468="W",F468,0))+(S468*IF(G468="W",H468,0))</x:f>
      </x:c>
    </x:row>
    <x:row r="469">
      <x:c r="A469" s="3" t="inlineStr">
        <x:is>
          <x:t xml:space="preserve">Security</x:t>
        </x:is>
      </x:c>
      <x:c r="B469" s="3" t="inlineStr">
        <x:is>
          <x:t xml:space="preserve">SEC-D10-Q29</x:t>
        </x:is>
      </x:c>
      <x:c r="C469" s="3" t="inlineStr">
        <x:is>
          <x:t xml:space="preserve">T4</x:t>
        </x:is>
      </x:c>
      <x:c r="D469" s="3" t="inlineStr">
        <x:is>
          <x:t xml:space="preserve">10. Deep Technical Drill‑down (Optional Annex)</x:t>
        </x:is>
      </x:c>
      <x:c r="E469" s="3" t="inlineStr">
        <x:is>
          <x:t xml:space="preserve">L</x:t>
        </x:is>
      </x:c>
      <x:c r="F469" s="3" t="n">
        <x:v>0.5</x:v>
      </x:c>
      <x:c r="G469" s="3" t="inlineStr">
        <x:is>
          <x:t xml:space="preserve">T</x:t>
        </x:is>
      </x:c>
      <x:c r="H469" s="3" t="n">
        <x:v>0.5</x:v>
      </x:c>
      <x:c r="I469" s="3" t="inlineStr">
        <x:is>
          <x:t xml:space="preserve">How are monitoring logs protected against tampering and time issues (so they can be used for HR/legal decisions)?</x:t>
        </x:is>
      </x:c>
      <x:c r="J469" s="3" t="inlineStr">
        <x:is>
          <x:t xml:space="preserve">Think integrity: time synchronization, restricted access, immutability (WORM), audit trails of who accessed logs, and retention that matches investigation needs.</x:t>
        </x:is>
      </x:c>
      <x:c r="K469" s="3" t="inlineStr">
        <x:is>
          <x:t xml:space="preserve">Optional Annex (Ask in Full/Deep mode).</x:t>
        </x:is>
      </x:c>
      <x:c r="L469" s="3" t="inlineStr">
        <x:is>
          <x:t xml:space="preserve">LEG_STRICT</x:t>
        </x:is>
      </x:c>
      <x:c r="M469" s="3" t="n">
        <x:v>1.5</x:v>
      </x:c>
      <x:c r="N469" s="3" t="n">
        <x:v>0.5</x:v>
      </x:c>
      <x:c r="O469" s="3" t="n"/>
      <x:c r="P469" s="3" t="inlineStr">
        <x:is>
          <x:t xml:space="preserve">SEC-D10-Q29-A0</x:t>
        </x:is>
      </x:c>
      <x:c r="Q469" s="3" t="n">
        <x:v>1</x:v>
      </x:c>
      <x:c r="R469" s="3" t="inlineStr">
        <x:is>
          <x:t xml:space="preserve">I don’t know / not sure.</x:t>
        </x:is>
      </x:c>
      <x:c r="S469" s="3" t="n">
        <x:v>0</x:v>
      </x:c>
      <x:c r="T469" s="3" t="inlineStr">
        <x:is>
          <x:t xml:space="preserve">unknown</x:t>
        </x:is>
      </x:c>
      <x:c r="U469" s="3" t="inlineStr">
        <x:is>
          <x:t xml:space="preserve">Unknown</x:t>
        </x:is>
      </x:c>
      <x:c r="V469" s="3" t="inlineStr">
        <x:is>
          <x:t xml:space="preserve">Clarify_Stakeholders</x:t>
        </x:is>
      </x:c>
      <x:c r="W469" s="3" t="inlineStr">
        <x:is>
          <x:t xml:space="preserve">N</x:t>
        </x:is>
      </x:c>
      <x:c r="X469" s="3" t="inlineStr">
        <x:is>
          <x:t xml:space="preserve">None</x:t>
        </x:is>
      </x:c>
      <x:c r="Y469" s="6">
        <x:f>(S469*IF(E469="G",F469,0))+(S469*IF(G469="G",H469,0))</x:f>
      </x:c>
      <x:c r="Z469" s="6">
        <x:f>(S469*IF(E469="E",F469,0))+(S469*IF(G469="E",H469,0))</x:f>
      </x:c>
      <x:c r="AA469" s="6">
        <x:f>(S469*IF(E469="T",F469,0))+(S469*IF(G469="T",H469,0))</x:f>
      </x:c>
      <x:c r="AB469" s="6">
        <x:f>(S469*IF(E469="L",F469,0))+(S469*IF(G469="L",H469,0))</x:f>
      </x:c>
      <x:c r="AC469" s="6">
        <x:f>(S469*IF(E469="H",F469,0))+(S469*IF(G469="H",H469,0))</x:f>
      </x:c>
      <x:c r="AD469" s="6">
        <x:f>(S469*IF(E469="V",F469,0))+(S469*IF(G469="V",H469,0))</x:f>
      </x:c>
      <x:c r="AE469" s="6">
        <x:f>(S469*IF(E469="R",F469,0))+(S469*IF(G469="R",H469,0))</x:f>
      </x:c>
      <x:c r="AF469" s="6">
        <x:f>(S469*IF(E469="F",F469,0))+(S469*IF(G469="F",H469,0))</x:f>
      </x:c>
      <x:c r="AG469" s="6">
        <x:f>(S469*IF(E469="W",F469,0))+(S469*IF(G469="W",H469,0))</x:f>
      </x:c>
    </x:row>
    <x:row r="470">
      <x:c r="A470" s="3" t="inlineStr">
        <x:is>
          <x:t xml:space="preserve">Security</x:t>
        </x:is>
      </x:c>
      <x:c r="B470" s="3" t="inlineStr">
        <x:is>
          <x:t xml:space="preserve">SEC-D10-Q29</x:t>
        </x:is>
      </x:c>
      <x:c r="C470" s="3" t="inlineStr">
        <x:is>
          <x:t xml:space="preserve">T4</x:t>
        </x:is>
      </x:c>
      <x:c r="D470" s="3" t="inlineStr">
        <x:is>
          <x:t xml:space="preserve">10. Deep Technical Drill‑down (Optional Annex)</x:t>
        </x:is>
      </x:c>
      <x:c r="E470" s="3" t="inlineStr">
        <x:is>
          <x:t xml:space="preserve">L</x:t>
        </x:is>
      </x:c>
      <x:c r="F470" s="3" t="n">
        <x:v>0.5</x:v>
      </x:c>
      <x:c r="G470" s="3" t="inlineStr">
        <x:is>
          <x:t xml:space="preserve">T</x:t>
        </x:is>
      </x:c>
      <x:c r="H470" s="3" t="n">
        <x:v>0.5</x:v>
      </x:c>
      <x:c r="I470" s="3" t="inlineStr">
        <x:is>
          <x:t xml:space="preserve">How are monitoring logs protected against tampering and time issues (so they can be used for HR/legal decisions)?</x:t>
        </x:is>
      </x:c>
      <x:c r="J470" s="3" t="inlineStr">
        <x:is>
          <x:t xml:space="preserve">Think integrity: time synchronization, restricted access, immutability (WORM), audit trails of who accessed logs, and retention that matches investigation needs.</x:t>
        </x:is>
      </x:c>
      <x:c r="K470" s="3" t="inlineStr">
        <x:is>
          <x:t xml:space="preserve">Optional Annex (Ask in Full/Deep mode).</x:t>
        </x:is>
      </x:c>
      <x:c r="L470" s="3" t="inlineStr">
        <x:is>
          <x:t xml:space="preserve">LEG_STRICT</x:t>
        </x:is>
      </x:c>
      <x:c r="M470" s="3" t="n">
        <x:v>1.5</x:v>
      </x:c>
      <x:c r="N470" s="3" t="n">
        <x:v>0.5</x:v>
      </x:c>
      <x:c r="O470" s="3" t="n"/>
      <x:c r="P470" s="3" t="inlineStr">
        <x:is>
          <x:t xml:space="preserve">SEC-D10-Q29-A1</x:t>
        </x:is>
      </x:c>
      <x:c r="Q470" s="3" t="n">
        <x:v>2</x:v>
      </x:c>
      <x:c r="R470" s="3" t="inlineStr">
        <x:is>
          <x:t xml:space="preserve">Logs are mainly stored locally or in places admins can edit; we don’t track access to logs.</x:t>
        </x:is>
      </x:c>
      <x:c r="S470" s="3" t="n">
        <x:v>0</x:v>
      </x:c>
      <x:c r="T470" s="3" t="inlineStr">
        <x:is>
          <x:t xml:space="preserve">forensic_gap,tamper_risk</x:t>
        </x:is>
      </x:c>
      <x:c r="U470" s="3" t="inlineStr">
        <x:is>
          <x:t xml:space="preserve">Legal Exposure</x:t>
        </x:is>
      </x:c>
      <x:c r="V470" s="3" t="inlineStr">
        <x:is>
          <x:t xml:space="preserve">Assess_Evidence_Handling</x:t>
        </x:is>
      </x:c>
      <x:c r="W470" s="3" t="inlineStr">
        <x:is>
          <x:t xml:space="preserve">N</x:t>
        </x:is>
      </x:c>
      <x:c r="X470" s="3" t="inlineStr">
        <x:is>
          <x:t xml:space="preserve">Example of current storage/access model</x:t>
        </x:is>
      </x:c>
      <x:c r="Y470" s="6">
        <x:f>(S470*IF(E470="G",F470,0))+(S470*IF(G470="G",H470,0))</x:f>
      </x:c>
      <x:c r="Z470" s="6">
        <x:f>(S470*IF(E470="E",F470,0))+(S470*IF(G470="E",H470,0))</x:f>
      </x:c>
      <x:c r="AA470" s="6">
        <x:f>(S470*IF(E470="T",F470,0))+(S470*IF(G470="T",H470,0))</x:f>
      </x:c>
      <x:c r="AB470" s="6">
        <x:f>(S470*IF(E470="L",F470,0))+(S470*IF(G470="L",H470,0))</x:f>
      </x:c>
      <x:c r="AC470" s="6">
        <x:f>(S470*IF(E470="H",F470,0))+(S470*IF(G470="H",H470,0))</x:f>
      </x:c>
      <x:c r="AD470" s="6">
        <x:f>(S470*IF(E470="V",F470,0))+(S470*IF(G470="V",H470,0))</x:f>
      </x:c>
      <x:c r="AE470" s="6">
        <x:f>(S470*IF(E470="R",F470,0))+(S470*IF(G470="R",H470,0))</x:f>
      </x:c>
      <x:c r="AF470" s="6">
        <x:f>(S470*IF(E470="F",F470,0))+(S470*IF(G470="F",H470,0))</x:f>
      </x:c>
      <x:c r="AG470" s="6">
        <x:f>(S470*IF(E470="W",F470,0))+(S470*IF(G470="W",H470,0))</x:f>
      </x:c>
    </x:row>
    <x:row r="471">
      <x:c r="A471" s="3" t="inlineStr">
        <x:is>
          <x:t xml:space="preserve">Security</x:t>
        </x:is>
      </x:c>
      <x:c r="B471" s="3" t="inlineStr">
        <x:is>
          <x:t xml:space="preserve">SEC-D10-Q29</x:t>
        </x:is>
      </x:c>
      <x:c r="C471" s="3" t="inlineStr">
        <x:is>
          <x:t xml:space="preserve">T4</x:t>
        </x:is>
      </x:c>
      <x:c r="D471" s="3" t="inlineStr">
        <x:is>
          <x:t xml:space="preserve">10. Deep Technical Drill‑down (Optional Annex)</x:t>
        </x:is>
      </x:c>
      <x:c r="E471" s="3" t="inlineStr">
        <x:is>
          <x:t xml:space="preserve">L</x:t>
        </x:is>
      </x:c>
      <x:c r="F471" s="3" t="n">
        <x:v>0.5</x:v>
      </x:c>
      <x:c r="G471" s="3" t="inlineStr">
        <x:is>
          <x:t xml:space="preserve">T</x:t>
        </x:is>
      </x:c>
      <x:c r="H471" s="3" t="n">
        <x:v>0.5</x:v>
      </x:c>
      <x:c r="I471" s="3" t="inlineStr">
        <x:is>
          <x:t xml:space="preserve">How are monitoring logs protected against tampering and time issues (so they can be used for HR/legal decisions)?</x:t>
        </x:is>
      </x:c>
      <x:c r="J471" s="3" t="inlineStr">
        <x:is>
          <x:t xml:space="preserve">Think integrity: time synchronization, restricted access, immutability (WORM), audit trails of who accessed logs, and retention that matches investigation needs.</x:t>
        </x:is>
      </x:c>
      <x:c r="K471" s="3" t="inlineStr">
        <x:is>
          <x:t xml:space="preserve">Optional Annex (Ask in Full/Deep mode).</x:t>
        </x:is>
      </x:c>
      <x:c r="L471" s="3" t="inlineStr">
        <x:is>
          <x:t xml:space="preserve">LEG_STRICT</x:t>
        </x:is>
      </x:c>
      <x:c r="M471" s="3" t="n">
        <x:v>1.5</x:v>
      </x:c>
      <x:c r="N471" s="3" t="n">
        <x:v>0.5</x:v>
      </x:c>
      <x:c r="O471" s="3" t="n"/>
      <x:c r="P471" s="3" t="inlineStr">
        <x:is>
          <x:t xml:space="preserve">SEC-D10-Q29-A2</x:t>
        </x:is>
      </x:c>
      <x:c r="Q471" s="3" t="n">
        <x:v>3</x:v>
      </x:c>
      <x:c r="R471" s="3" t="inlineStr">
        <x:is>
          <x:t xml:space="preserve">Logs are centralized, but privileged admins could still alter/delete them and time sync is inconsistent.</x:t>
        </x:is>
      </x:c>
      <x:c r="S471" s="3" t="n">
        <x:v>1</x:v>
      </x:c>
      <x:c r="T471" s="3" t="inlineStr">
        <x:is>
          <x:t xml:space="preserve">forensic_gap,partial_maturity</x:t>
        </x:is>
      </x:c>
      <x:c r="U471" s="3" t="inlineStr">
        <x:is>
          <x:t xml:space="preserve">Legal Exposure</x:t>
        </x:is>
      </x:c>
      <x:c r="V471" s="3" t="inlineStr">
        <x:is>
          <x:t xml:space="preserve">Assess_Evidence_Handling</x:t>
        </x:is>
      </x:c>
      <x:c r="W471" s="3" t="inlineStr">
        <x:is>
          <x:t xml:space="preserve">N</x:t>
        </x:is>
      </x:c>
      <x:c r="X471" s="3" t="inlineStr">
        <x:is>
          <x:t xml:space="preserve">Time sync status; admin access list</x:t>
        </x:is>
      </x:c>
      <x:c r="Y471" s="6">
        <x:f>(S471*IF(E471="G",F471,0))+(S471*IF(G471="G",H471,0))</x:f>
      </x:c>
      <x:c r="Z471" s="6">
        <x:f>(S471*IF(E471="E",F471,0))+(S471*IF(G471="E",H471,0))</x:f>
      </x:c>
      <x:c r="AA471" s="6">
        <x:f>(S471*IF(E471="T",F471,0))+(S471*IF(G471="T",H471,0))</x:f>
      </x:c>
      <x:c r="AB471" s="6">
        <x:f>(S471*IF(E471="L",F471,0))+(S471*IF(G471="L",H471,0))</x:f>
      </x:c>
      <x:c r="AC471" s="6">
        <x:f>(S471*IF(E471="H",F471,0))+(S471*IF(G471="H",H471,0))</x:f>
      </x:c>
      <x:c r="AD471" s="6">
        <x:f>(S471*IF(E471="V",F471,0))+(S471*IF(G471="V",H471,0))</x:f>
      </x:c>
      <x:c r="AE471" s="6">
        <x:f>(S471*IF(E471="R",F471,0))+(S471*IF(G471="R",H471,0))</x:f>
      </x:c>
      <x:c r="AF471" s="6">
        <x:f>(S471*IF(E471="F",F471,0))+(S471*IF(G471="F",H471,0))</x:f>
      </x:c>
      <x:c r="AG471" s="6">
        <x:f>(S471*IF(E471="W",F471,0))+(S471*IF(G471="W",H471,0))</x:f>
      </x:c>
    </x:row>
    <x:row r="472">
      <x:c r="A472" s="3" t="inlineStr">
        <x:is>
          <x:t xml:space="preserve">Security</x:t>
        </x:is>
      </x:c>
      <x:c r="B472" s="3" t="inlineStr">
        <x:is>
          <x:t xml:space="preserve">SEC-D10-Q29</x:t>
        </x:is>
      </x:c>
      <x:c r="C472" s="3" t="inlineStr">
        <x:is>
          <x:t xml:space="preserve">T4</x:t>
        </x:is>
      </x:c>
      <x:c r="D472" s="3" t="inlineStr">
        <x:is>
          <x:t xml:space="preserve">10. Deep Technical Drill‑down (Optional Annex)</x:t>
        </x:is>
      </x:c>
      <x:c r="E472" s="3" t="inlineStr">
        <x:is>
          <x:t xml:space="preserve">L</x:t>
        </x:is>
      </x:c>
      <x:c r="F472" s="3" t="n">
        <x:v>0.5</x:v>
      </x:c>
      <x:c r="G472" s="3" t="inlineStr">
        <x:is>
          <x:t xml:space="preserve">T</x:t>
        </x:is>
      </x:c>
      <x:c r="H472" s="3" t="n">
        <x:v>0.5</x:v>
      </x:c>
      <x:c r="I472" s="3" t="inlineStr">
        <x:is>
          <x:t xml:space="preserve">How are monitoring logs protected against tampering and time issues (so they can be used for HR/legal decisions)?</x:t>
        </x:is>
      </x:c>
      <x:c r="J472" s="3" t="inlineStr">
        <x:is>
          <x:t xml:space="preserve">Think integrity: time synchronization, restricted access, immutability (WORM), audit trails of who accessed logs, and retention that matches investigation needs.</x:t>
        </x:is>
      </x:c>
      <x:c r="K472" s="3" t="inlineStr">
        <x:is>
          <x:t xml:space="preserve">Optional Annex (Ask in Full/Deep mode).</x:t>
        </x:is>
      </x:c>
      <x:c r="L472" s="3" t="inlineStr">
        <x:is>
          <x:t xml:space="preserve">LEG_STRICT</x:t>
        </x:is>
      </x:c>
      <x:c r="M472" s="3" t="n">
        <x:v>1.5</x:v>
      </x:c>
      <x:c r="N472" s="3" t="n">
        <x:v>0.5</x:v>
      </x:c>
      <x:c r="O472" s="3" t="n"/>
      <x:c r="P472" s="3" t="inlineStr">
        <x:is>
          <x:t xml:space="preserve">SEC-D10-Q29-A3</x:t>
        </x:is>
      </x:c>
      <x:c r="Q472" s="3" t="n">
        <x:v>4</x:v>
      </x:c>
      <x:c r="R472" s="3" t="inlineStr">
        <x:is>
          <x:t xml:space="preserve">Access is restricted and logged; time sync is managed; but we don’t have immutability/WORM or integrity checks for critical logs.</x:t>
        </x:is>
      </x:c>
      <x:c r="S472" s="3" t="n">
        <x:v>2</x:v>
      </x:c>
      <x:c r="T472" s="3" t="inlineStr">
        <x:is>
          <x:t xml:space="preserve">partial_maturity,legal_exposure</x:t>
        </x:is>
      </x:c>
      <x:c r="U472" s="3" t="inlineStr">
        <x:is>
          <x:t xml:space="preserve">Legal Exposure</x:t>
        </x:is>
      </x:c>
      <x:c r="V472" s="3" t="inlineStr">
        <x:is>
          <x:t xml:space="preserve">Assess_Evidence_Handling</x:t>
        </x:is>
      </x:c>
      <x:c r="W472" s="3" t="inlineStr">
        <x:is>
          <x:t xml:space="preserve">N</x:t>
        </x:is>
      </x:c>
      <x:c r="X472" s="3" t="inlineStr">
        <x:is>
          <x:t xml:space="preserve">Retention and access audit samples</x:t>
        </x:is>
      </x:c>
      <x:c r="Y472" s="6">
        <x:f>(S472*IF(E472="G",F472,0))+(S472*IF(G472="G",H472,0))</x:f>
      </x:c>
      <x:c r="Z472" s="6">
        <x:f>(S472*IF(E472="E",F472,0))+(S472*IF(G472="E",H472,0))</x:f>
      </x:c>
      <x:c r="AA472" s="6">
        <x:f>(S472*IF(E472="T",F472,0))+(S472*IF(G472="T",H472,0))</x:f>
      </x:c>
      <x:c r="AB472" s="6">
        <x:f>(S472*IF(E472="L",F472,0))+(S472*IF(G472="L",H472,0))</x:f>
      </x:c>
      <x:c r="AC472" s="6">
        <x:f>(S472*IF(E472="H",F472,0))+(S472*IF(G472="H",H472,0))</x:f>
      </x:c>
      <x:c r="AD472" s="6">
        <x:f>(S472*IF(E472="V",F472,0))+(S472*IF(G472="V",H472,0))</x:f>
      </x:c>
      <x:c r="AE472" s="6">
        <x:f>(S472*IF(E472="R",F472,0))+(S472*IF(G472="R",H472,0))</x:f>
      </x:c>
      <x:c r="AF472" s="6">
        <x:f>(S472*IF(E472="F",F472,0))+(S472*IF(G472="F",H472,0))</x:f>
      </x:c>
      <x:c r="AG472" s="6">
        <x:f>(S472*IF(E472="W",F472,0))+(S472*IF(G472="W",H472,0))</x:f>
      </x:c>
    </x:row>
    <x:row r="473">
      <x:c r="A473" s="3" t="inlineStr">
        <x:is>
          <x:t xml:space="preserve">Security</x:t>
        </x:is>
      </x:c>
      <x:c r="B473" s="3" t="inlineStr">
        <x:is>
          <x:t xml:space="preserve">SEC-D10-Q29</x:t>
        </x:is>
      </x:c>
      <x:c r="C473" s="3" t="inlineStr">
        <x:is>
          <x:t xml:space="preserve">T4</x:t>
        </x:is>
      </x:c>
      <x:c r="D473" s="3" t="inlineStr">
        <x:is>
          <x:t xml:space="preserve">10. Deep Technical Drill‑down (Optional Annex)</x:t>
        </x:is>
      </x:c>
      <x:c r="E473" s="3" t="inlineStr">
        <x:is>
          <x:t xml:space="preserve">L</x:t>
        </x:is>
      </x:c>
      <x:c r="F473" s="3" t="n">
        <x:v>0.5</x:v>
      </x:c>
      <x:c r="G473" s="3" t="inlineStr">
        <x:is>
          <x:t xml:space="preserve">T</x:t>
        </x:is>
      </x:c>
      <x:c r="H473" s="3" t="n">
        <x:v>0.5</x:v>
      </x:c>
      <x:c r="I473" s="3" t="inlineStr">
        <x:is>
          <x:t xml:space="preserve">How are monitoring logs protected against tampering and time issues (so they can be used for HR/legal decisions)?</x:t>
        </x:is>
      </x:c>
      <x:c r="J473" s="3" t="inlineStr">
        <x:is>
          <x:t xml:space="preserve">Think integrity: time synchronization, restricted access, immutability (WORM), audit trails of who accessed logs, and retention that matches investigation needs.</x:t>
        </x:is>
      </x:c>
      <x:c r="K473" s="3" t="inlineStr">
        <x:is>
          <x:t xml:space="preserve">Optional Annex (Ask in Full/Deep mode).</x:t>
        </x:is>
      </x:c>
      <x:c r="L473" s="3" t="inlineStr">
        <x:is>
          <x:t xml:space="preserve">LEG_STRICT</x:t>
        </x:is>
      </x:c>
      <x:c r="M473" s="3" t="n">
        <x:v>1.5</x:v>
      </x:c>
      <x:c r="N473" s="3" t="n">
        <x:v>0.5</x:v>
      </x:c>
      <x:c r="O473" s="3" t="n"/>
      <x:c r="P473" s="3" t="inlineStr">
        <x:is>
          <x:t xml:space="preserve">SEC-D10-Q29-A4</x:t>
        </x:is>
      </x:c>
      <x:c r="Q473" s="3" t="n">
        <x:v>5</x:v>
      </x:c>
      <x:c r="R473" s="3" t="inlineStr">
        <x:is>
          <x:t xml:space="preserve">Critical logs are integrity-protected (restricted access, audited, consistent time); we can demonstrate chain of custody when needed.</x:t>
        </x:is>
      </x:c>
      <x:c r="S473" s="3" t="n">
        <x:v>3</x:v>
      </x:c>
      <x:c r="T473" s="3" t="inlineStr">
        <x:is>
          <x:t xml:space="preserve">good_practice,forensic_ready</x:t>
        </x:is>
      </x:c>
      <x:c r="U473" s="3" t="n"/>
      <x:c r="V473" s="3" t="inlineStr">
        <x:is>
          <x:t xml:space="preserve">Request_Evidence</x:t>
        </x:is>
      </x:c>
      <x:c r="W473" s="3" t="inlineStr">
        <x:is>
          <x:t xml:space="preserve">N</x:t>
        </x:is>
      </x:c>
      <x:c r="X473" s="3" t="inlineStr">
        <x:is>
          <x:t xml:space="preserve">Audit trail of access; chain-of-custody procedure</x:t>
        </x:is>
      </x:c>
      <x:c r="Y473" s="6">
        <x:f>(S473*IF(E473="G",F473,0))+(S473*IF(G473="G",H473,0))</x:f>
      </x:c>
      <x:c r="Z473" s="6">
        <x:f>(S473*IF(E473="E",F473,0))+(S473*IF(G473="E",H473,0))</x:f>
      </x:c>
      <x:c r="AA473" s="6">
        <x:f>(S473*IF(E473="T",F473,0))+(S473*IF(G473="T",H473,0))</x:f>
      </x:c>
      <x:c r="AB473" s="6">
        <x:f>(S473*IF(E473="L",F473,0))+(S473*IF(G473="L",H473,0))</x:f>
      </x:c>
      <x:c r="AC473" s="6">
        <x:f>(S473*IF(E473="H",F473,0))+(S473*IF(G473="H",H473,0))</x:f>
      </x:c>
      <x:c r="AD473" s="6">
        <x:f>(S473*IF(E473="V",F473,0))+(S473*IF(G473="V",H473,0))</x:f>
      </x:c>
      <x:c r="AE473" s="6">
        <x:f>(S473*IF(E473="R",F473,0))+(S473*IF(G473="R",H473,0))</x:f>
      </x:c>
      <x:c r="AF473" s="6">
        <x:f>(S473*IF(E473="F",F473,0))+(S473*IF(G473="F",H473,0))</x:f>
      </x:c>
      <x:c r="AG473" s="6">
        <x:f>(S473*IF(E473="W",F473,0))+(S473*IF(G473="W",H473,0))</x:f>
      </x:c>
    </x:row>
    <x:row r="474">
      <x:c r="A474" s="3" t="inlineStr">
        <x:is>
          <x:t xml:space="preserve">Security</x:t>
        </x:is>
      </x:c>
      <x:c r="B474" s="3" t="inlineStr">
        <x:is>
          <x:t xml:space="preserve">SEC-D10-Q29</x:t>
        </x:is>
      </x:c>
      <x:c r="C474" s="3" t="inlineStr">
        <x:is>
          <x:t xml:space="preserve">T4</x:t>
        </x:is>
      </x:c>
      <x:c r="D474" s="3" t="inlineStr">
        <x:is>
          <x:t xml:space="preserve">10. Deep Technical Drill‑down (Optional Annex)</x:t>
        </x:is>
      </x:c>
      <x:c r="E474" s="3" t="inlineStr">
        <x:is>
          <x:t xml:space="preserve">L</x:t>
        </x:is>
      </x:c>
      <x:c r="F474" s="3" t="n">
        <x:v>0.5</x:v>
      </x:c>
      <x:c r="G474" s="3" t="inlineStr">
        <x:is>
          <x:t xml:space="preserve">T</x:t>
        </x:is>
      </x:c>
      <x:c r="H474" s="3" t="n">
        <x:v>0.5</x:v>
      </x:c>
      <x:c r="I474" s="3" t="inlineStr">
        <x:is>
          <x:t xml:space="preserve">How are monitoring logs protected against tampering and time issues (so they can be used for HR/legal decisions)?</x:t>
        </x:is>
      </x:c>
      <x:c r="J474" s="3" t="inlineStr">
        <x:is>
          <x:t xml:space="preserve">Think integrity: time synchronization, restricted access, immutability (WORM), audit trails of who accessed logs, and retention that matches investigation needs.</x:t>
        </x:is>
      </x:c>
      <x:c r="K474" s="3" t="inlineStr">
        <x:is>
          <x:t xml:space="preserve">Optional Annex (Ask in Full/Deep mode).</x:t>
        </x:is>
      </x:c>
      <x:c r="L474" s="3" t="inlineStr">
        <x:is>
          <x:t xml:space="preserve">LEG_STRICT</x:t>
        </x:is>
      </x:c>
      <x:c r="M474" s="3" t="n">
        <x:v>1.5</x:v>
      </x:c>
      <x:c r="N474" s="3" t="n">
        <x:v>0.5</x:v>
      </x:c>
      <x:c r="O474" s="3" t="n"/>
      <x:c r="P474" s="3" t="inlineStr">
        <x:is>
          <x:t xml:space="preserve">SEC-D10-Q29-A5</x:t>
        </x:is>
      </x:c>
      <x:c r="Q474" s="3" t="n">
        <x:v>6</x:v>
      </x:c>
      <x:c r="R474" s="3" t="inlineStr">
        <x:is>
          <x:t xml:space="preserve">Critical logs are tamper-resistant/immutable (WORM/cryptographic), independently auditable, and regularly tested for evidentiary use.</x:t>
        </x:is>
      </x:c>
      <x:c r="S474" s="3" t="n">
        <x:v>4</x:v>
      </x:c>
      <x:c r="T474" s="3" t="inlineStr">
        <x:is>
          <x:t xml:space="preserve">optimized,forensic_ready</x:t>
        </x:is>
      </x:c>
      <x:c r="U474" s="3" t="n"/>
      <x:c r="V474" s="3" t="inlineStr">
        <x:is>
          <x:t xml:space="preserve">Request_Evidence</x:t>
        </x:is>
      </x:c>
      <x:c r="W474" s="3" t="inlineStr">
        <x:is>
          <x:t xml:space="preserve">N</x:t>
        </x:is>
      </x:c>
      <x:c r="X474" s="3" t="inlineStr">
        <x:is>
          <x:t xml:space="preserve">WORM/immutability proof; audit report</x:t>
        </x:is>
      </x:c>
      <x:c r="Y474" s="6">
        <x:f>(S474*IF(E474="G",F474,0))+(S474*IF(G474="G",H474,0))</x:f>
      </x:c>
      <x:c r="Z474" s="6">
        <x:f>(S474*IF(E474="E",F474,0))+(S474*IF(G474="E",H474,0))</x:f>
      </x:c>
      <x:c r="AA474" s="6">
        <x:f>(S474*IF(E474="T",F474,0))+(S474*IF(G474="T",H474,0))</x:f>
      </x:c>
      <x:c r="AB474" s="6">
        <x:f>(S474*IF(E474="L",F474,0))+(S474*IF(G474="L",H474,0))</x:f>
      </x:c>
      <x:c r="AC474" s="6">
        <x:f>(S474*IF(E474="H",F474,0))+(S474*IF(G474="H",H474,0))</x:f>
      </x:c>
      <x:c r="AD474" s="6">
        <x:f>(S474*IF(E474="V",F474,0))+(S474*IF(G474="V",H474,0))</x:f>
      </x:c>
      <x:c r="AE474" s="6">
        <x:f>(S474*IF(E474="R",F474,0))+(S474*IF(G474="R",H474,0))</x:f>
      </x:c>
      <x:c r="AF474" s="6">
        <x:f>(S474*IF(E474="F",F474,0))+(S474*IF(G474="F",H474,0))</x:f>
      </x:c>
      <x:c r="AG474" s="6">
        <x:f>(S474*IF(E474="W",F474,0))+(S474*IF(G474="W",H474,0))</x:f>
      </x:c>
    </x:row>
    <x:row r="475">
      <x:c r="A475" s="3" t="inlineStr">
        <x:is>
          <x:t xml:space="preserve">Security</x:t>
        </x:is>
      </x:c>
      <x:c r="B475" s="3" t="inlineStr">
        <x:is>
          <x:t xml:space="preserve">SEC-D10-Q30</x:t>
        </x:is>
      </x:c>
      <x:c r="C475" s="3" t="inlineStr">
        <x:is>
          <x:t xml:space="preserve">T3</x:t>
        </x:is>
      </x:c>
      <x:c r="D475" s="3" t="inlineStr">
        <x:is>
          <x:t xml:space="preserve">10. Deep Technical Drill‑down (Optional Annex)</x:t>
        </x:is>
      </x:c>
      <x:c r="E475" s="3" t="inlineStr">
        <x:is>
          <x:t xml:space="preserve">E</x:t>
        </x:is>
      </x:c>
      <x:c r="F475" s="3" t="n">
        <x:v>0.6</x:v>
      </x:c>
      <x:c r="G475" s="3" t="inlineStr">
        <x:is>
          <x:t xml:space="preserve">T</x:t>
        </x:is>
      </x:c>
      <x:c r="H475" s="3" t="n">
        <x:v>0.4</x:v>
      </x:c>
      <x:c r="I475" s="3" t="inlineStr">
        <x:is>
          <x:t xml:space="preserve">If an investigation starts today, how quickly can you retrieve the last 30 days of relevant activity for a user across key systems?</x:t>
        </x:is>
      </x:c>
      <x:c r="J475" s="3" t="inlineStr">
        <x:is>
          <x:t xml:space="preserve">Consider the end‑to‑end time: identifying sources, requesting access, exporting data, and handing it to investigators in a usable format.</x:t>
        </x:is>
      </x:c>
      <x:c r="K475" s="3" t="inlineStr">
        <x:is>
          <x:t xml:space="preserve">Optional Annex (Ask in Full/Deep mode OR if SEC-D2-Q04 BaseScore ≥ 2).</x:t>
        </x:is>
      </x:c>
      <x:c r="L475" s="3" t="inlineStr">
        <x:is>
          <x:t xml:space="preserve">OPS_STD</x:t>
        </x:is>
      </x:c>
      <x:c r="M475" s="3" t="n">
        <x:v>1</x:v>
      </x:c>
      <x:c r="N475" s="3" t="n"/>
      <x:c r="O475" s="3" t="n"/>
      <x:c r="P475" s="3" t="inlineStr">
        <x:is>
          <x:t xml:space="preserve">SEC-D10-Q30-A0</x:t>
        </x:is>
      </x:c>
      <x:c r="Q475" s="3" t="n">
        <x:v>1</x:v>
      </x:c>
      <x:c r="R475" s="3" t="inlineStr">
        <x:is>
          <x:t xml:space="preserve">I don’t know / not sure.</x:t>
        </x:is>
      </x:c>
      <x:c r="S475" s="3" t="n">
        <x:v>0</x:v>
      </x:c>
      <x:c r="T475" s="3" t="inlineStr">
        <x:is>
          <x:t xml:space="preserve">unknown</x:t>
        </x:is>
      </x:c>
      <x:c r="U475" s="3" t="inlineStr">
        <x:is>
          <x:t xml:space="preserve">Unknown</x:t>
        </x:is>
      </x:c>
      <x:c r="V475" s="3" t="inlineStr">
        <x:is>
          <x:t xml:space="preserve">Clarify_Stakeholders</x:t>
        </x:is>
      </x:c>
      <x:c r="W475" s="3" t="inlineStr">
        <x:is>
          <x:t xml:space="preserve">N</x:t>
        </x:is>
      </x:c>
      <x:c r="X475" s="3" t="inlineStr">
        <x:is>
          <x:t xml:space="preserve">None</x:t>
        </x:is>
      </x:c>
      <x:c r="Y475" s="6">
        <x:f>(S475*IF(E475="G",F475,0))+(S475*IF(G475="G",H475,0))</x:f>
      </x:c>
      <x:c r="Z475" s="6">
        <x:f>(S475*IF(E475="E",F475,0))+(S475*IF(G475="E",H475,0))</x:f>
      </x:c>
      <x:c r="AA475" s="6">
        <x:f>(S475*IF(E475="T",F475,0))+(S475*IF(G475="T",H475,0))</x:f>
      </x:c>
      <x:c r="AB475" s="6">
        <x:f>(S475*IF(E475="L",F475,0))+(S475*IF(G475="L",H475,0))</x:f>
      </x:c>
      <x:c r="AC475" s="6">
        <x:f>(S475*IF(E475="H",F475,0))+(S475*IF(G475="H",H475,0))</x:f>
      </x:c>
      <x:c r="AD475" s="6">
        <x:f>(S475*IF(E475="V",F475,0))+(S475*IF(G475="V",H475,0))</x:f>
      </x:c>
      <x:c r="AE475" s="6">
        <x:f>(S475*IF(E475="R",F475,0))+(S475*IF(G475="R",H475,0))</x:f>
      </x:c>
      <x:c r="AF475" s="6">
        <x:f>(S475*IF(E475="F",F475,0))+(S475*IF(G475="F",H475,0))</x:f>
      </x:c>
      <x:c r="AG475" s="6">
        <x:f>(S475*IF(E475="W",F475,0))+(S475*IF(G475="W",H475,0))</x:f>
      </x:c>
    </x:row>
    <x:row r="476">
      <x:c r="A476" s="3" t="inlineStr">
        <x:is>
          <x:t xml:space="preserve">Security</x:t>
        </x:is>
      </x:c>
      <x:c r="B476" s="3" t="inlineStr">
        <x:is>
          <x:t xml:space="preserve">SEC-D10-Q30</x:t>
        </x:is>
      </x:c>
      <x:c r="C476" s="3" t="inlineStr">
        <x:is>
          <x:t xml:space="preserve">T3</x:t>
        </x:is>
      </x:c>
      <x:c r="D476" s="3" t="inlineStr">
        <x:is>
          <x:t xml:space="preserve">10. Deep Technical Drill‑down (Optional Annex)</x:t>
        </x:is>
      </x:c>
      <x:c r="E476" s="3" t="inlineStr">
        <x:is>
          <x:t xml:space="preserve">E</x:t>
        </x:is>
      </x:c>
      <x:c r="F476" s="3" t="n">
        <x:v>0.6</x:v>
      </x:c>
      <x:c r="G476" s="3" t="inlineStr">
        <x:is>
          <x:t xml:space="preserve">T</x:t>
        </x:is>
      </x:c>
      <x:c r="H476" s="3" t="n">
        <x:v>0.4</x:v>
      </x:c>
      <x:c r="I476" s="3" t="inlineStr">
        <x:is>
          <x:t xml:space="preserve">If an investigation starts today, how quickly can you retrieve the last 30 days of relevant activity for a user across key systems?</x:t>
        </x:is>
      </x:c>
      <x:c r="J476" s="3" t="inlineStr">
        <x:is>
          <x:t xml:space="preserve">Consider the end‑to‑end time: identifying sources, requesting access, exporting data, and handing it to investigators in a usable format.</x:t>
        </x:is>
      </x:c>
      <x:c r="K476" s="3" t="inlineStr">
        <x:is>
          <x:t xml:space="preserve">Optional Annex (Ask in Full/Deep mode OR if SEC-D2-Q04 BaseScore ≥ 2).</x:t>
        </x:is>
      </x:c>
      <x:c r="L476" s="3" t="inlineStr">
        <x:is>
          <x:t xml:space="preserve">OPS_STD</x:t>
        </x:is>
      </x:c>
      <x:c r="M476" s="3" t="n">
        <x:v>1</x:v>
      </x:c>
      <x:c r="N476" s="3" t="n"/>
      <x:c r="O476" s="3" t="n"/>
      <x:c r="P476" s="3" t="inlineStr">
        <x:is>
          <x:t xml:space="preserve">SEC-D10-Q30-A1</x:t>
        </x:is>
      </x:c>
      <x:c r="Q476" s="3" t="n">
        <x:v>2</x:v>
      </x:c>
      <x:c r="R476" s="3" t="inlineStr">
        <x:is>
          <x:t xml:space="preserve">It usually takes days/weeks because data is spread across teams/tools and access must be requested case-by-case.</x:t>
        </x:is>
      </x:c>
      <x:c r="S476" s="3" t="n">
        <x:v>0</x:v>
      </x:c>
      <x:c r="T476" s="3" t="inlineStr">
        <x:is>
          <x:t xml:space="preserve">siloed,operating_model_gap</x:t>
        </x:is>
      </x:c>
      <x:c r="U476" s="3" t="inlineStr">
        <x:is>
          <x:t xml:space="preserve">Operating Model Gap</x:t>
        </x:is>
      </x:c>
      <x:c r="V476" s="3" t="inlineStr">
        <x:is>
          <x:t xml:space="preserve">Design_Case_Model</x:t>
        </x:is>
      </x:c>
      <x:c r="W476" s="3" t="inlineStr">
        <x:is>
          <x:t xml:space="preserve">N</x:t>
        </x:is>
      </x:c>
      <x:c r="X476" s="3" t="inlineStr">
        <x:is>
          <x:t xml:space="preserve">Example timeline of last case</x:t>
        </x:is>
      </x:c>
      <x:c r="Y476" s="6">
        <x:f>(S476*IF(E476="G",F476,0))+(S476*IF(G476="G",H476,0))</x:f>
      </x:c>
      <x:c r="Z476" s="6">
        <x:f>(S476*IF(E476="E",F476,0))+(S476*IF(G476="E",H476,0))</x:f>
      </x:c>
      <x:c r="AA476" s="6">
        <x:f>(S476*IF(E476="T",F476,0))+(S476*IF(G476="T",H476,0))</x:f>
      </x:c>
      <x:c r="AB476" s="6">
        <x:f>(S476*IF(E476="L",F476,0))+(S476*IF(G476="L",H476,0))</x:f>
      </x:c>
      <x:c r="AC476" s="6">
        <x:f>(S476*IF(E476="H",F476,0))+(S476*IF(G476="H",H476,0))</x:f>
      </x:c>
      <x:c r="AD476" s="6">
        <x:f>(S476*IF(E476="V",F476,0))+(S476*IF(G476="V",H476,0))</x:f>
      </x:c>
      <x:c r="AE476" s="6">
        <x:f>(S476*IF(E476="R",F476,0))+(S476*IF(G476="R",H476,0))</x:f>
      </x:c>
      <x:c r="AF476" s="6">
        <x:f>(S476*IF(E476="F",F476,0))+(S476*IF(G476="F",H476,0))</x:f>
      </x:c>
      <x:c r="AG476" s="6">
        <x:f>(S476*IF(E476="W",F476,0))+(S476*IF(G476="W",H476,0))</x:f>
      </x:c>
    </x:row>
    <x:row r="477">
      <x:c r="A477" s="3" t="inlineStr">
        <x:is>
          <x:t xml:space="preserve">Security</x:t>
        </x:is>
      </x:c>
      <x:c r="B477" s="3" t="inlineStr">
        <x:is>
          <x:t xml:space="preserve">SEC-D10-Q30</x:t>
        </x:is>
      </x:c>
      <x:c r="C477" s="3" t="inlineStr">
        <x:is>
          <x:t xml:space="preserve">T3</x:t>
        </x:is>
      </x:c>
      <x:c r="D477" s="3" t="inlineStr">
        <x:is>
          <x:t xml:space="preserve">10. Deep Technical Drill‑down (Optional Annex)</x:t>
        </x:is>
      </x:c>
      <x:c r="E477" s="3" t="inlineStr">
        <x:is>
          <x:t xml:space="preserve">E</x:t>
        </x:is>
      </x:c>
      <x:c r="F477" s="3" t="n">
        <x:v>0.6</x:v>
      </x:c>
      <x:c r="G477" s="3" t="inlineStr">
        <x:is>
          <x:t xml:space="preserve">T</x:t>
        </x:is>
      </x:c>
      <x:c r="H477" s="3" t="n">
        <x:v>0.4</x:v>
      </x:c>
      <x:c r="I477" s="3" t="inlineStr">
        <x:is>
          <x:t xml:space="preserve">If an investigation starts today, how quickly can you retrieve the last 30 days of relevant activity for a user across key systems?</x:t>
        </x:is>
      </x:c>
      <x:c r="J477" s="3" t="inlineStr">
        <x:is>
          <x:t xml:space="preserve">Consider the end‑to‑end time: identifying sources, requesting access, exporting data, and handing it to investigators in a usable format.</x:t>
        </x:is>
      </x:c>
      <x:c r="K477" s="3" t="inlineStr">
        <x:is>
          <x:t xml:space="preserve">Optional Annex (Ask in Full/Deep mode OR if SEC-D2-Q04 BaseScore ≥ 2).</x:t>
        </x:is>
      </x:c>
      <x:c r="L477" s="3" t="inlineStr">
        <x:is>
          <x:t xml:space="preserve">OPS_STD</x:t>
        </x:is>
      </x:c>
      <x:c r="M477" s="3" t="n">
        <x:v>1</x:v>
      </x:c>
      <x:c r="N477" s="3" t="n"/>
      <x:c r="O477" s="3" t="n"/>
      <x:c r="P477" s="3" t="inlineStr">
        <x:is>
          <x:t xml:space="preserve">SEC-D10-Q30-A2</x:t>
        </x:is>
      </x:c>
      <x:c r="Q477" s="3" t="n">
        <x:v>3</x:v>
      </x:c>
      <x:c r="R477" s="3" t="inlineStr">
        <x:is>
          <x:t xml:space="preserve">It takes a few days; we can do it, but it’s manual and depends on specific people.</x:t>
        </x:is>
      </x:c>
      <x:c r="S477" s="3" t="n">
        <x:v>1</x:v>
      </x:c>
      <x:c r="T477" s="3" t="inlineStr">
        <x:is>
          <x:t xml:space="preserve">key_person_dependency,ad_hoc</x:t>
        </x:is>
      </x:c>
      <x:c r="U477" s="3" t="inlineStr">
        <x:is>
          <x:t xml:space="preserve">Shadow Mature</x:t>
        </x:is>
      </x:c>
      <x:c r="V477" s="3" t="inlineStr">
        <x:is>
          <x:t xml:space="preserve">Capture_Playbook</x:t>
        </x:is>
      </x:c>
      <x:c r="W477" s="3" t="inlineStr">
        <x:is>
          <x:t xml:space="preserve">N</x:t>
        </x:is>
      </x:c>
      <x:c r="X477" s="3" t="inlineStr">
        <x:is>
          <x:t xml:space="preserve">Example export steps</x:t>
        </x:is>
      </x:c>
      <x:c r="Y477" s="6">
        <x:f>(S477*IF(E477="G",F477,0))+(S477*IF(G477="G",H477,0))</x:f>
      </x:c>
      <x:c r="Z477" s="6">
        <x:f>(S477*IF(E477="E",F477,0))+(S477*IF(G477="E",H477,0))</x:f>
      </x:c>
      <x:c r="AA477" s="6">
        <x:f>(S477*IF(E477="T",F477,0))+(S477*IF(G477="T",H477,0))</x:f>
      </x:c>
      <x:c r="AB477" s="6">
        <x:f>(S477*IF(E477="L",F477,0))+(S477*IF(G477="L",H477,0))</x:f>
      </x:c>
      <x:c r="AC477" s="6">
        <x:f>(S477*IF(E477="H",F477,0))+(S477*IF(G477="H",H477,0))</x:f>
      </x:c>
      <x:c r="AD477" s="6">
        <x:f>(S477*IF(E477="V",F477,0))+(S477*IF(G477="V",H477,0))</x:f>
      </x:c>
      <x:c r="AE477" s="6">
        <x:f>(S477*IF(E477="R",F477,0))+(S477*IF(G477="R",H477,0))</x:f>
      </x:c>
      <x:c r="AF477" s="6">
        <x:f>(S477*IF(E477="F",F477,0))+(S477*IF(G477="F",H477,0))</x:f>
      </x:c>
      <x:c r="AG477" s="6">
        <x:f>(S477*IF(E477="W",F477,0))+(S477*IF(G477="W",H477,0))</x:f>
      </x:c>
    </x:row>
    <x:row r="478">
      <x:c r="A478" s="3" t="inlineStr">
        <x:is>
          <x:t xml:space="preserve">Security</x:t>
        </x:is>
      </x:c>
      <x:c r="B478" s="3" t="inlineStr">
        <x:is>
          <x:t xml:space="preserve">SEC-D10-Q30</x:t>
        </x:is>
      </x:c>
      <x:c r="C478" s="3" t="inlineStr">
        <x:is>
          <x:t xml:space="preserve">T3</x:t>
        </x:is>
      </x:c>
      <x:c r="D478" s="3" t="inlineStr">
        <x:is>
          <x:t xml:space="preserve">10. Deep Technical Drill‑down (Optional Annex)</x:t>
        </x:is>
      </x:c>
      <x:c r="E478" s="3" t="inlineStr">
        <x:is>
          <x:t xml:space="preserve">E</x:t>
        </x:is>
      </x:c>
      <x:c r="F478" s="3" t="n">
        <x:v>0.6</x:v>
      </x:c>
      <x:c r="G478" s="3" t="inlineStr">
        <x:is>
          <x:t xml:space="preserve">T</x:t>
        </x:is>
      </x:c>
      <x:c r="H478" s="3" t="n">
        <x:v>0.4</x:v>
      </x:c>
      <x:c r="I478" s="3" t="inlineStr">
        <x:is>
          <x:t xml:space="preserve">If an investigation starts today, how quickly can you retrieve the last 30 days of relevant activity for a user across key systems?</x:t>
        </x:is>
      </x:c>
      <x:c r="J478" s="3" t="inlineStr">
        <x:is>
          <x:t xml:space="preserve">Consider the end‑to‑end time: identifying sources, requesting access, exporting data, and handing it to investigators in a usable format.</x:t>
        </x:is>
      </x:c>
      <x:c r="K478" s="3" t="inlineStr">
        <x:is>
          <x:t xml:space="preserve">Optional Annex (Ask in Full/Deep mode OR if SEC-D2-Q04 BaseScore ≥ 2).</x:t>
        </x:is>
      </x:c>
      <x:c r="L478" s="3" t="inlineStr">
        <x:is>
          <x:t xml:space="preserve">OPS_STD</x:t>
        </x:is>
      </x:c>
      <x:c r="M478" s="3" t="n">
        <x:v>1</x:v>
      </x:c>
      <x:c r="N478" s="3" t="n"/>
      <x:c r="O478" s="3" t="n"/>
      <x:c r="P478" s="3" t="inlineStr">
        <x:is>
          <x:t xml:space="preserve">SEC-D10-Q30-A3</x:t>
        </x:is>
      </x:c>
      <x:c r="Q478" s="3" t="n">
        <x:v>4</x:v>
      </x:c>
      <x:c r="R478" s="3" t="inlineStr">
        <x:is>
          <x:t xml:space="preserve">We can usually retrieve within 24–48 hours for key systems, but not consistently across all sources.</x:t>
        </x:is>
      </x:c>
      <x:c r="S478" s="3" t="n">
        <x:v>2</x:v>
      </x:c>
      <x:c r="T478" s="3" t="inlineStr">
        <x:is>
          <x:t xml:space="preserve">partial_maturity,inconsistent_execution</x:t>
        </x:is>
      </x:c>
      <x:c r="U478" s="3" t="inlineStr">
        <x:is>
          <x:t xml:space="preserve">Resilience Gap</x:t>
        </x:is>
      </x:c>
      <x:c r="V478" s="3" t="inlineStr">
        <x:is>
          <x:t xml:space="preserve">Assess_Case_Model</x:t>
        </x:is>
      </x:c>
      <x:c r="W478" s="3" t="inlineStr">
        <x:is>
          <x:t xml:space="preserve">N</x:t>
        </x:is>
      </x:c>
      <x:c r="X478" s="3" t="inlineStr">
        <x:is>
          <x:t xml:space="preserve">Last case retrieval evidence</x:t>
        </x:is>
      </x:c>
      <x:c r="Y478" s="6">
        <x:f>(S478*IF(E478="G",F478,0))+(S478*IF(G478="G",H478,0))</x:f>
      </x:c>
      <x:c r="Z478" s="6">
        <x:f>(S478*IF(E478="E",F478,0))+(S478*IF(G478="E",H478,0))</x:f>
      </x:c>
      <x:c r="AA478" s="6">
        <x:f>(S478*IF(E478="T",F478,0))+(S478*IF(G478="T",H478,0))</x:f>
      </x:c>
      <x:c r="AB478" s="6">
        <x:f>(S478*IF(E478="L",F478,0))+(S478*IF(G478="L",H478,0))</x:f>
      </x:c>
      <x:c r="AC478" s="6">
        <x:f>(S478*IF(E478="H",F478,0))+(S478*IF(G478="H",H478,0))</x:f>
      </x:c>
      <x:c r="AD478" s="6">
        <x:f>(S478*IF(E478="V",F478,0))+(S478*IF(G478="V",H478,0))</x:f>
      </x:c>
      <x:c r="AE478" s="6">
        <x:f>(S478*IF(E478="R",F478,0))+(S478*IF(G478="R",H478,0))</x:f>
      </x:c>
      <x:c r="AF478" s="6">
        <x:f>(S478*IF(E478="F",F478,0))+(S478*IF(G478="F",H478,0))</x:f>
      </x:c>
      <x:c r="AG478" s="6">
        <x:f>(S478*IF(E478="W",F478,0))+(S478*IF(G478="W",H478,0))</x:f>
      </x:c>
    </x:row>
    <x:row r="479">
      <x:c r="A479" s="3" t="inlineStr">
        <x:is>
          <x:t xml:space="preserve">Security</x:t>
        </x:is>
      </x:c>
      <x:c r="B479" s="3" t="inlineStr">
        <x:is>
          <x:t xml:space="preserve">SEC-D10-Q30</x:t>
        </x:is>
      </x:c>
      <x:c r="C479" s="3" t="inlineStr">
        <x:is>
          <x:t xml:space="preserve">T3</x:t>
        </x:is>
      </x:c>
      <x:c r="D479" s="3" t="inlineStr">
        <x:is>
          <x:t xml:space="preserve">10. Deep Technical Drill‑down (Optional Annex)</x:t>
        </x:is>
      </x:c>
      <x:c r="E479" s="3" t="inlineStr">
        <x:is>
          <x:t xml:space="preserve">E</x:t>
        </x:is>
      </x:c>
      <x:c r="F479" s="3" t="n">
        <x:v>0.6</x:v>
      </x:c>
      <x:c r="G479" s="3" t="inlineStr">
        <x:is>
          <x:t xml:space="preserve">T</x:t>
        </x:is>
      </x:c>
      <x:c r="H479" s="3" t="n">
        <x:v>0.4</x:v>
      </x:c>
      <x:c r="I479" s="3" t="inlineStr">
        <x:is>
          <x:t xml:space="preserve">If an investigation starts today, how quickly can you retrieve the last 30 days of relevant activity for a user across key systems?</x:t>
        </x:is>
      </x:c>
      <x:c r="J479" s="3" t="inlineStr">
        <x:is>
          <x:t xml:space="preserve">Consider the end‑to‑end time: identifying sources, requesting access, exporting data, and handing it to investigators in a usable format.</x:t>
        </x:is>
      </x:c>
      <x:c r="K479" s="3" t="inlineStr">
        <x:is>
          <x:t xml:space="preserve">Optional Annex (Ask in Full/Deep mode OR if SEC-D2-Q04 BaseScore ≥ 2).</x:t>
        </x:is>
      </x:c>
      <x:c r="L479" s="3" t="inlineStr">
        <x:is>
          <x:t xml:space="preserve">OPS_STD</x:t>
        </x:is>
      </x:c>
      <x:c r="M479" s="3" t="n">
        <x:v>1</x:v>
      </x:c>
      <x:c r="N479" s="3" t="n"/>
      <x:c r="O479" s="3" t="n"/>
      <x:c r="P479" s="3" t="inlineStr">
        <x:is>
          <x:t xml:space="preserve">SEC-D10-Q30-A4</x:t>
        </x:is>
      </x:c>
      <x:c r="Q479" s="3" t="n">
        <x:v>5</x:v>
      </x:c>
      <x:c r="R479" s="3" t="inlineStr">
        <x:is>
          <x:t xml:space="preserve">We can retrieve within hours using a documented process and standardized exports for investigations.</x:t>
        </x:is>
      </x:c>
      <x:c r="S479" s="3" t="n">
        <x:v>3</x:v>
      </x:c>
      <x:c r="T479" s="3" t="inlineStr">
        <x:is>
          <x:t xml:space="preserve">good_practice,execution_strength</x:t>
        </x:is>
      </x:c>
      <x:c r="U479" s="3" t="n"/>
      <x:c r="V479" s="3" t="inlineStr">
        <x:is>
          <x:t xml:space="preserve">Request_Evidence</x:t>
        </x:is>
      </x:c>
      <x:c r="W479" s="3" t="inlineStr">
        <x:is>
          <x:t xml:space="preserve">N</x:t>
        </x:is>
      </x:c>
      <x:c r="X479" s="3" t="inlineStr">
        <x:is>
          <x:t xml:space="preserve">SOP + sample export</x:t>
        </x:is>
      </x:c>
      <x:c r="Y479" s="6">
        <x:f>(S479*IF(E479="G",F479,0))+(S479*IF(G479="G",H479,0))</x:f>
      </x:c>
      <x:c r="Z479" s="6">
        <x:f>(S479*IF(E479="E",F479,0))+(S479*IF(G479="E",H479,0))</x:f>
      </x:c>
      <x:c r="AA479" s="6">
        <x:f>(S479*IF(E479="T",F479,0))+(S479*IF(G479="T",H479,0))</x:f>
      </x:c>
      <x:c r="AB479" s="6">
        <x:f>(S479*IF(E479="L",F479,0))+(S479*IF(G479="L",H479,0))</x:f>
      </x:c>
      <x:c r="AC479" s="6">
        <x:f>(S479*IF(E479="H",F479,0))+(S479*IF(G479="H",H479,0))</x:f>
      </x:c>
      <x:c r="AD479" s="6">
        <x:f>(S479*IF(E479="V",F479,0))+(S479*IF(G479="V",H479,0))</x:f>
      </x:c>
      <x:c r="AE479" s="6">
        <x:f>(S479*IF(E479="R",F479,0))+(S479*IF(G479="R",H479,0))</x:f>
      </x:c>
      <x:c r="AF479" s="6">
        <x:f>(S479*IF(E479="F",F479,0))+(S479*IF(G479="F",H479,0))</x:f>
      </x:c>
      <x:c r="AG479" s="6">
        <x:f>(S479*IF(E479="W",F479,0))+(S479*IF(G479="W",H479,0))</x:f>
      </x:c>
    </x:row>
    <x:row r="480">
      <x:c r="A480" s="3" t="inlineStr">
        <x:is>
          <x:t xml:space="preserve">Security</x:t>
        </x:is>
      </x:c>
      <x:c r="B480" s="3" t="inlineStr">
        <x:is>
          <x:t xml:space="preserve">SEC-D10-Q30</x:t>
        </x:is>
      </x:c>
      <x:c r="C480" s="3" t="inlineStr">
        <x:is>
          <x:t xml:space="preserve">T3</x:t>
        </x:is>
      </x:c>
      <x:c r="D480" s="3" t="inlineStr">
        <x:is>
          <x:t xml:space="preserve">10. Deep Technical Drill‑down (Optional Annex)</x:t>
        </x:is>
      </x:c>
      <x:c r="E480" s="3" t="inlineStr">
        <x:is>
          <x:t xml:space="preserve">E</x:t>
        </x:is>
      </x:c>
      <x:c r="F480" s="3" t="n">
        <x:v>0.6</x:v>
      </x:c>
      <x:c r="G480" s="3" t="inlineStr">
        <x:is>
          <x:t xml:space="preserve">T</x:t>
        </x:is>
      </x:c>
      <x:c r="H480" s="3" t="n">
        <x:v>0.4</x:v>
      </x:c>
      <x:c r="I480" s="3" t="inlineStr">
        <x:is>
          <x:t xml:space="preserve">If an investigation starts today, how quickly can you retrieve the last 30 days of relevant activity for a user across key systems?</x:t>
        </x:is>
      </x:c>
      <x:c r="J480" s="3" t="inlineStr">
        <x:is>
          <x:t xml:space="preserve">Consider the end‑to‑end time: identifying sources, requesting access, exporting data, and handing it to investigators in a usable format.</x:t>
        </x:is>
      </x:c>
      <x:c r="K480" s="3" t="inlineStr">
        <x:is>
          <x:t xml:space="preserve">Optional Annex (Ask in Full/Deep mode OR if SEC-D2-Q04 BaseScore ≥ 2).</x:t>
        </x:is>
      </x:c>
      <x:c r="L480" s="3" t="inlineStr">
        <x:is>
          <x:t xml:space="preserve">OPS_STD</x:t>
        </x:is>
      </x:c>
      <x:c r="M480" s="3" t="n">
        <x:v>1</x:v>
      </x:c>
      <x:c r="N480" s="3" t="n"/>
      <x:c r="O480" s="3" t="n"/>
      <x:c r="P480" s="3" t="inlineStr">
        <x:is>
          <x:t xml:space="preserve">SEC-D10-Q30-A5</x:t>
        </x:is>
      </x:c>
      <x:c r="Q480" s="3" t="n">
        <x:v>6</x:v>
      </x:c>
      <x:c r="R480" s="3" t="inlineStr">
        <x:is>
          <x:t xml:space="preserve">We can retrieve within ~1 hour via case tooling/self-service workflows; completeness and timing are measured.</x:t>
        </x:is>
      </x:c>
      <x:c r="S480" s="3" t="n">
        <x:v>4</x:v>
      </x:c>
      <x:c r="T480" s="3" t="inlineStr">
        <x:is>
          <x:t xml:space="preserve">optimized,execution_strength</x:t>
        </x:is>
      </x:c>
      <x:c r="U480" s="3" t="n"/>
      <x:c r="V480" s="3" t="inlineStr">
        <x:is>
          <x:t xml:space="preserve">Request_Evidence</x:t>
        </x:is>
      </x:c>
      <x:c r="W480" s="3" t="inlineStr">
        <x:is>
          <x:t xml:space="preserve">N</x:t>
        </x:is>
      </x:c>
      <x:c r="X480" s="3" t="inlineStr">
        <x:is>
          <x:t xml:space="preserve">Metrics (time-to-retrieve) + proof</x:t>
        </x:is>
      </x:c>
      <x:c r="Y480" s="6">
        <x:f>(S480*IF(E480="G",F480,0))+(S480*IF(G480="G",H480,0))</x:f>
      </x:c>
      <x:c r="Z480" s="6">
        <x:f>(S480*IF(E480="E",F480,0))+(S480*IF(G480="E",H480,0))</x:f>
      </x:c>
      <x:c r="AA480" s="6">
        <x:f>(S480*IF(E480="T",F480,0))+(S480*IF(G480="T",H480,0))</x:f>
      </x:c>
      <x:c r="AB480" s="6">
        <x:f>(S480*IF(E480="L",F480,0))+(S480*IF(G480="L",H480,0))</x:f>
      </x:c>
      <x:c r="AC480" s="6">
        <x:f>(S480*IF(E480="H",F480,0))+(S480*IF(G480="H",H480,0))</x:f>
      </x:c>
      <x:c r="AD480" s="6">
        <x:f>(S480*IF(E480="V",F480,0))+(S480*IF(G480="V",H480,0))</x:f>
      </x:c>
      <x:c r="AE480" s="6">
        <x:f>(S480*IF(E480="R",F480,0))+(S480*IF(G480="R",H480,0))</x:f>
      </x:c>
      <x:c r="AF480" s="6">
        <x:f>(S480*IF(E480="F",F480,0))+(S480*IF(G480="F",H480,0))</x:f>
      </x:c>
      <x:c r="AG480" s="6">
        <x:f>(S480*IF(E480="W",F480,0))+(S480*IF(G480="W",H480,0))</x:f>
      </x:c>
    </x:row>
    <x:row r="481">
      <x:c r="A481" s="3" t="inlineStr">
        <x:is>
          <x:t xml:space="preserve">Security</x:t>
        </x:is>
      </x:c>
      <x:c r="B481" s="3" t="inlineStr">
        <x:is>
          <x:t xml:space="preserve">SEC-D11-Q31</x:t>
        </x:is>
      </x:c>
      <x:c r="C481" s="3" t="inlineStr">
        <x:is>
          <x:t xml:space="preserve">T3</x:t>
        </x:is>
      </x:c>
      <x:c r="D481" s="3" t="inlineStr">
        <x:is>
          <x:t xml:space="preserve">11. Identity &amp; Privilege Correlation (Deep)</x:t>
        </x:is>
      </x:c>
      <x:c r="E481" s="3" t="inlineStr">
        <x:is>
          <x:t xml:space="preserve">V</x:t>
        </x:is>
      </x:c>
      <x:c r="F481" s="3" t="n">
        <x:v>0.6</x:v>
      </x:c>
      <x:c r="G481" s="3" t="inlineStr">
        <x:is>
          <x:t xml:space="preserve">T</x:t>
        </x:is>
      </x:c>
      <x:c r="H481" s="3" t="n">
        <x:v>0.4</x:v>
      </x:c>
      <x:c r="I481" s="3" t="inlineStr">
        <x:is>
          <x:t xml:space="preserve">Can you reliably link activity in logs to an individual person (not just shared accounts or generic admin IDs)?</x:t>
        </x:is>
      </x:c>
      <x:c r="J481" s="3" t="inlineStr">
        <x:is>
          <x:t xml:space="preserve">Look for consistent identity across systems: SSO/MFA, unique admin accounts, and the ability to resolve ‘who was behind’ an action quickly.</x:t>
        </x:is>
      </x:c>
      <x:c r="K481" s="3" t="inlineStr">
        <x:is>
          <x:t xml:space="preserve">Optional Annex (Ask in Full/Deep mode OR if SEC-D4-Q10 BaseScore ≥ 2).</x:t>
        </x:is>
      </x:c>
      <x:c r="L481" s="3" t="inlineStr">
        <x:is>
          <x:t xml:space="preserve">OPS_STD</x:t>
        </x:is>
      </x:c>
      <x:c r="M481" s="3" t="n">
        <x:v>1.5</x:v>
      </x:c>
      <x:c r="N481" s="3" t="n">
        <x:v>0.5</x:v>
      </x:c>
      <x:c r="O481" s="3" t="n"/>
      <x:c r="P481" s="3" t="inlineStr">
        <x:is>
          <x:t xml:space="preserve">SEC-D11-Q31-A0</x:t>
        </x:is>
      </x:c>
      <x:c r="Q481" s="3" t="n">
        <x:v>1</x:v>
      </x:c>
      <x:c r="R481" s="3" t="inlineStr">
        <x:is>
          <x:t xml:space="preserve">I don’t know / not sure.</x:t>
        </x:is>
      </x:c>
      <x:c r="S481" s="3" t="n">
        <x:v>0</x:v>
      </x:c>
      <x:c r="T481" s="3" t="inlineStr">
        <x:is>
          <x:t xml:space="preserve">unknown</x:t>
        </x:is>
      </x:c>
      <x:c r="U481" s="3" t="inlineStr">
        <x:is>
          <x:t xml:space="preserve">Unknown</x:t>
        </x:is>
      </x:c>
      <x:c r="V481" s="3" t="inlineStr">
        <x:is>
          <x:t xml:space="preserve">Clarify_Stakeholders</x:t>
        </x:is>
      </x:c>
      <x:c r="W481" s="3" t="inlineStr">
        <x:is>
          <x:t xml:space="preserve">N</x:t>
        </x:is>
      </x:c>
      <x:c r="X481" s="3" t="inlineStr">
        <x:is>
          <x:t xml:space="preserve">None</x:t>
        </x:is>
      </x:c>
      <x:c r="Y481" s="6">
        <x:f>(S481*IF(E481="G",F481,0))+(S481*IF(G481="G",H481,0))</x:f>
      </x:c>
      <x:c r="Z481" s="6">
        <x:f>(S481*IF(E481="E",F481,0))+(S481*IF(G481="E",H481,0))</x:f>
      </x:c>
      <x:c r="AA481" s="6">
        <x:f>(S481*IF(E481="T",F481,0))+(S481*IF(G481="T",H481,0))</x:f>
      </x:c>
      <x:c r="AB481" s="6">
        <x:f>(S481*IF(E481="L",F481,0))+(S481*IF(G481="L",H481,0))</x:f>
      </x:c>
      <x:c r="AC481" s="6">
        <x:f>(S481*IF(E481="H",F481,0))+(S481*IF(G481="H",H481,0))</x:f>
      </x:c>
      <x:c r="AD481" s="6">
        <x:f>(S481*IF(E481="V",F481,0))+(S481*IF(G481="V",H481,0))</x:f>
      </x:c>
      <x:c r="AE481" s="6">
        <x:f>(S481*IF(E481="R",F481,0))+(S481*IF(G481="R",H481,0))</x:f>
      </x:c>
      <x:c r="AF481" s="6">
        <x:f>(S481*IF(E481="F",F481,0))+(S481*IF(G481="F",H481,0))</x:f>
      </x:c>
      <x:c r="AG481" s="6">
        <x:f>(S481*IF(E481="W",F481,0))+(S481*IF(G481="W",H481,0))</x:f>
      </x:c>
    </x:row>
    <x:row r="482">
      <x:c r="A482" s="3" t="inlineStr">
        <x:is>
          <x:t xml:space="preserve">Security</x:t>
        </x:is>
      </x:c>
      <x:c r="B482" s="3" t="inlineStr">
        <x:is>
          <x:t xml:space="preserve">SEC-D11-Q31</x:t>
        </x:is>
      </x:c>
      <x:c r="C482" s="3" t="inlineStr">
        <x:is>
          <x:t xml:space="preserve">T3</x:t>
        </x:is>
      </x:c>
      <x:c r="D482" s="3" t="inlineStr">
        <x:is>
          <x:t xml:space="preserve">11. Identity &amp; Privilege Correlation (Deep)</x:t>
        </x:is>
      </x:c>
      <x:c r="E482" s="3" t="inlineStr">
        <x:is>
          <x:t xml:space="preserve">V</x:t>
        </x:is>
      </x:c>
      <x:c r="F482" s="3" t="n">
        <x:v>0.6</x:v>
      </x:c>
      <x:c r="G482" s="3" t="inlineStr">
        <x:is>
          <x:t xml:space="preserve">T</x:t>
        </x:is>
      </x:c>
      <x:c r="H482" s="3" t="n">
        <x:v>0.4</x:v>
      </x:c>
      <x:c r="I482" s="3" t="inlineStr">
        <x:is>
          <x:t xml:space="preserve">Can you reliably link activity in logs to an individual person (not just shared accounts or generic admin IDs)?</x:t>
        </x:is>
      </x:c>
      <x:c r="J482" s="3" t="inlineStr">
        <x:is>
          <x:t xml:space="preserve">Look for consistent identity across systems: SSO/MFA, unique admin accounts, and the ability to resolve ‘who was behind’ an action quickly.</x:t>
        </x:is>
      </x:c>
      <x:c r="K482" s="3" t="inlineStr">
        <x:is>
          <x:t xml:space="preserve">Optional Annex (Ask in Full/Deep mode OR if SEC-D4-Q10 BaseScore ≥ 2).</x:t>
        </x:is>
      </x:c>
      <x:c r="L482" s="3" t="inlineStr">
        <x:is>
          <x:t xml:space="preserve">OPS_STD</x:t>
        </x:is>
      </x:c>
      <x:c r="M482" s="3" t="n">
        <x:v>1.5</x:v>
      </x:c>
      <x:c r="N482" s="3" t="n">
        <x:v>0.5</x:v>
      </x:c>
      <x:c r="O482" s="3" t="n"/>
      <x:c r="P482" s="3" t="inlineStr">
        <x:is>
          <x:t xml:space="preserve">SEC-D11-Q31-A1</x:t>
        </x:is>
      </x:c>
      <x:c r="Q482" s="3" t="n">
        <x:v>2</x:v>
      </x:c>
      <x:c r="R482" s="3" t="inlineStr">
        <x:is>
          <x:t xml:space="preserve">We often cannot attribute actions to a specific person (shared accounts, generic admin IDs, or missing identity in logs).</x:t>
        </x:is>
      </x:c>
      <x:c r="S482" s="3" t="n">
        <x:v>0</x:v>
      </x:c>
      <x:c r="T482" s="3" t="inlineStr">
        <x:is>
          <x:t xml:space="preserve">identity_gap,visibility_gap</x:t>
        </x:is>
      </x:c>
      <x:c r="U482" s="3" t="inlineStr">
        <x:is>
          <x:t xml:space="preserve">Visibility Gap</x:t>
        </x:is>
      </x:c>
      <x:c r="V482" s="3" t="inlineStr">
        <x:is>
          <x:t xml:space="preserve">Assess_Detection</x:t>
        </x:is>
      </x:c>
      <x:c r="W482" s="3" t="inlineStr">
        <x:is>
          <x:t xml:space="preserve">N</x:t>
        </x:is>
      </x:c>
      <x:c r="X482" s="3" t="inlineStr">
        <x:is>
          <x:t xml:space="preserve">Examples of shared accounts</x:t>
        </x:is>
      </x:c>
      <x:c r="Y482" s="6">
        <x:f>(S482*IF(E482="G",F482,0))+(S482*IF(G482="G",H482,0))</x:f>
      </x:c>
      <x:c r="Z482" s="6">
        <x:f>(S482*IF(E482="E",F482,0))+(S482*IF(G482="E",H482,0))</x:f>
      </x:c>
      <x:c r="AA482" s="6">
        <x:f>(S482*IF(E482="T",F482,0))+(S482*IF(G482="T",H482,0))</x:f>
      </x:c>
      <x:c r="AB482" s="6">
        <x:f>(S482*IF(E482="L",F482,0))+(S482*IF(G482="L",H482,0))</x:f>
      </x:c>
      <x:c r="AC482" s="6">
        <x:f>(S482*IF(E482="H",F482,0))+(S482*IF(G482="H",H482,0))</x:f>
      </x:c>
      <x:c r="AD482" s="6">
        <x:f>(S482*IF(E482="V",F482,0))+(S482*IF(G482="V",H482,0))</x:f>
      </x:c>
      <x:c r="AE482" s="6">
        <x:f>(S482*IF(E482="R",F482,0))+(S482*IF(G482="R",H482,0))</x:f>
      </x:c>
      <x:c r="AF482" s="6">
        <x:f>(S482*IF(E482="F",F482,0))+(S482*IF(G482="F",H482,0))</x:f>
      </x:c>
      <x:c r="AG482" s="6">
        <x:f>(S482*IF(E482="W",F482,0))+(S482*IF(G482="W",H482,0))</x:f>
      </x:c>
    </x:row>
    <x:row r="483">
      <x:c r="A483" s="3" t="inlineStr">
        <x:is>
          <x:t xml:space="preserve">Security</x:t>
        </x:is>
      </x:c>
      <x:c r="B483" s="3" t="inlineStr">
        <x:is>
          <x:t xml:space="preserve">SEC-D11-Q31</x:t>
        </x:is>
      </x:c>
      <x:c r="C483" s="3" t="inlineStr">
        <x:is>
          <x:t xml:space="preserve">T3</x:t>
        </x:is>
      </x:c>
      <x:c r="D483" s="3" t="inlineStr">
        <x:is>
          <x:t xml:space="preserve">11. Identity &amp; Privilege Correlation (Deep)</x:t>
        </x:is>
      </x:c>
      <x:c r="E483" s="3" t="inlineStr">
        <x:is>
          <x:t xml:space="preserve">V</x:t>
        </x:is>
      </x:c>
      <x:c r="F483" s="3" t="n">
        <x:v>0.6</x:v>
      </x:c>
      <x:c r="G483" s="3" t="inlineStr">
        <x:is>
          <x:t xml:space="preserve">T</x:t>
        </x:is>
      </x:c>
      <x:c r="H483" s="3" t="n">
        <x:v>0.4</x:v>
      </x:c>
      <x:c r="I483" s="3" t="inlineStr">
        <x:is>
          <x:t xml:space="preserve">Can you reliably link activity in logs to an individual person (not just shared accounts or generic admin IDs)?</x:t>
        </x:is>
      </x:c>
      <x:c r="J483" s="3" t="inlineStr">
        <x:is>
          <x:t xml:space="preserve">Look for consistent identity across systems: SSO/MFA, unique admin accounts, and the ability to resolve ‘who was behind’ an action quickly.</x:t>
        </x:is>
      </x:c>
      <x:c r="K483" s="3" t="inlineStr">
        <x:is>
          <x:t xml:space="preserve">Optional Annex (Ask in Full/Deep mode OR if SEC-D4-Q10 BaseScore ≥ 2).</x:t>
        </x:is>
      </x:c>
      <x:c r="L483" s="3" t="inlineStr">
        <x:is>
          <x:t xml:space="preserve">OPS_STD</x:t>
        </x:is>
      </x:c>
      <x:c r="M483" s="3" t="n">
        <x:v>1.5</x:v>
      </x:c>
      <x:c r="N483" s="3" t="n">
        <x:v>0.5</x:v>
      </x:c>
      <x:c r="O483" s="3" t="n"/>
      <x:c r="P483" s="3" t="inlineStr">
        <x:is>
          <x:t xml:space="preserve">SEC-D11-Q31-A2</x:t>
        </x:is>
      </x:c>
      <x:c r="Q483" s="3" t="n">
        <x:v>3</x:v>
      </x:c>
      <x:c r="R483" s="3" t="inlineStr">
        <x:is>
          <x:t xml:space="preserve">We can attribute some actions, but many critical systems still have shared/unclear identity.</x:t>
        </x:is>
      </x:c>
      <x:c r="S483" s="3" t="n">
        <x:v>1</x:v>
      </x:c>
      <x:c r="T483" s="3" t="inlineStr">
        <x:is>
          <x:t xml:space="preserve">partial_visibility,identity_gap</x:t>
        </x:is>
      </x:c>
      <x:c r="U483" s="3" t="inlineStr">
        <x:is>
          <x:t xml:space="preserve">Visibility Gap</x:t>
        </x:is>
      </x:c>
      <x:c r="V483" s="3" t="inlineStr">
        <x:is>
          <x:t xml:space="preserve">Improve_Identity_Correlation</x:t>
        </x:is>
      </x:c>
      <x:c r="W483" s="3" t="inlineStr">
        <x:is>
          <x:t xml:space="preserve">N</x:t>
        </x:is>
      </x:c>
      <x:c r="X483" s="3" t="inlineStr">
        <x:is>
          <x:t xml:space="preserve">List systems without unique IDs</x:t>
        </x:is>
      </x:c>
      <x:c r="Y483" s="6">
        <x:f>(S483*IF(E483="G",F483,0))+(S483*IF(G483="G",H483,0))</x:f>
      </x:c>
      <x:c r="Z483" s="6">
        <x:f>(S483*IF(E483="E",F483,0))+(S483*IF(G483="E",H483,0))</x:f>
      </x:c>
      <x:c r="AA483" s="6">
        <x:f>(S483*IF(E483="T",F483,0))+(S483*IF(G483="T",H483,0))</x:f>
      </x:c>
      <x:c r="AB483" s="6">
        <x:f>(S483*IF(E483="L",F483,0))+(S483*IF(G483="L",H483,0))</x:f>
      </x:c>
      <x:c r="AC483" s="6">
        <x:f>(S483*IF(E483="H",F483,0))+(S483*IF(G483="H",H483,0))</x:f>
      </x:c>
      <x:c r="AD483" s="6">
        <x:f>(S483*IF(E483="V",F483,0))+(S483*IF(G483="V",H483,0))</x:f>
      </x:c>
      <x:c r="AE483" s="6">
        <x:f>(S483*IF(E483="R",F483,0))+(S483*IF(G483="R",H483,0))</x:f>
      </x:c>
      <x:c r="AF483" s="6">
        <x:f>(S483*IF(E483="F",F483,0))+(S483*IF(G483="F",H483,0))</x:f>
      </x:c>
      <x:c r="AG483" s="6">
        <x:f>(S483*IF(E483="W",F483,0))+(S483*IF(G483="W",H483,0))</x:f>
      </x:c>
    </x:row>
    <x:row r="484">
      <x:c r="A484" s="3" t="inlineStr">
        <x:is>
          <x:t xml:space="preserve">Security</x:t>
        </x:is>
      </x:c>
      <x:c r="B484" s="3" t="inlineStr">
        <x:is>
          <x:t xml:space="preserve">SEC-D11-Q31</x:t>
        </x:is>
      </x:c>
      <x:c r="C484" s="3" t="inlineStr">
        <x:is>
          <x:t xml:space="preserve">T3</x:t>
        </x:is>
      </x:c>
      <x:c r="D484" s="3" t="inlineStr">
        <x:is>
          <x:t xml:space="preserve">11. Identity &amp; Privilege Correlation (Deep)</x:t>
        </x:is>
      </x:c>
      <x:c r="E484" s="3" t="inlineStr">
        <x:is>
          <x:t xml:space="preserve">V</x:t>
        </x:is>
      </x:c>
      <x:c r="F484" s="3" t="n">
        <x:v>0.6</x:v>
      </x:c>
      <x:c r="G484" s="3" t="inlineStr">
        <x:is>
          <x:t xml:space="preserve">T</x:t>
        </x:is>
      </x:c>
      <x:c r="H484" s="3" t="n">
        <x:v>0.4</x:v>
      </x:c>
      <x:c r="I484" s="3" t="inlineStr">
        <x:is>
          <x:t xml:space="preserve">Can you reliably link activity in logs to an individual person (not just shared accounts or generic admin IDs)?</x:t>
        </x:is>
      </x:c>
      <x:c r="J484" s="3" t="inlineStr">
        <x:is>
          <x:t xml:space="preserve">Look for consistent identity across systems: SSO/MFA, unique admin accounts, and the ability to resolve ‘who was behind’ an action quickly.</x:t>
        </x:is>
      </x:c>
      <x:c r="K484" s="3" t="inlineStr">
        <x:is>
          <x:t xml:space="preserve">Optional Annex (Ask in Full/Deep mode OR if SEC-D4-Q10 BaseScore ≥ 2).</x:t>
        </x:is>
      </x:c>
      <x:c r="L484" s="3" t="inlineStr">
        <x:is>
          <x:t xml:space="preserve">OPS_STD</x:t>
        </x:is>
      </x:c>
      <x:c r="M484" s="3" t="n">
        <x:v>1.5</x:v>
      </x:c>
      <x:c r="N484" s="3" t="n">
        <x:v>0.5</x:v>
      </x:c>
      <x:c r="O484" s="3" t="n"/>
      <x:c r="P484" s="3" t="inlineStr">
        <x:is>
          <x:t xml:space="preserve">SEC-D11-Q31-A3</x:t>
        </x:is>
      </x:c>
      <x:c r="Q484" s="3" t="n">
        <x:v>4</x:v>
      </x:c>
      <x:c r="R484" s="3" t="inlineStr">
        <x:is>
          <x:t xml:space="preserve">Most systems use unique identities; attribution is possible but correlation across systems is still manual.</x:t>
        </x:is>
      </x:c>
      <x:c r="S484" s="3" t="n">
        <x:v>2</x:v>
      </x:c>
      <x:c r="T484" s="3" t="inlineStr">
        <x:is>
          <x:t xml:space="preserve">partial_maturity,ad_hoc</x:t>
        </x:is>
      </x:c>
      <x:c r="U484" s="3" t="inlineStr">
        <x:is>
          <x:t xml:space="preserve">Resilience Gap</x:t>
        </x:is>
      </x:c>
      <x:c r="V484" s="3" t="inlineStr">
        <x:is>
          <x:t xml:space="preserve">Improve_Identity_Correlation</x:t>
        </x:is>
      </x:c>
      <x:c r="W484" s="3" t="inlineStr">
        <x:is>
          <x:t xml:space="preserve">N</x:t>
        </x:is>
      </x:c>
      <x:c r="X484" s="3" t="inlineStr">
        <x:is>
          <x:t xml:space="preserve">SSO coverage list; correlation method</x:t>
        </x:is>
      </x:c>
      <x:c r="Y484" s="6">
        <x:f>(S484*IF(E484="G",F484,0))+(S484*IF(G484="G",H484,0))</x:f>
      </x:c>
      <x:c r="Z484" s="6">
        <x:f>(S484*IF(E484="E",F484,0))+(S484*IF(G484="E",H484,0))</x:f>
      </x:c>
      <x:c r="AA484" s="6">
        <x:f>(S484*IF(E484="T",F484,0))+(S484*IF(G484="T",H484,0))</x:f>
      </x:c>
      <x:c r="AB484" s="6">
        <x:f>(S484*IF(E484="L",F484,0))+(S484*IF(G484="L",H484,0))</x:f>
      </x:c>
      <x:c r="AC484" s="6">
        <x:f>(S484*IF(E484="H",F484,0))+(S484*IF(G484="H",H484,0))</x:f>
      </x:c>
      <x:c r="AD484" s="6">
        <x:f>(S484*IF(E484="V",F484,0))+(S484*IF(G484="V",H484,0))</x:f>
      </x:c>
      <x:c r="AE484" s="6">
        <x:f>(S484*IF(E484="R",F484,0))+(S484*IF(G484="R",H484,0))</x:f>
      </x:c>
      <x:c r="AF484" s="6">
        <x:f>(S484*IF(E484="F",F484,0))+(S484*IF(G484="F",H484,0))</x:f>
      </x:c>
      <x:c r="AG484" s="6">
        <x:f>(S484*IF(E484="W",F484,0))+(S484*IF(G484="W",H484,0))</x:f>
      </x:c>
    </x:row>
    <x:row r="485">
      <x:c r="A485" s="3" t="inlineStr">
        <x:is>
          <x:t xml:space="preserve">Security</x:t>
        </x:is>
      </x:c>
      <x:c r="B485" s="3" t="inlineStr">
        <x:is>
          <x:t xml:space="preserve">SEC-D11-Q31</x:t>
        </x:is>
      </x:c>
      <x:c r="C485" s="3" t="inlineStr">
        <x:is>
          <x:t xml:space="preserve">T3</x:t>
        </x:is>
      </x:c>
      <x:c r="D485" s="3" t="inlineStr">
        <x:is>
          <x:t xml:space="preserve">11. Identity &amp; Privilege Correlation (Deep)</x:t>
        </x:is>
      </x:c>
      <x:c r="E485" s="3" t="inlineStr">
        <x:is>
          <x:t xml:space="preserve">V</x:t>
        </x:is>
      </x:c>
      <x:c r="F485" s="3" t="n">
        <x:v>0.6</x:v>
      </x:c>
      <x:c r="G485" s="3" t="inlineStr">
        <x:is>
          <x:t xml:space="preserve">T</x:t>
        </x:is>
      </x:c>
      <x:c r="H485" s="3" t="n">
        <x:v>0.4</x:v>
      </x:c>
      <x:c r="I485" s="3" t="inlineStr">
        <x:is>
          <x:t xml:space="preserve">Can you reliably link activity in logs to an individual person (not just shared accounts or generic admin IDs)?</x:t>
        </x:is>
      </x:c>
      <x:c r="J485" s="3" t="inlineStr">
        <x:is>
          <x:t xml:space="preserve">Look for consistent identity across systems: SSO/MFA, unique admin accounts, and the ability to resolve ‘who was behind’ an action quickly.</x:t>
        </x:is>
      </x:c>
      <x:c r="K485" s="3" t="inlineStr">
        <x:is>
          <x:t xml:space="preserve">Optional Annex (Ask in Full/Deep mode OR if SEC-D4-Q10 BaseScore ≥ 2).</x:t>
        </x:is>
      </x:c>
      <x:c r="L485" s="3" t="inlineStr">
        <x:is>
          <x:t xml:space="preserve">OPS_STD</x:t>
        </x:is>
      </x:c>
      <x:c r="M485" s="3" t="n">
        <x:v>1.5</x:v>
      </x:c>
      <x:c r="N485" s="3" t="n">
        <x:v>0.5</x:v>
      </x:c>
      <x:c r="O485" s="3" t="n"/>
      <x:c r="P485" s="3" t="inlineStr">
        <x:is>
          <x:t xml:space="preserve">SEC-D11-Q31-A4</x:t>
        </x:is>
      </x:c>
      <x:c r="Q485" s="3" t="n">
        <x:v>5</x:v>
      </x:c>
      <x:c r="R485" s="3" t="inlineStr">
        <x:is>
          <x:t xml:space="preserve">Attribution is reliable across key systems using SSO/MFA; shared accounts are controlled and reviewed.</x:t>
        </x:is>
      </x:c>
      <x:c r="S485" s="3" t="n">
        <x:v>3</x:v>
      </x:c>
      <x:c r="T485" s="3" t="inlineStr">
        <x:is>
          <x:t xml:space="preserve">good_practice,execution_strength</x:t>
        </x:is>
      </x:c>
      <x:c r="U485" s="3" t="n"/>
      <x:c r="V485" s="3" t="inlineStr">
        <x:is>
          <x:t xml:space="preserve">Request_Evidence</x:t>
        </x:is>
      </x:c>
      <x:c r="W485" s="3" t="inlineStr">
        <x:is>
          <x:t xml:space="preserve">N</x:t>
        </x:is>
      </x:c>
      <x:c r="X485" s="3" t="inlineStr">
        <x:is>
          <x:t xml:space="preserve">SSO coverage; access review proof</x:t>
        </x:is>
      </x:c>
      <x:c r="Y485" s="6">
        <x:f>(S485*IF(E485="G",F485,0))+(S485*IF(G485="G",H485,0))</x:f>
      </x:c>
      <x:c r="Z485" s="6">
        <x:f>(S485*IF(E485="E",F485,0))+(S485*IF(G485="E",H485,0))</x:f>
      </x:c>
      <x:c r="AA485" s="6">
        <x:f>(S485*IF(E485="T",F485,0))+(S485*IF(G485="T",H485,0))</x:f>
      </x:c>
      <x:c r="AB485" s="6">
        <x:f>(S485*IF(E485="L",F485,0))+(S485*IF(G485="L",H485,0))</x:f>
      </x:c>
      <x:c r="AC485" s="6">
        <x:f>(S485*IF(E485="H",F485,0))+(S485*IF(G485="H",H485,0))</x:f>
      </x:c>
      <x:c r="AD485" s="6">
        <x:f>(S485*IF(E485="V",F485,0))+(S485*IF(G485="V",H485,0))</x:f>
      </x:c>
      <x:c r="AE485" s="6">
        <x:f>(S485*IF(E485="R",F485,0))+(S485*IF(G485="R",H485,0))</x:f>
      </x:c>
      <x:c r="AF485" s="6">
        <x:f>(S485*IF(E485="F",F485,0))+(S485*IF(G485="F",H485,0))</x:f>
      </x:c>
      <x:c r="AG485" s="6">
        <x:f>(S485*IF(E485="W",F485,0))+(S485*IF(G485="W",H485,0))</x:f>
      </x:c>
    </x:row>
    <x:row r="486">
      <x:c r="A486" s="3" t="inlineStr">
        <x:is>
          <x:t xml:space="preserve">Security</x:t>
        </x:is>
      </x:c>
      <x:c r="B486" s="3" t="inlineStr">
        <x:is>
          <x:t xml:space="preserve">SEC-D11-Q31</x:t>
        </x:is>
      </x:c>
      <x:c r="C486" s="3" t="inlineStr">
        <x:is>
          <x:t xml:space="preserve">T3</x:t>
        </x:is>
      </x:c>
      <x:c r="D486" s="3" t="inlineStr">
        <x:is>
          <x:t xml:space="preserve">11. Identity &amp; Privilege Correlation (Deep)</x:t>
        </x:is>
      </x:c>
      <x:c r="E486" s="3" t="inlineStr">
        <x:is>
          <x:t xml:space="preserve">V</x:t>
        </x:is>
      </x:c>
      <x:c r="F486" s="3" t="n">
        <x:v>0.6</x:v>
      </x:c>
      <x:c r="G486" s="3" t="inlineStr">
        <x:is>
          <x:t xml:space="preserve">T</x:t>
        </x:is>
      </x:c>
      <x:c r="H486" s="3" t="n">
        <x:v>0.4</x:v>
      </x:c>
      <x:c r="I486" s="3" t="inlineStr">
        <x:is>
          <x:t xml:space="preserve">Can you reliably link activity in logs to an individual person (not just shared accounts or generic admin IDs)?</x:t>
        </x:is>
      </x:c>
      <x:c r="J486" s="3" t="inlineStr">
        <x:is>
          <x:t xml:space="preserve">Look for consistent identity across systems: SSO/MFA, unique admin accounts, and the ability to resolve ‘who was behind’ an action quickly.</x:t>
        </x:is>
      </x:c>
      <x:c r="K486" s="3" t="inlineStr">
        <x:is>
          <x:t xml:space="preserve">Optional Annex (Ask in Full/Deep mode OR if SEC-D4-Q10 BaseScore ≥ 2).</x:t>
        </x:is>
      </x:c>
      <x:c r="L486" s="3" t="inlineStr">
        <x:is>
          <x:t xml:space="preserve">OPS_STD</x:t>
        </x:is>
      </x:c>
      <x:c r="M486" s="3" t="n">
        <x:v>1.5</x:v>
      </x:c>
      <x:c r="N486" s="3" t="n">
        <x:v>0.5</x:v>
      </x:c>
      <x:c r="O486" s="3" t="n"/>
      <x:c r="P486" s="3" t="inlineStr">
        <x:is>
          <x:t xml:space="preserve">SEC-D11-Q31-A5</x:t>
        </x:is>
      </x:c>
      <x:c r="Q486" s="3" t="n">
        <x:v>6</x:v>
      </x:c>
      <x:c r="R486" s="3" t="inlineStr">
        <x:is>
          <x:t xml:space="preserve">We maintain an identity correlation layer (identity graph); privileged sessions are attributable and recorded; shared accounts are eliminated.</x:t>
        </x:is>
      </x:c>
      <x:c r="S486" s="3" t="n">
        <x:v>4</x:v>
      </x:c>
      <x:c r="T486" s="3" t="inlineStr">
        <x:is>
          <x:t xml:space="preserve">optimized,forensic_ready</x:t>
        </x:is>
      </x:c>
      <x:c r="U486" s="3" t="n"/>
      <x:c r="V486" s="3" t="inlineStr">
        <x:is>
          <x:t xml:space="preserve">Request_Evidence</x:t>
        </x:is>
      </x:c>
      <x:c r="W486" s="3" t="inlineStr">
        <x:is>
          <x:t xml:space="preserve">N</x:t>
        </x:is>
      </x:c>
      <x:c r="X486" s="3" t="inlineStr">
        <x:is>
          <x:t xml:space="preserve">Identity graph evidence / PAM reports</x:t>
        </x:is>
      </x:c>
      <x:c r="Y486" s="6">
        <x:f>(S486*IF(E486="G",F486,0))+(S486*IF(G486="G",H486,0))</x:f>
      </x:c>
      <x:c r="Z486" s="6">
        <x:f>(S486*IF(E486="E",F486,0))+(S486*IF(G486="E",H486,0))</x:f>
      </x:c>
      <x:c r="AA486" s="6">
        <x:f>(S486*IF(E486="T",F486,0))+(S486*IF(G486="T",H486,0))</x:f>
      </x:c>
      <x:c r="AB486" s="6">
        <x:f>(S486*IF(E486="L",F486,0))+(S486*IF(G486="L",H486,0))</x:f>
      </x:c>
      <x:c r="AC486" s="6">
        <x:f>(S486*IF(E486="H",F486,0))+(S486*IF(G486="H",H486,0))</x:f>
      </x:c>
      <x:c r="AD486" s="6">
        <x:f>(S486*IF(E486="V",F486,0))+(S486*IF(G486="V",H486,0))</x:f>
      </x:c>
      <x:c r="AE486" s="6">
        <x:f>(S486*IF(E486="R",F486,0))+(S486*IF(G486="R",H486,0))</x:f>
      </x:c>
      <x:c r="AF486" s="6">
        <x:f>(S486*IF(E486="F",F486,0))+(S486*IF(G486="F",H486,0))</x:f>
      </x:c>
      <x:c r="AG486" s="6">
        <x:f>(S486*IF(E486="W",F486,0))+(S486*IF(G486="W",H486,0))</x:f>
      </x:c>
    </x:row>
    <x:row r="487">
      <x:c r="A487" s="3" t="inlineStr">
        <x:is>
          <x:t xml:space="preserve">Security</x:t>
        </x:is>
      </x:c>
      <x:c r="B487" s="3" t="inlineStr">
        <x:is>
          <x:t xml:space="preserve">SEC-D11-Q32</x:t>
        </x:is>
      </x:c>
      <x:c r="C487" s="3" t="inlineStr">
        <x:is>
          <x:t xml:space="preserve">T4</x:t>
        </x:is>
      </x:c>
      <x:c r="D487" s="3" t="inlineStr">
        <x:is>
          <x:t xml:space="preserve">11. Identity &amp; Privilege Correlation (Deep)</x:t>
        </x:is>
      </x:c>
      <x:c r="E487" s="3" t="inlineStr">
        <x:is>
          <x:t xml:space="preserve">T</x:t>
        </x:is>
      </x:c>
      <x:c r="F487" s="3" t="n">
        <x:v>0.6</x:v>
      </x:c>
      <x:c r="G487" s="3" t="inlineStr">
        <x:is>
          <x:t xml:space="preserve">V</x:t>
        </x:is>
      </x:c>
      <x:c r="H487" s="3" t="n">
        <x:v>0.4</x:v>
      </x:c>
      <x:c r="I487" s="3" t="inlineStr">
        <x:is>
          <x:t xml:space="preserve">How is privileged/admin access granted and recorded for high‑risk systems?</x:t>
        </x:is>
      </x:c>
      <x:c r="J487" s="3" t="inlineStr">
        <x:is>
          <x:t xml:space="preserve">Examples: just‑in‑time admin access, approvals, session recording, ‘four‑eyes’ for sensitive actions, periodic access reviews, elimination of shared admin accounts.</x:t>
        </x:is>
      </x:c>
      <x:c r="K487" s="3" t="inlineStr">
        <x:is>
          <x:t xml:space="preserve">Optional Annex (Ask in Full/Deep mode).</x:t>
        </x:is>
      </x:c>
      <x:c r="L487" s="3" t="inlineStr">
        <x:is>
          <x:t xml:space="preserve">OPS_STD</x:t>
        </x:is>
      </x:c>
      <x:c r="M487" s="3" t="n">
        <x:v>1</x:v>
      </x:c>
      <x:c r="N487" s="3" t="n"/>
      <x:c r="O487" s="3" t="n"/>
      <x:c r="P487" s="3" t="inlineStr">
        <x:is>
          <x:t xml:space="preserve">SEC-D11-Q32-A0</x:t>
        </x:is>
      </x:c>
      <x:c r="Q487" s="3" t="n">
        <x:v>1</x:v>
      </x:c>
      <x:c r="R487" s="3" t="inlineStr">
        <x:is>
          <x:t xml:space="preserve">I don’t know / not sure.</x:t>
        </x:is>
      </x:c>
      <x:c r="S487" s="3" t="n">
        <x:v>0</x:v>
      </x:c>
      <x:c r="T487" s="3" t="inlineStr">
        <x:is>
          <x:t xml:space="preserve">unknown</x:t>
        </x:is>
      </x:c>
      <x:c r="U487" s="3" t="inlineStr">
        <x:is>
          <x:t xml:space="preserve">Unknown</x:t>
        </x:is>
      </x:c>
      <x:c r="V487" s="3" t="inlineStr">
        <x:is>
          <x:t xml:space="preserve">Clarify_Stakeholders</x:t>
        </x:is>
      </x:c>
      <x:c r="W487" s="3" t="inlineStr">
        <x:is>
          <x:t xml:space="preserve">N</x:t>
        </x:is>
      </x:c>
      <x:c r="X487" s="3" t="inlineStr">
        <x:is>
          <x:t xml:space="preserve">None</x:t>
        </x:is>
      </x:c>
      <x:c r="Y487" s="6">
        <x:f>(S487*IF(E487="G",F487,0))+(S487*IF(G487="G",H487,0))</x:f>
      </x:c>
      <x:c r="Z487" s="6">
        <x:f>(S487*IF(E487="E",F487,0))+(S487*IF(G487="E",H487,0))</x:f>
      </x:c>
      <x:c r="AA487" s="6">
        <x:f>(S487*IF(E487="T",F487,0))+(S487*IF(G487="T",H487,0))</x:f>
      </x:c>
      <x:c r="AB487" s="6">
        <x:f>(S487*IF(E487="L",F487,0))+(S487*IF(G487="L",H487,0))</x:f>
      </x:c>
      <x:c r="AC487" s="6">
        <x:f>(S487*IF(E487="H",F487,0))+(S487*IF(G487="H",H487,0))</x:f>
      </x:c>
      <x:c r="AD487" s="6">
        <x:f>(S487*IF(E487="V",F487,0))+(S487*IF(G487="V",H487,0))</x:f>
      </x:c>
      <x:c r="AE487" s="6">
        <x:f>(S487*IF(E487="R",F487,0))+(S487*IF(G487="R",H487,0))</x:f>
      </x:c>
      <x:c r="AF487" s="6">
        <x:f>(S487*IF(E487="F",F487,0))+(S487*IF(G487="F",H487,0))</x:f>
      </x:c>
      <x:c r="AG487" s="6">
        <x:f>(S487*IF(E487="W",F487,0))+(S487*IF(G487="W",H487,0))</x:f>
      </x:c>
    </x:row>
    <x:row r="488">
      <x:c r="A488" s="3" t="inlineStr">
        <x:is>
          <x:t xml:space="preserve">Security</x:t>
        </x:is>
      </x:c>
      <x:c r="B488" s="3" t="inlineStr">
        <x:is>
          <x:t xml:space="preserve">SEC-D11-Q32</x:t>
        </x:is>
      </x:c>
      <x:c r="C488" s="3" t="inlineStr">
        <x:is>
          <x:t xml:space="preserve">T4</x:t>
        </x:is>
      </x:c>
      <x:c r="D488" s="3" t="inlineStr">
        <x:is>
          <x:t xml:space="preserve">11. Identity &amp; Privilege Correlation (Deep)</x:t>
        </x:is>
      </x:c>
      <x:c r="E488" s="3" t="inlineStr">
        <x:is>
          <x:t xml:space="preserve">T</x:t>
        </x:is>
      </x:c>
      <x:c r="F488" s="3" t="n">
        <x:v>0.6</x:v>
      </x:c>
      <x:c r="G488" s="3" t="inlineStr">
        <x:is>
          <x:t xml:space="preserve">V</x:t>
        </x:is>
      </x:c>
      <x:c r="H488" s="3" t="n">
        <x:v>0.4</x:v>
      </x:c>
      <x:c r="I488" s="3" t="inlineStr">
        <x:is>
          <x:t xml:space="preserve">How is privileged/admin access granted and recorded for high‑risk systems?</x:t>
        </x:is>
      </x:c>
      <x:c r="J488" s="3" t="inlineStr">
        <x:is>
          <x:t xml:space="preserve">Examples: just‑in‑time admin access, approvals, session recording, ‘four‑eyes’ for sensitive actions, periodic access reviews, elimination of shared admin accounts.</x:t>
        </x:is>
      </x:c>
      <x:c r="K488" s="3" t="inlineStr">
        <x:is>
          <x:t xml:space="preserve">Optional Annex (Ask in Full/Deep mode).</x:t>
        </x:is>
      </x:c>
      <x:c r="L488" s="3" t="inlineStr">
        <x:is>
          <x:t xml:space="preserve">OPS_STD</x:t>
        </x:is>
      </x:c>
      <x:c r="M488" s="3" t="n">
        <x:v>1</x:v>
      </x:c>
      <x:c r="N488" s="3" t="n"/>
      <x:c r="O488" s="3" t="n"/>
      <x:c r="P488" s="3" t="inlineStr">
        <x:is>
          <x:t xml:space="preserve">SEC-D11-Q32-A1</x:t>
        </x:is>
      </x:c>
      <x:c r="Q488" s="3" t="n">
        <x:v>2</x:v>
      </x:c>
      <x:c r="R488" s="3" t="inlineStr">
        <x:is>
          <x:t xml:space="preserve">Admins have permanent privileged access; actions are not consistently recorded or reviewed.</x:t>
        </x:is>
      </x:c>
      <x:c r="S488" s="3" t="n">
        <x:v>0</x:v>
      </x:c>
      <x:c r="T488" s="3" t="inlineStr">
        <x:is>
          <x:t xml:space="preserve">pam_gap,privileged_gap</x:t>
        </x:is>
      </x:c>
      <x:c r="U488" s="3" t="inlineStr">
        <x:is>
          <x:t xml:space="preserve">Paper Dragon</x:t>
        </x:is>
      </x:c>
      <x:c r="V488" s="3" t="inlineStr">
        <x:is>
          <x:t xml:space="preserve">Implement_PAM_JIT</x:t>
        </x:is>
      </x:c>
      <x:c r="W488" s="3" t="inlineStr">
        <x:is>
          <x:t xml:space="preserve">N</x:t>
        </x:is>
      </x:c>
      <x:c r="X488" s="3" t="inlineStr">
        <x:is>
          <x:t xml:space="preserve">Privileged account list</x:t>
        </x:is>
      </x:c>
      <x:c r="Y488" s="6">
        <x:f>(S488*IF(E488="G",F488,0))+(S488*IF(G488="G",H488,0))</x:f>
      </x:c>
      <x:c r="Z488" s="6">
        <x:f>(S488*IF(E488="E",F488,0))+(S488*IF(G488="E",H488,0))</x:f>
      </x:c>
      <x:c r="AA488" s="6">
        <x:f>(S488*IF(E488="T",F488,0))+(S488*IF(G488="T",H488,0))</x:f>
      </x:c>
      <x:c r="AB488" s="6">
        <x:f>(S488*IF(E488="L",F488,0))+(S488*IF(G488="L",H488,0))</x:f>
      </x:c>
      <x:c r="AC488" s="6">
        <x:f>(S488*IF(E488="H",F488,0))+(S488*IF(G488="H",H488,0))</x:f>
      </x:c>
      <x:c r="AD488" s="6">
        <x:f>(S488*IF(E488="V",F488,0))+(S488*IF(G488="V",H488,0))</x:f>
      </x:c>
      <x:c r="AE488" s="6">
        <x:f>(S488*IF(E488="R",F488,0))+(S488*IF(G488="R",H488,0))</x:f>
      </x:c>
      <x:c r="AF488" s="6">
        <x:f>(S488*IF(E488="F",F488,0))+(S488*IF(G488="F",H488,0))</x:f>
      </x:c>
      <x:c r="AG488" s="6">
        <x:f>(S488*IF(E488="W",F488,0))+(S488*IF(G488="W",H488,0))</x:f>
      </x:c>
    </x:row>
    <x:row r="489">
      <x:c r="A489" s="3" t="inlineStr">
        <x:is>
          <x:t xml:space="preserve">Security</x:t>
        </x:is>
      </x:c>
      <x:c r="B489" s="3" t="inlineStr">
        <x:is>
          <x:t xml:space="preserve">SEC-D11-Q32</x:t>
        </x:is>
      </x:c>
      <x:c r="C489" s="3" t="inlineStr">
        <x:is>
          <x:t xml:space="preserve">T4</x:t>
        </x:is>
      </x:c>
      <x:c r="D489" s="3" t="inlineStr">
        <x:is>
          <x:t xml:space="preserve">11. Identity &amp; Privilege Correlation (Deep)</x:t>
        </x:is>
      </x:c>
      <x:c r="E489" s="3" t="inlineStr">
        <x:is>
          <x:t xml:space="preserve">T</x:t>
        </x:is>
      </x:c>
      <x:c r="F489" s="3" t="n">
        <x:v>0.6</x:v>
      </x:c>
      <x:c r="G489" s="3" t="inlineStr">
        <x:is>
          <x:t xml:space="preserve">V</x:t>
        </x:is>
      </x:c>
      <x:c r="H489" s="3" t="n">
        <x:v>0.4</x:v>
      </x:c>
      <x:c r="I489" s="3" t="inlineStr">
        <x:is>
          <x:t xml:space="preserve">How is privileged/admin access granted and recorded for high‑risk systems?</x:t>
        </x:is>
      </x:c>
      <x:c r="J489" s="3" t="inlineStr">
        <x:is>
          <x:t xml:space="preserve">Examples: just‑in‑time admin access, approvals, session recording, ‘four‑eyes’ for sensitive actions, periodic access reviews, elimination of shared admin accounts.</x:t>
        </x:is>
      </x:c>
      <x:c r="K489" s="3" t="inlineStr">
        <x:is>
          <x:t xml:space="preserve">Optional Annex (Ask in Full/Deep mode).</x:t>
        </x:is>
      </x:c>
      <x:c r="L489" s="3" t="inlineStr">
        <x:is>
          <x:t xml:space="preserve">OPS_STD</x:t>
        </x:is>
      </x:c>
      <x:c r="M489" s="3" t="n">
        <x:v>1</x:v>
      </x:c>
      <x:c r="N489" s="3" t="n"/>
      <x:c r="O489" s="3" t="n"/>
      <x:c r="P489" s="3" t="inlineStr">
        <x:is>
          <x:t xml:space="preserve">SEC-D11-Q32-A2</x:t>
        </x:is>
      </x:c>
      <x:c r="Q489" s="3" t="n">
        <x:v>3</x:v>
      </x:c>
      <x:c r="R489" s="3" t="inlineStr">
        <x:is>
          <x:t xml:space="preserve">Approvals exist on paper, but enforcement is weak and session recording is uncommon.</x:t>
        </x:is>
      </x:c>
      <x:c r="S489" s="3" t="n">
        <x:v>1</x:v>
      </x:c>
      <x:c r="T489" s="3" t="inlineStr">
        <x:is>
          <x:t xml:space="preserve">paper_process,pam_gap</x:t>
        </x:is>
      </x:c>
      <x:c r="U489" s="3" t="inlineStr">
        <x:is>
          <x:t xml:space="preserve">Paper Dragon</x:t>
        </x:is>
      </x:c>
      <x:c r="V489" s="3" t="inlineStr">
        <x:is>
          <x:t xml:space="preserve">Implement_PAM_JIT</x:t>
        </x:is>
      </x:c>
      <x:c r="W489" s="3" t="inlineStr">
        <x:is>
          <x:t xml:space="preserve">N</x:t>
        </x:is>
      </x:c>
      <x:c r="X489" s="3" t="inlineStr">
        <x:is>
          <x:t xml:space="preserve">Approval procedure evidence</x:t>
        </x:is>
      </x:c>
      <x:c r="Y489" s="6">
        <x:f>(S489*IF(E489="G",F489,0))+(S489*IF(G489="G",H489,0))</x:f>
      </x:c>
      <x:c r="Z489" s="6">
        <x:f>(S489*IF(E489="E",F489,0))+(S489*IF(G489="E",H489,0))</x:f>
      </x:c>
      <x:c r="AA489" s="6">
        <x:f>(S489*IF(E489="T",F489,0))+(S489*IF(G489="T",H489,0))</x:f>
      </x:c>
      <x:c r="AB489" s="6">
        <x:f>(S489*IF(E489="L",F489,0))+(S489*IF(G489="L",H489,0))</x:f>
      </x:c>
      <x:c r="AC489" s="6">
        <x:f>(S489*IF(E489="H",F489,0))+(S489*IF(G489="H",H489,0))</x:f>
      </x:c>
      <x:c r="AD489" s="6">
        <x:f>(S489*IF(E489="V",F489,0))+(S489*IF(G489="V",H489,0))</x:f>
      </x:c>
      <x:c r="AE489" s="6">
        <x:f>(S489*IF(E489="R",F489,0))+(S489*IF(G489="R",H489,0))</x:f>
      </x:c>
      <x:c r="AF489" s="6">
        <x:f>(S489*IF(E489="F",F489,0))+(S489*IF(G489="F",H489,0))</x:f>
      </x:c>
      <x:c r="AG489" s="6">
        <x:f>(S489*IF(E489="W",F489,0))+(S489*IF(G489="W",H489,0))</x:f>
      </x:c>
    </x:row>
    <x:row r="490">
      <x:c r="A490" s="3" t="inlineStr">
        <x:is>
          <x:t xml:space="preserve">Security</x:t>
        </x:is>
      </x:c>
      <x:c r="B490" s="3" t="inlineStr">
        <x:is>
          <x:t xml:space="preserve">SEC-D11-Q32</x:t>
        </x:is>
      </x:c>
      <x:c r="C490" s="3" t="inlineStr">
        <x:is>
          <x:t xml:space="preserve">T4</x:t>
        </x:is>
      </x:c>
      <x:c r="D490" s="3" t="inlineStr">
        <x:is>
          <x:t xml:space="preserve">11. Identity &amp; Privilege Correlation (Deep)</x:t>
        </x:is>
      </x:c>
      <x:c r="E490" s="3" t="inlineStr">
        <x:is>
          <x:t xml:space="preserve">T</x:t>
        </x:is>
      </x:c>
      <x:c r="F490" s="3" t="n">
        <x:v>0.6</x:v>
      </x:c>
      <x:c r="G490" s="3" t="inlineStr">
        <x:is>
          <x:t xml:space="preserve">V</x:t>
        </x:is>
      </x:c>
      <x:c r="H490" s="3" t="n">
        <x:v>0.4</x:v>
      </x:c>
      <x:c r="I490" s="3" t="inlineStr">
        <x:is>
          <x:t xml:space="preserve">How is privileged/admin access granted and recorded for high‑risk systems?</x:t>
        </x:is>
      </x:c>
      <x:c r="J490" s="3" t="inlineStr">
        <x:is>
          <x:t xml:space="preserve">Examples: just‑in‑time admin access, approvals, session recording, ‘four‑eyes’ for sensitive actions, periodic access reviews, elimination of shared admin accounts.</x:t>
        </x:is>
      </x:c>
      <x:c r="K490" s="3" t="inlineStr">
        <x:is>
          <x:t xml:space="preserve">Optional Annex (Ask in Full/Deep mode).</x:t>
        </x:is>
      </x:c>
      <x:c r="L490" s="3" t="inlineStr">
        <x:is>
          <x:t xml:space="preserve">OPS_STD</x:t>
        </x:is>
      </x:c>
      <x:c r="M490" s="3" t="n">
        <x:v>1</x:v>
      </x:c>
      <x:c r="N490" s="3" t="n"/>
      <x:c r="O490" s="3" t="n"/>
      <x:c r="P490" s="3" t="inlineStr">
        <x:is>
          <x:t xml:space="preserve">SEC-D11-Q32-A3</x:t>
        </x:is>
      </x:c>
      <x:c r="Q490" s="3" t="n">
        <x:v>4</x:v>
      </x:c>
      <x:c r="R490" s="3" t="inlineStr">
        <x:is>
          <x:t xml:space="preserve">We have PAM/JIT for some high-risk systems; privileged sessions or commands are logged for those systems.</x:t>
        </x:is>
      </x:c>
      <x:c r="S490" s="3" t="n">
        <x:v>2</x:v>
      </x:c>
      <x:c r="T490" s="3" t="inlineStr">
        <x:is>
          <x:t xml:space="preserve">partial_maturity,execution_strength</x:t>
        </x:is>
      </x:c>
      <x:c r="U490" s="3" t="inlineStr">
        <x:is>
          <x:t xml:space="preserve">Resilience Gap</x:t>
        </x:is>
      </x:c>
      <x:c r="V490" s="3" t="inlineStr">
        <x:is>
          <x:t xml:space="preserve">Implement_PAM_JIT</x:t>
        </x:is>
      </x:c>
      <x:c r="W490" s="3" t="inlineStr">
        <x:is>
          <x:t xml:space="preserve">N</x:t>
        </x:is>
      </x:c>
      <x:c r="X490" s="3" t="inlineStr">
        <x:is>
          <x:t xml:space="preserve">PAM scope + sample logs</x:t>
        </x:is>
      </x:c>
      <x:c r="Y490" s="6">
        <x:f>(S490*IF(E490="G",F490,0))+(S490*IF(G490="G",H490,0))</x:f>
      </x:c>
      <x:c r="Z490" s="6">
        <x:f>(S490*IF(E490="E",F490,0))+(S490*IF(G490="E",H490,0))</x:f>
      </x:c>
      <x:c r="AA490" s="6">
        <x:f>(S490*IF(E490="T",F490,0))+(S490*IF(G490="T",H490,0))</x:f>
      </x:c>
      <x:c r="AB490" s="6">
        <x:f>(S490*IF(E490="L",F490,0))+(S490*IF(G490="L",H490,0))</x:f>
      </x:c>
      <x:c r="AC490" s="6">
        <x:f>(S490*IF(E490="H",F490,0))+(S490*IF(G490="H",H490,0))</x:f>
      </x:c>
      <x:c r="AD490" s="6">
        <x:f>(S490*IF(E490="V",F490,0))+(S490*IF(G490="V",H490,0))</x:f>
      </x:c>
      <x:c r="AE490" s="6">
        <x:f>(S490*IF(E490="R",F490,0))+(S490*IF(G490="R",H490,0))</x:f>
      </x:c>
      <x:c r="AF490" s="6">
        <x:f>(S490*IF(E490="F",F490,0))+(S490*IF(G490="F",H490,0))</x:f>
      </x:c>
      <x:c r="AG490" s="6">
        <x:f>(S490*IF(E490="W",F490,0))+(S490*IF(G490="W",H490,0))</x:f>
      </x:c>
    </x:row>
    <x:row r="491">
      <x:c r="A491" s="3" t="inlineStr">
        <x:is>
          <x:t xml:space="preserve">Security</x:t>
        </x:is>
      </x:c>
      <x:c r="B491" s="3" t="inlineStr">
        <x:is>
          <x:t xml:space="preserve">SEC-D11-Q32</x:t>
        </x:is>
      </x:c>
      <x:c r="C491" s="3" t="inlineStr">
        <x:is>
          <x:t xml:space="preserve">T4</x:t>
        </x:is>
      </x:c>
      <x:c r="D491" s="3" t="inlineStr">
        <x:is>
          <x:t xml:space="preserve">11. Identity &amp; Privilege Correlation (Deep)</x:t>
        </x:is>
      </x:c>
      <x:c r="E491" s="3" t="inlineStr">
        <x:is>
          <x:t xml:space="preserve">T</x:t>
        </x:is>
      </x:c>
      <x:c r="F491" s="3" t="n">
        <x:v>0.6</x:v>
      </x:c>
      <x:c r="G491" s="3" t="inlineStr">
        <x:is>
          <x:t xml:space="preserve">V</x:t>
        </x:is>
      </x:c>
      <x:c r="H491" s="3" t="n">
        <x:v>0.4</x:v>
      </x:c>
      <x:c r="I491" s="3" t="inlineStr">
        <x:is>
          <x:t xml:space="preserve">How is privileged/admin access granted and recorded for high‑risk systems?</x:t>
        </x:is>
      </x:c>
      <x:c r="J491" s="3" t="inlineStr">
        <x:is>
          <x:t xml:space="preserve">Examples: just‑in‑time admin access, approvals, session recording, ‘four‑eyes’ for sensitive actions, periodic access reviews, elimination of shared admin accounts.</x:t>
        </x:is>
      </x:c>
      <x:c r="K491" s="3" t="inlineStr">
        <x:is>
          <x:t xml:space="preserve">Optional Annex (Ask in Full/Deep mode).</x:t>
        </x:is>
      </x:c>
      <x:c r="L491" s="3" t="inlineStr">
        <x:is>
          <x:t xml:space="preserve">OPS_STD</x:t>
        </x:is>
      </x:c>
      <x:c r="M491" s="3" t="n">
        <x:v>1</x:v>
      </x:c>
      <x:c r="N491" s="3" t="n"/>
      <x:c r="O491" s="3" t="n"/>
      <x:c r="P491" s="3" t="inlineStr">
        <x:is>
          <x:t xml:space="preserve">SEC-D11-Q32-A4</x:t>
        </x:is>
      </x:c>
      <x:c r="Q491" s="3" t="n">
        <x:v>5</x:v>
      </x:c>
      <x:c r="R491" s="3" t="inlineStr">
        <x:is>
          <x:t xml:space="preserve">Privileged access is mostly JIT/approved; sessions are recorded or commands captured; periodic reviews happen.</x:t>
        </x:is>
      </x:c>
      <x:c r="S491" s="3" t="n">
        <x:v>3</x:v>
      </x:c>
      <x:c r="T491" s="3" t="inlineStr">
        <x:is>
          <x:t xml:space="preserve">good_practice,forensic_ready</x:t>
        </x:is>
      </x:c>
      <x:c r="U491" s="3" t="n"/>
      <x:c r="V491" s="3" t="inlineStr">
        <x:is>
          <x:t xml:space="preserve">Request_Evidence</x:t>
        </x:is>
      </x:c>
      <x:c r="W491" s="3" t="inlineStr">
        <x:is>
          <x:t xml:space="preserve">N</x:t>
        </x:is>
      </x:c>
      <x:c r="X491" s="3" t="inlineStr">
        <x:is>
          <x:t xml:space="preserve">Access review proof; session capture sample</x:t>
        </x:is>
      </x:c>
      <x:c r="Y491" s="6">
        <x:f>(S491*IF(E491="G",F491,0))+(S491*IF(G491="G",H491,0))</x:f>
      </x:c>
      <x:c r="Z491" s="6">
        <x:f>(S491*IF(E491="E",F491,0))+(S491*IF(G491="E",H491,0))</x:f>
      </x:c>
      <x:c r="AA491" s="6">
        <x:f>(S491*IF(E491="T",F491,0))+(S491*IF(G491="T",H491,0))</x:f>
      </x:c>
      <x:c r="AB491" s="6">
        <x:f>(S491*IF(E491="L",F491,0))+(S491*IF(G491="L",H491,0))</x:f>
      </x:c>
      <x:c r="AC491" s="6">
        <x:f>(S491*IF(E491="H",F491,0))+(S491*IF(G491="H",H491,0))</x:f>
      </x:c>
      <x:c r="AD491" s="6">
        <x:f>(S491*IF(E491="V",F491,0))+(S491*IF(G491="V",H491,0))</x:f>
      </x:c>
      <x:c r="AE491" s="6">
        <x:f>(S491*IF(E491="R",F491,0))+(S491*IF(G491="R",H491,0))</x:f>
      </x:c>
      <x:c r="AF491" s="6">
        <x:f>(S491*IF(E491="F",F491,0))+(S491*IF(G491="F",H491,0))</x:f>
      </x:c>
      <x:c r="AG491" s="6">
        <x:f>(S491*IF(E491="W",F491,0))+(S491*IF(G491="W",H491,0))</x:f>
      </x:c>
    </x:row>
    <x:row r="492">
      <x:c r="A492" s="3" t="inlineStr">
        <x:is>
          <x:t xml:space="preserve">Security</x:t>
        </x:is>
      </x:c>
      <x:c r="B492" s="3" t="inlineStr">
        <x:is>
          <x:t xml:space="preserve">SEC-D11-Q32</x:t>
        </x:is>
      </x:c>
      <x:c r="C492" s="3" t="inlineStr">
        <x:is>
          <x:t xml:space="preserve">T4</x:t>
        </x:is>
      </x:c>
      <x:c r="D492" s="3" t="inlineStr">
        <x:is>
          <x:t xml:space="preserve">11. Identity &amp; Privilege Correlation (Deep)</x:t>
        </x:is>
      </x:c>
      <x:c r="E492" s="3" t="inlineStr">
        <x:is>
          <x:t xml:space="preserve">T</x:t>
        </x:is>
      </x:c>
      <x:c r="F492" s="3" t="n">
        <x:v>0.6</x:v>
      </x:c>
      <x:c r="G492" s="3" t="inlineStr">
        <x:is>
          <x:t xml:space="preserve">V</x:t>
        </x:is>
      </x:c>
      <x:c r="H492" s="3" t="n">
        <x:v>0.4</x:v>
      </x:c>
      <x:c r="I492" s="3" t="inlineStr">
        <x:is>
          <x:t xml:space="preserve">How is privileged/admin access granted and recorded for high‑risk systems?</x:t>
        </x:is>
      </x:c>
      <x:c r="J492" s="3" t="inlineStr">
        <x:is>
          <x:t xml:space="preserve">Examples: just‑in‑time admin access, approvals, session recording, ‘four‑eyes’ for sensitive actions, periodic access reviews, elimination of shared admin accounts.</x:t>
        </x:is>
      </x:c>
      <x:c r="K492" s="3" t="inlineStr">
        <x:is>
          <x:t xml:space="preserve">Optional Annex (Ask in Full/Deep mode).</x:t>
        </x:is>
      </x:c>
      <x:c r="L492" s="3" t="inlineStr">
        <x:is>
          <x:t xml:space="preserve">OPS_STD</x:t>
        </x:is>
      </x:c>
      <x:c r="M492" s="3" t="n">
        <x:v>1</x:v>
      </x:c>
      <x:c r="N492" s="3" t="n"/>
      <x:c r="O492" s="3" t="n"/>
      <x:c r="P492" s="3" t="inlineStr">
        <x:is>
          <x:t xml:space="preserve">SEC-D11-Q32-A5</x:t>
        </x:is>
      </x:c>
      <x:c r="Q492" s="3" t="n">
        <x:v>6</x:v>
      </x:c>
      <x:c r="R492" s="3" t="inlineStr">
        <x:is>
          <x:t xml:space="preserve">Privileged access is enforced JIT for HVAs; four-eyes applies for sensitive actions; monitoring + reviews are measured and audited.</x:t>
        </x:is>
      </x:c>
      <x:c r="S492" s="3" t="n">
        <x:v>4</x:v>
      </x:c>
      <x:c r="T492" s="3" t="inlineStr">
        <x:is>
          <x:t xml:space="preserve">optimized,forensic_ready</x:t>
        </x:is>
      </x:c>
      <x:c r="U492" s="3" t="n"/>
      <x:c r="V492" s="3" t="inlineStr">
        <x:is>
          <x:t xml:space="preserve">Request_Evidence</x:t>
        </x:is>
      </x:c>
      <x:c r="W492" s="3" t="inlineStr">
        <x:is>
          <x:t xml:space="preserve">N</x:t>
        </x:is>
      </x:c>
      <x:c r="X492" s="3" t="inlineStr">
        <x:is>
          <x:t xml:space="preserve">PAM audit report / KPIs</x:t>
        </x:is>
      </x:c>
      <x:c r="Y492" s="6">
        <x:f>(S492*IF(E492="G",F492,0))+(S492*IF(G492="G",H492,0))</x:f>
      </x:c>
      <x:c r="Z492" s="6">
        <x:f>(S492*IF(E492="E",F492,0))+(S492*IF(G492="E",H492,0))</x:f>
      </x:c>
      <x:c r="AA492" s="6">
        <x:f>(S492*IF(E492="T",F492,0))+(S492*IF(G492="T",H492,0))</x:f>
      </x:c>
      <x:c r="AB492" s="6">
        <x:f>(S492*IF(E492="L",F492,0))+(S492*IF(G492="L",H492,0))</x:f>
      </x:c>
      <x:c r="AC492" s="6">
        <x:f>(S492*IF(E492="H",F492,0))+(S492*IF(G492="H",H492,0))</x:f>
      </x:c>
      <x:c r="AD492" s="6">
        <x:f>(S492*IF(E492="V",F492,0))+(S492*IF(G492="V",H492,0))</x:f>
      </x:c>
      <x:c r="AE492" s="6">
        <x:f>(S492*IF(E492="R",F492,0))+(S492*IF(G492="R",H492,0))</x:f>
      </x:c>
      <x:c r="AF492" s="6">
        <x:f>(S492*IF(E492="F",F492,0))+(S492*IF(G492="F",H492,0))</x:f>
      </x:c>
      <x:c r="AG492" s="6">
        <x:f>(S492*IF(E492="W",F492,0))+(S492*IF(G492="W",H492,0))</x:f>
      </x:c>
    </x:row>
    <x:row r="493">
      <x:c r="A493" s="3" t="inlineStr">
        <x:is>
          <x:t xml:space="preserve">Security</x:t>
        </x:is>
      </x:c>
      <x:c r="B493" s="3" t="inlineStr">
        <x:is>
          <x:t xml:space="preserve">SEC-D11-Q33</x:t>
        </x:is>
      </x:c>
      <x:c r="C493" s="3" t="inlineStr">
        <x:is>
          <x:t xml:space="preserve">T3</x:t>
        </x:is>
      </x:c>
      <x:c r="D493" s="3" t="inlineStr">
        <x:is>
          <x:t xml:space="preserve">11. Identity &amp; Privilege Correlation (Deep)</x:t>
        </x:is>
      </x:c>
      <x:c r="E493" s="3" t="inlineStr">
        <x:is>
          <x:t xml:space="preserve">E</x:t>
        </x:is>
      </x:c>
      <x:c r="F493" s="3" t="n">
        <x:v>0.6</x:v>
      </x:c>
      <x:c r="G493" s="3" t="inlineStr">
        <x:is>
          <x:t xml:space="preserve">W</x:t>
        </x:is>
      </x:c>
      <x:c r="H493" s="3" t="n">
        <x:v>0.4</x:v>
      </x:c>
      <x:c r="I493" s="3" t="inlineStr">
        <x:is>
          <x:t xml:space="preserve">How well do security controls adapt to joiner/mover/leaver changes and sensitive HR events (role changes, resignations, terminations)?</x:t>
        </x:is>
      </x:c>
      <x:c r="J493" s="3" t="inlineStr">
        <x:is>
          <x:t xml:space="preserve">This is about control lag: how fast access changes and monitoring adjustments happen when risk changes. Focus on speed and consistency, not intent.</x:t>
        </x:is>
      </x:c>
      <x:c r="K493" s="3" t="inlineStr">
        <x:is>
          <x:t xml:space="preserve">Optional Annex (Ask in Full/Deep mode OR if SEC-D6-Q17 BaseScore ≥ 2).</x:t>
        </x:is>
      </x:c>
      <x:c r="L493" s="3" t="inlineStr">
        <x:is>
          <x:t xml:space="preserve">OPS_STD</x:t>
        </x:is>
      </x:c>
      <x:c r="M493" s="3" t="n">
        <x:v>1</x:v>
      </x:c>
      <x:c r="N493" s="3" t="n"/>
      <x:c r="O493" s="3" t="n"/>
      <x:c r="P493" s="3" t="inlineStr">
        <x:is>
          <x:t xml:space="preserve">SEC-D11-Q33-A0</x:t>
        </x:is>
      </x:c>
      <x:c r="Q493" s="3" t="n">
        <x:v>1</x:v>
      </x:c>
      <x:c r="R493" s="3" t="inlineStr">
        <x:is>
          <x:t xml:space="preserve">I don’t know / not sure.</x:t>
        </x:is>
      </x:c>
      <x:c r="S493" s="3" t="n">
        <x:v>0</x:v>
      </x:c>
      <x:c r="T493" s="3" t="inlineStr">
        <x:is>
          <x:t xml:space="preserve">unknown</x:t>
        </x:is>
      </x:c>
      <x:c r="U493" s="3" t="inlineStr">
        <x:is>
          <x:t xml:space="preserve">Unknown</x:t>
        </x:is>
      </x:c>
      <x:c r="V493" s="3" t="inlineStr">
        <x:is>
          <x:t xml:space="preserve">Clarify_Stakeholders</x:t>
        </x:is>
      </x:c>
      <x:c r="W493" s="3" t="inlineStr">
        <x:is>
          <x:t xml:space="preserve">N</x:t>
        </x:is>
      </x:c>
      <x:c r="X493" s="3" t="inlineStr">
        <x:is>
          <x:t xml:space="preserve">None</x:t>
        </x:is>
      </x:c>
      <x:c r="Y493" s="6">
        <x:f>(S493*IF(E493="G",F493,0))+(S493*IF(G493="G",H493,0))</x:f>
      </x:c>
      <x:c r="Z493" s="6">
        <x:f>(S493*IF(E493="E",F493,0))+(S493*IF(G493="E",H493,0))</x:f>
      </x:c>
      <x:c r="AA493" s="6">
        <x:f>(S493*IF(E493="T",F493,0))+(S493*IF(G493="T",H493,0))</x:f>
      </x:c>
      <x:c r="AB493" s="6">
        <x:f>(S493*IF(E493="L",F493,0))+(S493*IF(G493="L",H493,0))</x:f>
      </x:c>
      <x:c r="AC493" s="6">
        <x:f>(S493*IF(E493="H",F493,0))+(S493*IF(G493="H",H493,0))</x:f>
      </x:c>
      <x:c r="AD493" s="6">
        <x:f>(S493*IF(E493="V",F493,0))+(S493*IF(G493="V",H493,0))</x:f>
      </x:c>
      <x:c r="AE493" s="6">
        <x:f>(S493*IF(E493="R",F493,0))+(S493*IF(G493="R",H493,0))</x:f>
      </x:c>
      <x:c r="AF493" s="6">
        <x:f>(S493*IF(E493="F",F493,0))+(S493*IF(G493="F",H493,0))</x:f>
      </x:c>
      <x:c r="AG493" s="6">
        <x:f>(S493*IF(E493="W",F493,0))+(S493*IF(G493="W",H493,0))</x:f>
      </x:c>
    </x:row>
    <x:row r="494">
      <x:c r="A494" s="3" t="inlineStr">
        <x:is>
          <x:t xml:space="preserve">Security</x:t>
        </x:is>
      </x:c>
      <x:c r="B494" s="3" t="inlineStr">
        <x:is>
          <x:t xml:space="preserve">SEC-D11-Q33</x:t>
        </x:is>
      </x:c>
      <x:c r="C494" s="3" t="inlineStr">
        <x:is>
          <x:t xml:space="preserve">T3</x:t>
        </x:is>
      </x:c>
      <x:c r="D494" s="3" t="inlineStr">
        <x:is>
          <x:t xml:space="preserve">11. Identity &amp; Privilege Correlation (Deep)</x:t>
        </x:is>
      </x:c>
      <x:c r="E494" s="3" t="inlineStr">
        <x:is>
          <x:t xml:space="preserve">E</x:t>
        </x:is>
      </x:c>
      <x:c r="F494" s="3" t="n">
        <x:v>0.6</x:v>
      </x:c>
      <x:c r="G494" s="3" t="inlineStr">
        <x:is>
          <x:t xml:space="preserve">W</x:t>
        </x:is>
      </x:c>
      <x:c r="H494" s="3" t="n">
        <x:v>0.4</x:v>
      </x:c>
      <x:c r="I494" s="3" t="inlineStr">
        <x:is>
          <x:t xml:space="preserve">How well do security controls adapt to joiner/mover/leaver changes and sensitive HR events (role changes, resignations, terminations)?</x:t>
        </x:is>
      </x:c>
      <x:c r="J494" s="3" t="inlineStr">
        <x:is>
          <x:t xml:space="preserve">This is about control lag: how fast access changes and monitoring adjustments happen when risk changes. Focus on speed and consistency, not intent.</x:t>
        </x:is>
      </x:c>
      <x:c r="K494" s="3" t="inlineStr">
        <x:is>
          <x:t xml:space="preserve">Optional Annex (Ask in Full/Deep mode OR if SEC-D6-Q17 BaseScore ≥ 2).</x:t>
        </x:is>
      </x:c>
      <x:c r="L494" s="3" t="inlineStr">
        <x:is>
          <x:t xml:space="preserve">OPS_STD</x:t>
        </x:is>
      </x:c>
      <x:c r="M494" s="3" t="n">
        <x:v>1</x:v>
      </x:c>
      <x:c r="N494" s="3" t="n"/>
      <x:c r="O494" s="3" t="n"/>
      <x:c r="P494" s="3" t="inlineStr">
        <x:is>
          <x:t xml:space="preserve">SEC-D11-Q33-A1</x:t>
        </x:is>
      </x:c>
      <x:c r="Q494" s="3" t="n">
        <x:v>2</x:v>
      </x:c>
      <x:c r="R494" s="3" t="inlineStr">
        <x:is>
          <x:t xml:space="preserve">Security typically learns about joiner/mover/leaver changes late; access cleanup and monitoring changes lag by days/weeks.</x:t>
        </x:is>
      </x:c>
      <x:c r="S494" s="3" t="n">
        <x:v>0</x:v>
      </x:c>
      <x:c r="T494" s="3" t="inlineStr">
        <x:is>
          <x:t xml:space="preserve">control_lag_high,ad_hoc</x:t>
        </x:is>
      </x:c>
      <x:c r="U494" s="3" t="inlineStr">
        <x:is>
          <x:t xml:space="preserve">Control Lag</x:t>
        </x:is>
      </x:c>
      <x:c r="V494" s="3" t="inlineStr">
        <x:is>
          <x:t xml:space="preserve">Assess_Control_Lag</x:t>
        </x:is>
      </x:c>
      <x:c r="W494" s="3" t="inlineStr">
        <x:is>
          <x:t xml:space="preserve">N</x:t>
        </x:is>
      </x:c>
      <x:c r="X494" s="3" t="inlineStr">
        <x:is>
          <x:t xml:space="preserve">Example of last termination timing</x:t>
        </x:is>
      </x:c>
      <x:c r="Y494" s="6">
        <x:f>(S494*IF(E494="G",F494,0))+(S494*IF(G494="G",H494,0))</x:f>
      </x:c>
      <x:c r="Z494" s="6">
        <x:f>(S494*IF(E494="E",F494,0))+(S494*IF(G494="E",H494,0))</x:f>
      </x:c>
      <x:c r="AA494" s="6">
        <x:f>(S494*IF(E494="T",F494,0))+(S494*IF(G494="T",H494,0))</x:f>
      </x:c>
      <x:c r="AB494" s="6">
        <x:f>(S494*IF(E494="L",F494,0))+(S494*IF(G494="L",H494,0))</x:f>
      </x:c>
      <x:c r="AC494" s="6">
        <x:f>(S494*IF(E494="H",F494,0))+(S494*IF(G494="H",H494,0))</x:f>
      </x:c>
      <x:c r="AD494" s="6">
        <x:f>(S494*IF(E494="V",F494,0))+(S494*IF(G494="V",H494,0))</x:f>
      </x:c>
      <x:c r="AE494" s="6">
        <x:f>(S494*IF(E494="R",F494,0))+(S494*IF(G494="R",H494,0))</x:f>
      </x:c>
      <x:c r="AF494" s="6">
        <x:f>(S494*IF(E494="F",F494,0))+(S494*IF(G494="F",H494,0))</x:f>
      </x:c>
      <x:c r="AG494" s="6">
        <x:f>(S494*IF(E494="W",F494,0))+(S494*IF(G494="W",H494,0))</x:f>
      </x:c>
    </x:row>
    <x:row r="495">
      <x:c r="A495" s="3" t="inlineStr">
        <x:is>
          <x:t xml:space="preserve">Security</x:t>
        </x:is>
      </x:c>
      <x:c r="B495" s="3" t="inlineStr">
        <x:is>
          <x:t xml:space="preserve">SEC-D11-Q33</x:t>
        </x:is>
      </x:c>
      <x:c r="C495" s="3" t="inlineStr">
        <x:is>
          <x:t xml:space="preserve">T3</x:t>
        </x:is>
      </x:c>
      <x:c r="D495" s="3" t="inlineStr">
        <x:is>
          <x:t xml:space="preserve">11. Identity &amp; Privilege Correlation (Deep)</x:t>
        </x:is>
      </x:c>
      <x:c r="E495" s="3" t="inlineStr">
        <x:is>
          <x:t xml:space="preserve">E</x:t>
        </x:is>
      </x:c>
      <x:c r="F495" s="3" t="n">
        <x:v>0.6</x:v>
      </x:c>
      <x:c r="G495" s="3" t="inlineStr">
        <x:is>
          <x:t xml:space="preserve">W</x:t>
        </x:is>
      </x:c>
      <x:c r="H495" s="3" t="n">
        <x:v>0.4</x:v>
      </x:c>
      <x:c r="I495" s="3" t="inlineStr">
        <x:is>
          <x:t xml:space="preserve">How well do security controls adapt to joiner/mover/leaver changes and sensitive HR events (role changes, resignations, terminations)?</x:t>
        </x:is>
      </x:c>
      <x:c r="J495" s="3" t="inlineStr">
        <x:is>
          <x:t xml:space="preserve">This is about control lag: how fast access changes and monitoring adjustments happen when risk changes. Focus on speed and consistency, not intent.</x:t>
        </x:is>
      </x:c>
      <x:c r="K495" s="3" t="inlineStr">
        <x:is>
          <x:t xml:space="preserve">Optional Annex (Ask in Full/Deep mode OR if SEC-D6-Q17 BaseScore ≥ 2).</x:t>
        </x:is>
      </x:c>
      <x:c r="L495" s="3" t="inlineStr">
        <x:is>
          <x:t xml:space="preserve">OPS_STD</x:t>
        </x:is>
      </x:c>
      <x:c r="M495" s="3" t="n">
        <x:v>1</x:v>
      </x:c>
      <x:c r="N495" s="3" t="n"/>
      <x:c r="O495" s="3" t="n"/>
      <x:c r="P495" s="3" t="inlineStr">
        <x:is>
          <x:t xml:space="preserve">SEC-D11-Q33-A2</x:t>
        </x:is>
      </x:c>
      <x:c r="Q495" s="3" t="n">
        <x:v>3</x:v>
      </x:c>
      <x:c r="R495" s="3" t="inlineStr">
        <x:is>
          <x:t xml:space="preserve">We receive notifications, but changes are manual and inconsistent; sometimes accounts or access remain longer than intended.</x:t>
        </x:is>
      </x:c>
      <x:c r="S495" s="3" t="n">
        <x:v>1</x:v>
      </x:c>
      <x:c r="T495" s="3" t="inlineStr">
        <x:is>
          <x:t xml:space="preserve">control_lag,inconsistent_execution</x:t>
        </x:is>
      </x:c>
      <x:c r="U495" s="3" t="inlineStr">
        <x:is>
          <x:t xml:space="preserve">Control Lag</x:t>
        </x:is>
      </x:c>
      <x:c r="V495" s="3" t="inlineStr">
        <x:is>
          <x:t xml:space="preserve">Assess_Control_Lag</x:t>
        </x:is>
      </x:c>
      <x:c r="W495" s="3" t="inlineStr">
        <x:is>
          <x:t xml:space="preserve">N</x:t>
        </x:is>
      </x:c>
      <x:c r="X495" s="3" t="inlineStr">
        <x:is>
          <x:t xml:space="preserve">Process description</x:t>
        </x:is>
      </x:c>
      <x:c r="Y495" s="6">
        <x:f>(S495*IF(E495="G",F495,0))+(S495*IF(G495="G",H495,0))</x:f>
      </x:c>
      <x:c r="Z495" s="6">
        <x:f>(S495*IF(E495="E",F495,0))+(S495*IF(G495="E",H495,0))</x:f>
      </x:c>
      <x:c r="AA495" s="6">
        <x:f>(S495*IF(E495="T",F495,0))+(S495*IF(G495="T",H495,0))</x:f>
      </x:c>
      <x:c r="AB495" s="6">
        <x:f>(S495*IF(E495="L",F495,0))+(S495*IF(G495="L",H495,0))</x:f>
      </x:c>
      <x:c r="AC495" s="6">
        <x:f>(S495*IF(E495="H",F495,0))+(S495*IF(G495="H",H495,0))</x:f>
      </x:c>
      <x:c r="AD495" s="6">
        <x:f>(S495*IF(E495="V",F495,0))+(S495*IF(G495="V",H495,0))</x:f>
      </x:c>
      <x:c r="AE495" s="6">
        <x:f>(S495*IF(E495="R",F495,0))+(S495*IF(G495="R",H495,0))</x:f>
      </x:c>
      <x:c r="AF495" s="6">
        <x:f>(S495*IF(E495="F",F495,0))+(S495*IF(G495="F",H495,0))</x:f>
      </x:c>
      <x:c r="AG495" s="6">
        <x:f>(S495*IF(E495="W",F495,0))+(S495*IF(G495="W",H495,0))</x:f>
      </x:c>
    </x:row>
    <x:row r="496">
      <x:c r="A496" s="3" t="inlineStr">
        <x:is>
          <x:t xml:space="preserve">Security</x:t>
        </x:is>
      </x:c>
      <x:c r="B496" s="3" t="inlineStr">
        <x:is>
          <x:t xml:space="preserve">SEC-D11-Q33</x:t>
        </x:is>
      </x:c>
      <x:c r="C496" s="3" t="inlineStr">
        <x:is>
          <x:t xml:space="preserve">T3</x:t>
        </x:is>
      </x:c>
      <x:c r="D496" s="3" t="inlineStr">
        <x:is>
          <x:t xml:space="preserve">11. Identity &amp; Privilege Correlation (Deep)</x:t>
        </x:is>
      </x:c>
      <x:c r="E496" s="3" t="inlineStr">
        <x:is>
          <x:t xml:space="preserve">E</x:t>
        </x:is>
      </x:c>
      <x:c r="F496" s="3" t="n">
        <x:v>0.6</x:v>
      </x:c>
      <x:c r="G496" s="3" t="inlineStr">
        <x:is>
          <x:t xml:space="preserve">W</x:t>
        </x:is>
      </x:c>
      <x:c r="H496" s="3" t="n">
        <x:v>0.4</x:v>
      </x:c>
      <x:c r="I496" s="3" t="inlineStr">
        <x:is>
          <x:t xml:space="preserve">How well do security controls adapt to joiner/mover/leaver changes and sensitive HR events (role changes, resignations, terminations)?</x:t>
        </x:is>
      </x:c>
      <x:c r="J496" s="3" t="inlineStr">
        <x:is>
          <x:t xml:space="preserve">This is about control lag: how fast access changes and monitoring adjustments happen when risk changes. Focus on speed and consistency, not intent.</x:t>
        </x:is>
      </x:c>
      <x:c r="K496" s="3" t="inlineStr">
        <x:is>
          <x:t xml:space="preserve">Optional Annex (Ask in Full/Deep mode OR if SEC-D6-Q17 BaseScore ≥ 2).</x:t>
        </x:is>
      </x:c>
      <x:c r="L496" s="3" t="inlineStr">
        <x:is>
          <x:t xml:space="preserve">OPS_STD</x:t>
        </x:is>
      </x:c>
      <x:c r="M496" s="3" t="n">
        <x:v>1</x:v>
      </x:c>
      <x:c r="N496" s="3" t="n"/>
      <x:c r="O496" s="3" t="n"/>
      <x:c r="P496" s="3" t="inlineStr">
        <x:is>
          <x:t xml:space="preserve">SEC-D11-Q33-A3</x:t>
        </x:is>
      </x:c>
      <x:c r="Q496" s="3" t="n">
        <x:v>4</x:v>
      </x:c>
      <x:c r="R496" s="3" t="inlineStr">
        <x:is>
          <x:t xml:space="preserve">Leavers are handled reasonably fast, but movers/role changes and sensitive HR events aren’t consistently reflected in controls.</x:t>
        </x:is>
      </x:c>
      <x:c r="S496" s="3" t="n">
        <x:v>2</x:v>
      </x:c>
      <x:c r="T496" s="3" t="inlineStr">
        <x:is>
          <x:t xml:space="preserve">partial_maturity,control_lag</x:t>
        </x:is>
      </x:c>
      <x:c r="U496" s="3" t="inlineStr">
        <x:is>
          <x:t xml:space="preserve">Control Lag</x:t>
        </x:is>
      </x:c>
      <x:c r="V496" s="3" t="inlineStr">
        <x:is>
          <x:t xml:space="preserve">Integrate_JML_Automation</x:t>
        </x:is>
      </x:c>
      <x:c r="W496" s="3" t="inlineStr">
        <x:is>
          <x:t xml:space="preserve">N</x:t>
        </x:is>
      </x:c>
      <x:c r="X496" s="3" t="inlineStr">
        <x:is>
          <x:t xml:space="preserve">JML SLA evidence</x:t>
        </x:is>
      </x:c>
      <x:c r="Y496" s="6">
        <x:f>(S496*IF(E496="G",F496,0))+(S496*IF(G496="G",H496,0))</x:f>
      </x:c>
      <x:c r="Z496" s="6">
        <x:f>(S496*IF(E496="E",F496,0))+(S496*IF(G496="E",H496,0))</x:f>
      </x:c>
      <x:c r="AA496" s="6">
        <x:f>(S496*IF(E496="T",F496,0))+(S496*IF(G496="T",H496,0))</x:f>
      </x:c>
      <x:c r="AB496" s="6">
        <x:f>(S496*IF(E496="L",F496,0))+(S496*IF(G496="L",H496,0))</x:f>
      </x:c>
      <x:c r="AC496" s="6">
        <x:f>(S496*IF(E496="H",F496,0))+(S496*IF(G496="H",H496,0))</x:f>
      </x:c>
      <x:c r="AD496" s="6">
        <x:f>(S496*IF(E496="V",F496,0))+(S496*IF(G496="V",H496,0))</x:f>
      </x:c>
      <x:c r="AE496" s="6">
        <x:f>(S496*IF(E496="R",F496,0))+(S496*IF(G496="R",H496,0))</x:f>
      </x:c>
      <x:c r="AF496" s="6">
        <x:f>(S496*IF(E496="F",F496,0))+(S496*IF(G496="F",H496,0))</x:f>
      </x:c>
      <x:c r="AG496" s="6">
        <x:f>(S496*IF(E496="W",F496,0))+(S496*IF(G496="W",H496,0))</x:f>
      </x:c>
    </x:row>
    <x:row r="497">
      <x:c r="A497" s="3" t="inlineStr">
        <x:is>
          <x:t xml:space="preserve">Security</x:t>
        </x:is>
      </x:c>
      <x:c r="B497" s="3" t="inlineStr">
        <x:is>
          <x:t xml:space="preserve">SEC-D11-Q33</x:t>
        </x:is>
      </x:c>
      <x:c r="C497" s="3" t="inlineStr">
        <x:is>
          <x:t xml:space="preserve">T3</x:t>
        </x:is>
      </x:c>
      <x:c r="D497" s="3" t="inlineStr">
        <x:is>
          <x:t xml:space="preserve">11. Identity &amp; Privilege Correlation (Deep)</x:t>
        </x:is>
      </x:c>
      <x:c r="E497" s="3" t="inlineStr">
        <x:is>
          <x:t xml:space="preserve">E</x:t>
        </x:is>
      </x:c>
      <x:c r="F497" s="3" t="n">
        <x:v>0.6</x:v>
      </x:c>
      <x:c r="G497" s="3" t="inlineStr">
        <x:is>
          <x:t xml:space="preserve">W</x:t>
        </x:is>
      </x:c>
      <x:c r="H497" s="3" t="n">
        <x:v>0.4</x:v>
      </x:c>
      <x:c r="I497" s="3" t="inlineStr">
        <x:is>
          <x:t xml:space="preserve">How well do security controls adapt to joiner/mover/leaver changes and sensitive HR events (role changes, resignations, terminations)?</x:t>
        </x:is>
      </x:c>
      <x:c r="J497" s="3" t="inlineStr">
        <x:is>
          <x:t xml:space="preserve">This is about control lag: how fast access changes and monitoring adjustments happen when risk changes. Focus on speed and consistency, not intent.</x:t>
        </x:is>
      </x:c>
      <x:c r="K497" s="3" t="inlineStr">
        <x:is>
          <x:t xml:space="preserve">Optional Annex (Ask in Full/Deep mode OR if SEC-D6-Q17 BaseScore ≥ 2).</x:t>
        </x:is>
      </x:c>
      <x:c r="L497" s="3" t="inlineStr">
        <x:is>
          <x:t xml:space="preserve">OPS_STD</x:t>
        </x:is>
      </x:c>
      <x:c r="M497" s="3" t="n">
        <x:v>1</x:v>
      </x:c>
      <x:c r="N497" s="3" t="n"/>
      <x:c r="O497" s="3" t="n"/>
      <x:c r="P497" s="3" t="inlineStr">
        <x:is>
          <x:t xml:space="preserve">SEC-D11-Q33-A4</x:t>
        </x:is>
      </x:c>
      <x:c r="Q497" s="3" t="n">
        <x:v>5</x:v>
      </x:c>
      <x:c r="R497" s="3" t="inlineStr">
        <x:is>
          <x:t xml:space="preserve">Automated feeds handle most changes; we have SLAs and escalation when control lag exceeds limits.</x:t>
        </x:is>
      </x:c>
      <x:c r="S497" s="3" t="n">
        <x:v>3</x:v>
      </x:c>
      <x:c r="T497" s="3" t="inlineStr">
        <x:is>
          <x:t xml:space="preserve">good_practice,execution_strength</x:t>
        </x:is>
      </x:c>
      <x:c r="U497" s="3" t="n"/>
      <x:c r="V497" s="3" t="inlineStr">
        <x:is>
          <x:t xml:space="preserve">Request_Evidence</x:t>
        </x:is>
      </x:c>
      <x:c r="W497" s="3" t="inlineStr">
        <x:is>
          <x:t xml:space="preserve">N</x:t>
        </x:is>
      </x:c>
      <x:c r="X497" s="3" t="inlineStr">
        <x:is>
          <x:t xml:space="preserve">Automation proof + SLA dashboard</x:t>
        </x:is>
      </x:c>
      <x:c r="Y497" s="6">
        <x:f>(S497*IF(E497="G",F497,0))+(S497*IF(G497="G",H497,0))</x:f>
      </x:c>
      <x:c r="Z497" s="6">
        <x:f>(S497*IF(E497="E",F497,0))+(S497*IF(G497="E",H497,0))</x:f>
      </x:c>
      <x:c r="AA497" s="6">
        <x:f>(S497*IF(E497="T",F497,0))+(S497*IF(G497="T",H497,0))</x:f>
      </x:c>
      <x:c r="AB497" s="6">
        <x:f>(S497*IF(E497="L",F497,0))+(S497*IF(G497="L",H497,0))</x:f>
      </x:c>
      <x:c r="AC497" s="6">
        <x:f>(S497*IF(E497="H",F497,0))+(S497*IF(G497="H",H497,0))</x:f>
      </x:c>
      <x:c r="AD497" s="6">
        <x:f>(S497*IF(E497="V",F497,0))+(S497*IF(G497="V",H497,0))</x:f>
      </x:c>
      <x:c r="AE497" s="6">
        <x:f>(S497*IF(E497="R",F497,0))+(S497*IF(G497="R",H497,0))</x:f>
      </x:c>
      <x:c r="AF497" s="6">
        <x:f>(S497*IF(E497="F",F497,0))+(S497*IF(G497="F",H497,0))</x:f>
      </x:c>
      <x:c r="AG497" s="6">
        <x:f>(S497*IF(E497="W",F497,0))+(S497*IF(G497="W",H497,0))</x:f>
      </x:c>
    </x:row>
    <x:row r="498">
      <x:c r="A498" s="3" t="inlineStr">
        <x:is>
          <x:t xml:space="preserve">Security</x:t>
        </x:is>
      </x:c>
      <x:c r="B498" s="3" t="inlineStr">
        <x:is>
          <x:t xml:space="preserve">SEC-D11-Q33</x:t>
        </x:is>
      </x:c>
      <x:c r="C498" s="3" t="inlineStr">
        <x:is>
          <x:t xml:space="preserve">T3</x:t>
        </x:is>
      </x:c>
      <x:c r="D498" s="3" t="inlineStr">
        <x:is>
          <x:t xml:space="preserve">11. Identity &amp; Privilege Correlation (Deep)</x:t>
        </x:is>
      </x:c>
      <x:c r="E498" s="3" t="inlineStr">
        <x:is>
          <x:t xml:space="preserve">E</x:t>
        </x:is>
      </x:c>
      <x:c r="F498" s="3" t="n">
        <x:v>0.6</x:v>
      </x:c>
      <x:c r="G498" s="3" t="inlineStr">
        <x:is>
          <x:t xml:space="preserve">W</x:t>
        </x:is>
      </x:c>
      <x:c r="H498" s="3" t="n">
        <x:v>0.4</x:v>
      </x:c>
      <x:c r="I498" s="3" t="inlineStr">
        <x:is>
          <x:t xml:space="preserve">How well do security controls adapt to joiner/mover/leaver changes and sensitive HR events (role changes, resignations, terminations)?</x:t>
        </x:is>
      </x:c>
      <x:c r="J498" s="3" t="inlineStr">
        <x:is>
          <x:t xml:space="preserve">This is about control lag: how fast access changes and monitoring adjustments happen when risk changes. Focus on speed and consistency, not intent.</x:t>
        </x:is>
      </x:c>
      <x:c r="K498" s="3" t="inlineStr">
        <x:is>
          <x:t xml:space="preserve">Optional Annex (Ask in Full/Deep mode OR if SEC-D6-Q17 BaseScore ≥ 2).</x:t>
        </x:is>
      </x:c>
      <x:c r="L498" s="3" t="inlineStr">
        <x:is>
          <x:t xml:space="preserve">OPS_STD</x:t>
        </x:is>
      </x:c>
      <x:c r="M498" s="3" t="n">
        <x:v>1</x:v>
      </x:c>
      <x:c r="N498" s="3" t="n"/>
      <x:c r="O498" s="3" t="n"/>
      <x:c r="P498" s="3" t="inlineStr">
        <x:is>
          <x:t xml:space="preserve">SEC-D11-Q33-A5</x:t>
        </x:is>
      </x:c>
      <x:c r="Q498" s="3" t="n">
        <x:v>6</x:v>
      </x:c>
      <x:c r="R498" s="3" t="inlineStr">
        <x:is>
          <x:t xml:space="preserve">Real-time integration drives access and monitoring adjustments for risky events; lag is measured and continuously improved.</x:t>
        </x:is>
      </x:c>
      <x:c r="S498" s="3" t="n">
        <x:v>4</x:v>
      </x:c>
      <x:c r="T498" s="3" t="inlineStr">
        <x:is>
          <x:t xml:space="preserve">optimized,execution_strength</x:t>
        </x:is>
      </x:c>
      <x:c r="U498" s="3" t="n"/>
      <x:c r="V498" s="3" t="inlineStr">
        <x:is>
          <x:t xml:space="preserve">Request_Evidence</x:t>
        </x:is>
      </x:c>
      <x:c r="W498" s="3" t="inlineStr">
        <x:is>
          <x:t xml:space="preserve">N</x:t>
        </x:is>
      </x:c>
      <x:c r="X498" s="3" t="inlineStr">
        <x:is>
          <x:t xml:space="preserve">Lag KPIs; automation logs</x:t>
        </x:is>
      </x:c>
      <x:c r="Y498" s="6">
        <x:f>(S498*IF(E498="G",F498,0))+(S498*IF(G498="G",H498,0))</x:f>
      </x:c>
      <x:c r="Z498" s="6">
        <x:f>(S498*IF(E498="E",F498,0))+(S498*IF(G498="E",H498,0))</x:f>
      </x:c>
      <x:c r="AA498" s="6">
        <x:f>(S498*IF(E498="T",F498,0))+(S498*IF(G498="T",H498,0))</x:f>
      </x:c>
      <x:c r="AB498" s="6">
        <x:f>(S498*IF(E498="L",F498,0))+(S498*IF(G498="L",H498,0))</x:f>
      </x:c>
      <x:c r="AC498" s="6">
        <x:f>(S498*IF(E498="H",F498,0))+(S498*IF(G498="H",H498,0))</x:f>
      </x:c>
      <x:c r="AD498" s="6">
        <x:f>(S498*IF(E498="V",F498,0))+(S498*IF(G498="V",H498,0))</x:f>
      </x:c>
      <x:c r="AE498" s="6">
        <x:f>(S498*IF(E498="R",F498,0))+(S498*IF(G498="R",H498,0))</x:f>
      </x:c>
      <x:c r="AF498" s="6">
        <x:f>(S498*IF(E498="F",F498,0))+(S498*IF(G498="F",H498,0))</x:f>
      </x:c>
      <x:c r="AG498" s="6">
        <x:f>(S498*IF(E498="W",F498,0))+(S498*IF(G498="W",H498,0))</x:f>
      </x:c>
    </x:row>
    <x:row r="499">
      <x:c r="A499" s="3" t="inlineStr">
        <x:is>
          <x:t xml:space="preserve">Security</x:t>
        </x:is>
      </x:c>
      <x:c r="B499" s="3" t="inlineStr">
        <x:is>
          <x:t xml:space="preserve">SEC-D12-Q34</x:t>
        </x:is>
      </x:c>
      <x:c r="C499" s="3" t="inlineStr">
        <x:is>
          <x:t xml:space="preserve">T3</x:t>
        </x:is>
      </x:c>
      <x:c r="D499" s="3" t="inlineStr">
        <x:is>
          <x:t xml:space="preserve">12. Containment &amp; Response Automation (Deep)</x:t>
        </x:is>
      </x:c>
      <x:c r="E499" s="3" t="inlineStr">
        <x:is>
          <x:t xml:space="preserve">R</x:t>
        </x:is>
      </x:c>
      <x:c r="F499" s="3" t="n">
        <x:v>0.6</x:v>
      </x:c>
      <x:c r="G499" s="3" t="inlineStr">
        <x:is>
          <x:t xml:space="preserve">T</x:t>
        </x:is>
      </x:c>
      <x:c r="H499" s="3" t="n">
        <x:v>0.4</x:v>
      </x:c>
      <x:c r="I499" s="3" t="inlineStr">
        <x:is>
          <x:t xml:space="preserve">For a suspected insider risk case, how quickly can you contain risk across critical systems (disable access, revoke sessions, block risky sharing) in a controlled way?</x:t>
        </x:is>
      </x:c>
      <x:c r="J499" s="3" t="inlineStr">
        <x:is>
          <x:t xml:space="preserve">Containment includes steps like disabling accounts, revoking tokens/sessions, pausing access to sensitive repositories, and freezing data egress — with approvals and audit trail.</x:t>
        </x:is>
      </x:c>
      <x:c r="K499" s="3" t="inlineStr">
        <x:is>
          <x:t xml:space="preserve">Optional Annex (Ask in Full/Deep mode OR if SEC-D6-Q18 BaseScore ≥ 2).</x:t>
        </x:is>
      </x:c>
      <x:c r="L499" s="3" t="inlineStr">
        <x:is>
          <x:t xml:space="preserve">OPS_STD</x:t>
        </x:is>
      </x:c>
      <x:c r="M499" s="3" t="n">
        <x:v>1.5</x:v>
      </x:c>
      <x:c r="N499" s="3" t="n">
        <x:v>0.5</x:v>
      </x:c>
      <x:c r="O499" s="3" t="n"/>
      <x:c r="P499" s="3" t="inlineStr">
        <x:is>
          <x:t xml:space="preserve">SEC-D12-Q34-A0</x:t>
        </x:is>
      </x:c>
      <x:c r="Q499" s="3" t="n">
        <x:v>1</x:v>
      </x:c>
      <x:c r="R499" s="3" t="inlineStr">
        <x:is>
          <x:t xml:space="preserve">I don’t know / not sure.</x:t>
        </x:is>
      </x:c>
      <x:c r="S499" s="3" t="n">
        <x:v>0</x:v>
      </x:c>
      <x:c r="T499" s="3" t="inlineStr">
        <x:is>
          <x:t xml:space="preserve">unknown</x:t>
        </x:is>
      </x:c>
      <x:c r="U499" s="3" t="inlineStr">
        <x:is>
          <x:t xml:space="preserve">Unknown</x:t>
        </x:is>
      </x:c>
      <x:c r="V499" s="3" t="inlineStr">
        <x:is>
          <x:t xml:space="preserve">Clarify_Stakeholders</x:t>
        </x:is>
      </x:c>
      <x:c r="W499" s="3" t="inlineStr">
        <x:is>
          <x:t xml:space="preserve">N</x:t>
        </x:is>
      </x:c>
      <x:c r="X499" s="3" t="inlineStr">
        <x:is>
          <x:t xml:space="preserve">None</x:t>
        </x:is>
      </x:c>
      <x:c r="Y499" s="6">
        <x:f>(S499*IF(E499="G",F499,0))+(S499*IF(G499="G",H499,0))</x:f>
      </x:c>
      <x:c r="Z499" s="6">
        <x:f>(S499*IF(E499="E",F499,0))+(S499*IF(G499="E",H499,0))</x:f>
      </x:c>
      <x:c r="AA499" s="6">
        <x:f>(S499*IF(E499="T",F499,0))+(S499*IF(G499="T",H499,0))</x:f>
      </x:c>
      <x:c r="AB499" s="6">
        <x:f>(S499*IF(E499="L",F499,0))+(S499*IF(G499="L",H499,0))</x:f>
      </x:c>
      <x:c r="AC499" s="6">
        <x:f>(S499*IF(E499="H",F499,0))+(S499*IF(G499="H",H499,0))</x:f>
      </x:c>
      <x:c r="AD499" s="6">
        <x:f>(S499*IF(E499="V",F499,0))+(S499*IF(G499="V",H499,0))</x:f>
      </x:c>
      <x:c r="AE499" s="6">
        <x:f>(S499*IF(E499="R",F499,0))+(S499*IF(G499="R",H499,0))</x:f>
      </x:c>
      <x:c r="AF499" s="6">
        <x:f>(S499*IF(E499="F",F499,0))+(S499*IF(G499="F",H499,0))</x:f>
      </x:c>
      <x:c r="AG499" s="6">
        <x:f>(S499*IF(E499="W",F499,0))+(S499*IF(G499="W",H499,0))</x:f>
      </x:c>
    </x:row>
    <x:row r="500">
      <x:c r="A500" s="3" t="inlineStr">
        <x:is>
          <x:t xml:space="preserve">Security</x:t>
        </x:is>
      </x:c>
      <x:c r="B500" s="3" t="inlineStr">
        <x:is>
          <x:t xml:space="preserve">SEC-D12-Q34</x:t>
        </x:is>
      </x:c>
      <x:c r="C500" s="3" t="inlineStr">
        <x:is>
          <x:t xml:space="preserve">T3</x:t>
        </x:is>
      </x:c>
      <x:c r="D500" s="3" t="inlineStr">
        <x:is>
          <x:t xml:space="preserve">12. Containment &amp; Response Automation (Deep)</x:t>
        </x:is>
      </x:c>
      <x:c r="E500" s="3" t="inlineStr">
        <x:is>
          <x:t xml:space="preserve">R</x:t>
        </x:is>
      </x:c>
      <x:c r="F500" s="3" t="n">
        <x:v>0.6</x:v>
      </x:c>
      <x:c r="G500" s="3" t="inlineStr">
        <x:is>
          <x:t xml:space="preserve">T</x:t>
        </x:is>
      </x:c>
      <x:c r="H500" s="3" t="n">
        <x:v>0.4</x:v>
      </x:c>
      <x:c r="I500" s="3" t="inlineStr">
        <x:is>
          <x:t xml:space="preserve">For a suspected insider risk case, how quickly can you contain risk across critical systems (disable access, revoke sessions, block risky sharing) in a controlled way?</x:t>
        </x:is>
      </x:c>
      <x:c r="J500" s="3" t="inlineStr">
        <x:is>
          <x:t xml:space="preserve">Containment includes steps like disabling accounts, revoking tokens/sessions, pausing access to sensitive repositories, and freezing data egress — with approvals and audit trail.</x:t>
        </x:is>
      </x:c>
      <x:c r="K500" s="3" t="inlineStr">
        <x:is>
          <x:t xml:space="preserve">Optional Annex (Ask in Full/Deep mode OR if SEC-D6-Q18 BaseScore ≥ 2).</x:t>
        </x:is>
      </x:c>
      <x:c r="L500" s="3" t="inlineStr">
        <x:is>
          <x:t xml:space="preserve">OPS_STD</x:t>
        </x:is>
      </x:c>
      <x:c r="M500" s="3" t="n">
        <x:v>1.5</x:v>
      </x:c>
      <x:c r="N500" s="3" t="n">
        <x:v>0.5</x:v>
      </x:c>
      <x:c r="O500" s="3" t="n"/>
      <x:c r="P500" s="3" t="inlineStr">
        <x:is>
          <x:t xml:space="preserve">SEC-D12-Q34-A1</x:t>
        </x:is>
      </x:c>
      <x:c r="Q500" s="3" t="n">
        <x:v>2</x:v>
      </x:c>
      <x:c r="R500" s="3" t="inlineStr">
        <x:is>
          <x:t xml:space="preserve">Containment is mostly manual (calls/emails); it can take many hours or days and is hard to coordinate.</x:t>
        </x:is>
      </x:c>
      <x:c r="S500" s="3" t="n">
        <x:v>0</x:v>
      </x:c>
      <x:c r="T500" s="3" t="inlineStr">
        <x:is>
          <x:t xml:space="preserve">resilience_gap,siloed</x:t>
        </x:is>
      </x:c>
      <x:c r="U500" s="3" t="inlineStr">
        <x:is>
          <x:t xml:space="preserve">Resilience Gap</x:t>
        </x:is>
      </x:c>
      <x:c r="V500" s="3" t="inlineStr">
        <x:is>
          <x:t xml:space="preserve">Implement_SOAR_Containment</x:t>
        </x:is>
      </x:c>
      <x:c r="W500" s="3" t="inlineStr">
        <x:is>
          <x:t xml:space="preserve">N</x:t>
        </x:is>
      </x:c>
      <x:c r="X500" s="3" t="inlineStr">
        <x:is>
          <x:t xml:space="preserve">Example containment timeline</x:t>
        </x:is>
      </x:c>
      <x:c r="Y500" s="6">
        <x:f>(S500*IF(E500="G",F500,0))+(S500*IF(G500="G",H500,0))</x:f>
      </x:c>
      <x:c r="Z500" s="6">
        <x:f>(S500*IF(E500="E",F500,0))+(S500*IF(G500="E",H500,0))</x:f>
      </x:c>
      <x:c r="AA500" s="6">
        <x:f>(S500*IF(E500="T",F500,0))+(S500*IF(G500="T",H500,0))</x:f>
      </x:c>
      <x:c r="AB500" s="6">
        <x:f>(S500*IF(E500="L",F500,0))+(S500*IF(G500="L",H500,0))</x:f>
      </x:c>
      <x:c r="AC500" s="6">
        <x:f>(S500*IF(E500="H",F500,0))+(S500*IF(G500="H",H500,0))</x:f>
      </x:c>
      <x:c r="AD500" s="6">
        <x:f>(S500*IF(E500="V",F500,0))+(S500*IF(G500="V",H500,0))</x:f>
      </x:c>
      <x:c r="AE500" s="6">
        <x:f>(S500*IF(E500="R",F500,0))+(S500*IF(G500="R",H500,0))</x:f>
      </x:c>
      <x:c r="AF500" s="6">
        <x:f>(S500*IF(E500="F",F500,0))+(S500*IF(G500="F",H500,0))</x:f>
      </x:c>
      <x:c r="AG500" s="6">
        <x:f>(S500*IF(E500="W",F500,0))+(S500*IF(G500="W",H500,0))</x:f>
      </x:c>
    </x:row>
    <x:row r="501">
      <x:c r="A501" s="3" t="inlineStr">
        <x:is>
          <x:t xml:space="preserve">Security</x:t>
        </x:is>
      </x:c>
      <x:c r="B501" s="3" t="inlineStr">
        <x:is>
          <x:t xml:space="preserve">SEC-D12-Q34</x:t>
        </x:is>
      </x:c>
      <x:c r="C501" s="3" t="inlineStr">
        <x:is>
          <x:t xml:space="preserve">T3</x:t>
        </x:is>
      </x:c>
      <x:c r="D501" s="3" t="inlineStr">
        <x:is>
          <x:t xml:space="preserve">12. Containment &amp; Response Automation (Deep)</x:t>
        </x:is>
      </x:c>
      <x:c r="E501" s="3" t="inlineStr">
        <x:is>
          <x:t xml:space="preserve">R</x:t>
        </x:is>
      </x:c>
      <x:c r="F501" s="3" t="n">
        <x:v>0.6</x:v>
      </x:c>
      <x:c r="G501" s="3" t="inlineStr">
        <x:is>
          <x:t xml:space="preserve">T</x:t>
        </x:is>
      </x:c>
      <x:c r="H501" s="3" t="n">
        <x:v>0.4</x:v>
      </x:c>
      <x:c r="I501" s="3" t="inlineStr">
        <x:is>
          <x:t xml:space="preserve">For a suspected insider risk case, how quickly can you contain risk across critical systems (disable access, revoke sessions, block risky sharing) in a controlled way?</x:t>
        </x:is>
      </x:c>
      <x:c r="J501" s="3" t="inlineStr">
        <x:is>
          <x:t xml:space="preserve">Containment includes steps like disabling accounts, revoking tokens/sessions, pausing access to sensitive repositories, and freezing data egress — with approvals and audit trail.</x:t>
        </x:is>
      </x:c>
      <x:c r="K501" s="3" t="inlineStr">
        <x:is>
          <x:t xml:space="preserve">Optional Annex (Ask in Full/Deep mode OR if SEC-D6-Q18 BaseScore ≥ 2).</x:t>
        </x:is>
      </x:c>
      <x:c r="L501" s="3" t="inlineStr">
        <x:is>
          <x:t xml:space="preserve">OPS_STD</x:t>
        </x:is>
      </x:c>
      <x:c r="M501" s="3" t="n">
        <x:v>1.5</x:v>
      </x:c>
      <x:c r="N501" s="3" t="n">
        <x:v>0.5</x:v>
      </x:c>
      <x:c r="O501" s="3" t="n"/>
      <x:c r="P501" s="3" t="inlineStr">
        <x:is>
          <x:t xml:space="preserve">SEC-D12-Q34-A2</x:t>
        </x:is>
      </x:c>
      <x:c r="Q501" s="3" t="n">
        <x:v>3</x:v>
      </x:c>
      <x:c r="R501" s="3" t="inlineStr">
        <x:is>
          <x:t xml:space="preserve">We have scripts or admin runbooks, but containment still depends on specific people and isn’t consistently audited.</x:t>
        </x:is>
      </x:c>
      <x:c r="S501" s="3" t="n">
        <x:v>1</x:v>
      </x:c>
      <x:c r="T501" s="3" t="inlineStr">
        <x:is>
          <x:t xml:space="preserve">key_person_dependency,ad_hoc</x:t>
        </x:is>
      </x:c>
      <x:c r="U501" s="3" t="inlineStr">
        <x:is>
          <x:t xml:space="preserve">Shadow Mature</x:t>
        </x:is>
      </x:c>
      <x:c r="V501" s="3" t="inlineStr">
        <x:is>
          <x:t xml:space="preserve">Capture_Playbook</x:t>
        </x:is>
      </x:c>
      <x:c r="W501" s="3" t="inlineStr">
        <x:is>
          <x:t xml:space="preserve">N</x:t>
        </x:is>
      </x:c>
      <x:c r="X501" s="3" t="inlineStr">
        <x:is>
          <x:t xml:space="preserve">Runbook/sample script</x:t>
        </x:is>
      </x:c>
      <x:c r="Y501" s="6">
        <x:f>(S501*IF(E501="G",F501,0))+(S501*IF(G501="G",H501,0))</x:f>
      </x:c>
      <x:c r="Z501" s="6">
        <x:f>(S501*IF(E501="E",F501,0))+(S501*IF(G501="E",H501,0))</x:f>
      </x:c>
      <x:c r="AA501" s="6">
        <x:f>(S501*IF(E501="T",F501,0))+(S501*IF(G501="T",H501,0))</x:f>
      </x:c>
      <x:c r="AB501" s="6">
        <x:f>(S501*IF(E501="L",F501,0))+(S501*IF(G501="L",H501,0))</x:f>
      </x:c>
      <x:c r="AC501" s="6">
        <x:f>(S501*IF(E501="H",F501,0))+(S501*IF(G501="H",H501,0))</x:f>
      </x:c>
      <x:c r="AD501" s="6">
        <x:f>(S501*IF(E501="V",F501,0))+(S501*IF(G501="V",H501,0))</x:f>
      </x:c>
      <x:c r="AE501" s="6">
        <x:f>(S501*IF(E501="R",F501,0))+(S501*IF(G501="R",H501,0))</x:f>
      </x:c>
      <x:c r="AF501" s="6">
        <x:f>(S501*IF(E501="F",F501,0))+(S501*IF(G501="F",H501,0))</x:f>
      </x:c>
      <x:c r="AG501" s="6">
        <x:f>(S501*IF(E501="W",F501,0))+(S501*IF(G501="W",H501,0))</x:f>
      </x:c>
    </x:row>
    <x:row r="502">
      <x:c r="A502" s="3" t="inlineStr">
        <x:is>
          <x:t xml:space="preserve">Security</x:t>
        </x:is>
      </x:c>
      <x:c r="B502" s="3" t="inlineStr">
        <x:is>
          <x:t xml:space="preserve">SEC-D12-Q34</x:t>
        </x:is>
      </x:c>
      <x:c r="C502" s="3" t="inlineStr">
        <x:is>
          <x:t xml:space="preserve">T3</x:t>
        </x:is>
      </x:c>
      <x:c r="D502" s="3" t="inlineStr">
        <x:is>
          <x:t xml:space="preserve">12. Containment &amp; Response Automation (Deep)</x:t>
        </x:is>
      </x:c>
      <x:c r="E502" s="3" t="inlineStr">
        <x:is>
          <x:t xml:space="preserve">R</x:t>
        </x:is>
      </x:c>
      <x:c r="F502" s="3" t="n">
        <x:v>0.6</x:v>
      </x:c>
      <x:c r="G502" s="3" t="inlineStr">
        <x:is>
          <x:t xml:space="preserve">T</x:t>
        </x:is>
      </x:c>
      <x:c r="H502" s="3" t="n">
        <x:v>0.4</x:v>
      </x:c>
      <x:c r="I502" s="3" t="inlineStr">
        <x:is>
          <x:t xml:space="preserve">For a suspected insider risk case, how quickly can you contain risk across critical systems (disable access, revoke sessions, block risky sharing) in a controlled way?</x:t>
        </x:is>
      </x:c>
      <x:c r="J502" s="3" t="inlineStr">
        <x:is>
          <x:t xml:space="preserve">Containment includes steps like disabling accounts, revoking tokens/sessions, pausing access to sensitive repositories, and freezing data egress — with approvals and audit trail.</x:t>
        </x:is>
      </x:c>
      <x:c r="K502" s="3" t="inlineStr">
        <x:is>
          <x:t xml:space="preserve">Optional Annex (Ask in Full/Deep mode OR if SEC-D6-Q18 BaseScore ≥ 2).</x:t>
        </x:is>
      </x:c>
      <x:c r="L502" s="3" t="inlineStr">
        <x:is>
          <x:t xml:space="preserve">OPS_STD</x:t>
        </x:is>
      </x:c>
      <x:c r="M502" s="3" t="n">
        <x:v>1.5</x:v>
      </x:c>
      <x:c r="N502" s="3" t="n">
        <x:v>0.5</x:v>
      </x:c>
      <x:c r="O502" s="3" t="n"/>
      <x:c r="P502" s="3" t="inlineStr">
        <x:is>
          <x:t xml:space="preserve">SEC-D12-Q34-A3</x:t>
        </x:is>
      </x:c>
      <x:c r="Q502" s="3" t="n">
        <x:v>4</x:v>
      </x:c>
      <x:c r="R502" s="3" t="inlineStr">
        <x:is>
          <x:t xml:space="preserve">We can contain key accounts within hours with documented steps; coverage is limited to some systems.</x:t>
        </x:is>
      </x:c>
      <x:c r="S502" s="3" t="n">
        <x:v>2</x:v>
      </x:c>
      <x:c r="T502" s="3" t="inlineStr">
        <x:is>
          <x:t xml:space="preserve">partial_maturity,execution_strength</x:t>
        </x:is>
      </x:c>
      <x:c r="U502" s="3" t="inlineStr">
        <x:is>
          <x:t xml:space="preserve">Resilience Gap</x:t>
        </x:is>
      </x:c>
      <x:c r="V502" s="3" t="inlineStr">
        <x:is>
          <x:t xml:space="preserve">Implement_SOAR_Containment</x:t>
        </x:is>
      </x:c>
      <x:c r="W502" s="3" t="inlineStr">
        <x:is>
          <x:t xml:space="preserve">N</x:t>
        </x:is>
      </x:c>
      <x:c r="X502" s="3" t="inlineStr">
        <x:is>
          <x:t xml:space="preserve">SOP + scope list</x:t>
        </x:is>
      </x:c>
      <x:c r="Y502" s="6">
        <x:f>(S502*IF(E502="G",F502,0))+(S502*IF(G502="G",H502,0))</x:f>
      </x:c>
      <x:c r="Z502" s="6">
        <x:f>(S502*IF(E502="E",F502,0))+(S502*IF(G502="E",H502,0))</x:f>
      </x:c>
      <x:c r="AA502" s="6">
        <x:f>(S502*IF(E502="T",F502,0))+(S502*IF(G502="T",H502,0))</x:f>
      </x:c>
      <x:c r="AB502" s="6">
        <x:f>(S502*IF(E502="L",F502,0))+(S502*IF(G502="L",H502,0))</x:f>
      </x:c>
      <x:c r="AC502" s="6">
        <x:f>(S502*IF(E502="H",F502,0))+(S502*IF(G502="H",H502,0))</x:f>
      </x:c>
      <x:c r="AD502" s="6">
        <x:f>(S502*IF(E502="V",F502,0))+(S502*IF(G502="V",H502,0))</x:f>
      </x:c>
      <x:c r="AE502" s="6">
        <x:f>(S502*IF(E502="R",F502,0))+(S502*IF(G502="R",H502,0))</x:f>
      </x:c>
      <x:c r="AF502" s="6">
        <x:f>(S502*IF(E502="F",F502,0))+(S502*IF(G502="F",H502,0))</x:f>
      </x:c>
      <x:c r="AG502" s="6">
        <x:f>(S502*IF(E502="W",F502,0))+(S502*IF(G502="W",H502,0))</x:f>
      </x:c>
    </x:row>
    <x:row r="503">
      <x:c r="A503" s="3" t="inlineStr">
        <x:is>
          <x:t xml:space="preserve">Security</x:t>
        </x:is>
      </x:c>
      <x:c r="B503" s="3" t="inlineStr">
        <x:is>
          <x:t xml:space="preserve">SEC-D12-Q34</x:t>
        </x:is>
      </x:c>
      <x:c r="C503" s="3" t="inlineStr">
        <x:is>
          <x:t xml:space="preserve">T3</x:t>
        </x:is>
      </x:c>
      <x:c r="D503" s="3" t="inlineStr">
        <x:is>
          <x:t xml:space="preserve">12. Containment &amp; Response Automation (Deep)</x:t>
        </x:is>
      </x:c>
      <x:c r="E503" s="3" t="inlineStr">
        <x:is>
          <x:t xml:space="preserve">R</x:t>
        </x:is>
      </x:c>
      <x:c r="F503" s="3" t="n">
        <x:v>0.6</x:v>
      </x:c>
      <x:c r="G503" s="3" t="inlineStr">
        <x:is>
          <x:t xml:space="preserve">T</x:t>
        </x:is>
      </x:c>
      <x:c r="H503" s="3" t="n">
        <x:v>0.4</x:v>
      </x:c>
      <x:c r="I503" s="3" t="inlineStr">
        <x:is>
          <x:t xml:space="preserve">For a suspected insider risk case, how quickly can you contain risk across critical systems (disable access, revoke sessions, block risky sharing) in a controlled way?</x:t>
        </x:is>
      </x:c>
      <x:c r="J503" s="3" t="inlineStr">
        <x:is>
          <x:t xml:space="preserve">Containment includes steps like disabling accounts, revoking tokens/sessions, pausing access to sensitive repositories, and freezing data egress — with approvals and audit trail.</x:t>
        </x:is>
      </x:c>
      <x:c r="K503" s="3" t="inlineStr">
        <x:is>
          <x:t xml:space="preserve">Optional Annex (Ask in Full/Deep mode OR if SEC-D6-Q18 BaseScore ≥ 2).</x:t>
        </x:is>
      </x:c>
      <x:c r="L503" s="3" t="inlineStr">
        <x:is>
          <x:t xml:space="preserve">OPS_STD</x:t>
        </x:is>
      </x:c>
      <x:c r="M503" s="3" t="n">
        <x:v>1.5</x:v>
      </x:c>
      <x:c r="N503" s="3" t="n">
        <x:v>0.5</x:v>
      </x:c>
      <x:c r="O503" s="3" t="n"/>
      <x:c r="P503" s="3" t="inlineStr">
        <x:is>
          <x:t xml:space="preserve">SEC-D12-Q34-A4</x:t>
        </x:is>
      </x:c>
      <x:c r="Q503" s="3" t="n">
        <x:v>5</x:v>
      </x:c>
      <x:c r="R503" s="3" t="inlineStr">
        <x:is>
          <x:t xml:space="preserve">SOAR/workflows can contain across most critical systems with approvals and audit trail; tested periodically.</x:t>
        </x:is>
      </x:c>
      <x:c r="S503" s="3" t="n">
        <x:v>3</x:v>
      </x:c>
      <x:c r="T503" s="3" t="inlineStr">
        <x:is>
          <x:t xml:space="preserve">good_practice,execution_strength</x:t>
        </x:is>
      </x:c>
      <x:c r="U503" s="3" t="n"/>
      <x:c r="V503" s="3" t="inlineStr">
        <x:is>
          <x:t xml:space="preserve">Request_Evidence</x:t>
        </x:is>
      </x:c>
      <x:c r="W503" s="3" t="inlineStr">
        <x:is>
          <x:t xml:space="preserve">N</x:t>
        </x:is>
      </x:c>
      <x:c r="X503" s="3" t="inlineStr">
        <x:is>
          <x:t xml:space="preserve">SOAR playbook + test record</x:t>
        </x:is>
      </x:c>
      <x:c r="Y503" s="6">
        <x:f>(S503*IF(E503="G",F503,0))+(S503*IF(G503="G",H503,0))</x:f>
      </x:c>
      <x:c r="Z503" s="6">
        <x:f>(S503*IF(E503="E",F503,0))+(S503*IF(G503="E",H503,0))</x:f>
      </x:c>
      <x:c r="AA503" s="6">
        <x:f>(S503*IF(E503="T",F503,0))+(S503*IF(G503="T",H503,0))</x:f>
      </x:c>
      <x:c r="AB503" s="6">
        <x:f>(S503*IF(E503="L",F503,0))+(S503*IF(G503="L",H503,0))</x:f>
      </x:c>
      <x:c r="AC503" s="6">
        <x:f>(S503*IF(E503="H",F503,0))+(S503*IF(G503="H",H503,0))</x:f>
      </x:c>
      <x:c r="AD503" s="6">
        <x:f>(S503*IF(E503="V",F503,0))+(S503*IF(G503="V",H503,0))</x:f>
      </x:c>
      <x:c r="AE503" s="6">
        <x:f>(S503*IF(E503="R",F503,0))+(S503*IF(G503="R",H503,0))</x:f>
      </x:c>
      <x:c r="AF503" s="6">
        <x:f>(S503*IF(E503="F",F503,0))+(S503*IF(G503="F",H503,0))</x:f>
      </x:c>
      <x:c r="AG503" s="6">
        <x:f>(S503*IF(E503="W",F503,0))+(S503*IF(G503="W",H503,0))</x:f>
      </x:c>
    </x:row>
    <x:row r="504">
      <x:c r="A504" s="3" t="inlineStr">
        <x:is>
          <x:t xml:space="preserve">Security</x:t>
        </x:is>
      </x:c>
      <x:c r="B504" s="3" t="inlineStr">
        <x:is>
          <x:t xml:space="preserve">SEC-D12-Q34</x:t>
        </x:is>
      </x:c>
      <x:c r="C504" s="3" t="inlineStr">
        <x:is>
          <x:t xml:space="preserve">T3</x:t>
        </x:is>
      </x:c>
      <x:c r="D504" s="3" t="inlineStr">
        <x:is>
          <x:t xml:space="preserve">12. Containment &amp; Response Automation (Deep)</x:t>
        </x:is>
      </x:c>
      <x:c r="E504" s="3" t="inlineStr">
        <x:is>
          <x:t xml:space="preserve">R</x:t>
        </x:is>
      </x:c>
      <x:c r="F504" s="3" t="n">
        <x:v>0.6</x:v>
      </x:c>
      <x:c r="G504" s="3" t="inlineStr">
        <x:is>
          <x:t xml:space="preserve">T</x:t>
        </x:is>
      </x:c>
      <x:c r="H504" s="3" t="n">
        <x:v>0.4</x:v>
      </x:c>
      <x:c r="I504" s="3" t="inlineStr">
        <x:is>
          <x:t xml:space="preserve">For a suspected insider risk case, how quickly can you contain risk across critical systems (disable access, revoke sessions, block risky sharing) in a controlled way?</x:t>
        </x:is>
      </x:c>
      <x:c r="J504" s="3" t="inlineStr">
        <x:is>
          <x:t xml:space="preserve">Containment includes steps like disabling accounts, revoking tokens/sessions, pausing access to sensitive repositories, and freezing data egress — with approvals and audit trail.</x:t>
        </x:is>
      </x:c>
      <x:c r="K504" s="3" t="inlineStr">
        <x:is>
          <x:t xml:space="preserve">Optional Annex (Ask in Full/Deep mode OR if SEC-D6-Q18 BaseScore ≥ 2).</x:t>
        </x:is>
      </x:c>
      <x:c r="L504" s="3" t="inlineStr">
        <x:is>
          <x:t xml:space="preserve">OPS_STD</x:t>
        </x:is>
      </x:c>
      <x:c r="M504" s="3" t="n">
        <x:v>1.5</x:v>
      </x:c>
      <x:c r="N504" s="3" t="n">
        <x:v>0.5</x:v>
      </x:c>
      <x:c r="O504" s="3" t="n"/>
      <x:c r="P504" s="3" t="inlineStr">
        <x:is>
          <x:t xml:space="preserve">SEC-D12-Q34-A5</x:t>
        </x:is>
      </x:c>
      <x:c r="Q504" s="3" t="n">
        <x:v>6</x:v>
      </x:c>
      <x:c r="R504" s="3" t="inlineStr">
        <x:is>
          <x:t xml:space="preserve">Near real-time ‘kill switch’ exists for HVAs (access, sessions, data egress) with staged actions and measured success.</x:t>
        </x:is>
      </x:c>
      <x:c r="S504" s="3" t="n">
        <x:v>4</x:v>
      </x:c>
      <x:c r="T504" s="3" t="inlineStr">
        <x:is>
          <x:t xml:space="preserve">optimized,execution_strength</x:t>
        </x:is>
      </x:c>
      <x:c r="U504" s="3" t="n"/>
      <x:c r="V504" s="3" t="inlineStr">
        <x:is>
          <x:t xml:space="preserve">Request_Evidence</x:t>
        </x:is>
      </x:c>
      <x:c r="W504" s="3" t="inlineStr">
        <x:is>
          <x:t xml:space="preserve">N</x:t>
        </x:is>
      </x:c>
      <x:c r="X504" s="3" t="inlineStr">
        <x:is>
          <x:t xml:space="preserve">Playbook metrics + proof</x:t>
        </x:is>
      </x:c>
      <x:c r="Y504" s="6">
        <x:f>(S504*IF(E504="G",F504,0))+(S504*IF(G504="G",H504,0))</x:f>
      </x:c>
      <x:c r="Z504" s="6">
        <x:f>(S504*IF(E504="E",F504,0))+(S504*IF(G504="E",H504,0))</x:f>
      </x:c>
      <x:c r="AA504" s="6">
        <x:f>(S504*IF(E504="T",F504,0))+(S504*IF(G504="T",H504,0))</x:f>
      </x:c>
      <x:c r="AB504" s="6">
        <x:f>(S504*IF(E504="L",F504,0))+(S504*IF(G504="L",H504,0))</x:f>
      </x:c>
      <x:c r="AC504" s="6">
        <x:f>(S504*IF(E504="H",F504,0))+(S504*IF(G504="H",H504,0))</x:f>
      </x:c>
      <x:c r="AD504" s="6">
        <x:f>(S504*IF(E504="V",F504,0))+(S504*IF(G504="V",H504,0))</x:f>
      </x:c>
      <x:c r="AE504" s="6">
        <x:f>(S504*IF(E504="R",F504,0))+(S504*IF(G504="R",H504,0))</x:f>
      </x:c>
      <x:c r="AF504" s="6">
        <x:f>(S504*IF(E504="F",F504,0))+(S504*IF(G504="F",H504,0))</x:f>
      </x:c>
      <x:c r="AG504" s="6">
        <x:f>(S504*IF(E504="W",F504,0))+(S504*IF(G504="W",H504,0))</x:f>
      </x:c>
    </x:row>
    <x:row r="505">
      <x:c r="A505" s="3" t="inlineStr">
        <x:is>
          <x:t xml:space="preserve">Security</x:t>
        </x:is>
      </x:c>
      <x:c r="B505" s="3" t="inlineStr">
        <x:is>
          <x:t xml:space="preserve">SEC-D12-Q35</x:t>
        </x:is>
      </x:c>
      <x:c r="C505" s="3" t="inlineStr">
        <x:is>
          <x:t xml:space="preserve">T4</x:t>
        </x:is>
      </x:c>
      <x:c r="D505" s="3" t="inlineStr">
        <x:is>
          <x:t xml:space="preserve">12. Containment &amp; Response Automation (Deep)</x:t>
        </x:is>
      </x:c>
      <x:c r="E505" s="3" t="inlineStr">
        <x:is>
          <x:t xml:space="preserve">L</x:t>
        </x:is>
      </x:c>
      <x:c r="F505" s="3" t="n">
        <x:v>0.6</x:v>
      </x:c>
      <x:c r="G505" s="3" t="inlineStr">
        <x:is>
          <x:t xml:space="preserve">R</x:t>
        </x:is>
      </x:c>
      <x:c r="H505" s="3" t="n">
        <x:v>0.4</x:v>
      </x:c>
      <x:c r="I505" s="3" t="inlineStr">
        <x:is>
          <x:t xml:space="preserve">Do you have predefined, legally reviewed criteria for more intrusive investigation actions (e.g., mailbox review, device seizure, extended monitoring)?</x:t>
        </x:is>
      </x:c>
      <x:c r="J505" s="3" t="inlineStr">
        <x:is>
          <x:t xml:space="preserve">Aim: proportionality and defensibility. Who approves, what triggers the action, how privacy/labor requirements are met, and how actions are documented.</x:t>
        </x:is>
      </x:c>
      <x:c r="K505" s="3" t="inlineStr">
        <x:is>
          <x:t xml:space="preserve">Optional Annex (Ask in Full/Deep mode; route to Legal pack if gaps).</x:t>
        </x:is>
      </x:c>
      <x:c r="L505" s="3" t="inlineStr">
        <x:is>
          <x:t xml:space="preserve">LEG_STRICT</x:t>
        </x:is>
      </x:c>
      <x:c r="M505" s="3" t="n">
        <x:v>1</x:v>
      </x:c>
      <x:c r="N505" s="3" t="n"/>
      <x:c r="O505" s="3" t="n"/>
      <x:c r="P505" s="3" t="inlineStr">
        <x:is>
          <x:t xml:space="preserve">SEC-D12-Q35-A0</x:t>
        </x:is>
      </x:c>
      <x:c r="Q505" s="3" t="n">
        <x:v>1</x:v>
      </x:c>
      <x:c r="R505" s="3" t="inlineStr">
        <x:is>
          <x:t xml:space="preserve">I don’t know / not sure.</x:t>
        </x:is>
      </x:c>
      <x:c r="S505" s="3" t="n">
        <x:v>0</x:v>
      </x:c>
      <x:c r="T505" s="3" t="inlineStr">
        <x:is>
          <x:t xml:space="preserve">unknown</x:t>
        </x:is>
      </x:c>
      <x:c r="U505" s="3" t="inlineStr">
        <x:is>
          <x:t xml:space="preserve">Unknown</x:t>
        </x:is>
      </x:c>
      <x:c r="V505" s="3" t="inlineStr">
        <x:is>
          <x:t xml:space="preserve">Clarify_Stakeholders</x:t>
        </x:is>
      </x:c>
      <x:c r="W505" s="3" t="inlineStr">
        <x:is>
          <x:t xml:space="preserve">N</x:t>
        </x:is>
      </x:c>
      <x:c r="X505" s="3" t="inlineStr">
        <x:is>
          <x:t xml:space="preserve">None</x:t>
        </x:is>
      </x:c>
      <x:c r="Y505" s="6">
        <x:f>(S505*IF(E505="G",F505,0))+(S505*IF(G505="G",H505,0))</x:f>
      </x:c>
      <x:c r="Z505" s="6">
        <x:f>(S505*IF(E505="E",F505,0))+(S505*IF(G505="E",H505,0))</x:f>
      </x:c>
      <x:c r="AA505" s="6">
        <x:f>(S505*IF(E505="T",F505,0))+(S505*IF(G505="T",H505,0))</x:f>
      </x:c>
      <x:c r="AB505" s="6">
        <x:f>(S505*IF(E505="L",F505,0))+(S505*IF(G505="L",H505,0))</x:f>
      </x:c>
      <x:c r="AC505" s="6">
        <x:f>(S505*IF(E505="H",F505,0))+(S505*IF(G505="H",H505,0))</x:f>
      </x:c>
      <x:c r="AD505" s="6">
        <x:f>(S505*IF(E505="V",F505,0))+(S505*IF(G505="V",H505,0))</x:f>
      </x:c>
      <x:c r="AE505" s="6">
        <x:f>(S505*IF(E505="R",F505,0))+(S505*IF(G505="R",H505,0))</x:f>
      </x:c>
      <x:c r="AF505" s="6">
        <x:f>(S505*IF(E505="F",F505,0))+(S505*IF(G505="F",H505,0))</x:f>
      </x:c>
      <x:c r="AG505" s="6">
        <x:f>(S505*IF(E505="W",F505,0))+(S505*IF(G505="W",H505,0))</x:f>
      </x:c>
    </x:row>
    <x:row r="506">
      <x:c r="A506" s="3" t="inlineStr">
        <x:is>
          <x:t xml:space="preserve">Security</x:t>
        </x:is>
      </x:c>
      <x:c r="B506" s="3" t="inlineStr">
        <x:is>
          <x:t xml:space="preserve">SEC-D12-Q35</x:t>
        </x:is>
      </x:c>
      <x:c r="C506" s="3" t="inlineStr">
        <x:is>
          <x:t xml:space="preserve">T4</x:t>
        </x:is>
      </x:c>
      <x:c r="D506" s="3" t="inlineStr">
        <x:is>
          <x:t xml:space="preserve">12. Containment &amp; Response Automation (Deep)</x:t>
        </x:is>
      </x:c>
      <x:c r="E506" s="3" t="inlineStr">
        <x:is>
          <x:t xml:space="preserve">L</x:t>
        </x:is>
      </x:c>
      <x:c r="F506" s="3" t="n">
        <x:v>0.6</x:v>
      </x:c>
      <x:c r="G506" s="3" t="inlineStr">
        <x:is>
          <x:t xml:space="preserve">R</x:t>
        </x:is>
      </x:c>
      <x:c r="H506" s="3" t="n">
        <x:v>0.4</x:v>
      </x:c>
      <x:c r="I506" s="3" t="inlineStr">
        <x:is>
          <x:t xml:space="preserve">Do you have predefined, legally reviewed criteria for more intrusive investigation actions (e.g., mailbox review, device seizure, extended monitoring)?</x:t>
        </x:is>
      </x:c>
      <x:c r="J506" s="3" t="inlineStr">
        <x:is>
          <x:t xml:space="preserve">Aim: proportionality and defensibility. Who approves, what triggers the action, how privacy/labor requirements are met, and how actions are documented.</x:t>
        </x:is>
      </x:c>
      <x:c r="K506" s="3" t="inlineStr">
        <x:is>
          <x:t xml:space="preserve">Optional Annex (Ask in Full/Deep mode; route to Legal pack if gaps).</x:t>
        </x:is>
      </x:c>
      <x:c r="L506" s="3" t="inlineStr">
        <x:is>
          <x:t xml:space="preserve">LEG_STRICT</x:t>
        </x:is>
      </x:c>
      <x:c r="M506" s="3" t="n">
        <x:v>1</x:v>
      </x:c>
      <x:c r="N506" s="3" t="n"/>
      <x:c r="O506" s="3" t="n"/>
      <x:c r="P506" s="3" t="inlineStr">
        <x:is>
          <x:t xml:space="preserve">SEC-D12-Q35-A1</x:t>
        </x:is>
      </x:c>
      <x:c r="Q506" s="3" t="n">
        <x:v>2</x:v>
      </x:c>
      <x:c r="R506" s="3" t="inlineStr">
        <x:is>
          <x:t xml:space="preserve">We decide intrusive actions case-by-case during incidents; approvals and documentation vary.</x:t>
        </x:is>
      </x:c>
      <x:c r="S506" s="3" t="n">
        <x:v>0</x:v>
      </x:c>
      <x:c r="T506" s="3" t="inlineStr">
        <x:is>
          <x:t xml:space="preserve">legal_exposure,ad_hoc</x:t>
        </x:is>
      </x:c>
      <x:c r="U506" s="3" t="inlineStr">
        <x:is>
          <x:t xml:space="preserve">Legal Exposure</x:t>
        </x:is>
      </x:c>
      <x:c r="V506" s="3" t="inlineStr">
        <x:is>
          <x:t xml:space="preserve">Legal_Defensibility_Audit</x:t>
        </x:is>
      </x:c>
      <x:c r="W506" s="3" t="inlineStr">
        <x:is>
          <x:t xml:space="preserve">N</x:t>
        </x:is>
      </x:c>
      <x:c r="X506" s="3" t="inlineStr">
        <x:is>
          <x:t xml:space="preserve">Example decision record</x:t>
        </x:is>
      </x:c>
      <x:c r="Y506" s="6">
        <x:f>(S506*IF(E506="G",F506,0))+(S506*IF(G506="G",H506,0))</x:f>
      </x:c>
      <x:c r="Z506" s="6">
        <x:f>(S506*IF(E506="E",F506,0))+(S506*IF(G506="E",H506,0))</x:f>
      </x:c>
      <x:c r="AA506" s="6">
        <x:f>(S506*IF(E506="T",F506,0))+(S506*IF(G506="T",H506,0))</x:f>
      </x:c>
      <x:c r="AB506" s="6">
        <x:f>(S506*IF(E506="L",F506,0))+(S506*IF(G506="L",H506,0))</x:f>
      </x:c>
      <x:c r="AC506" s="6">
        <x:f>(S506*IF(E506="H",F506,0))+(S506*IF(G506="H",H506,0))</x:f>
      </x:c>
      <x:c r="AD506" s="6">
        <x:f>(S506*IF(E506="V",F506,0))+(S506*IF(G506="V",H506,0))</x:f>
      </x:c>
      <x:c r="AE506" s="6">
        <x:f>(S506*IF(E506="R",F506,0))+(S506*IF(G506="R",H506,0))</x:f>
      </x:c>
      <x:c r="AF506" s="6">
        <x:f>(S506*IF(E506="F",F506,0))+(S506*IF(G506="F",H506,0))</x:f>
      </x:c>
      <x:c r="AG506" s="6">
        <x:f>(S506*IF(E506="W",F506,0))+(S506*IF(G506="W",H506,0))</x:f>
      </x:c>
    </x:row>
    <x:row r="507">
      <x:c r="A507" s="3" t="inlineStr">
        <x:is>
          <x:t xml:space="preserve">Security</x:t>
        </x:is>
      </x:c>
      <x:c r="B507" s="3" t="inlineStr">
        <x:is>
          <x:t xml:space="preserve">SEC-D12-Q35</x:t>
        </x:is>
      </x:c>
      <x:c r="C507" s="3" t="inlineStr">
        <x:is>
          <x:t xml:space="preserve">T4</x:t>
        </x:is>
      </x:c>
      <x:c r="D507" s="3" t="inlineStr">
        <x:is>
          <x:t xml:space="preserve">12. Containment &amp; Response Automation (Deep)</x:t>
        </x:is>
      </x:c>
      <x:c r="E507" s="3" t="inlineStr">
        <x:is>
          <x:t xml:space="preserve">L</x:t>
        </x:is>
      </x:c>
      <x:c r="F507" s="3" t="n">
        <x:v>0.6</x:v>
      </x:c>
      <x:c r="G507" s="3" t="inlineStr">
        <x:is>
          <x:t xml:space="preserve">R</x:t>
        </x:is>
      </x:c>
      <x:c r="H507" s="3" t="n">
        <x:v>0.4</x:v>
      </x:c>
      <x:c r="I507" s="3" t="inlineStr">
        <x:is>
          <x:t xml:space="preserve">Do you have predefined, legally reviewed criteria for more intrusive investigation actions (e.g., mailbox review, device seizure, extended monitoring)?</x:t>
        </x:is>
      </x:c>
      <x:c r="J507" s="3" t="inlineStr">
        <x:is>
          <x:t xml:space="preserve">Aim: proportionality and defensibility. Who approves, what triggers the action, how privacy/labor requirements are met, and how actions are documented.</x:t>
        </x:is>
      </x:c>
      <x:c r="K507" s="3" t="inlineStr">
        <x:is>
          <x:t xml:space="preserve">Optional Annex (Ask in Full/Deep mode; route to Legal pack if gaps).</x:t>
        </x:is>
      </x:c>
      <x:c r="L507" s="3" t="inlineStr">
        <x:is>
          <x:t xml:space="preserve">LEG_STRICT</x:t>
        </x:is>
      </x:c>
      <x:c r="M507" s="3" t="n">
        <x:v>1</x:v>
      </x:c>
      <x:c r="N507" s="3" t="n"/>
      <x:c r="O507" s="3" t="n"/>
      <x:c r="P507" s="3" t="inlineStr">
        <x:is>
          <x:t xml:space="preserve">SEC-D12-Q35-A2</x:t>
        </x:is>
      </x:c>
      <x:c r="Q507" s="3" t="n">
        <x:v>3</x:v>
      </x:c>
      <x:c r="R507" s="3" t="inlineStr">
        <x:is>
          <x:t xml:space="preserve">There is a policy, but it’s generic; staff are unsure what is allowed and what approvals are needed.</x:t>
        </x:is>
      </x:c>
      <x:c r="S507" s="3" t="n">
        <x:v>1</x:v>
      </x:c>
      <x:c r="T507" s="3" t="inlineStr">
        <x:is>
          <x:t xml:space="preserve">paper_process,legal_exposure</x:t>
        </x:is>
      </x:c>
      <x:c r="U507" s="3" t="inlineStr">
        <x:is>
          <x:t xml:space="preserve">Paper Dragon</x:t>
        </x:is>
      </x:c>
      <x:c r="V507" s="3" t="inlineStr">
        <x:is>
          <x:t xml:space="preserve">Legal_Defensibility_Audit</x:t>
        </x:is>
      </x:c>
      <x:c r="W507" s="3" t="inlineStr">
        <x:is>
          <x:t xml:space="preserve">N</x:t>
        </x:is>
      </x:c>
      <x:c r="X507" s="3" t="inlineStr">
        <x:is>
          <x:t xml:space="preserve">Policy excerpt</x:t>
        </x:is>
      </x:c>
      <x:c r="Y507" s="6">
        <x:f>(S507*IF(E507="G",F507,0))+(S507*IF(G507="G",H507,0))</x:f>
      </x:c>
      <x:c r="Z507" s="6">
        <x:f>(S507*IF(E507="E",F507,0))+(S507*IF(G507="E",H507,0))</x:f>
      </x:c>
      <x:c r="AA507" s="6">
        <x:f>(S507*IF(E507="T",F507,0))+(S507*IF(G507="T",H507,0))</x:f>
      </x:c>
      <x:c r="AB507" s="6">
        <x:f>(S507*IF(E507="L",F507,0))+(S507*IF(G507="L",H507,0))</x:f>
      </x:c>
      <x:c r="AC507" s="6">
        <x:f>(S507*IF(E507="H",F507,0))+(S507*IF(G507="H",H507,0))</x:f>
      </x:c>
      <x:c r="AD507" s="6">
        <x:f>(S507*IF(E507="V",F507,0))+(S507*IF(G507="V",H507,0))</x:f>
      </x:c>
      <x:c r="AE507" s="6">
        <x:f>(S507*IF(E507="R",F507,0))+(S507*IF(G507="R",H507,0))</x:f>
      </x:c>
      <x:c r="AF507" s="6">
        <x:f>(S507*IF(E507="F",F507,0))+(S507*IF(G507="F",H507,0))</x:f>
      </x:c>
      <x:c r="AG507" s="6">
        <x:f>(S507*IF(E507="W",F507,0))+(S507*IF(G507="W",H507,0))</x:f>
      </x:c>
    </x:row>
    <x:row r="508">
      <x:c r="A508" s="3" t="inlineStr">
        <x:is>
          <x:t xml:space="preserve">Security</x:t>
        </x:is>
      </x:c>
      <x:c r="B508" s="3" t="inlineStr">
        <x:is>
          <x:t xml:space="preserve">SEC-D12-Q35</x:t>
        </x:is>
      </x:c>
      <x:c r="C508" s="3" t="inlineStr">
        <x:is>
          <x:t xml:space="preserve">T4</x:t>
        </x:is>
      </x:c>
      <x:c r="D508" s="3" t="inlineStr">
        <x:is>
          <x:t xml:space="preserve">12. Containment &amp; Response Automation (Deep)</x:t>
        </x:is>
      </x:c>
      <x:c r="E508" s="3" t="inlineStr">
        <x:is>
          <x:t xml:space="preserve">L</x:t>
        </x:is>
      </x:c>
      <x:c r="F508" s="3" t="n">
        <x:v>0.6</x:v>
      </x:c>
      <x:c r="G508" s="3" t="inlineStr">
        <x:is>
          <x:t xml:space="preserve">R</x:t>
        </x:is>
      </x:c>
      <x:c r="H508" s="3" t="n">
        <x:v>0.4</x:v>
      </x:c>
      <x:c r="I508" s="3" t="inlineStr">
        <x:is>
          <x:t xml:space="preserve">Do you have predefined, legally reviewed criteria for more intrusive investigation actions (e.g., mailbox review, device seizure, extended monitoring)?</x:t>
        </x:is>
      </x:c>
      <x:c r="J508" s="3" t="inlineStr">
        <x:is>
          <x:t xml:space="preserve">Aim: proportionality and defensibility. Who approves, what triggers the action, how privacy/labor requirements are met, and how actions are documented.</x:t>
        </x:is>
      </x:c>
      <x:c r="K508" s="3" t="inlineStr">
        <x:is>
          <x:t xml:space="preserve">Optional Annex (Ask in Full/Deep mode; route to Legal pack if gaps).</x:t>
        </x:is>
      </x:c>
      <x:c r="L508" s="3" t="inlineStr">
        <x:is>
          <x:t xml:space="preserve">LEG_STRICT</x:t>
        </x:is>
      </x:c>
      <x:c r="M508" s="3" t="n">
        <x:v>1</x:v>
      </x:c>
      <x:c r="N508" s="3" t="n"/>
      <x:c r="O508" s="3" t="n"/>
      <x:c r="P508" s="3" t="inlineStr">
        <x:is>
          <x:t xml:space="preserve">SEC-D12-Q35-A3</x:t>
        </x:is>
      </x:c>
      <x:c r="Q508" s="3" t="n">
        <x:v>4</x:v>
      </x:c>
      <x:c r="R508" s="3" t="inlineStr">
        <x:is>
          <x:t xml:space="preserve">We have criteria and approval steps for some actions (e.g., mailbox review), but not consistently for all intrusive actions.</x:t>
        </x:is>
      </x:c>
      <x:c r="S508" s="3" t="n">
        <x:v>2</x:v>
      </x:c>
      <x:c r="T508" s="3" t="inlineStr">
        <x:is>
          <x:t xml:space="preserve">partial_maturity,legal_exposure</x:t>
        </x:is>
      </x:c>
      <x:c r="U508" s="3" t="inlineStr">
        <x:is>
          <x:t xml:space="preserve">Legal Exposure</x:t>
        </x:is>
      </x:c>
      <x:c r="V508" s="3" t="inlineStr">
        <x:is>
          <x:t xml:space="preserve">Legal_Defensibility_Audit</x:t>
        </x:is>
      </x:c>
      <x:c r="W508" s="3" t="inlineStr">
        <x:is>
          <x:t xml:space="preserve">N</x:t>
        </x:is>
      </x:c>
      <x:c r="X508" s="3" t="inlineStr">
        <x:is>
          <x:t xml:space="preserve">Approval workflow evidence</x:t>
        </x:is>
      </x:c>
      <x:c r="Y508" s="6">
        <x:f>(S508*IF(E508="G",F508,0))+(S508*IF(G508="G",H508,0))</x:f>
      </x:c>
      <x:c r="Z508" s="6">
        <x:f>(S508*IF(E508="E",F508,0))+(S508*IF(G508="E",H508,0))</x:f>
      </x:c>
      <x:c r="AA508" s="6">
        <x:f>(S508*IF(E508="T",F508,0))+(S508*IF(G508="T",H508,0))</x:f>
      </x:c>
      <x:c r="AB508" s="6">
        <x:f>(S508*IF(E508="L",F508,0))+(S508*IF(G508="L",H508,0))</x:f>
      </x:c>
      <x:c r="AC508" s="6">
        <x:f>(S508*IF(E508="H",F508,0))+(S508*IF(G508="H",H508,0))</x:f>
      </x:c>
      <x:c r="AD508" s="6">
        <x:f>(S508*IF(E508="V",F508,0))+(S508*IF(G508="V",H508,0))</x:f>
      </x:c>
      <x:c r="AE508" s="6">
        <x:f>(S508*IF(E508="R",F508,0))+(S508*IF(G508="R",H508,0))</x:f>
      </x:c>
      <x:c r="AF508" s="6">
        <x:f>(S508*IF(E508="F",F508,0))+(S508*IF(G508="F",H508,0))</x:f>
      </x:c>
      <x:c r="AG508" s="6">
        <x:f>(S508*IF(E508="W",F508,0))+(S508*IF(G508="W",H508,0))</x:f>
      </x:c>
    </x:row>
    <x:row r="509">
      <x:c r="A509" s="3" t="inlineStr">
        <x:is>
          <x:t xml:space="preserve">Security</x:t>
        </x:is>
      </x:c>
      <x:c r="B509" s="3" t="inlineStr">
        <x:is>
          <x:t xml:space="preserve">SEC-D12-Q35</x:t>
        </x:is>
      </x:c>
      <x:c r="C509" s="3" t="inlineStr">
        <x:is>
          <x:t xml:space="preserve">T4</x:t>
        </x:is>
      </x:c>
      <x:c r="D509" s="3" t="inlineStr">
        <x:is>
          <x:t xml:space="preserve">12. Containment &amp; Response Automation (Deep)</x:t>
        </x:is>
      </x:c>
      <x:c r="E509" s="3" t="inlineStr">
        <x:is>
          <x:t xml:space="preserve">L</x:t>
        </x:is>
      </x:c>
      <x:c r="F509" s="3" t="n">
        <x:v>0.6</x:v>
      </x:c>
      <x:c r="G509" s="3" t="inlineStr">
        <x:is>
          <x:t xml:space="preserve">R</x:t>
        </x:is>
      </x:c>
      <x:c r="H509" s="3" t="n">
        <x:v>0.4</x:v>
      </x:c>
      <x:c r="I509" s="3" t="inlineStr">
        <x:is>
          <x:t xml:space="preserve">Do you have predefined, legally reviewed criteria for more intrusive investigation actions (e.g., mailbox review, device seizure, extended monitoring)?</x:t>
        </x:is>
      </x:c>
      <x:c r="J509" s="3" t="inlineStr">
        <x:is>
          <x:t xml:space="preserve">Aim: proportionality and defensibility. Who approves, what triggers the action, how privacy/labor requirements are met, and how actions are documented.</x:t>
        </x:is>
      </x:c>
      <x:c r="K509" s="3" t="inlineStr">
        <x:is>
          <x:t xml:space="preserve">Optional Annex (Ask in Full/Deep mode; route to Legal pack if gaps).</x:t>
        </x:is>
      </x:c>
      <x:c r="L509" s="3" t="inlineStr">
        <x:is>
          <x:t xml:space="preserve">LEG_STRICT</x:t>
        </x:is>
      </x:c>
      <x:c r="M509" s="3" t="n">
        <x:v>1</x:v>
      </x:c>
      <x:c r="N509" s="3" t="n"/>
      <x:c r="O509" s="3" t="n"/>
      <x:c r="P509" s="3" t="inlineStr">
        <x:is>
          <x:t xml:space="preserve">SEC-D12-Q35-A4</x:t>
        </x:is>
      </x:c>
      <x:c r="Q509" s="3" t="n">
        <x:v>5</x:v>
      </x:c>
      <x:c r="R509" s="3" t="inlineStr">
        <x:is>
          <x:t xml:space="preserve">Criteria and approvals are defined and legally reviewed; actions are documented with proportionality rationale.</x:t>
        </x:is>
      </x:c>
      <x:c r="S509" s="3" t="n">
        <x:v>3</x:v>
      </x:c>
      <x:c r="T509" s="3" t="inlineStr">
        <x:is>
          <x:t xml:space="preserve">good_practice,forensic_ready</x:t>
        </x:is>
      </x:c>
      <x:c r="U509" s="3" t="n"/>
      <x:c r="V509" s="3" t="inlineStr">
        <x:is>
          <x:t xml:space="preserve">Request_Evidence</x:t>
        </x:is>
      </x:c>
      <x:c r="W509" s="3" t="inlineStr">
        <x:is>
          <x:t xml:space="preserve">N</x:t>
        </x:is>
      </x:c>
      <x:c r="X509" s="3" t="inlineStr">
        <x:is>
          <x:t xml:space="preserve">DPIA/LIA or legal review record</x:t>
        </x:is>
      </x:c>
      <x:c r="Y509" s="6">
        <x:f>(S509*IF(E509="G",F509,0))+(S509*IF(G509="G",H509,0))</x:f>
      </x:c>
      <x:c r="Z509" s="6">
        <x:f>(S509*IF(E509="E",F509,0))+(S509*IF(G509="E",H509,0))</x:f>
      </x:c>
      <x:c r="AA509" s="6">
        <x:f>(S509*IF(E509="T",F509,0))+(S509*IF(G509="T",H509,0))</x:f>
      </x:c>
      <x:c r="AB509" s="6">
        <x:f>(S509*IF(E509="L",F509,0))+(S509*IF(G509="L",H509,0))</x:f>
      </x:c>
      <x:c r="AC509" s="6">
        <x:f>(S509*IF(E509="H",F509,0))+(S509*IF(G509="H",H509,0))</x:f>
      </x:c>
      <x:c r="AD509" s="6">
        <x:f>(S509*IF(E509="V",F509,0))+(S509*IF(G509="V",H509,0))</x:f>
      </x:c>
      <x:c r="AE509" s="6">
        <x:f>(S509*IF(E509="R",F509,0))+(S509*IF(G509="R",H509,0))</x:f>
      </x:c>
      <x:c r="AF509" s="6">
        <x:f>(S509*IF(E509="F",F509,0))+(S509*IF(G509="F",H509,0))</x:f>
      </x:c>
      <x:c r="AG509" s="6">
        <x:f>(S509*IF(E509="W",F509,0))+(S509*IF(G509="W",H509,0))</x:f>
      </x:c>
    </x:row>
    <x:row r="510">
      <x:c r="A510" s="3" t="inlineStr">
        <x:is>
          <x:t xml:space="preserve">Security</x:t>
        </x:is>
      </x:c>
      <x:c r="B510" s="3" t="inlineStr">
        <x:is>
          <x:t xml:space="preserve">SEC-D12-Q35</x:t>
        </x:is>
      </x:c>
      <x:c r="C510" s="3" t="inlineStr">
        <x:is>
          <x:t xml:space="preserve">T4</x:t>
        </x:is>
      </x:c>
      <x:c r="D510" s="3" t="inlineStr">
        <x:is>
          <x:t xml:space="preserve">12. Containment &amp; Response Automation (Deep)</x:t>
        </x:is>
      </x:c>
      <x:c r="E510" s="3" t="inlineStr">
        <x:is>
          <x:t xml:space="preserve">L</x:t>
        </x:is>
      </x:c>
      <x:c r="F510" s="3" t="n">
        <x:v>0.6</x:v>
      </x:c>
      <x:c r="G510" s="3" t="inlineStr">
        <x:is>
          <x:t xml:space="preserve">R</x:t>
        </x:is>
      </x:c>
      <x:c r="H510" s="3" t="n">
        <x:v>0.4</x:v>
      </x:c>
      <x:c r="I510" s="3" t="inlineStr">
        <x:is>
          <x:t xml:space="preserve">Do you have predefined, legally reviewed criteria for more intrusive investigation actions (e.g., mailbox review, device seizure, extended monitoring)?</x:t>
        </x:is>
      </x:c>
      <x:c r="J510" s="3" t="inlineStr">
        <x:is>
          <x:t xml:space="preserve">Aim: proportionality and defensibility. Who approves, what triggers the action, how privacy/labor requirements are met, and how actions are documented.</x:t>
        </x:is>
      </x:c>
      <x:c r="K510" s="3" t="inlineStr">
        <x:is>
          <x:t xml:space="preserve">Optional Annex (Ask in Full/Deep mode; route to Legal pack if gaps).</x:t>
        </x:is>
      </x:c>
      <x:c r="L510" s="3" t="inlineStr">
        <x:is>
          <x:t xml:space="preserve">LEG_STRICT</x:t>
        </x:is>
      </x:c>
      <x:c r="M510" s="3" t="n">
        <x:v>1</x:v>
      </x:c>
      <x:c r="N510" s="3" t="n"/>
      <x:c r="O510" s="3" t="n"/>
      <x:c r="P510" s="3" t="inlineStr">
        <x:is>
          <x:t xml:space="preserve">SEC-D12-Q35-A5</x:t>
        </x:is>
      </x:c>
      <x:c r="Q510" s="3" t="n">
        <x:v>6</x:v>
      </x:c>
      <x:c r="R510" s="3" t="inlineStr">
        <x:is>
          <x:t xml:space="preserve">Criteria are comprehensive, periodically reviewed, and integrated into case tooling; audits confirm compliance.</x:t>
        </x:is>
      </x:c>
      <x:c r="S510" s="3" t="n">
        <x:v>4</x:v>
      </x:c>
      <x:c r="T510" s="3" t="inlineStr">
        <x:is>
          <x:t xml:space="preserve">optimized,forensic_ready</x:t>
        </x:is>
      </x:c>
      <x:c r="U510" s="3" t="n"/>
      <x:c r="V510" s="3" t="inlineStr">
        <x:is>
          <x:t xml:space="preserve">Request_Evidence</x:t>
        </x:is>
      </x:c>
      <x:c r="W510" s="3" t="inlineStr">
        <x:is>
          <x:t xml:space="preserve">N</x:t>
        </x:is>
      </x:c>
      <x:c r="X510" s="3" t="inlineStr">
        <x:is>
          <x:t xml:space="preserve">Audit report / case tooling screenshots</x:t>
        </x:is>
      </x:c>
      <x:c r="Y510" s="6">
        <x:f>(S510*IF(E510="G",F510,0))+(S510*IF(G510="G",H510,0))</x:f>
      </x:c>
      <x:c r="Z510" s="6">
        <x:f>(S510*IF(E510="E",F510,0))+(S510*IF(G510="E",H510,0))</x:f>
      </x:c>
      <x:c r="AA510" s="6">
        <x:f>(S510*IF(E510="T",F510,0))+(S510*IF(G510="T",H510,0))</x:f>
      </x:c>
      <x:c r="AB510" s="6">
        <x:f>(S510*IF(E510="L",F510,0))+(S510*IF(G510="L",H510,0))</x:f>
      </x:c>
      <x:c r="AC510" s="6">
        <x:f>(S510*IF(E510="H",F510,0))+(S510*IF(G510="H",H510,0))</x:f>
      </x:c>
      <x:c r="AD510" s="6">
        <x:f>(S510*IF(E510="V",F510,0))+(S510*IF(G510="V",H510,0))</x:f>
      </x:c>
      <x:c r="AE510" s="6">
        <x:f>(S510*IF(E510="R",F510,0))+(S510*IF(G510="R",H510,0))</x:f>
      </x:c>
      <x:c r="AF510" s="6">
        <x:f>(S510*IF(E510="F",F510,0))+(S510*IF(G510="F",H510,0))</x:f>
      </x:c>
      <x:c r="AG510" s="6">
        <x:f>(S510*IF(E510="W",F510,0))+(S510*IF(G510="W",H510,0))</x:f>
      </x:c>
    </x:row>
    <x:row r="511">
      <x:c r="A511" s="3" t="inlineStr">
        <x:is>
          <x:t xml:space="preserve">Security</x:t>
        </x:is>
      </x:c>
      <x:c r="B511" s="3" t="inlineStr">
        <x:is>
          <x:t xml:space="preserve">SEC-D12-Q36</x:t>
        </x:is>
      </x:c>
      <x:c r="C511" s="3" t="inlineStr">
        <x:is>
          <x:t xml:space="preserve">T3</x:t>
        </x:is>
      </x:c>
      <x:c r="D511" s="3" t="inlineStr">
        <x:is>
          <x:t xml:space="preserve">12. Containment &amp; Response Automation (Deep)</x:t>
        </x:is>
      </x:c>
      <x:c r="E511" s="3" t="inlineStr">
        <x:is>
          <x:t xml:space="preserve">F</x:t>
        </x:is>
      </x:c>
      <x:c r="F511" s="3" t="n">
        <x:v>0.5</x:v>
      </x:c>
      <x:c r="G511" s="3" t="inlineStr">
        <x:is>
          <x:t xml:space="preserve">R</x:t>
        </x:is>
      </x:c>
      <x:c r="H511" s="3" t="n">
        <x:v>0.5</x:v>
      </x:c>
      <x:c r="I511" s="3" t="inlineStr">
        <x:is>
          <x:t xml:space="preserve">When you contain a suspected insider, how do you minimize business disruption and ensure safe rollback (without losing evidence)?</x:t>
        </x:is>
      </x:c>
      <x:c r="J511" s="3" t="inlineStr">
        <x:is>
          <x:t xml:space="preserve">Examples: break‑glass controls, staged containment, documented rollback, business owner approvals, and metrics on disruption caused by containment actions.</x:t>
        </x:is>
      </x:c>
      <x:c r="K511" s="3" t="inlineStr">
        <x:is>
          <x:t xml:space="preserve">Optional Annex (Ask in Full/Deep mode).</x:t>
        </x:is>
      </x:c>
      <x:c r="L511" s="3" t="inlineStr">
        <x:is>
          <x:t xml:space="preserve">OPS_STD</x:t>
        </x:is>
      </x:c>
      <x:c r="M511" s="3" t="n">
        <x:v>1</x:v>
      </x:c>
      <x:c r="N511" s="3" t="n"/>
      <x:c r="O511" s="3" t="n"/>
      <x:c r="P511" s="3" t="inlineStr">
        <x:is>
          <x:t xml:space="preserve">SEC-D12-Q36-A0</x:t>
        </x:is>
      </x:c>
      <x:c r="Q511" s="3" t="n">
        <x:v>1</x:v>
      </x:c>
      <x:c r="R511" s="3" t="inlineStr">
        <x:is>
          <x:t xml:space="preserve">I don’t know / not sure.</x:t>
        </x:is>
      </x:c>
      <x:c r="S511" s="3" t="n">
        <x:v>0</x:v>
      </x:c>
      <x:c r="T511" s="3" t="inlineStr">
        <x:is>
          <x:t xml:space="preserve">unknown</x:t>
        </x:is>
      </x:c>
      <x:c r="U511" s="3" t="inlineStr">
        <x:is>
          <x:t xml:space="preserve">Unknown</x:t>
        </x:is>
      </x:c>
      <x:c r="V511" s="3" t="inlineStr">
        <x:is>
          <x:t xml:space="preserve">Clarify_Stakeholders</x:t>
        </x:is>
      </x:c>
      <x:c r="W511" s="3" t="inlineStr">
        <x:is>
          <x:t xml:space="preserve">N</x:t>
        </x:is>
      </x:c>
      <x:c r="X511" s="3" t="inlineStr">
        <x:is>
          <x:t xml:space="preserve">None</x:t>
        </x:is>
      </x:c>
      <x:c r="Y511" s="6">
        <x:f>(S511*IF(E511="G",F511,0))+(S511*IF(G511="G",H511,0))</x:f>
      </x:c>
      <x:c r="Z511" s="6">
        <x:f>(S511*IF(E511="E",F511,0))+(S511*IF(G511="E",H511,0))</x:f>
      </x:c>
      <x:c r="AA511" s="6">
        <x:f>(S511*IF(E511="T",F511,0))+(S511*IF(G511="T",H511,0))</x:f>
      </x:c>
      <x:c r="AB511" s="6">
        <x:f>(S511*IF(E511="L",F511,0))+(S511*IF(G511="L",H511,0))</x:f>
      </x:c>
      <x:c r="AC511" s="6">
        <x:f>(S511*IF(E511="H",F511,0))+(S511*IF(G511="H",H511,0))</x:f>
      </x:c>
      <x:c r="AD511" s="6">
        <x:f>(S511*IF(E511="V",F511,0))+(S511*IF(G511="V",H511,0))</x:f>
      </x:c>
      <x:c r="AE511" s="6">
        <x:f>(S511*IF(E511="R",F511,0))+(S511*IF(G511="R",H511,0))</x:f>
      </x:c>
      <x:c r="AF511" s="6">
        <x:f>(S511*IF(E511="F",F511,0))+(S511*IF(G511="F",H511,0))</x:f>
      </x:c>
      <x:c r="AG511" s="6">
        <x:f>(S511*IF(E511="W",F511,0))+(S511*IF(G511="W",H511,0))</x:f>
      </x:c>
    </x:row>
    <x:row r="512">
      <x:c r="A512" s="3" t="inlineStr">
        <x:is>
          <x:t xml:space="preserve">Security</x:t>
        </x:is>
      </x:c>
      <x:c r="B512" s="3" t="inlineStr">
        <x:is>
          <x:t xml:space="preserve">SEC-D12-Q36</x:t>
        </x:is>
      </x:c>
      <x:c r="C512" s="3" t="inlineStr">
        <x:is>
          <x:t xml:space="preserve">T3</x:t>
        </x:is>
      </x:c>
      <x:c r="D512" s="3" t="inlineStr">
        <x:is>
          <x:t xml:space="preserve">12. Containment &amp; Response Automation (Deep)</x:t>
        </x:is>
      </x:c>
      <x:c r="E512" s="3" t="inlineStr">
        <x:is>
          <x:t xml:space="preserve">F</x:t>
        </x:is>
      </x:c>
      <x:c r="F512" s="3" t="n">
        <x:v>0.5</x:v>
      </x:c>
      <x:c r="G512" s="3" t="inlineStr">
        <x:is>
          <x:t xml:space="preserve">R</x:t>
        </x:is>
      </x:c>
      <x:c r="H512" s="3" t="n">
        <x:v>0.5</x:v>
      </x:c>
      <x:c r="I512" s="3" t="inlineStr">
        <x:is>
          <x:t xml:space="preserve">When you contain a suspected insider, how do you minimize business disruption and ensure safe rollback (without losing evidence)?</x:t>
        </x:is>
      </x:c>
      <x:c r="J512" s="3" t="inlineStr">
        <x:is>
          <x:t xml:space="preserve">Examples: break‑glass controls, staged containment, documented rollback, business owner approvals, and metrics on disruption caused by containment actions.</x:t>
        </x:is>
      </x:c>
      <x:c r="K512" s="3" t="inlineStr">
        <x:is>
          <x:t xml:space="preserve">Optional Annex (Ask in Full/Deep mode).</x:t>
        </x:is>
      </x:c>
      <x:c r="L512" s="3" t="inlineStr">
        <x:is>
          <x:t xml:space="preserve">OPS_STD</x:t>
        </x:is>
      </x:c>
      <x:c r="M512" s="3" t="n">
        <x:v>1</x:v>
      </x:c>
      <x:c r="N512" s="3" t="n"/>
      <x:c r="O512" s="3" t="n"/>
      <x:c r="P512" s="3" t="inlineStr">
        <x:is>
          <x:t xml:space="preserve">SEC-D12-Q36-A1</x:t>
        </x:is>
      </x:c>
      <x:c r="Q512" s="3" t="n">
        <x:v>2</x:v>
      </x:c>
      <x:c r="R512" s="3" t="inlineStr">
        <x:is>
          <x:t xml:space="preserve">Containment actions often break work; rollback is improvised and evidence can be lost.</x:t>
        </x:is>
      </x:c>
      <x:c r="S512" s="3" t="n">
        <x:v>0</x:v>
      </x:c>
      <x:c r="T512" s="3" t="inlineStr">
        <x:is>
          <x:t xml:space="preserve">bypass_pressure,business_disruption</x:t>
        </x:is>
      </x:c>
      <x:c r="U512" s="3" t="inlineStr">
        <x:is>
          <x:t xml:space="preserve">Bypass Pressure</x:t>
        </x:is>
      </x:c>
      <x:c r="V512" s="3" t="inlineStr">
        <x:is>
          <x:t xml:space="preserve">Security_UX_Review</x:t>
        </x:is>
      </x:c>
      <x:c r="W512" s="3" t="inlineStr">
        <x:is>
          <x:t xml:space="preserve">N</x:t>
        </x:is>
      </x:c>
      <x:c r="X512" s="3" t="inlineStr">
        <x:is>
          <x:t xml:space="preserve">Examples of disruption</x:t>
        </x:is>
      </x:c>
      <x:c r="Y512" s="6">
        <x:f>(S512*IF(E512="G",F512,0))+(S512*IF(G512="G",H512,0))</x:f>
      </x:c>
      <x:c r="Z512" s="6">
        <x:f>(S512*IF(E512="E",F512,0))+(S512*IF(G512="E",H512,0))</x:f>
      </x:c>
      <x:c r="AA512" s="6">
        <x:f>(S512*IF(E512="T",F512,0))+(S512*IF(G512="T",H512,0))</x:f>
      </x:c>
      <x:c r="AB512" s="6">
        <x:f>(S512*IF(E512="L",F512,0))+(S512*IF(G512="L",H512,0))</x:f>
      </x:c>
      <x:c r="AC512" s="6">
        <x:f>(S512*IF(E512="H",F512,0))+(S512*IF(G512="H",H512,0))</x:f>
      </x:c>
      <x:c r="AD512" s="6">
        <x:f>(S512*IF(E512="V",F512,0))+(S512*IF(G512="V",H512,0))</x:f>
      </x:c>
      <x:c r="AE512" s="6">
        <x:f>(S512*IF(E512="R",F512,0))+(S512*IF(G512="R",H512,0))</x:f>
      </x:c>
      <x:c r="AF512" s="6">
        <x:f>(S512*IF(E512="F",F512,0))+(S512*IF(G512="F",H512,0))</x:f>
      </x:c>
      <x:c r="AG512" s="6">
        <x:f>(S512*IF(E512="W",F512,0))+(S512*IF(G512="W",H512,0))</x:f>
      </x:c>
    </x:row>
    <x:row r="513">
      <x:c r="A513" s="3" t="inlineStr">
        <x:is>
          <x:t xml:space="preserve">Security</x:t>
        </x:is>
      </x:c>
      <x:c r="B513" s="3" t="inlineStr">
        <x:is>
          <x:t xml:space="preserve">SEC-D12-Q36</x:t>
        </x:is>
      </x:c>
      <x:c r="C513" s="3" t="inlineStr">
        <x:is>
          <x:t xml:space="preserve">T3</x:t>
        </x:is>
      </x:c>
      <x:c r="D513" s="3" t="inlineStr">
        <x:is>
          <x:t xml:space="preserve">12. Containment &amp; Response Automation (Deep)</x:t>
        </x:is>
      </x:c>
      <x:c r="E513" s="3" t="inlineStr">
        <x:is>
          <x:t xml:space="preserve">F</x:t>
        </x:is>
      </x:c>
      <x:c r="F513" s="3" t="n">
        <x:v>0.5</x:v>
      </x:c>
      <x:c r="G513" s="3" t="inlineStr">
        <x:is>
          <x:t xml:space="preserve">R</x:t>
        </x:is>
      </x:c>
      <x:c r="H513" s="3" t="n">
        <x:v>0.5</x:v>
      </x:c>
      <x:c r="I513" s="3" t="inlineStr">
        <x:is>
          <x:t xml:space="preserve">When you contain a suspected insider, how do you minimize business disruption and ensure safe rollback (without losing evidence)?</x:t>
        </x:is>
      </x:c>
      <x:c r="J513" s="3" t="inlineStr">
        <x:is>
          <x:t xml:space="preserve">Examples: break‑glass controls, staged containment, documented rollback, business owner approvals, and metrics on disruption caused by containment actions.</x:t>
        </x:is>
      </x:c>
      <x:c r="K513" s="3" t="inlineStr">
        <x:is>
          <x:t xml:space="preserve">Optional Annex (Ask in Full/Deep mode).</x:t>
        </x:is>
      </x:c>
      <x:c r="L513" s="3" t="inlineStr">
        <x:is>
          <x:t xml:space="preserve">OPS_STD</x:t>
        </x:is>
      </x:c>
      <x:c r="M513" s="3" t="n">
        <x:v>1</x:v>
      </x:c>
      <x:c r="N513" s="3" t="n"/>
      <x:c r="O513" s="3" t="n"/>
      <x:c r="P513" s="3" t="inlineStr">
        <x:is>
          <x:t xml:space="preserve">SEC-D12-Q36-A2</x:t>
        </x:is>
      </x:c>
      <x:c r="Q513" s="3" t="n">
        <x:v>3</x:v>
      </x:c>
      <x:c r="R513" s="3" t="inlineStr">
        <x:is>
          <x:t xml:space="preserve">We try to minimize impact informally, but we don’t have staged actions or rollback plans.</x:t>
        </x:is>
      </x:c>
      <x:c r="S513" s="3" t="n">
        <x:v>1</x:v>
      </x:c>
      <x:c r="T513" s="3" t="inlineStr">
        <x:is>
          <x:t xml:space="preserve">ad_hoc,partial_maturity</x:t>
        </x:is>
      </x:c>
      <x:c r="U513" s="3" t="inlineStr">
        <x:is>
          <x:t xml:space="preserve">Resilience Gap</x:t>
        </x:is>
      </x:c>
      <x:c r="V513" s="3" t="inlineStr">
        <x:is>
          <x:t xml:space="preserve">Security_UX_Review</x:t>
        </x:is>
      </x:c>
      <x:c r="W513" s="3" t="inlineStr">
        <x:is>
          <x:t xml:space="preserve">N</x:t>
        </x:is>
      </x:c>
      <x:c r="X513" s="3" t="inlineStr">
        <x:is>
          <x:t xml:space="preserve">Process description</x:t>
        </x:is>
      </x:c>
      <x:c r="Y513" s="6">
        <x:f>(S513*IF(E513="G",F513,0))+(S513*IF(G513="G",H513,0))</x:f>
      </x:c>
      <x:c r="Z513" s="6">
        <x:f>(S513*IF(E513="E",F513,0))+(S513*IF(G513="E",H513,0))</x:f>
      </x:c>
      <x:c r="AA513" s="6">
        <x:f>(S513*IF(E513="T",F513,0))+(S513*IF(G513="T",H513,0))</x:f>
      </x:c>
      <x:c r="AB513" s="6">
        <x:f>(S513*IF(E513="L",F513,0))+(S513*IF(G513="L",H513,0))</x:f>
      </x:c>
      <x:c r="AC513" s="6">
        <x:f>(S513*IF(E513="H",F513,0))+(S513*IF(G513="H",H513,0))</x:f>
      </x:c>
      <x:c r="AD513" s="6">
        <x:f>(S513*IF(E513="V",F513,0))+(S513*IF(G513="V",H513,0))</x:f>
      </x:c>
      <x:c r="AE513" s="6">
        <x:f>(S513*IF(E513="R",F513,0))+(S513*IF(G513="R",H513,0))</x:f>
      </x:c>
      <x:c r="AF513" s="6">
        <x:f>(S513*IF(E513="F",F513,0))+(S513*IF(G513="F",H513,0))</x:f>
      </x:c>
      <x:c r="AG513" s="6">
        <x:f>(S513*IF(E513="W",F513,0))+(S513*IF(G513="W",H513,0))</x:f>
      </x:c>
    </x:row>
    <x:row r="514">
      <x:c r="A514" s="3" t="inlineStr">
        <x:is>
          <x:t xml:space="preserve">Security</x:t>
        </x:is>
      </x:c>
      <x:c r="B514" s="3" t="inlineStr">
        <x:is>
          <x:t xml:space="preserve">SEC-D12-Q36</x:t>
        </x:is>
      </x:c>
      <x:c r="C514" s="3" t="inlineStr">
        <x:is>
          <x:t xml:space="preserve">T3</x:t>
        </x:is>
      </x:c>
      <x:c r="D514" s="3" t="inlineStr">
        <x:is>
          <x:t xml:space="preserve">12. Containment &amp; Response Automation (Deep)</x:t>
        </x:is>
      </x:c>
      <x:c r="E514" s="3" t="inlineStr">
        <x:is>
          <x:t xml:space="preserve">F</x:t>
        </x:is>
      </x:c>
      <x:c r="F514" s="3" t="n">
        <x:v>0.5</x:v>
      </x:c>
      <x:c r="G514" s="3" t="inlineStr">
        <x:is>
          <x:t xml:space="preserve">R</x:t>
        </x:is>
      </x:c>
      <x:c r="H514" s="3" t="n">
        <x:v>0.5</x:v>
      </x:c>
      <x:c r="I514" s="3" t="inlineStr">
        <x:is>
          <x:t xml:space="preserve">When you contain a suspected insider, how do you minimize business disruption and ensure safe rollback (without losing evidence)?</x:t>
        </x:is>
      </x:c>
      <x:c r="J514" s="3" t="inlineStr">
        <x:is>
          <x:t xml:space="preserve">Examples: break‑glass controls, staged containment, documented rollback, business owner approvals, and metrics on disruption caused by containment actions.</x:t>
        </x:is>
      </x:c>
      <x:c r="K514" s="3" t="inlineStr">
        <x:is>
          <x:t xml:space="preserve">Optional Annex (Ask in Full/Deep mode).</x:t>
        </x:is>
      </x:c>
      <x:c r="L514" s="3" t="inlineStr">
        <x:is>
          <x:t xml:space="preserve">OPS_STD</x:t>
        </x:is>
      </x:c>
      <x:c r="M514" s="3" t="n">
        <x:v>1</x:v>
      </x:c>
      <x:c r="N514" s="3" t="n"/>
      <x:c r="O514" s="3" t="n"/>
      <x:c r="P514" s="3" t="inlineStr">
        <x:is>
          <x:t xml:space="preserve">SEC-D12-Q36-A3</x:t>
        </x:is>
      </x:c>
      <x:c r="Q514" s="3" t="n">
        <x:v>4</x:v>
      </x:c>
      <x:c r="R514" s="3" t="inlineStr">
        <x:is>
          <x:t xml:space="preserve">Some containment actions are staged and have rollback guidance; but it’s not consistent or measured.</x:t>
        </x:is>
      </x:c>
      <x:c r="S514" s="3" t="n">
        <x:v>2</x:v>
      </x:c>
      <x:c r="T514" s="3" t="inlineStr">
        <x:is>
          <x:t xml:space="preserve">partial_maturity,inconsistent_execution</x:t>
        </x:is>
      </x:c>
      <x:c r="U514" s="3" t="inlineStr">
        <x:is>
          <x:t xml:space="preserve">Resilience Gap</x:t>
        </x:is>
      </x:c>
      <x:c r="V514" s="3" t="inlineStr">
        <x:is>
          <x:t xml:space="preserve">Security_UX_Review</x:t>
        </x:is>
      </x:c>
      <x:c r="W514" s="3" t="inlineStr">
        <x:is>
          <x:t xml:space="preserve">N</x:t>
        </x:is>
      </x:c>
      <x:c r="X514" s="3" t="inlineStr">
        <x:is>
          <x:t xml:space="preserve">Rollback guidance proof</x:t>
        </x:is>
      </x:c>
      <x:c r="Y514" s="6">
        <x:f>(S514*IF(E514="G",F514,0))+(S514*IF(G514="G",H514,0))</x:f>
      </x:c>
      <x:c r="Z514" s="6">
        <x:f>(S514*IF(E514="E",F514,0))+(S514*IF(G514="E",H514,0))</x:f>
      </x:c>
      <x:c r="AA514" s="6">
        <x:f>(S514*IF(E514="T",F514,0))+(S514*IF(G514="T",H514,0))</x:f>
      </x:c>
      <x:c r="AB514" s="6">
        <x:f>(S514*IF(E514="L",F514,0))+(S514*IF(G514="L",H514,0))</x:f>
      </x:c>
      <x:c r="AC514" s="6">
        <x:f>(S514*IF(E514="H",F514,0))+(S514*IF(G514="H",H514,0))</x:f>
      </x:c>
      <x:c r="AD514" s="6">
        <x:f>(S514*IF(E514="V",F514,0))+(S514*IF(G514="V",H514,0))</x:f>
      </x:c>
      <x:c r="AE514" s="6">
        <x:f>(S514*IF(E514="R",F514,0))+(S514*IF(G514="R",H514,0))</x:f>
      </x:c>
      <x:c r="AF514" s="6">
        <x:f>(S514*IF(E514="F",F514,0))+(S514*IF(G514="F",H514,0))</x:f>
      </x:c>
      <x:c r="AG514" s="6">
        <x:f>(S514*IF(E514="W",F514,0))+(S514*IF(G514="W",H514,0))</x:f>
      </x:c>
    </x:row>
    <x:row r="515">
      <x:c r="A515" s="3" t="inlineStr">
        <x:is>
          <x:t xml:space="preserve">Security</x:t>
        </x:is>
      </x:c>
      <x:c r="B515" s="3" t="inlineStr">
        <x:is>
          <x:t xml:space="preserve">SEC-D12-Q36</x:t>
        </x:is>
      </x:c>
      <x:c r="C515" s="3" t="inlineStr">
        <x:is>
          <x:t xml:space="preserve">T3</x:t>
        </x:is>
      </x:c>
      <x:c r="D515" s="3" t="inlineStr">
        <x:is>
          <x:t xml:space="preserve">12. Containment &amp; Response Automation (Deep)</x:t>
        </x:is>
      </x:c>
      <x:c r="E515" s="3" t="inlineStr">
        <x:is>
          <x:t xml:space="preserve">F</x:t>
        </x:is>
      </x:c>
      <x:c r="F515" s="3" t="n">
        <x:v>0.5</x:v>
      </x:c>
      <x:c r="G515" s="3" t="inlineStr">
        <x:is>
          <x:t xml:space="preserve">R</x:t>
        </x:is>
      </x:c>
      <x:c r="H515" s="3" t="n">
        <x:v>0.5</x:v>
      </x:c>
      <x:c r="I515" s="3" t="inlineStr">
        <x:is>
          <x:t xml:space="preserve">When you contain a suspected insider, how do you minimize business disruption and ensure safe rollback (without losing evidence)?</x:t>
        </x:is>
      </x:c>
      <x:c r="J515" s="3" t="inlineStr">
        <x:is>
          <x:t xml:space="preserve">Examples: break‑glass controls, staged containment, documented rollback, business owner approvals, and metrics on disruption caused by containment actions.</x:t>
        </x:is>
      </x:c>
      <x:c r="K515" s="3" t="inlineStr">
        <x:is>
          <x:t xml:space="preserve">Optional Annex (Ask in Full/Deep mode).</x:t>
        </x:is>
      </x:c>
      <x:c r="L515" s="3" t="inlineStr">
        <x:is>
          <x:t xml:space="preserve">OPS_STD</x:t>
        </x:is>
      </x:c>
      <x:c r="M515" s="3" t="n">
        <x:v>1</x:v>
      </x:c>
      <x:c r="N515" s="3" t="n"/>
      <x:c r="O515" s="3" t="n"/>
      <x:c r="P515" s="3" t="inlineStr">
        <x:is>
          <x:t xml:space="preserve">SEC-D12-Q36-A4</x:t>
        </x:is>
      </x:c>
      <x:c r="Q515" s="3" t="n">
        <x:v>5</x:v>
      </x:c>
      <x:c r="R515" s="3" t="inlineStr">
        <x:is>
          <x:t xml:space="preserve">We use staged containment, approvals, and rollback; we track disruption and refine playbooks.</x:t>
        </x:is>
      </x:c>
      <x:c r="S515" s="3" t="n">
        <x:v>3</x:v>
      </x:c>
      <x:c r="T515" s="3" t="inlineStr">
        <x:is>
          <x:t xml:space="preserve">good_practice,execution_strength</x:t>
        </x:is>
      </x:c>
      <x:c r="U515" s="3" t="n"/>
      <x:c r="V515" s="3" t="inlineStr">
        <x:is>
          <x:t xml:space="preserve">Request_Evidence</x:t>
        </x:is>
      </x:c>
      <x:c r="W515" s="3" t="inlineStr">
        <x:is>
          <x:t xml:space="preserve">N</x:t>
        </x:is>
      </x:c>
      <x:c r="X515" s="3" t="inlineStr">
        <x:is>
          <x:t xml:space="preserve">Metrics evidence</x:t>
        </x:is>
      </x:c>
      <x:c r="Y515" s="6">
        <x:f>(S515*IF(E515="G",F515,0))+(S515*IF(G515="G",H515,0))</x:f>
      </x:c>
      <x:c r="Z515" s="6">
        <x:f>(S515*IF(E515="E",F515,0))+(S515*IF(G515="E",H515,0))</x:f>
      </x:c>
      <x:c r="AA515" s="6">
        <x:f>(S515*IF(E515="T",F515,0))+(S515*IF(G515="T",H515,0))</x:f>
      </x:c>
      <x:c r="AB515" s="6">
        <x:f>(S515*IF(E515="L",F515,0))+(S515*IF(G515="L",H515,0))</x:f>
      </x:c>
      <x:c r="AC515" s="6">
        <x:f>(S515*IF(E515="H",F515,0))+(S515*IF(G515="H",H515,0))</x:f>
      </x:c>
      <x:c r="AD515" s="6">
        <x:f>(S515*IF(E515="V",F515,0))+(S515*IF(G515="V",H515,0))</x:f>
      </x:c>
      <x:c r="AE515" s="6">
        <x:f>(S515*IF(E515="R",F515,0))+(S515*IF(G515="R",H515,0))</x:f>
      </x:c>
      <x:c r="AF515" s="6">
        <x:f>(S515*IF(E515="F",F515,0))+(S515*IF(G515="F",H515,0))</x:f>
      </x:c>
      <x:c r="AG515" s="6">
        <x:f>(S515*IF(E515="W",F515,0))+(S515*IF(G515="W",H515,0))</x:f>
      </x:c>
    </x:row>
    <x:row r="516">
      <x:c r="A516" s="3" t="inlineStr">
        <x:is>
          <x:t xml:space="preserve">Security</x:t>
        </x:is>
      </x:c>
      <x:c r="B516" s="3" t="inlineStr">
        <x:is>
          <x:t xml:space="preserve">SEC-D12-Q36</x:t>
        </x:is>
      </x:c>
      <x:c r="C516" s="3" t="inlineStr">
        <x:is>
          <x:t xml:space="preserve">T3</x:t>
        </x:is>
      </x:c>
      <x:c r="D516" s="3" t="inlineStr">
        <x:is>
          <x:t xml:space="preserve">12. Containment &amp; Response Automation (Deep)</x:t>
        </x:is>
      </x:c>
      <x:c r="E516" s="3" t="inlineStr">
        <x:is>
          <x:t xml:space="preserve">F</x:t>
        </x:is>
      </x:c>
      <x:c r="F516" s="3" t="n">
        <x:v>0.5</x:v>
      </x:c>
      <x:c r="G516" s="3" t="inlineStr">
        <x:is>
          <x:t xml:space="preserve">R</x:t>
        </x:is>
      </x:c>
      <x:c r="H516" s="3" t="n">
        <x:v>0.5</x:v>
      </x:c>
      <x:c r="I516" s="3" t="inlineStr">
        <x:is>
          <x:t xml:space="preserve">When you contain a suspected insider, how do you minimize business disruption and ensure safe rollback (without losing evidence)?</x:t>
        </x:is>
      </x:c>
      <x:c r="J516" s="3" t="inlineStr">
        <x:is>
          <x:t xml:space="preserve">Examples: break‑glass controls, staged containment, documented rollback, business owner approvals, and metrics on disruption caused by containment actions.</x:t>
        </x:is>
      </x:c>
      <x:c r="K516" s="3" t="inlineStr">
        <x:is>
          <x:t xml:space="preserve">Optional Annex (Ask in Full/Deep mode).</x:t>
        </x:is>
      </x:c>
      <x:c r="L516" s="3" t="inlineStr">
        <x:is>
          <x:t xml:space="preserve">OPS_STD</x:t>
        </x:is>
      </x:c>
      <x:c r="M516" s="3" t="n">
        <x:v>1</x:v>
      </x:c>
      <x:c r="N516" s="3" t="n"/>
      <x:c r="O516" s="3" t="n"/>
      <x:c r="P516" s="3" t="inlineStr">
        <x:is>
          <x:t xml:space="preserve">SEC-D12-Q36-A5</x:t>
        </x:is>
      </x:c>
      <x:c r="Q516" s="3" t="n">
        <x:v>6</x:v>
      </x:c>
      <x:c r="R516" s="3" t="inlineStr">
        <x:is>
          <x:t xml:space="preserve">Business-safe containment is built in (break-glass, staged controls, verified rollback) and tested; disruption is minimized and measured.</x:t>
        </x:is>
      </x:c>
      <x:c r="S516" s="3" t="n">
        <x:v>4</x:v>
      </x:c>
      <x:c r="T516" s="3" t="inlineStr">
        <x:is>
          <x:t xml:space="preserve">optimized,execution_strength</x:t>
        </x:is>
      </x:c>
      <x:c r="U516" s="3" t="n"/>
      <x:c r="V516" s="3" t="inlineStr">
        <x:is>
          <x:t xml:space="preserve">Request_Evidence</x:t>
        </x:is>
      </x:c>
      <x:c r="W516" s="3" t="inlineStr">
        <x:is>
          <x:t xml:space="preserve">N</x:t>
        </x:is>
      </x:c>
      <x:c r="X516" s="3" t="inlineStr">
        <x:is>
          <x:t xml:space="preserve">Exercise report + metrics</x:t>
        </x:is>
      </x:c>
      <x:c r="Y516" s="6">
        <x:f>(S516*IF(E516="G",F516,0))+(S516*IF(G516="G",H516,0))</x:f>
      </x:c>
      <x:c r="Z516" s="6">
        <x:f>(S516*IF(E516="E",F516,0))+(S516*IF(G516="E",H516,0))</x:f>
      </x:c>
      <x:c r="AA516" s="6">
        <x:f>(S516*IF(E516="T",F516,0))+(S516*IF(G516="T",H516,0))</x:f>
      </x:c>
      <x:c r="AB516" s="6">
        <x:f>(S516*IF(E516="L",F516,0))+(S516*IF(G516="L",H516,0))</x:f>
      </x:c>
      <x:c r="AC516" s="6">
        <x:f>(S516*IF(E516="H",F516,0))+(S516*IF(G516="H",H516,0))</x:f>
      </x:c>
      <x:c r="AD516" s="6">
        <x:f>(S516*IF(E516="V",F516,0))+(S516*IF(G516="V",H516,0))</x:f>
      </x:c>
      <x:c r="AE516" s="6">
        <x:f>(S516*IF(E516="R",F516,0))+(S516*IF(G516="R",H516,0))</x:f>
      </x:c>
      <x:c r="AF516" s="6">
        <x:f>(S516*IF(E516="F",F516,0))+(S516*IF(G516="F",H516,0))</x:f>
      </x:c>
      <x:c r="AG516" s="6">
        <x:f>(S516*IF(E516="W",F516,0))+(S516*IF(G516="W",H516,0))</x:f>
      </x:c>
    </x:row>
    <x:row r="517">
      <x:c r="A517" s="3" t="inlineStr">
        <x:is>
          <x:t xml:space="preserve">Security</x:t>
        </x:is>
      </x:c>
      <x:c r="B517" s="3" t="inlineStr">
        <x:is>
          <x:t xml:space="preserve">SEC-D13-Q37</x:t>
        </x:is>
      </x:c>
      <x:c r="C517" s="3" t="inlineStr">
        <x:is>
          <x:t xml:space="preserve">T3</x:t>
        </x:is>
      </x:c>
      <x:c r="D517" s="3" t="inlineStr">
        <x:is>
          <x:t xml:space="preserve">13. Detection Quality &amp; Testing (Deep)</x:t>
        </x:is>
      </x:c>
      <x:c r="E517" s="3" t="inlineStr">
        <x:is>
          <x:t xml:space="preserve">E</x:t>
        </x:is>
      </x:c>
      <x:c r="F517" s="3" t="n">
        <x:v>0.5</x:v>
      </x:c>
      <x:c r="G517" s="3" t="inlineStr">
        <x:is>
          <x:t xml:space="preserve">T</x:t>
        </x:is>
      </x:c>
      <x:c r="H517" s="3" t="n">
        <x:v>0.5</x:v>
      </x:c>
      <x:c r="I517" s="3" t="inlineStr">
        <x:is>
          <x:t xml:space="preserve">How do you test that insider detections actually work (and still work after changes)?</x:t>
        </x:is>
      </x:c>
      <x:c r="J517" s="3" t="inlineStr">
        <x:is>
          <x:t xml:space="preserve">Testing can include tabletop simulations, purple team exercises, test data, detection ‘unit tests’, and periodic validation of coverage for priority scenarios.</x:t>
        </x:is>
      </x:c>
      <x:c r="K517" s="3" t="inlineStr">
        <x:is>
          <x:t xml:space="preserve">Optional Annex (Ask in Full/Deep mode OR if SEC-D3-Q07 BaseScore ≥ 2).</x:t>
        </x:is>
      </x:c>
      <x:c r="L517" s="3" t="inlineStr">
        <x:is>
          <x:t xml:space="preserve">OPS_STD</x:t>
        </x:is>
      </x:c>
      <x:c r="M517" s="3" t="n">
        <x:v>1.5</x:v>
      </x:c>
      <x:c r="N517" s="3" t="n">
        <x:v>0.5</x:v>
      </x:c>
      <x:c r="O517" s="3" t="n"/>
      <x:c r="P517" s="3" t="inlineStr">
        <x:is>
          <x:t xml:space="preserve">SEC-D13-Q37-A0</x:t>
        </x:is>
      </x:c>
      <x:c r="Q517" s="3" t="n">
        <x:v>1</x:v>
      </x:c>
      <x:c r="R517" s="3" t="inlineStr">
        <x:is>
          <x:t xml:space="preserve">I don’t know / not sure.</x:t>
        </x:is>
      </x:c>
      <x:c r="S517" s="3" t="n">
        <x:v>0</x:v>
      </x:c>
      <x:c r="T517" s="3" t="inlineStr">
        <x:is>
          <x:t xml:space="preserve">unknown</x:t>
        </x:is>
      </x:c>
      <x:c r="U517" s="3" t="inlineStr">
        <x:is>
          <x:t xml:space="preserve">Unknown</x:t>
        </x:is>
      </x:c>
      <x:c r="V517" s="3" t="inlineStr">
        <x:is>
          <x:t xml:space="preserve">Clarify_Stakeholders</x:t>
        </x:is>
      </x:c>
      <x:c r="W517" s="3" t="inlineStr">
        <x:is>
          <x:t xml:space="preserve">N</x:t>
        </x:is>
      </x:c>
      <x:c r="X517" s="3" t="inlineStr">
        <x:is>
          <x:t xml:space="preserve">None</x:t>
        </x:is>
      </x:c>
      <x:c r="Y517" s="6">
        <x:f>(S517*IF(E517="G",F517,0))+(S517*IF(G517="G",H517,0))</x:f>
      </x:c>
      <x:c r="Z517" s="6">
        <x:f>(S517*IF(E517="E",F517,0))+(S517*IF(G517="E",H517,0))</x:f>
      </x:c>
      <x:c r="AA517" s="6">
        <x:f>(S517*IF(E517="T",F517,0))+(S517*IF(G517="T",H517,0))</x:f>
      </x:c>
      <x:c r="AB517" s="6">
        <x:f>(S517*IF(E517="L",F517,0))+(S517*IF(G517="L",H517,0))</x:f>
      </x:c>
      <x:c r="AC517" s="6">
        <x:f>(S517*IF(E517="H",F517,0))+(S517*IF(G517="H",H517,0))</x:f>
      </x:c>
      <x:c r="AD517" s="6">
        <x:f>(S517*IF(E517="V",F517,0))+(S517*IF(G517="V",H517,0))</x:f>
      </x:c>
      <x:c r="AE517" s="6">
        <x:f>(S517*IF(E517="R",F517,0))+(S517*IF(G517="R",H517,0))</x:f>
      </x:c>
      <x:c r="AF517" s="6">
        <x:f>(S517*IF(E517="F",F517,0))+(S517*IF(G517="F",H517,0))</x:f>
      </x:c>
      <x:c r="AG517" s="6">
        <x:f>(S517*IF(E517="W",F517,0))+(S517*IF(G517="W",H517,0))</x:f>
      </x:c>
    </x:row>
    <x:row r="518">
      <x:c r="A518" s="3" t="inlineStr">
        <x:is>
          <x:t xml:space="preserve">Security</x:t>
        </x:is>
      </x:c>
      <x:c r="B518" s="3" t="inlineStr">
        <x:is>
          <x:t xml:space="preserve">SEC-D13-Q37</x:t>
        </x:is>
      </x:c>
      <x:c r="C518" s="3" t="inlineStr">
        <x:is>
          <x:t xml:space="preserve">T3</x:t>
        </x:is>
      </x:c>
      <x:c r="D518" s="3" t="inlineStr">
        <x:is>
          <x:t xml:space="preserve">13. Detection Quality &amp; Testing (Deep)</x:t>
        </x:is>
      </x:c>
      <x:c r="E518" s="3" t="inlineStr">
        <x:is>
          <x:t xml:space="preserve">E</x:t>
        </x:is>
      </x:c>
      <x:c r="F518" s="3" t="n">
        <x:v>0.5</x:v>
      </x:c>
      <x:c r="G518" s="3" t="inlineStr">
        <x:is>
          <x:t xml:space="preserve">T</x:t>
        </x:is>
      </x:c>
      <x:c r="H518" s="3" t="n">
        <x:v>0.5</x:v>
      </x:c>
      <x:c r="I518" s="3" t="inlineStr">
        <x:is>
          <x:t xml:space="preserve">How do you test that insider detections actually work (and still work after changes)?</x:t>
        </x:is>
      </x:c>
      <x:c r="J518" s="3" t="inlineStr">
        <x:is>
          <x:t xml:space="preserve">Testing can include tabletop simulations, purple team exercises, test data, detection ‘unit tests’, and periodic validation of coverage for priority scenarios.</x:t>
        </x:is>
      </x:c>
      <x:c r="K518" s="3" t="inlineStr">
        <x:is>
          <x:t xml:space="preserve">Optional Annex (Ask in Full/Deep mode OR if SEC-D3-Q07 BaseScore ≥ 2).</x:t>
        </x:is>
      </x:c>
      <x:c r="L518" s="3" t="inlineStr">
        <x:is>
          <x:t xml:space="preserve">OPS_STD</x:t>
        </x:is>
      </x:c>
      <x:c r="M518" s="3" t="n">
        <x:v>1.5</x:v>
      </x:c>
      <x:c r="N518" s="3" t="n">
        <x:v>0.5</x:v>
      </x:c>
      <x:c r="O518" s="3" t="n"/>
      <x:c r="P518" s="3" t="inlineStr">
        <x:is>
          <x:t xml:space="preserve">SEC-D13-Q37-A1</x:t>
        </x:is>
      </x:c>
      <x:c r="Q518" s="3" t="n">
        <x:v>2</x:v>
      </x:c>
      <x:c r="R518" s="3" t="inlineStr">
        <x:is>
          <x:t xml:space="preserve">We don’t test detections; we only learn after an incident or a major alert miss.</x:t>
        </x:is>
      </x:c>
      <x:c r="S518" s="3" t="n">
        <x:v>0</x:v>
      </x:c>
      <x:c r="T518" s="3" t="inlineStr">
        <x:is>
          <x:t xml:space="preserve">testing_gap,reactive</x:t>
        </x:is>
      </x:c>
      <x:c r="U518" s="3" t="inlineStr">
        <x:is>
          <x:t xml:space="preserve">Paper Dragon</x:t>
        </x:is>
      </x:c>
      <x:c r="V518" s="3" t="inlineStr">
        <x:is>
          <x:t xml:space="preserve">Run_Purple_Team</x:t>
        </x:is>
      </x:c>
      <x:c r="W518" s="3" t="inlineStr">
        <x:is>
          <x:t xml:space="preserve">N</x:t>
        </x:is>
      </x:c>
      <x:c r="X518" s="3" t="inlineStr">
        <x:is>
          <x:t xml:space="preserve">None</x:t>
        </x:is>
      </x:c>
      <x:c r="Y518" s="6">
        <x:f>(S518*IF(E518="G",F518,0))+(S518*IF(G518="G",H518,0))</x:f>
      </x:c>
      <x:c r="Z518" s="6">
        <x:f>(S518*IF(E518="E",F518,0))+(S518*IF(G518="E",H518,0))</x:f>
      </x:c>
      <x:c r="AA518" s="6">
        <x:f>(S518*IF(E518="T",F518,0))+(S518*IF(G518="T",H518,0))</x:f>
      </x:c>
      <x:c r="AB518" s="6">
        <x:f>(S518*IF(E518="L",F518,0))+(S518*IF(G518="L",H518,0))</x:f>
      </x:c>
      <x:c r="AC518" s="6">
        <x:f>(S518*IF(E518="H",F518,0))+(S518*IF(G518="H",H518,0))</x:f>
      </x:c>
      <x:c r="AD518" s="6">
        <x:f>(S518*IF(E518="V",F518,0))+(S518*IF(G518="V",H518,0))</x:f>
      </x:c>
      <x:c r="AE518" s="6">
        <x:f>(S518*IF(E518="R",F518,0))+(S518*IF(G518="R",H518,0))</x:f>
      </x:c>
      <x:c r="AF518" s="6">
        <x:f>(S518*IF(E518="F",F518,0))+(S518*IF(G518="F",H518,0))</x:f>
      </x:c>
      <x:c r="AG518" s="6">
        <x:f>(S518*IF(E518="W",F518,0))+(S518*IF(G518="W",H518,0))</x:f>
      </x:c>
    </x:row>
    <x:row r="519">
      <x:c r="A519" s="3" t="inlineStr">
        <x:is>
          <x:t xml:space="preserve">Security</x:t>
        </x:is>
      </x:c>
      <x:c r="B519" s="3" t="inlineStr">
        <x:is>
          <x:t xml:space="preserve">SEC-D13-Q37</x:t>
        </x:is>
      </x:c>
      <x:c r="C519" s="3" t="inlineStr">
        <x:is>
          <x:t xml:space="preserve">T3</x:t>
        </x:is>
      </x:c>
      <x:c r="D519" s="3" t="inlineStr">
        <x:is>
          <x:t xml:space="preserve">13. Detection Quality &amp; Testing (Deep)</x:t>
        </x:is>
      </x:c>
      <x:c r="E519" s="3" t="inlineStr">
        <x:is>
          <x:t xml:space="preserve">E</x:t>
        </x:is>
      </x:c>
      <x:c r="F519" s="3" t="n">
        <x:v>0.5</x:v>
      </x:c>
      <x:c r="G519" s="3" t="inlineStr">
        <x:is>
          <x:t xml:space="preserve">T</x:t>
        </x:is>
      </x:c>
      <x:c r="H519" s="3" t="n">
        <x:v>0.5</x:v>
      </x:c>
      <x:c r="I519" s="3" t="inlineStr">
        <x:is>
          <x:t xml:space="preserve">How do you test that insider detections actually work (and still work after changes)?</x:t>
        </x:is>
      </x:c>
      <x:c r="J519" s="3" t="inlineStr">
        <x:is>
          <x:t xml:space="preserve">Testing can include tabletop simulations, purple team exercises, test data, detection ‘unit tests’, and periodic validation of coverage for priority scenarios.</x:t>
        </x:is>
      </x:c>
      <x:c r="K519" s="3" t="inlineStr">
        <x:is>
          <x:t xml:space="preserve">Optional Annex (Ask in Full/Deep mode OR if SEC-D3-Q07 BaseScore ≥ 2).</x:t>
        </x:is>
      </x:c>
      <x:c r="L519" s="3" t="inlineStr">
        <x:is>
          <x:t xml:space="preserve">OPS_STD</x:t>
        </x:is>
      </x:c>
      <x:c r="M519" s="3" t="n">
        <x:v>1.5</x:v>
      </x:c>
      <x:c r="N519" s="3" t="n">
        <x:v>0.5</x:v>
      </x:c>
      <x:c r="O519" s="3" t="n"/>
      <x:c r="P519" s="3" t="inlineStr">
        <x:is>
          <x:t xml:space="preserve">SEC-D13-Q37-A2</x:t>
        </x:is>
      </x:c>
      <x:c r="Q519" s="3" t="n">
        <x:v>3</x:v>
      </x:c>
      <x:c r="R519" s="3" t="inlineStr">
        <x:is>
          <x:t xml:space="preserve">We run ad-hoc tests when someone has time or after changes; results aren’t tracked systematically.</x:t>
        </x:is>
      </x:c>
      <x:c r="S519" s="3" t="n">
        <x:v>1</x:v>
      </x:c>
      <x:c r="T519" s="3" t="inlineStr">
        <x:is>
          <x:t xml:space="preserve">ad_hoc,testing_gap</x:t>
        </x:is>
      </x:c>
      <x:c r="U519" s="3" t="inlineStr">
        <x:is>
          <x:t xml:space="preserve">Shadow Mature</x:t>
        </x:is>
      </x:c>
      <x:c r="V519" s="3" t="inlineStr">
        <x:is>
          <x:t xml:space="preserve">Run_Purple_Team</x:t>
        </x:is>
      </x:c>
      <x:c r="W519" s="3" t="inlineStr">
        <x:is>
          <x:t xml:space="preserve">N</x:t>
        </x:is>
      </x:c>
      <x:c r="X519" s="3" t="inlineStr">
        <x:is>
          <x:t xml:space="preserve">Example of a past test</x:t>
        </x:is>
      </x:c>
      <x:c r="Y519" s="6">
        <x:f>(S519*IF(E519="G",F519,0))+(S519*IF(G519="G",H519,0))</x:f>
      </x:c>
      <x:c r="Z519" s="6">
        <x:f>(S519*IF(E519="E",F519,0))+(S519*IF(G519="E",H519,0))</x:f>
      </x:c>
      <x:c r="AA519" s="6">
        <x:f>(S519*IF(E519="T",F519,0))+(S519*IF(G519="T",H519,0))</x:f>
      </x:c>
      <x:c r="AB519" s="6">
        <x:f>(S519*IF(E519="L",F519,0))+(S519*IF(G519="L",H519,0))</x:f>
      </x:c>
      <x:c r="AC519" s="6">
        <x:f>(S519*IF(E519="H",F519,0))+(S519*IF(G519="H",H519,0))</x:f>
      </x:c>
      <x:c r="AD519" s="6">
        <x:f>(S519*IF(E519="V",F519,0))+(S519*IF(G519="V",H519,0))</x:f>
      </x:c>
      <x:c r="AE519" s="6">
        <x:f>(S519*IF(E519="R",F519,0))+(S519*IF(G519="R",H519,0))</x:f>
      </x:c>
      <x:c r="AF519" s="6">
        <x:f>(S519*IF(E519="F",F519,0))+(S519*IF(G519="F",H519,0))</x:f>
      </x:c>
      <x:c r="AG519" s="6">
        <x:f>(S519*IF(E519="W",F519,0))+(S519*IF(G519="W",H519,0))</x:f>
      </x:c>
    </x:row>
    <x:row r="520">
      <x:c r="A520" s="3" t="inlineStr">
        <x:is>
          <x:t xml:space="preserve">Security</x:t>
        </x:is>
      </x:c>
      <x:c r="B520" s="3" t="inlineStr">
        <x:is>
          <x:t xml:space="preserve">SEC-D13-Q37</x:t>
        </x:is>
      </x:c>
      <x:c r="C520" s="3" t="inlineStr">
        <x:is>
          <x:t xml:space="preserve">T3</x:t>
        </x:is>
      </x:c>
      <x:c r="D520" s="3" t="inlineStr">
        <x:is>
          <x:t xml:space="preserve">13. Detection Quality &amp; Testing (Deep)</x:t>
        </x:is>
      </x:c>
      <x:c r="E520" s="3" t="inlineStr">
        <x:is>
          <x:t xml:space="preserve">E</x:t>
        </x:is>
      </x:c>
      <x:c r="F520" s="3" t="n">
        <x:v>0.5</x:v>
      </x:c>
      <x:c r="G520" s="3" t="inlineStr">
        <x:is>
          <x:t xml:space="preserve">T</x:t>
        </x:is>
      </x:c>
      <x:c r="H520" s="3" t="n">
        <x:v>0.5</x:v>
      </x:c>
      <x:c r="I520" s="3" t="inlineStr">
        <x:is>
          <x:t xml:space="preserve">How do you test that insider detections actually work (and still work after changes)?</x:t>
        </x:is>
      </x:c>
      <x:c r="J520" s="3" t="inlineStr">
        <x:is>
          <x:t xml:space="preserve">Testing can include tabletop simulations, purple team exercises, test data, detection ‘unit tests’, and periodic validation of coverage for priority scenarios.</x:t>
        </x:is>
      </x:c>
      <x:c r="K520" s="3" t="inlineStr">
        <x:is>
          <x:t xml:space="preserve">Optional Annex (Ask in Full/Deep mode OR if SEC-D3-Q07 BaseScore ≥ 2).</x:t>
        </x:is>
      </x:c>
      <x:c r="L520" s="3" t="inlineStr">
        <x:is>
          <x:t xml:space="preserve">OPS_STD</x:t>
        </x:is>
      </x:c>
      <x:c r="M520" s="3" t="n">
        <x:v>1.5</x:v>
      </x:c>
      <x:c r="N520" s="3" t="n">
        <x:v>0.5</x:v>
      </x:c>
      <x:c r="O520" s="3" t="n"/>
      <x:c r="P520" s="3" t="inlineStr">
        <x:is>
          <x:t xml:space="preserve">SEC-D13-Q37-A3</x:t>
        </x:is>
      </x:c>
      <x:c r="Q520" s="3" t="n">
        <x:v>4</x:v>
      </x:c>
      <x:c r="R520" s="3" t="inlineStr">
        <x:is>
          <x:t xml:space="preserve">We run periodic table-tops or simulations, but coverage and outcomes are not measured.</x:t>
        </x:is>
      </x:c>
      <x:c r="S520" s="3" t="n">
        <x:v>2</x:v>
      </x:c>
      <x:c r="T520" s="3" t="inlineStr">
        <x:is>
          <x:t xml:space="preserve">partial_maturity,inconsistent_execution</x:t>
        </x:is>
      </x:c>
      <x:c r="U520" s="3" t="inlineStr">
        <x:is>
          <x:t xml:space="preserve">Resilience Gap</x:t>
        </x:is>
      </x:c>
      <x:c r="V520" s="3" t="inlineStr">
        <x:is>
          <x:t xml:space="preserve">Run_Purple_Team</x:t>
        </x:is>
      </x:c>
      <x:c r="W520" s="3" t="inlineStr">
        <x:is>
          <x:t xml:space="preserve">N</x:t>
        </x:is>
      </x:c>
      <x:c r="X520" s="3" t="inlineStr">
        <x:is>
          <x:t xml:space="preserve">Exercise notes</x:t>
        </x:is>
      </x:c>
      <x:c r="Y520" s="6">
        <x:f>(S520*IF(E520="G",F520,0))+(S520*IF(G520="G",H520,0))</x:f>
      </x:c>
      <x:c r="Z520" s="6">
        <x:f>(S520*IF(E520="E",F520,0))+(S520*IF(G520="E",H520,0))</x:f>
      </x:c>
      <x:c r="AA520" s="6">
        <x:f>(S520*IF(E520="T",F520,0))+(S520*IF(G520="T",H520,0))</x:f>
      </x:c>
      <x:c r="AB520" s="6">
        <x:f>(S520*IF(E520="L",F520,0))+(S520*IF(G520="L",H520,0))</x:f>
      </x:c>
      <x:c r="AC520" s="6">
        <x:f>(S520*IF(E520="H",F520,0))+(S520*IF(G520="H",H520,0))</x:f>
      </x:c>
      <x:c r="AD520" s="6">
        <x:f>(S520*IF(E520="V",F520,0))+(S520*IF(G520="V",H520,0))</x:f>
      </x:c>
      <x:c r="AE520" s="6">
        <x:f>(S520*IF(E520="R",F520,0))+(S520*IF(G520="R",H520,0))</x:f>
      </x:c>
      <x:c r="AF520" s="6">
        <x:f>(S520*IF(E520="F",F520,0))+(S520*IF(G520="F",H520,0))</x:f>
      </x:c>
      <x:c r="AG520" s="6">
        <x:f>(S520*IF(E520="W",F520,0))+(S520*IF(G520="W",H520,0))</x:f>
      </x:c>
    </x:row>
    <x:row r="521">
      <x:c r="A521" s="3" t="inlineStr">
        <x:is>
          <x:t xml:space="preserve">Security</x:t>
        </x:is>
      </x:c>
      <x:c r="B521" s="3" t="inlineStr">
        <x:is>
          <x:t xml:space="preserve">SEC-D13-Q37</x:t>
        </x:is>
      </x:c>
      <x:c r="C521" s="3" t="inlineStr">
        <x:is>
          <x:t xml:space="preserve">T3</x:t>
        </x:is>
      </x:c>
      <x:c r="D521" s="3" t="inlineStr">
        <x:is>
          <x:t xml:space="preserve">13. Detection Quality &amp; Testing (Deep)</x:t>
        </x:is>
      </x:c>
      <x:c r="E521" s="3" t="inlineStr">
        <x:is>
          <x:t xml:space="preserve">E</x:t>
        </x:is>
      </x:c>
      <x:c r="F521" s="3" t="n">
        <x:v>0.5</x:v>
      </x:c>
      <x:c r="G521" s="3" t="inlineStr">
        <x:is>
          <x:t xml:space="preserve">T</x:t>
        </x:is>
      </x:c>
      <x:c r="H521" s="3" t="n">
        <x:v>0.5</x:v>
      </x:c>
      <x:c r="I521" s="3" t="inlineStr">
        <x:is>
          <x:t xml:space="preserve">How do you test that insider detections actually work (and still work after changes)?</x:t>
        </x:is>
      </x:c>
      <x:c r="J521" s="3" t="inlineStr">
        <x:is>
          <x:t xml:space="preserve">Testing can include tabletop simulations, purple team exercises, test data, detection ‘unit tests’, and periodic validation of coverage for priority scenarios.</x:t>
        </x:is>
      </x:c>
      <x:c r="K521" s="3" t="inlineStr">
        <x:is>
          <x:t xml:space="preserve">Optional Annex (Ask in Full/Deep mode OR if SEC-D3-Q07 BaseScore ≥ 2).</x:t>
        </x:is>
      </x:c>
      <x:c r="L521" s="3" t="inlineStr">
        <x:is>
          <x:t xml:space="preserve">OPS_STD</x:t>
        </x:is>
      </x:c>
      <x:c r="M521" s="3" t="n">
        <x:v>1.5</x:v>
      </x:c>
      <x:c r="N521" s="3" t="n">
        <x:v>0.5</x:v>
      </x:c>
      <x:c r="O521" s="3" t="n"/>
      <x:c r="P521" s="3" t="inlineStr">
        <x:is>
          <x:t xml:space="preserve">SEC-D13-Q37-A4</x:t>
        </x:is>
      </x:c>
      <x:c r="Q521" s="3" t="n">
        <x:v>5</x:v>
      </x:c>
      <x:c r="R521" s="3" t="inlineStr">
        <x:is>
          <x:t xml:space="preserve">We test priority insider scenarios at least quarterly; outcomes are tracked and drive improvements.</x:t>
        </x:is>
      </x:c>
      <x:c r="S521" s="3" t="n">
        <x:v>3</x:v>
      </x:c>
      <x:c r="T521" s="3" t="inlineStr">
        <x:is>
          <x:t xml:space="preserve">good_practice,execution_strength</x:t>
        </x:is>
      </x:c>
      <x:c r="U521" s="3" t="n"/>
      <x:c r="V521" s="3" t="inlineStr">
        <x:is>
          <x:t xml:space="preserve">Request_Evidence</x:t>
        </x:is>
      </x:c>
      <x:c r="W521" s="3" t="inlineStr">
        <x:is>
          <x:t xml:space="preserve">N</x:t>
        </x:is>
      </x:c>
      <x:c r="X521" s="3" t="inlineStr">
        <x:is>
          <x:t xml:space="preserve">Test plan + results</x:t>
        </x:is>
      </x:c>
      <x:c r="Y521" s="6">
        <x:f>(S521*IF(E521="G",F521,0))+(S521*IF(G521="G",H521,0))</x:f>
      </x:c>
      <x:c r="Z521" s="6">
        <x:f>(S521*IF(E521="E",F521,0))+(S521*IF(G521="E",H521,0))</x:f>
      </x:c>
      <x:c r="AA521" s="6">
        <x:f>(S521*IF(E521="T",F521,0))+(S521*IF(G521="T",H521,0))</x:f>
      </x:c>
      <x:c r="AB521" s="6">
        <x:f>(S521*IF(E521="L",F521,0))+(S521*IF(G521="L",H521,0))</x:f>
      </x:c>
      <x:c r="AC521" s="6">
        <x:f>(S521*IF(E521="H",F521,0))+(S521*IF(G521="H",H521,0))</x:f>
      </x:c>
      <x:c r="AD521" s="6">
        <x:f>(S521*IF(E521="V",F521,0))+(S521*IF(G521="V",H521,0))</x:f>
      </x:c>
      <x:c r="AE521" s="6">
        <x:f>(S521*IF(E521="R",F521,0))+(S521*IF(G521="R",H521,0))</x:f>
      </x:c>
      <x:c r="AF521" s="6">
        <x:f>(S521*IF(E521="F",F521,0))+(S521*IF(G521="F",H521,0))</x:f>
      </x:c>
      <x:c r="AG521" s="6">
        <x:f>(S521*IF(E521="W",F521,0))+(S521*IF(G521="W",H521,0))</x:f>
      </x:c>
    </x:row>
    <x:row r="522">
      <x:c r="A522" s="3" t="inlineStr">
        <x:is>
          <x:t xml:space="preserve">Security</x:t>
        </x:is>
      </x:c>
      <x:c r="B522" s="3" t="inlineStr">
        <x:is>
          <x:t xml:space="preserve">SEC-D13-Q37</x:t>
        </x:is>
      </x:c>
      <x:c r="C522" s="3" t="inlineStr">
        <x:is>
          <x:t xml:space="preserve">T3</x:t>
        </x:is>
      </x:c>
      <x:c r="D522" s="3" t="inlineStr">
        <x:is>
          <x:t xml:space="preserve">13. Detection Quality &amp; Testing (Deep)</x:t>
        </x:is>
      </x:c>
      <x:c r="E522" s="3" t="inlineStr">
        <x:is>
          <x:t xml:space="preserve">E</x:t>
        </x:is>
      </x:c>
      <x:c r="F522" s="3" t="n">
        <x:v>0.5</x:v>
      </x:c>
      <x:c r="G522" s="3" t="inlineStr">
        <x:is>
          <x:t xml:space="preserve">T</x:t>
        </x:is>
      </x:c>
      <x:c r="H522" s="3" t="n">
        <x:v>0.5</x:v>
      </x:c>
      <x:c r="I522" s="3" t="inlineStr">
        <x:is>
          <x:t xml:space="preserve">How do you test that insider detections actually work (and still work after changes)?</x:t>
        </x:is>
      </x:c>
      <x:c r="J522" s="3" t="inlineStr">
        <x:is>
          <x:t xml:space="preserve">Testing can include tabletop simulations, purple team exercises, test data, detection ‘unit tests’, and periodic validation of coverage for priority scenarios.</x:t>
        </x:is>
      </x:c>
      <x:c r="K522" s="3" t="inlineStr">
        <x:is>
          <x:t xml:space="preserve">Optional Annex (Ask in Full/Deep mode OR if SEC-D3-Q07 BaseScore ≥ 2).</x:t>
        </x:is>
      </x:c>
      <x:c r="L522" s="3" t="inlineStr">
        <x:is>
          <x:t xml:space="preserve">OPS_STD</x:t>
        </x:is>
      </x:c>
      <x:c r="M522" s="3" t="n">
        <x:v>1.5</x:v>
      </x:c>
      <x:c r="N522" s="3" t="n">
        <x:v>0.5</x:v>
      </x:c>
      <x:c r="O522" s="3" t="n"/>
      <x:c r="P522" s="3" t="inlineStr">
        <x:is>
          <x:t xml:space="preserve">SEC-D13-Q37-A5</x:t>
        </x:is>
      </x:c>
      <x:c r="Q522" s="3" t="n">
        <x:v>6</x:v>
      </x:c>
      <x:c r="R522" s="3" t="inlineStr">
        <x:is>
          <x:t xml:space="preserve">We use detection-as-code/testing (test cases, regression checks) and regular purple teaming; drift is detected automatically.</x:t>
        </x:is>
      </x:c>
      <x:c r="S522" s="3" t="n">
        <x:v>4</x:v>
      </x:c>
      <x:c r="T522" s="3" t="inlineStr">
        <x:is>
          <x:t xml:space="preserve">optimized,execution_strength</x:t>
        </x:is>
      </x:c>
      <x:c r="U522" s="3" t="n"/>
      <x:c r="V522" s="3" t="inlineStr">
        <x:is>
          <x:t xml:space="preserve">Request_Evidence</x:t>
        </x:is>
      </x:c>
      <x:c r="W522" s="3" t="inlineStr">
        <x:is>
          <x:t xml:space="preserve">N</x:t>
        </x:is>
      </x:c>
      <x:c r="X522" s="3" t="inlineStr">
        <x:is>
          <x:t xml:space="preserve">Test pipeline proof</x:t>
        </x:is>
      </x:c>
      <x:c r="Y522" s="6">
        <x:f>(S522*IF(E522="G",F522,0))+(S522*IF(G522="G",H522,0))</x:f>
      </x:c>
      <x:c r="Z522" s="6">
        <x:f>(S522*IF(E522="E",F522,0))+(S522*IF(G522="E",H522,0))</x:f>
      </x:c>
      <x:c r="AA522" s="6">
        <x:f>(S522*IF(E522="T",F522,0))+(S522*IF(G522="T",H522,0))</x:f>
      </x:c>
      <x:c r="AB522" s="6">
        <x:f>(S522*IF(E522="L",F522,0))+(S522*IF(G522="L",H522,0))</x:f>
      </x:c>
      <x:c r="AC522" s="6">
        <x:f>(S522*IF(E522="H",F522,0))+(S522*IF(G522="H",H522,0))</x:f>
      </x:c>
      <x:c r="AD522" s="6">
        <x:f>(S522*IF(E522="V",F522,0))+(S522*IF(G522="V",H522,0))</x:f>
      </x:c>
      <x:c r="AE522" s="6">
        <x:f>(S522*IF(E522="R",F522,0))+(S522*IF(G522="R",H522,0))</x:f>
      </x:c>
      <x:c r="AF522" s="6">
        <x:f>(S522*IF(E522="F",F522,0))+(S522*IF(G522="F",H522,0))</x:f>
      </x:c>
      <x:c r="AG522" s="6">
        <x:f>(S522*IF(E522="W",F522,0))+(S522*IF(G522="W",H522,0))</x:f>
      </x:c>
    </x:row>
    <x:row r="523">
      <x:c r="A523" s="3" t="inlineStr">
        <x:is>
          <x:t xml:space="preserve">Security</x:t>
        </x:is>
      </x:c>
      <x:c r="B523" s="3" t="inlineStr">
        <x:is>
          <x:t xml:space="preserve">SEC-D13-Q38</x:t>
        </x:is>
      </x:c>
      <x:c r="C523" s="3" t="inlineStr">
        <x:is>
          <x:t xml:space="preserve">T4</x:t>
        </x:is>
      </x:c>
      <x:c r="D523" s="3" t="inlineStr">
        <x:is>
          <x:t xml:space="preserve">13. Detection Quality &amp; Testing (Deep)</x:t>
        </x:is>
      </x:c>
      <x:c r="E523" s="3" t="inlineStr">
        <x:is>
          <x:t xml:space="preserve">E</x:t>
        </x:is>
      </x:c>
      <x:c r="F523" s="3" t="n">
        <x:v>0.7</x:v>
      </x:c>
      <x:c r="G523" s="3" t="inlineStr">
        <x:is>
          <x:t xml:space="preserve">R</x:t>
        </x:is>
      </x:c>
      <x:c r="H523" s="3" t="n">
        <x:v>0.3</x:v>
      </x:c>
      <x:c r="I523" s="3" t="inlineStr">
        <x:is>
          <x:t xml:space="preserve">How do you measure and improve triage quality (accuracy, consistency, bias reduction) for insider-related alerts?</x:t>
        </x:is>
      </x:c>
      <x:c r="J523" s="3" t="inlineStr">
        <x:is>
          <x:t xml:space="preserve">Think: sampling of closed cases, second‑pair review, blind reviews, clear escalation criteria, and coaching based on measured error patterns.</x:t>
        </x:is>
      </x:c>
      <x:c r="K523" s="3" t="inlineStr">
        <x:is>
          <x:t xml:space="preserve">Optional Annex (Ask in Full/Deep mode).</x:t>
        </x:is>
      </x:c>
      <x:c r="L523" s="3" t="inlineStr">
        <x:is>
          <x:t xml:space="preserve">OPS_STD</x:t>
        </x:is>
      </x:c>
      <x:c r="M523" s="3" t="n">
        <x:v>1</x:v>
      </x:c>
      <x:c r="N523" s="3" t="n"/>
      <x:c r="O523" s="3" t="n"/>
      <x:c r="P523" s="3" t="inlineStr">
        <x:is>
          <x:t xml:space="preserve">SEC-D13-Q38-A0</x:t>
        </x:is>
      </x:c>
      <x:c r="Q523" s="3" t="n">
        <x:v>1</x:v>
      </x:c>
      <x:c r="R523" s="3" t="inlineStr">
        <x:is>
          <x:t xml:space="preserve">I don’t know / not sure.</x:t>
        </x:is>
      </x:c>
      <x:c r="S523" s="3" t="n">
        <x:v>0</x:v>
      </x:c>
      <x:c r="T523" s="3" t="inlineStr">
        <x:is>
          <x:t xml:space="preserve">unknown</x:t>
        </x:is>
      </x:c>
      <x:c r="U523" s="3" t="inlineStr">
        <x:is>
          <x:t xml:space="preserve">Unknown</x:t>
        </x:is>
      </x:c>
      <x:c r="V523" s="3" t="inlineStr">
        <x:is>
          <x:t xml:space="preserve">Clarify_Stakeholders</x:t>
        </x:is>
      </x:c>
      <x:c r="W523" s="3" t="inlineStr">
        <x:is>
          <x:t xml:space="preserve">N</x:t>
        </x:is>
      </x:c>
      <x:c r="X523" s="3" t="inlineStr">
        <x:is>
          <x:t xml:space="preserve">None</x:t>
        </x:is>
      </x:c>
      <x:c r="Y523" s="6">
        <x:f>(S523*IF(E523="G",F523,0))+(S523*IF(G523="G",H523,0))</x:f>
      </x:c>
      <x:c r="Z523" s="6">
        <x:f>(S523*IF(E523="E",F523,0))+(S523*IF(G523="E",H523,0))</x:f>
      </x:c>
      <x:c r="AA523" s="6">
        <x:f>(S523*IF(E523="T",F523,0))+(S523*IF(G523="T",H523,0))</x:f>
      </x:c>
      <x:c r="AB523" s="6">
        <x:f>(S523*IF(E523="L",F523,0))+(S523*IF(G523="L",H523,0))</x:f>
      </x:c>
      <x:c r="AC523" s="6">
        <x:f>(S523*IF(E523="H",F523,0))+(S523*IF(G523="H",H523,0))</x:f>
      </x:c>
      <x:c r="AD523" s="6">
        <x:f>(S523*IF(E523="V",F523,0))+(S523*IF(G523="V",H523,0))</x:f>
      </x:c>
      <x:c r="AE523" s="6">
        <x:f>(S523*IF(E523="R",F523,0))+(S523*IF(G523="R",H523,0))</x:f>
      </x:c>
      <x:c r="AF523" s="6">
        <x:f>(S523*IF(E523="F",F523,0))+(S523*IF(G523="F",H523,0))</x:f>
      </x:c>
      <x:c r="AG523" s="6">
        <x:f>(S523*IF(E523="W",F523,0))+(S523*IF(G523="W",H523,0))</x:f>
      </x:c>
    </x:row>
    <x:row r="524">
      <x:c r="A524" s="3" t="inlineStr">
        <x:is>
          <x:t xml:space="preserve">Security</x:t>
        </x:is>
      </x:c>
      <x:c r="B524" s="3" t="inlineStr">
        <x:is>
          <x:t xml:space="preserve">SEC-D13-Q38</x:t>
        </x:is>
      </x:c>
      <x:c r="C524" s="3" t="inlineStr">
        <x:is>
          <x:t xml:space="preserve">T4</x:t>
        </x:is>
      </x:c>
      <x:c r="D524" s="3" t="inlineStr">
        <x:is>
          <x:t xml:space="preserve">13. Detection Quality &amp; Testing (Deep)</x:t>
        </x:is>
      </x:c>
      <x:c r="E524" s="3" t="inlineStr">
        <x:is>
          <x:t xml:space="preserve">E</x:t>
        </x:is>
      </x:c>
      <x:c r="F524" s="3" t="n">
        <x:v>0.7</x:v>
      </x:c>
      <x:c r="G524" s="3" t="inlineStr">
        <x:is>
          <x:t xml:space="preserve">R</x:t>
        </x:is>
      </x:c>
      <x:c r="H524" s="3" t="n">
        <x:v>0.3</x:v>
      </x:c>
      <x:c r="I524" s="3" t="inlineStr">
        <x:is>
          <x:t xml:space="preserve">How do you measure and improve triage quality (accuracy, consistency, bias reduction) for insider-related alerts?</x:t>
        </x:is>
      </x:c>
      <x:c r="J524" s="3" t="inlineStr">
        <x:is>
          <x:t xml:space="preserve">Think: sampling of closed cases, second‑pair review, blind reviews, clear escalation criteria, and coaching based on measured error patterns.</x:t>
        </x:is>
      </x:c>
      <x:c r="K524" s="3" t="inlineStr">
        <x:is>
          <x:t xml:space="preserve">Optional Annex (Ask in Full/Deep mode).</x:t>
        </x:is>
      </x:c>
      <x:c r="L524" s="3" t="inlineStr">
        <x:is>
          <x:t xml:space="preserve">OPS_STD</x:t>
        </x:is>
      </x:c>
      <x:c r="M524" s="3" t="n">
        <x:v>1</x:v>
      </x:c>
      <x:c r="N524" s="3" t="n"/>
      <x:c r="O524" s="3" t="n"/>
      <x:c r="P524" s="3" t="inlineStr">
        <x:is>
          <x:t xml:space="preserve">SEC-D13-Q38-A1</x:t>
        </x:is>
      </x:c>
      <x:c r="Q524" s="3" t="n">
        <x:v>2</x:v>
      </x:c>
      <x:c r="R524" s="3" t="inlineStr">
        <x:is>
          <x:t xml:space="preserve">We don’t measure triage quality; consistency depends on individual analysts.</x:t>
        </x:is>
      </x:c>
      <x:c r="S524" s="3" t="n">
        <x:v>0</x:v>
      </x:c>
      <x:c r="T524" s="3" t="inlineStr">
        <x:is>
          <x:t xml:space="preserve">triage_quality_gap,key_person_dependency</x:t>
        </x:is>
      </x:c>
      <x:c r="U524" s="3" t="inlineStr">
        <x:is>
          <x:t xml:space="preserve">Resilience Gap</x:t>
        </x:is>
      </x:c>
      <x:c r="V524" s="3" t="inlineStr">
        <x:is>
          <x:t xml:space="preserve">Improve_Triage_QA</x:t>
        </x:is>
      </x:c>
      <x:c r="W524" s="3" t="inlineStr">
        <x:is>
          <x:t xml:space="preserve">N</x:t>
        </x:is>
      </x:c>
      <x:c r="X524" s="3" t="inlineStr">
        <x:is>
          <x:t xml:space="preserve">None</x:t>
        </x:is>
      </x:c>
      <x:c r="Y524" s="6">
        <x:f>(S524*IF(E524="G",F524,0))+(S524*IF(G524="G",H524,0))</x:f>
      </x:c>
      <x:c r="Z524" s="6">
        <x:f>(S524*IF(E524="E",F524,0))+(S524*IF(G524="E",H524,0))</x:f>
      </x:c>
      <x:c r="AA524" s="6">
        <x:f>(S524*IF(E524="T",F524,0))+(S524*IF(G524="T",H524,0))</x:f>
      </x:c>
      <x:c r="AB524" s="6">
        <x:f>(S524*IF(E524="L",F524,0))+(S524*IF(G524="L",H524,0))</x:f>
      </x:c>
      <x:c r="AC524" s="6">
        <x:f>(S524*IF(E524="H",F524,0))+(S524*IF(G524="H",H524,0))</x:f>
      </x:c>
      <x:c r="AD524" s="6">
        <x:f>(S524*IF(E524="V",F524,0))+(S524*IF(G524="V",H524,0))</x:f>
      </x:c>
      <x:c r="AE524" s="6">
        <x:f>(S524*IF(E524="R",F524,0))+(S524*IF(G524="R",H524,0))</x:f>
      </x:c>
      <x:c r="AF524" s="6">
        <x:f>(S524*IF(E524="F",F524,0))+(S524*IF(G524="F",H524,0))</x:f>
      </x:c>
      <x:c r="AG524" s="6">
        <x:f>(S524*IF(E524="W",F524,0))+(S524*IF(G524="W",H524,0))</x:f>
      </x:c>
    </x:row>
    <x:row r="525">
      <x:c r="A525" s="3" t="inlineStr">
        <x:is>
          <x:t xml:space="preserve">Security</x:t>
        </x:is>
      </x:c>
      <x:c r="B525" s="3" t="inlineStr">
        <x:is>
          <x:t xml:space="preserve">SEC-D13-Q38</x:t>
        </x:is>
      </x:c>
      <x:c r="C525" s="3" t="inlineStr">
        <x:is>
          <x:t xml:space="preserve">T4</x:t>
        </x:is>
      </x:c>
      <x:c r="D525" s="3" t="inlineStr">
        <x:is>
          <x:t xml:space="preserve">13. Detection Quality &amp; Testing (Deep)</x:t>
        </x:is>
      </x:c>
      <x:c r="E525" s="3" t="inlineStr">
        <x:is>
          <x:t xml:space="preserve">E</x:t>
        </x:is>
      </x:c>
      <x:c r="F525" s="3" t="n">
        <x:v>0.7</x:v>
      </x:c>
      <x:c r="G525" s="3" t="inlineStr">
        <x:is>
          <x:t xml:space="preserve">R</x:t>
        </x:is>
      </x:c>
      <x:c r="H525" s="3" t="n">
        <x:v>0.3</x:v>
      </x:c>
      <x:c r="I525" s="3" t="inlineStr">
        <x:is>
          <x:t xml:space="preserve">How do you measure and improve triage quality (accuracy, consistency, bias reduction) for insider-related alerts?</x:t>
        </x:is>
      </x:c>
      <x:c r="J525" s="3" t="inlineStr">
        <x:is>
          <x:t xml:space="preserve">Think: sampling of closed cases, second‑pair review, blind reviews, clear escalation criteria, and coaching based on measured error patterns.</x:t>
        </x:is>
      </x:c>
      <x:c r="K525" s="3" t="inlineStr">
        <x:is>
          <x:t xml:space="preserve">Optional Annex (Ask in Full/Deep mode).</x:t>
        </x:is>
      </x:c>
      <x:c r="L525" s="3" t="inlineStr">
        <x:is>
          <x:t xml:space="preserve">OPS_STD</x:t>
        </x:is>
      </x:c>
      <x:c r="M525" s="3" t="n">
        <x:v>1</x:v>
      </x:c>
      <x:c r="N525" s="3" t="n"/>
      <x:c r="O525" s="3" t="n"/>
      <x:c r="P525" s="3" t="inlineStr">
        <x:is>
          <x:t xml:space="preserve">SEC-D13-Q38-A2</x:t>
        </x:is>
      </x:c>
      <x:c r="Q525" s="3" t="n">
        <x:v>3</x:v>
      </x:c>
      <x:c r="R525" s="3" t="inlineStr">
        <x:is>
          <x:t xml:space="preserve">We do occasional reviews, usually after complaints or audits, but not continuously.</x:t>
        </x:is>
      </x:c>
      <x:c r="S525" s="3" t="n">
        <x:v>1</x:v>
      </x:c>
      <x:c r="T525" s="3" t="inlineStr">
        <x:is>
          <x:t xml:space="preserve">ad_hoc,partial_maturity</x:t>
        </x:is>
      </x:c>
      <x:c r="U525" s="3" t="inlineStr">
        <x:is>
          <x:t xml:space="preserve">Paper Dragon</x:t>
        </x:is>
      </x:c>
      <x:c r="V525" s="3" t="inlineStr">
        <x:is>
          <x:t xml:space="preserve">Improve_Triage_QA</x:t>
        </x:is>
      </x:c>
      <x:c r="W525" s="3" t="inlineStr">
        <x:is>
          <x:t xml:space="preserve">N</x:t>
        </x:is>
      </x:c>
      <x:c r="X525" s="3" t="inlineStr">
        <x:is>
          <x:t xml:space="preserve">Example review</x:t>
        </x:is>
      </x:c>
      <x:c r="Y525" s="6">
        <x:f>(S525*IF(E525="G",F525,0))+(S525*IF(G525="G",H525,0))</x:f>
      </x:c>
      <x:c r="Z525" s="6">
        <x:f>(S525*IF(E525="E",F525,0))+(S525*IF(G525="E",H525,0))</x:f>
      </x:c>
      <x:c r="AA525" s="6">
        <x:f>(S525*IF(E525="T",F525,0))+(S525*IF(G525="T",H525,0))</x:f>
      </x:c>
      <x:c r="AB525" s="6">
        <x:f>(S525*IF(E525="L",F525,0))+(S525*IF(G525="L",H525,0))</x:f>
      </x:c>
      <x:c r="AC525" s="6">
        <x:f>(S525*IF(E525="H",F525,0))+(S525*IF(G525="H",H525,0))</x:f>
      </x:c>
      <x:c r="AD525" s="6">
        <x:f>(S525*IF(E525="V",F525,0))+(S525*IF(G525="V",H525,0))</x:f>
      </x:c>
      <x:c r="AE525" s="6">
        <x:f>(S525*IF(E525="R",F525,0))+(S525*IF(G525="R",H525,0))</x:f>
      </x:c>
      <x:c r="AF525" s="6">
        <x:f>(S525*IF(E525="F",F525,0))+(S525*IF(G525="F",H525,0))</x:f>
      </x:c>
      <x:c r="AG525" s="6">
        <x:f>(S525*IF(E525="W",F525,0))+(S525*IF(G525="W",H525,0))</x:f>
      </x:c>
    </x:row>
    <x:row r="526">
      <x:c r="A526" s="3" t="inlineStr">
        <x:is>
          <x:t xml:space="preserve">Security</x:t>
        </x:is>
      </x:c>
      <x:c r="B526" s="3" t="inlineStr">
        <x:is>
          <x:t xml:space="preserve">SEC-D13-Q38</x:t>
        </x:is>
      </x:c>
      <x:c r="C526" s="3" t="inlineStr">
        <x:is>
          <x:t xml:space="preserve">T4</x:t>
        </x:is>
      </x:c>
      <x:c r="D526" s="3" t="inlineStr">
        <x:is>
          <x:t xml:space="preserve">13. Detection Quality &amp; Testing (Deep)</x:t>
        </x:is>
      </x:c>
      <x:c r="E526" s="3" t="inlineStr">
        <x:is>
          <x:t xml:space="preserve">E</x:t>
        </x:is>
      </x:c>
      <x:c r="F526" s="3" t="n">
        <x:v>0.7</x:v>
      </x:c>
      <x:c r="G526" s="3" t="inlineStr">
        <x:is>
          <x:t xml:space="preserve">R</x:t>
        </x:is>
      </x:c>
      <x:c r="H526" s="3" t="n">
        <x:v>0.3</x:v>
      </x:c>
      <x:c r="I526" s="3" t="inlineStr">
        <x:is>
          <x:t xml:space="preserve">How do you measure and improve triage quality (accuracy, consistency, bias reduction) for insider-related alerts?</x:t>
        </x:is>
      </x:c>
      <x:c r="J526" s="3" t="inlineStr">
        <x:is>
          <x:t xml:space="preserve">Think: sampling of closed cases, second‑pair review, blind reviews, clear escalation criteria, and coaching based on measured error patterns.</x:t>
        </x:is>
      </x:c>
      <x:c r="K526" s="3" t="inlineStr">
        <x:is>
          <x:t xml:space="preserve">Optional Annex (Ask in Full/Deep mode).</x:t>
        </x:is>
      </x:c>
      <x:c r="L526" s="3" t="inlineStr">
        <x:is>
          <x:t xml:space="preserve">OPS_STD</x:t>
        </x:is>
      </x:c>
      <x:c r="M526" s="3" t="n">
        <x:v>1</x:v>
      </x:c>
      <x:c r="N526" s="3" t="n"/>
      <x:c r="O526" s="3" t="n"/>
      <x:c r="P526" s="3" t="inlineStr">
        <x:is>
          <x:t xml:space="preserve">SEC-D13-Q38-A3</x:t>
        </x:is>
      </x:c>
      <x:c r="Q526" s="3" t="n">
        <x:v>4</x:v>
      </x:c>
      <x:c r="R526" s="3" t="inlineStr">
        <x:is>
          <x:t xml:space="preserve">We sample cases and review accuracy sometimes; metrics exist but don’t consistently drive improvements.</x:t>
        </x:is>
      </x:c>
      <x:c r="S526" s="3" t="n">
        <x:v>2</x:v>
      </x:c>
      <x:c r="T526" s="3" t="inlineStr">
        <x:is>
          <x:t xml:space="preserve">partial_maturity,inconsistent_execution</x:t>
        </x:is>
      </x:c>
      <x:c r="U526" s="3" t="inlineStr">
        <x:is>
          <x:t xml:space="preserve">Resilience Gap</x:t>
        </x:is>
      </x:c>
      <x:c r="V526" s="3" t="inlineStr">
        <x:is>
          <x:t xml:space="preserve">Improve_Triage_QA</x:t>
        </x:is>
      </x:c>
      <x:c r="W526" s="3" t="inlineStr">
        <x:is>
          <x:t xml:space="preserve">N</x:t>
        </x:is>
      </x:c>
      <x:c r="X526" s="3" t="inlineStr">
        <x:is>
          <x:t xml:space="preserve">Sampling approach</x:t>
        </x:is>
      </x:c>
      <x:c r="Y526" s="6">
        <x:f>(S526*IF(E526="G",F526,0))+(S526*IF(G526="G",H526,0))</x:f>
      </x:c>
      <x:c r="Z526" s="6">
        <x:f>(S526*IF(E526="E",F526,0))+(S526*IF(G526="E",H526,0))</x:f>
      </x:c>
      <x:c r="AA526" s="6">
        <x:f>(S526*IF(E526="T",F526,0))+(S526*IF(G526="T",H526,0))</x:f>
      </x:c>
      <x:c r="AB526" s="6">
        <x:f>(S526*IF(E526="L",F526,0))+(S526*IF(G526="L",H526,0))</x:f>
      </x:c>
      <x:c r="AC526" s="6">
        <x:f>(S526*IF(E526="H",F526,0))+(S526*IF(G526="H",H526,0))</x:f>
      </x:c>
      <x:c r="AD526" s="6">
        <x:f>(S526*IF(E526="V",F526,0))+(S526*IF(G526="V",H526,0))</x:f>
      </x:c>
      <x:c r="AE526" s="6">
        <x:f>(S526*IF(E526="R",F526,0))+(S526*IF(G526="R",H526,0))</x:f>
      </x:c>
      <x:c r="AF526" s="6">
        <x:f>(S526*IF(E526="F",F526,0))+(S526*IF(G526="F",H526,0))</x:f>
      </x:c>
      <x:c r="AG526" s="6">
        <x:f>(S526*IF(E526="W",F526,0))+(S526*IF(G526="W",H526,0))</x:f>
      </x:c>
    </x:row>
    <x:row r="527">
      <x:c r="A527" s="3" t="inlineStr">
        <x:is>
          <x:t xml:space="preserve">Security</x:t>
        </x:is>
      </x:c>
      <x:c r="B527" s="3" t="inlineStr">
        <x:is>
          <x:t xml:space="preserve">SEC-D13-Q38</x:t>
        </x:is>
      </x:c>
      <x:c r="C527" s="3" t="inlineStr">
        <x:is>
          <x:t xml:space="preserve">T4</x:t>
        </x:is>
      </x:c>
      <x:c r="D527" s="3" t="inlineStr">
        <x:is>
          <x:t xml:space="preserve">13. Detection Quality &amp; Testing (Deep)</x:t>
        </x:is>
      </x:c>
      <x:c r="E527" s="3" t="inlineStr">
        <x:is>
          <x:t xml:space="preserve">E</x:t>
        </x:is>
      </x:c>
      <x:c r="F527" s="3" t="n">
        <x:v>0.7</x:v>
      </x:c>
      <x:c r="G527" s="3" t="inlineStr">
        <x:is>
          <x:t xml:space="preserve">R</x:t>
        </x:is>
      </x:c>
      <x:c r="H527" s="3" t="n">
        <x:v>0.3</x:v>
      </x:c>
      <x:c r="I527" s="3" t="inlineStr">
        <x:is>
          <x:t xml:space="preserve">How do you measure and improve triage quality (accuracy, consistency, bias reduction) for insider-related alerts?</x:t>
        </x:is>
      </x:c>
      <x:c r="J527" s="3" t="inlineStr">
        <x:is>
          <x:t xml:space="preserve">Think: sampling of closed cases, second‑pair review, blind reviews, clear escalation criteria, and coaching based on measured error patterns.</x:t>
        </x:is>
      </x:c>
      <x:c r="K527" s="3" t="inlineStr">
        <x:is>
          <x:t xml:space="preserve">Optional Annex (Ask in Full/Deep mode).</x:t>
        </x:is>
      </x:c>
      <x:c r="L527" s="3" t="inlineStr">
        <x:is>
          <x:t xml:space="preserve">OPS_STD</x:t>
        </x:is>
      </x:c>
      <x:c r="M527" s="3" t="n">
        <x:v>1</x:v>
      </x:c>
      <x:c r="N527" s="3" t="n"/>
      <x:c r="O527" s="3" t="n"/>
      <x:c r="P527" s="3" t="inlineStr">
        <x:is>
          <x:t xml:space="preserve">SEC-D13-Q38-A4</x:t>
        </x:is>
      </x:c>
      <x:c r="Q527" s="3" t="n">
        <x:v>5</x:v>
      </x:c>
      <x:c r="R527" s="3" t="inlineStr">
        <x:is>
          <x:t xml:space="preserve">We run regular sampling and second-pair review with clear metrics (false negatives/positives); training is data-driven.</x:t>
        </x:is>
      </x:c>
      <x:c r="S527" s="3" t="n">
        <x:v>3</x:v>
      </x:c>
      <x:c r="T527" s="3" t="inlineStr">
        <x:is>
          <x:t xml:space="preserve">good_practice,execution_strength</x:t>
        </x:is>
      </x:c>
      <x:c r="U527" s="3" t="n"/>
      <x:c r="V527" s="3" t="inlineStr">
        <x:is>
          <x:t xml:space="preserve">Request_Evidence</x:t>
        </x:is>
      </x:c>
      <x:c r="W527" s="3" t="inlineStr">
        <x:is>
          <x:t xml:space="preserve">N</x:t>
        </x:is>
      </x:c>
      <x:c r="X527" s="3" t="inlineStr">
        <x:is>
          <x:t xml:space="preserve">Dashboard evidence</x:t>
        </x:is>
      </x:c>
      <x:c r="Y527" s="6">
        <x:f>(S527*IF(E527="G",F527,0))+(S527*IF(G527="G",H527,0))</x:f>
      </x:c>
      <x:c r="Z527" s="6">
        <x:f>(S527*IF(E527="E",F527,0))+(S527*IF(G527="E",H527,0))</x:f>
      </x:c>
      <x:c r="AA527" s="6">
        <x:f>(S527*IF(E527="T",F527,0))+(S527*IF(G527="T",H527,0))</x:f>
      </x:c>
      <x:c r="AB527" s="6">
        <x:f>(S527*IF(E527="L",F527,0))+(S527*IF(G527="L",H527,0))</x:f>
      </x:c>
      <x:c r="AC527" s="6">
        <x:f>(S527*IF(E527="H",F527,0))+(S527*IF(G527="H",H527,0))</x:f>
      </x:c>
      <x:c r="AD527" s="6">
        <x:f>(S527*IF(E527="V",F527,0))+(S527*IF(G527="V",H527,0))</x:f>
      </x:c>
      <x:c r="AE527" s="6">
        <x:f>(S527*IF(E527="R",F527,0))+(S527*IF(G527="R",H527,0))</x:f>
      </x:c>
      <x:c r="AF527" s="6">
        <x:f>(S527*IF(E527="F",F527,0))+(S527*IF(G527="F",H527,0))</x:f>
      </x:c>
      <x:c r="AG527" s="6">
        <x:f>(S527*IF(E527="W",F527,0))+(S527*IF(G527="W",H527,0))</x:f>
      </x:c>
    </x:row>
    <x:row r="528">
      <x:c r="A528" s="3" t="inlineStr">
        <x:is>
          <x:t xml:space="preserve">Security</x:t>
        </x:is>
      </x:c>
      <x:c r="B528" s="3" t="inlineStr">
        <x:is>
          <x:t xml:space="preserve">SEC-D13-Q38</x:t>
        </x:is>
      </x:c>
      <x:c r="C528" s="3" t="inlineStr">
        <x:is>
          <x:t xml:space="preserve">T4</x:t>
        </x:is>
      </x:c>
      <x:c r="D528" s="3" t="inlineStr">
        <x:is>
          <x:t xml:space="preserve">13. Detection Quality &amp; Testing (Deep)</x:t>
        </x:is>
      </x:c>
      <x:c r="E528" s="3" t="inlineStr">
        <x:is>
          <x:t xml:space="preserve">E</x:t>
        </x:is>
      </x:c>
      <x:c r="F528" s="3" t="n">
        <x:v>0.7</x:v>
      </x:c>
      <x:c r="G528" s="3" t="inlineStr">
        <x:is>
          <x:t xml:space="preserve">R</x:t>
        </x:is>
      </x:c>
      <x:c r="H528" s="3" t="n">
        <x:v>0.3</x:v>
      </x:c>
      <x:c r="I528" s="3" t="inlineStr">
        <x:is>
          <x:t xml:space="preserve">How do you measure and improve triage quality (accuracy, consistency, bias reduction) for insider-related alerts?</x:t>
        </x:is>
      </x:c>
      <x:c r="J528" s="3" t="inlineStr">
        <x:is>
          <x:t xml:space="preserve">Think: sampling of closed cases, second‑pair review, blind reviews, clear escalation criteria, and coaching based on measured error patterns.</x:t>
        </x:is>
      </x:c>
      <x:c r="K528" s="3" t="inlineStr">
        <x:is>
          <x:t xml:space="preserve">Optional Annex (Ask in Full/Deep mode).</x:t>
        </x:is>
      </x:c>
      <x:c r="L528" s="3" t="inlineStr">
        <x:is>
          <x:t xml:space="preserve">OPS_STD</x:t>
        </x:is>
      </x:c>
      <x:c r="M528" s="3" t="n">
        <x:v>1</x:v>
      </x:c>
      <x:c r="N528" s="3" t="n"/>
      <x:c r="O528" s="3" t="n"/>
      <x:c r="P528" s="3" t="inlineStr">
        <x:is>
          <x:t xml:space="preserve">SEC-D13-Q38-A5</x:t>
        </x:is>
      </x:c>
      <x:c r="Q528" s="3" t="n">
        <x:v>6</x:v>
      </x:c>
      <x:c r="R528" s="3" t="inlineStr">
        <x:is>
          <x:t xml:space="preserve">We use blind reviews/bias checks, structured coaching, and continuous improvement loops; quality metrics are board-visible where relevant.</x:t>
        </x:is>
      </x:c>
      <x:c r="S528" s="3" t="n">
        <x:v>4</x:v>
      </x:c>
      <x:c r="T528" s="3" t="inlineStr">
        <x:is>
          <x:t xml:space="preserve">optimized,execution_strength</x:t>
        </x:is>
      </x:c>
      <x:c r="U528" s="3" t="n"/>
      <x:c r="V528" s="3" t="inlineStr">
        <x:is>
          <x:t xml:space="preserve">Request_Evidence</x:t>
        </x:is>
      </x:c>
      <x:c r="W528" s="3" t="inlineStr">
        <x:is>
          <x:t xml:space="preserve">N</x:t>
        </x:is>
      </x:c>
      <x:c r="X528" s="3" t="inlineStr">
        <x:is>
          <x:t xml:space="preserve">QA program evidence</x:t>
        </x:is>
      </x:c>
      <x:c r="Y528" s="6">
        <x:f>(S528*IF(E528="G",F528,0))+(S528*IF(G528="G",H528,0))</x:f>
      </x:c>
      <x:c r="Z528" s="6">
        <x:f>(S528*IF(E528="E",F528,0))+(S528*IF(G528="E",H528,0))</x:f>
      </x:c>
      <x:c r="AA528" s="6">
        <x:f>(S528*IF(E528="T",F528,0))+(S528*IF(G528="T",H528,0))</x:f>
      </x:c>
      <x:c r="AB528" s="6">
        <x:f>(S528*IF(E528="L",F528,0))+(S528*IF(G528="L",H528,0))</x:f>
      </x:c>
      <x:c r="AC528" s="6">
        <x:f>(S528*IF(E528="H",F528,0))+(S528*IF(G528="H",H528,0))</x:f>
      </x:c>
      <x:c r="AD528" s="6">
        <x:f>(S528*IF(E528="V",F528,0))+(S528*IF(G528="V",H528,0))</x:f>
      </x:c>
      <x:c r="AE528" s="6">
        <x:f>(S528*IF(E528="R",F528,0))+(S528*IF(G528="R",H528,0))</x:f>
      </x:c>
      <x:c r="AF528" s="6">
        <x:f>(S528*IF(E528="F",F528,0))+(S528*IF(G528="F",H528,0))</x:f>
      </x:c>
      <x:c r="AG528" s="6">
        <x:f>(S528*IF(E528="W",F528,0))+(S528*IF(G528="W",H528,0))</x:f>
      </x:c>
    </x:row>
    <x:row r="529">
      <x:c r="A529" s="3" t="inlineStr">
        <x:is>
          <x:t xml:space="preserve">Security</x:t>
        </x:is>
      </x:c>
      <x:c r="B529" s="3" t="inlineStr">
        <x:is>
          <x:t xml:space="preserve">SEC-D13-Q39</x:t>
        </x:is>
      </x:c>
      <x:c r="C529" s="3" t="inlineStr">
        <x:is>
          <x:t xml:space="preserve">T3</x:t>
        </x:is>
      </x:c>
      <x:c r="D529" s="3" t="inlineStr">
        <x:is>
          <x:t xml:space="preserve">13. Detection Quality &amp; Testing (Deep)</x:t>
        </x:is>
      </x:c>
      <x:c r="E529" s="3" t="inlineStr">
        <x:is>
          <x:t xml:space="preserve">F</x:t>
        </x:is>
      </x:c>
      <x:c r="F529" s="3" t="n">
        <x:v>0.5</x:v>
      </x:c>
      <x:c r="G529" s="3" t="inlineStr">
        <x:is>
          <x:t xml:space="preserve">T</x:t>
        </x:is>
      </x:c>
      <x:c r="H529" s="3" t="n">
        <x:v>0.5</x:v>
      </x:c>
      <x:c r="I529" s="3" t="inlineStr">
        <x:is>
          <x:t xml:space="preserve">How do you reduce false positives and ‘alert fatigue’ without losing coverage for high‑value data and high‑risk roles?</x:t>
        </x:is>
      </x:c>
      <x:c r="J529" s="3" t="inlineStr">
        <x:is>
          <x:t xml:space="preserve">A mature approach measures business impact, tunes thresholds, uses risk‑based targeting (crown jewels, privileged roles), and documents trade‑offs.</x:t>
        </x:is>
      </x:c>
      <x:c r="K529" s="3" t="inlineStr">
        <x:is>
          <x:t xml:space="preserve">Optional Annex (Ask in Full/Deep mode).</x:t>
        </x:is>
      </x:c>
      <x:c r="L529" s="3" t="inlineStr">
        <x:is>
          <x:t xml:space="preserve">OPS_STD</x:t>
        </x:is>
      </x:c>
      <x:c r="M529" s="3" t="n">
        <x:v>1</x:v>
      </x:c>
      <x:c r="N529" s="3" t="n"/>
      <x:c r="O529" s="3" t="n"/>
      <x:c r="P529" s="3" t="inlineStr">
        <x:is>
          <x:t xml:space="preserve">SEC-D13-Q39-A0</x:t>
        </x:is>
      </x:c>
      <x:c r="Q529" s="3" t="n">
        <x:v>1</x:v>
      </x:c>
      <x:c r="R529" s="3" t="inlineStr">
        <x:is>
          <x:t xml:space="preserve">I don’t know / not sure.</x:t>
        </x:is>
      </x:c>
      <x:c r="S529" s="3" t="n">
        <x:v>0</x:v>
      </x:c>
      <x:c r="T529" s="3" t="inlineStr">
        <x:is>
          <x:t xml:space="preserve">unknown</x:t>
        </x:is>
      </x:c>
      <x:c r="U529" s="3" t="inlineStr">
        <x:is>
          <x:t xml:space="preserve">Unknown</x:t>
        </x:is>
      </x:c>
      <x:c r="V529" s="3" t="inlineStr">
        <x:is>
          <x:t xml:space="preserve">Clarify_Stakeholders</x:t>
        </x:is>
      </x:c>
      <x:c r="W529" s="3" t="inlineStr">
        <x:is>
          <x:t xml:space="preserve">N</x:t>
        </x:is>
      </x:c>
      <x:c r="X529" s="3" t="inlineStr">
        <x:is>
          <x:t xml:space="preserve">None</x:t>
        </x:is>
      </x:c>
      <x:c r="Y529" s="6">
        <x:f>(S529*IF(E529="G",F529,0))+(S529*IF(G529="G",H529,0))</x:f>
      </x:c>
      <x:c r="Z529" s="6">
        <x:f>(S529*IF(E529="E",F529,0))+(S529*IF(G529="E",H529,0))</x:f>
      </x:c>
      <x:c r="AA529" s="6">
        <x:f>(S529*IF(E529="T",F529,0))+(S529*IF(G529="T",H529,0))</x:f>
      </x:c>
      <x:c r="AB529" s="6">
        <x:f>(S529*IF(E529="L",F529,0))+(S529*IF(G529="L",H529,0))</x:f>
      </x:c>
      <x:c r="AC529" s="6">
        <x:f>(S529*IF(E529="H",F529,0))+(S529*IF(G529="H",H529,0))</x:f>
      </x:c>
      <x:c r="AD529" s="6">
        <x:f>(S529*IF(E529="V",F529,0))+(S529*IF(G529="V",H529,0))</x:f>
      </x:c>
      <x:c r="AE529" s="6">
        <x:f>(S529*IF(E529="R",F529,0))+(S529*IF(G529="R",H529,0))</x:f>
      </x:c>
      <x:c r="AF529" s="6">
        <x:f>(S529*IF(E529="F",F529,0))+(S529*IF(G529="F",H529,0))</x:f>
      </x:c>
      <x:c r="AG529" s="6">
        <x:f>(S529*IF(E529="W",F529,0))+(S529*IF(G529="W",H529,0))</x:f>
      </x:c>
    </x:row>
    <x:row r="530">
      <x:c r="A530" s="3" t="inlineStr">
        <x:is>
          <x:t xml:space="preserve">Security</x:t>
        </x:is>
      </x:c>
      <x:c r="B530" s="3" t="inlineStr">
        <x:is>
          <x:t xml:space="preserve">SEC-D13-Q39</x:t>
        </x:is>
      </x:c>
      <x:c r="C530" s="3" t="inlineStr">
        <x:is>
          <x:t xml:space="preserve">T3</x:t>
        </x:is>
      </x:c>
      <x:c r="D530" s="3" t="inlineStr">
        <x:is>
          <x:t xml:space="preserve">13. Detection Quality &amp; Testing (Deep)</x:t>
        </x:is>
      </x:c>
      <x:c r="E530" s="3" t="inlineStr">
        <x:is>
          <x:t xml:space="preserve">F</x:t>
        </x:is>
      </x:c>
      <x:c r="F530" s="3" t="n">
        <x:v>0.5</x:v>
      </x:c>
      <x:c r="G530" s="3" t="inlineStr">
        <x:is>
          <x:t xml:space="preserve">T</x:t>
        </x:is>
      </x:c>
      <x:c r="H530" s="3" t="n">
        <x:v>0.5</x:v>
      </x:c>
      <x:c r="I530" s="3" t="inlineStr">
        <x:is>
          <x:t xml:space="preserve">How do you reduce false positives and ‘alert fatigue’ without losing coverage for high‑value data and high‑risk roles?</x:t>
        </x:is>
      </x:c>
      <x:c r="J530" s="3" t="inlineStr">
        <x:is>
          <x:t xml:space="preserve">A mature approach measures business impact, tunes thresholds, uses risk‑based targeting (crown jewels, privileged roles), and documents trade‑offs.</x:t>
        </x:is>
      </x:c>
      <x:c r="K530" s="3" t="inlineStr">
        <x:is>
          <x:t xml:space="preserve">Optional Annex (Ask in Full/Deep mode).</x:t>
        </x:is>
      </x:c>
      <x:c r="L530" s="3" t="inlineStr">
        <x:is>
          <x:t xml:space="preserve">OPS_STD</x:t>
        </x:is>
      </x:c>
      <x:c r="M530" s="3" t="n">
        <x:v>1</x:v>
      </x:c>
      <x:c r="N530" s="3" t="n"/>
      <x:c r="O530" s="3" t="n"/>
      <x:c r="P530" s="3" t="inlineStr">
        <x:is>
          <x:t xml:space="preserve">SEC-D13-Q39-A1</x:t>
        </x:is>
      </x:c>
      <x:c r="Q530" s="3" t="n">
        <x:v>2</x:v>
      </x:c>
      <x:c r="R530" s="3" t="inlineStr">
        <x:is>
          <x:t xml:space="preserve">Alert fatigue is high; people ignore alerts or disable noisy rules; business impact isn’t measured.</x:t>
        </x:is>
      </x:c>
      <x:c r="S530" s="3" t="n">
        <x:v>0</x:v>
      </x:c>
      <x:c r="T530" s="3" t="inlineStr">
        <x:is>
          <x:t xml:space="preserve">bypass_pressure,alert_fatigue</x:t>
        </x:is>
      </x:c>
      <x:c r="U530" s="3" t="inlineStr">
        <x:is>
          <x:t xml:space="preserve">Bypass Pressure</x:t>
        </x:is>
      </x:c>
      <x:c r="V530" s="3" t="inlineStr">
        <x:is>
          <x:t xml:space="preserve">Tune_Detections_Reduce_Friction</x:t>
        </x:is>
      </x:c>
      <x:c r="W530" s="3" t="inlineStr">
        <x:is>
          <x:t xml:space="preserve">N</x:t>
        </x:is>
      </x:c>
      <x:c r="X530" s="3" t="inlineStr">
        <x:is>
          <x:t xml:space="preserve">Alert volume evidence</x:t>
        </x:is>
      </x:c>
      <x:c r="Y530" s="6">
        <x:f>(S530*IF(E530="G",F530,0))+(S530*IF(G530="G",H530,0))</x:f>
      </x:c>
      <x:c r="Z530" s="6">
        <x:f>(S530*IF(E530="E",F530,0))+(S530*IF(G530="E",H530,0))</x:f>
      </x:c>
      <x:c r="AA530" s="6">
        <x:f>(S530*IF(E530="T",F530,0))+(S530*IF(G530="T",H530,0))</x:f>
      </x:c>
      <x:c r="AB530" s="6">
        <x:f>(S530*IF(E530="L",F530,0))+(S530*IF(G530="L",H530,0))</x:f>
      </x:c>
      <x:c r="AC530" s="6">
        <x:f>(S530*IF(E530="H",F530,0))+(S530*IF(G530="H",H530,0))</x:f>
      </x:c>
      <x:c r="AD530" s="6">
        <x:f>(S530*IF(E530="V",F530,0))+(S530*IF(G530="V",H530,0))</x:f>
      </x:c>
      <x:c r="AE530" s="6">
        <x:f>(S530*IF(E530="R",F530,0))+(S530*IF(G530="R",H530,0))</x:f>
      </x:c>
      <x:c r="AF530" s="6">
        <x:f>(S530*IF(E530="F",F530,0))+(S530*IF(G530="F",H530,0))</x:f>
      </x:c>
      <x:c r="AG530" s="6">
        <x:f>(S530*IF(E530="W",F530,0))+(S530*IF(G530="W",H530,0))</x:f>
      </x:c>
    </x:row>
    <x:row r="531">
      <x:c r="A531" s="3" t="inlineStr">
        <x:is>
          <x:t xml:space="preserve">Security</x:t>
        </x:is>
      </x:c>
      <x:c r="B531" s="3" t="inlineStr">
        <x:is>
          <x:t xml:space="preserve">SEC-D13-Q39</x:t>
        </x:is>
      </x:c>
      <x:c r="C531" s="3" t="inlineStr">
        <x:is>
          <x:t xml:space="preserve">T3</x:t>
        </x:is>
      </x:c>
      <x:c r="D531" s="3" t="inlineStr">
        <x:is>
          <x:t xml:space="preserve">13. Detection Quality &amp; Testing (Deep)</x:t>
        </x:is>
      </x:c>
      <x:c r="E531" s="3" t="inlineStr">
        <x:is>
          <x:t xml:space="preserve">F</x:t>
        </x:is>
      </x:c>
      <x:c r="F531" s="3" t="n">
        <x:v>0.5</x:v>
      </x:c>
      <x:c r="G531" s="3" t="inlineStr">
        <x:is>
          <x:t xml:space="preserve">T</x:t>
        </x:is>
      </x:c>
      <x:c r="H531" s="3" t="n">
        <x:v>0.5</x:v>
      </x:c>
      <x:c r="I531" s="3" t="inlineStr">
        <x:is>
          <x:t xml:space="preserve">How do you reduce false positives and ‘alert fatigue’ without losing coverage for high‑value data and high‑risk roles?</x:t>
        </x:is>
      </x:c>
      <x:c r="J531" s="3" t="inlineStr">
        <x:is>
          <x:t xml:space="preserve">A mature approach measures business impact, tunes thresholds, uses risk‑based targeting (crown jewels, privileged roles), and documents trade‑offs.</x:t>
        </x:is>
      </x:c>
      <x:c r="K531" s="3" t="inlineStr">
        <x:is>
          <x:t xml:space="preserve">Optional Annex (Ask in Full/Deep mode).</x:t>
        </x:is>
      </x:c>
      <x:c r="L531" s="3" t="inlineStr">
        <x:is>
          <x:t xml:space="preserve">OPS_STD</x:t>
        </x:is>
      </x:c>
      <x:c r="M531" s="3" t="n">
        <x:v>1</x:v>
      </x:c>
      <x:c r="N531" s="3" t="n"/>
      <x:c r="O531" s="3" t="n"/>
      <x:c r="P531" s="3" t="inlineStr">
        <x:is>
          <x:t xml:space="preserve">SEC-D13-Q39-A2</x:t>
        </x:is>
      </x:c>
      <x:c r="Q531" s="3" t="n">
        <x:v>3</x:v>
      </x:c>
      <x:c r="R531" s="3" t="inlineStr">
        <x:is>
          <x:t xml:space="preserve">We tune occasionally, but decisions are subjective and not linked to business impact or crown jewels.</x:t>
        </x:is>
      </x:c>
      <x:c r="S531" s="3" t="n">
        <x:v>1</x:v>
      </x:c>
      <x:c r="T531" s="3" t="inlineStr">
        <x:is>
          <x:t xml:space="preserve">ad_hoc,partial_maturity</x:t>
        </x:is>
      </x:c>
      <x:c r="U531" s="3" t="inlineStr">
        <x:is>
          <x:t xml:space="preserve">Resilience Gap</x:t>
        </x:is>
      </x:c>
      <x:c r="V531" s="3" t="inlineStr">
        <x:is>
          <x:t xml:space="preserve">Tune_Detections_Reduce_Friction</x:t>
        </x:is>
      </x:c>
      <x:c r="W531" s="3" t="inlineStr">
        <x:is>
          <x:t xml:space="preserve">N</x:t>
        </x:is>
      </x:c>
      <x:c r="X531" s="3" t="inlineStr">
        <x:is>
          <x:t xml:space="preserve">Example tuning change</x:t>
        </x:is>
      </x:c>
      <x:c r="Y531" s="6">
        <x:f>(S531*IF(E531="G",F531,0))+(S531*IF(G531="G",H531,0))</x:f>
      </x:c>
      <x:c r="Z531" s="6">
        <x:f>(S531*IF(E531="E",F531,0))+(S531*IF(G531="E",H531,0))</x:f>
      </x:c>
      <x:c r="AA531" s="6">
        <x:f>(S531*IF(E531="T",F531,0))+(S531*IF(G531="T",H531,0))</x:f>
      </x:c>
      <x:c r="AB531" s="6">
        <x:f>(S531*IF(E531="L",F531,0))+(S531*IF(G531="L",H531,0))</x:f>
      </x:c>
      <x:c r="AC531" s="6">
        <x:f>(S531*IF(E531="H",F531,0))+(S531*IF(G531="H",H531,0))</x:f>
      </x:c>
      <x:c r="AD531" s="6">
        <x:f>(S531*IF(E531="V",F531,0))+(S531*IF(G531="V",H531,0))</x:f>
      </x:c>
      <x:c r="AE531" s="6">
        <x:f>(S531*IF(E531="R",F531,0))+(S531*IF(G531="R",H531,0))</x:f>
      </x:c>
      <x:c r="AF531" s="6">
        <x:f>(S531*IF(E531="F",F531,0))+(S531*IF(G531="F",H531,0))</x:f>
      </x:c>
      <x:c r="AG531" s="6">
        <x:f>(S531*IF(E531="W",F531,0))+(S531*IF(G531="W",H531,0))</x:f>
      </x:c>
    </x:row>
    <x:row r="532">
      <x:c r="A532" s="3" t="inlineStr">
        <x:is>
          <x:t xml:space="preserve">Security</x:t>
        </x:is>
      </x:c>
      <x:c r="B532" s="3" t="inlineStr">
        <x:is>
          <x:t xml:space="preserve">SEC-D13-Q39</x:t>
        </x:is>
      </x:c>
      <x:c r="C532" s="3" t="inlineStr">
        <x:is>
          <x:t xml:space="preserve">T3</x:t>
        </x:is>
      </x:c>
      <x:c r="D532" s="3" t="inlineStr">
        <x:is>
          <x:t xml:space="preserve">13. Detection Quality &amp; Testing (Deep)</x:t>
        </x:is>
      </x:c>
      <x:c r="E532" s="3" t="inlineStr">
        <x:is>
          <x:t xml:space="preserve">F</x:t>
        </x:is>
      </x:c>
      <x:c r="F532" s="3" t="n">
        <x:v>0.5</x:v>
      </x:c>
      <x:c r="G532" s="3" t="inlineStr">
        <x:is>
          <x:t xml:space="preserve">T</x:t>
        </x:is>
      </x:c>
      <x:c r="H532" s="3" t="n">
        <x:v>0.5</x:v>
      </x:c>
      <x:c r="I532" s="3" t="inlineStr">
        <x:is>
          <x:t xml:space="preserve">How do you reduce false positives and ‘alert fatigue’ without losing coverage for high‑value data and high‑risk roles?</x:t>
        </x:is>
      </x:c>
      <x:c r="J532" s="3" t="inlineStr">
        <x:is>
          <x:t xml:space="preserve">A mature approach measures business impact, tunes thresholds, uses risk‑based targeting (crown jewels, privileged roles), and documents trade‑offs.</x:t>
        </x:is>
      </x:c>
      <x:c r="K532" s="3" t="inlineStr">
        <x:is>
          <x:t xml:space="preserve">Optional Annex (Ask in Full/Deep mode).</x:t>
        </x:is>
      </x:c>
      <x:c r="L532" s="3" t="inlineStr">
        <x:is>
          <x:t xml:space="preserve">OPS_STD</x:t>
        </x:is>
      </x:c>
      <x:c r="M532" s="3" t="n">
        <x:v>1</x:v>
      </x:c>
      <x:c r="N532" s="3" t="n"/>
      <x:c r="O532" s="3" t="n"/>
      <x:c r="P532" s="3" t="inlineStr">
        <x:is>
          <x:t xml:space="preserve">SEC-D13-Q39-A3</x:t>
        </x:is>
      </x:c>
      <x:c r="Q532" s="3" t="n">
        <x:v>4</x:v>
      </x:c>
      <x:c r="R532" s="3" t="inlineStr">
        <x:is>
          <x:t xml:space="preserve">We track false positives, but tuning is slow and often trades away coverage.</x:t>
        </x:is>
      </x:c>
      <x:c r="S532" s="3" t="n">
        <x:v>2</x:v>
      </x:c>
      <x:c r="T532" s="3" t="inlineStr">
        <x:is>
          <x:t xml:space="preserve">partial_maturity,control_lag</x:t>
        </x:is>
      </x:c>
      <x:c r="U532" s="3" t="inlineStr">
        <x:is>
          <x:t xml:space="preserve">Control Lag</x:t>
        </x:is>
      </x:c>
      <x:c r="V532" s="3" t="inlineStr">
        <x:is>
          <x:t xml:space="preserve">Tune_Detections_Reduce_Friction</x:t>
        </x:is>
      </x:c>
      <x:c r="W532" s="3" t="inlineStr">
        <x:is>
          <x:t xml:space="preserve">N</x:t>
        </x:is>
      </x:c>
      <x:c r="X532" s="3" t="inlineStr">
        <x:is>
          <x:t xml:space="preserve">FP metrics</x:t>
        </x:is>
      </x:c>
      <x:c r="Y532" s="6">
        <x:f>(S532*IF(E532="G",F532,0))+(S532*IF(G532="G",H532,0))</x:f>
      </x:c>
      <x:c r="Z532" s="6">
        <x:f>(S532*IF(E532="E",F532,0))+(S532*IF(G532="E",H532,0))</x:f>
      </x:c>
      <x:c r="AA532" s="6">
        <x:f>(S532*IF(E532="T",F532,0))+(S532*IF(G532="T",H532,0))</x:f>
      </x:c>
      <x:c r="AB532" s="6">
        <x:f>(S532*IF(E532="L",F532,0))+(S532*IF(G532="L",H532,0))</x:f>
      </x:c>
      <x:c r="AC532" s="6">
        <x:f>(S532*IF(E532="H",F532,0))+(S532*IF(G532="H",H532,0))</x:f>
      </x:c>
      <x:c r="AD532" s="6">
        <x:f>(S532*IF(E532="V",F532,0))+(S532*IF(G532="V",H532,0))</x:f>
      </x:c>
      <x:c r="AE532" s="6">
        <x:f>(S532*IF(E532="R",F532,0))+(S532*IF(G532="R",H532,0))</x:f>
      </x:c>
      <x:c r="AF532" s="6">
        <x:f>(S532*IF(E532="F",F532,0))+(S532*IF(G532="F",H532,0))</x:f>
      </x:c>
      <x:c r="AG532" s="6">
        <x:f>(S532*IF(E532="W",F532,0))+(S532*IF(G532="W",H532,0))</x:f>
      </x:c>
    </x:row>
    <x:row r="533">
      <x:c r="A533" s="3" t="inlineStr">
        <x:is>
          <x:t xml:space="preserve">Security</x:t>
        </x:is>
      </x:c>
      <x:c r="B533" s="3" t="inlineStr">
        <x:is>
          <x:t xml:space="preserve">SEC-D13-Q39</x:t>
        </x:is>
      </x:c>
      <x:c r="C533" s="3" t="inlineStr">
        <x:is>
          <x:t xml:space="preserve">T3</x:t>
        </x:is>
      </x:c>
      <x:c r="D533" s="3" t="inlineStr">
        <x:is>
          <x:t xml:space="preserve">13. Detection Quality &amp; Testing (Deep)</x:t>
        </x:is>
      </x:c>
      <x:c r="E533" s="3" t="inlineStr">
        <x:is>
          <x:t xml:space="preserve">F</x:t>
        </x:is>
      </x:c>
      <x:c r="F533" s="3" t="n">
        <x:v>0.5</x:v>
      </x:c>
      <x:c r="G533" s="3" t="inlineStr">
        <x:is>
          <x:t xml:space="preserve">T</x:t>
        </x:is>
      </x:c>
      <x:c r="H533" s="3" t="n">
        <x:v>0.5</x:v>
      </x:c>
      <x:c r="I533" s="3" t="inlineStr">
        <x:is>
          <x:t xml:space="preserve">How do you reduce false positives and ‘alert fatigue’ without losing coverage for high‑value data and high‑risk roles?</x:t>
        </x:is>
      </x:c>
      <x:c r="J533" s="3" t="inlineStr">
        <x:is>
          <x:t xml:space="preserve">A mature approach measures business impact, tunes thresholds, uses risk‑based targeting (crown jewels, privileged roles), and documents trade‑offs.</x:t>
        </x:is>
      </x:c>
      <x:c r="K533" s="3" t="inlineStr">
        <x:is>
          <x:t xml:space="preserve">Optional Annex (Ask in Full/Deep mode).</x:t>
        </x:is>
      </x:c>
      <x:c r="L533" s="3" t="inlineStr">
        <x:is>
          <x:t xml:space="preserve">OPS_STD</x:t>
        </x:is>
      </x:c>
      <x:c r="M533" s="3" t="n">
        <x:v>1</x:v>
      </x:c>
      <x:c r="N533" s="3" t="n"/>
      <x:c r="O533" s="3" t="n"/>
      <x:c r="P533" s="3" t="inlineStr">
        <x:is>
          <x:t xml:space="preserve">SEC-D13-Q39-A4</x:t>
        </x:is>
      </x:c>
      <x:c r="Q533" s="3" t="n">
        <x:v>5</x:v>
      </x:c>
      <x:c r="R533" s="3" t="inlineStr">
        <x:is>
          <x:t xml:space="preserve">We tune with metrics and risk-based targeting (HVAs/high-risk roles); changes are documented and reviewed.</x:t>
        </x:is>
      </x:c>
      <x:c r="S533" s="3" t="n">
        <x:v>3</x:v>
      </x:c>
      <x:c r="T533" s="3" t="inlineStr">
        <x:is>
          <x:t xml:space="preserve">good_practice,execution_strength</x:t>
        </x:is>
      </x:c>
      <x:c r="U533" s="3" t="n"/>
      <x:c r="V533" s="3" t="inlineStr">
        <x:is>
          <x:t xml:space="preserve">Request_Evidence</x:t>
        </x:is>
      </x:c>
      <x:c r="W533" s="3" t="inlineStr">
        <x:is>
          <x:t xml:space="preserve">N</x:t>
        </x:is>
      </x:c>
      <x:c r="X533" s="3" t="inlineStr">
        <x:is>
          <x:t xml:space="preserve">Change log</x:t>
        </x:is>
      </x:c>
      <x:c r="Y533" s="6">
        <x:f>(S533*IF(E533="G",F533,0))+(S533*IF(G533="G",H533,0))</x:f>
      </x:c>
      <x:c r="Z533" s="6">
        <x:f>(S533*IF(E533="E",F533,0))+(S533*IF(G533="E",H533,0))</x:f>
      </x:c>
      <x:c r="AA533" s="6">
        <x:f>(S533*IF(E533="T",F533,0))+(S533*IF(G533="T",H533,0))</x:f>
      </x:c>
      <x:c r="AB533" s="6">
        <x:f>(S533*IF(E533="L",F533,0))+(S533*IF(G533="L",H533,0))</x:f>
      </x:c>
      <x:c r="AC533" s="6">
        <x:f>(S533*IF(E533="H",F533,0))+(S533*IF(G533="H",H533,0))</x:f>
      </x:c>
      <x:c r="AD533" s="6">
        <x:f>(S533*IF(E533="V",F533,0))+(S533*IF(G533="V",H533,0))</x:f>
      </x:c>
      <x:c r="AE533" s="6">
        <x:f>(S533*IF(E533="R",F533,0))+(S533*IF(G533="R",H533,0))</x:f>
      </x:c>
      <x:c r="AF533" s="6">
        <x:f>(S533*IF(E533="F",F533,0))+(S533*IF(G533="F",H533,0))</x:f>
      </x:c>
      <x:c r="AG533" s="6">
        <x:f>(S533*IF(E533="W",F533,0))+(S533*IF(G533="W",H533,0))</x:f>
      </x:c>
    </x:row>
    <x:row r="534">
      <x:c r="A534" s="3" t="inlineStr">
        <x:is>
          <x:t xml:space="preserve">Security</x:t>
        </x:is>
      </x:c>
      <x:c r="B534" s="3" t="inlineStr">
        <x:is>
          <x:t xml:space="preserve">SEC-D13-Q39</x:t>
        </x:is>
      </x:c>
      <x:c r="C534" s="3" t="inlineStr">
        <x:is>
          <x:t xml:space="preserve">T3</x:t>
        </x:is>
      </x:c>
      <x:c r="D534" s="3" t="inlineStr">
        <x:is>
          <x:t xml:space="preserve">13. Detection Quality &amp; Testing (Deep)</x:t>
        </x:is>
      </x:c>
      <x:c r="E534" s="3" t="inlineStr">
        <x:is>
          <x:t xml:space="preserve">F</x:t>
        </x:is>
      </x:c>
      <x:c r="F534" s="3" t="n">
        <x:v>0.5</x:v>
      </x:c>
      <x:c r="G534" s="3" t="inlineStr">
        <x:is>
          <x:t xml:space="preserve">T</x:t>
        </x:is>
      </x:c>
      <x:c r="H534" s="3" t="n">
        <x:v>0.5</x:v>
      </x:c>
      <x:c r="I534" s="3" t="inlineStr">
        <x:is>
          <x:t xml:space="preserve">How do you reduce false positives and ‘alert fatigue’ without losing coverage for high‑value data and high‑risk roles?</x:t>
        </x:is>
      </x:c>
      <x:c r="J534" s="3" t="inlineStr">
        <x:is>
          <x:t xml:space="preserve">A mature approach measures business impact, tunes thresholds, uses risk‑based targeting (crown jewels, privileged roles), and documents trade‑offs.</x:t>
        </x:is>
      </x:c>
      <x:c r="K534" s="3" t="inlineStr">
        <x:is>
          <x:t xml:space="preserve">Optional Annex (Ask in Full/Deep mode).</x:t>
        </x:is>
      </x:c>
      <x:c r="L534" s="3" t="inlineStr">
        <x:is>
          <x:t xml:space="preserve">OPS_STD</x:t>
        </x:is>
      </x:c>
      <x:c r="M534" s="3" t="n">
        <x:v>1</x:v>
      </x:c>
      <x:c r="N534" s="3" t="n"/>
      <x:c r="O534" s="3" t="n"/>
      <x:c r="P534" s="3" t="inlineStr">
        <x:is>
          <x:t xml:space="preserve">SEC-D13-Q39-A5</x:t>
        </x:is>
      </x:c>
      <x:c r="Q534" s="3" t="n">
        <x:v>6</x:v>
      </x:c>
      <x:c r="R534" s="3" t="inlineStr">
        <x:is>
          <x:t xml:space="preserve">We continuously optimize with measured impact, automation, and drift detection; friction is minimized without losing coverage.</x:t>
        </x:is>
      </x:c>
      <x:c r="S534" s="3" t="n">
        <x:v>4</x:v>
      </x:c>
      <x:c r="T534" s="3" t="inlineStr">
        <x:is>
          <x:t xml:space="preserve">optimized,execution_strength</x:t>
        </x:is>
      </x:c>
      <x:c r="U534" s="3" t="n"/>
      <x:c r="V534" s="3" t="inlineStr">
        <x:is>
          <x:t xml:space="preserve">Request_Evidence</x:t>
        </x:is>
      </x:c>
      <x:c r="W534" s="3" t="inlineStr">
        <x:is>
          <x:t xml:space="preserve">N</x:t>
        </x:is>
      </x:c>
      <x:c r="X534" s="3" t="inlineStr">
        <x:is>
          <x:t xml:space="preserve">Optimization evidence</x:t>
        </x:is>
      </x:c>
      <x:c r="Y534" s="6">
        <x:f>(S534*IF(E534="G",F534,0))+(S534*IF(G534="G",H534,0))</x:f>
      </x:c>
      <x:c r="Z534" s="6">
        <x:f>(S534*IF(E534="E",F534,0))+(S534*IF(G534="E",H534,0))</x:f>
      </x:c>
      <x:c r="AA534" s="6">
        <x:f>(S534*IF(E534="T",F534,0))+(S534*IF(G534="T",H534,0))</x:f>
      </x:c>
      <x:c r="AB534" s="6">
        <x:f>(S534*IF(E534="L",F534,0))+(S534*IF(G534="L",H534,0))</x:f>
      </x:c>
      <x:c r="AC534" s="6">
        <x:f>(S534*IF(E534="H",F534,0))+(S534*IF(G534="H",H534,0))</x:f>
      </x:c>
      <x:c r="AD534" s="6">
        <x:f>(S534*IF(E534="V",F534,0))+(S534*IF(G534="V",H534,0))</x:f>
      </x:c>
      <x:c r="AE534" s="6">
        <x:f>(S534*IF(E534="R",F534,0))+(S534*IF(G534="R",H534,0))</x:f>
      </x:c>
      <x:c r="AF534" s="6">
        <x:f>(S534*IF(E534="F",F534,0))+(S534*IF(G534="F",H534,0))</x:f>
      </x:c>
      <x:c r="AG534" s="6">
        <x:f>(S534*IF(E534="W",F534,0))+(S534*IF(G534="W",H534,0))</x:f>
      </x:c>
    </x:row>
    <x:row r="535">
      <x:c r="A535" s="3" t="inlineStr">
        <x:is>
          <x:t xml:space="preserve">Security</x:t>
        </x:is>
      </x:c>
      <x:c r="B535" s="3" t="inlineStr">
        <x:is>
          <x:t xml:space="preserve">SEC-D14-Q40</x:t>
        </x:is>
      </x:c>
      <x:c r="C535" s="3" t="inlineStr">
        <x:is>
          <x:t xml:space="preserve">T3</x:t>
        </x:is>
      </x:c>
      <x:c r="D535" s="3" t="inlineStr">
        <x:is>
          <x:t xml:space="preserve">14. Cloud &amp; SaaS Monitoring (Deep)</x:t>
        </x:is>
      </x:c>
      <x:c r="E535" s="3" t="inlineStr">
        <x:is>
          <x:t xml:space="preserve">V</x:t>
        </x:is>
      </x:c>
      <x:c r="F535" s="3" t="n">
        <x:v>0.5</x:v>
      </x:c>
      <x:c r="G535" s="3" t="inlineStr">
        <x:is>
          <x:t xml:space="preserve">T</x:t>
        </x:is>
      </x:c>
      <x:c r="H535" s="3" t="n">
        <x:v>0.5</x:v>
      </x:c>
      <x:c r="I535" s="3" t="inlineStr">
        <x:is>
          <x:t xml:space="preserve">For cloud and SaaS services used for sensitive data (email, file sharing, code platforms), do you collect audit trails and monitor risky sharing/exfiltration patterns?</x:t>
        </x:is>
      </x:c>
      <x:c r="J535" s="3" t="inlineStr">
        <x:is>
          <x:t xml:space="preserve">Focus on whether you can see risky sharing (external links, mass downloads, unusual access), and whether those logs are centralized and retained.</x:t>
        </x:is>
      </x:c>
      <x:c r="K535" s="3" t="inlineStr">
        <x:is>
          <x:t xml:space="preserve">Optional Annex (Ask in Full/Deep mode OR if SEC-D2-Q04 BaseScore ≥ 2).</x:t>
        </x:is>
      </x:c>
      <x:c r="L535" s="3" t="inlineStr">
        <x:is>
          <x:t xml:space="preserve">OPS_STD</x:t>
        </x:is>
      </x:c>
      <x:c r="M535" s="3" t="n">
        <x:v>1</x:v>
      </x:c>
      <x:c r="N535" s="3" t="n"/>
      <x:c r="O535" s="3" t="n"/>
      <x:c r="P535" s="3" t="inlineStr">
        <x:is>
          <x:t xml:space="preserve">SEC-D14-Q40-A0</x:t>
        </x:is>
      </x:c>
      <x:c r="Q535" s="3" t="n">
        <x:v>1</x:v>
      </x:c>
      <x:c r="R535" s="3" t="inlineStr">
        <x:is>
          <x:t xml:space="preserve">I don’t know / not sure.</x:t>
        </x:is>
      </x:c>
      <x:c r="S535" s="3" t="n">
        <x:v>0</x:v>
      </x:c>
      <x:c r="T535" s="3" t="inlineStr">
        <x:is>
          <x:t xml:space="preserve">unknown</x:t>
        </x:is>
      </x:c>
      <x:c r="U535" s="3" t="inlineStr">
        <x:is>
          <x:t xml:space="preserve">Unknown</x:t>
        </x:is>
      </x:c>
      <x:c r="V535" s="3" t="inlineStr">
        <x:is>
          <x:t xml:space="preserve">Clarify_Stakeholders</x:t>
        </x:is>
      </x:c>
      <x:c r="W535" s="3" t="inlineStr">
        <x:is>
          <x:t xml:space="preserve">N</x:t>
        </x:is>
      </x:c>
      <x:c r="X535" s="3" t="inlineStr">
        <x:is>
          <x:t xml:space="preserve">None</x:t>
        </x:is>
      </x:c>
      <x:c r="Y535" s="6">
        <x:f>(S535*IF(E535="G",F535,0))+(S535*IF(G535="G",H535,0))</x:f>
      </x:c>
      <x:c r="Z535" s="6">
        <x:f>(S535*IF(E535="E",F535,0))+(S535*IF(G535="E",H535,0))</x:f>
      </x:c>
      <x:c r="AA535" s="6">
        <x:f>(S535*IF(E535="T",F535,0))+(S535*IF(G535="T",H535,0))</x:f>
      </x:c>
      <x:c r="AB535" s="6">
        <x:f>(S535*IF(E535="L",F535,0))+(S535*IF(G535="L",H535,0))</x:f>
      </x:c>
      <x:c r="AC535" s="6">
        <x:f>(S535*IF(E535="H",F535,0))+(S535*IF(G535="H",H535,0))</x:f>
      </x:c>
      <x:c r="AD535" s="6">
        <x:f>(S535*IF(E535="V",F535,0))+(S535*IF(G535="V",H535,0))</x:f>
      </x:c>
      <x:c r="AE535" s="6">
        <x:f>(S535*IF(E535="R",F535,0))+(S535*IF(G535="R",H535,0))</x:f>
      </x:c>
      <x:c r="AF535" s="6">
        <x:f>(S535*IF(E535="F",F535,0))+(S535*IF(G535="F",H535,0))</x:f>
      </x:c>
      <x:c r="AG535" s="6">
        <x:f>(S535*IF(E535="W",F535,0))+(S535*IF(G535="W",H535,0))</x:f>
      </x:c>
    </x:row>
    <x:row r="536">
      <x:c r="A536" s="3" t="inlineStr">
        <x:is>
          <x:t xml:space="preserve">Security</x:t>
        </x:is>
      </x:c>
      <x:c r="B536" s="3" t="inlineStr">
        <x:is>
          <x:t xml:space="preserve">SEC-D14-Q40</x:t>
        </x:is>
      </x:c>
      <x:c r="C536" s="3" t="inlineStr">
        <x:is>
          <x:t xml:space="preserve">T3</x:t>
        </x:is>
      </x:c>
      <x:c r="D536" s="3" t="inlineStr">
        <x:is>
          <x:t xml:space="preserve">14. Cloud &amp; SaaS Monitoring (Deep)</x:t>
        </x:is>
      </x:c>
      <x:c r="E536" s="3" t="inlineStr">
        <x:is>
          <x:t xml:space="preserve">V</x:t>
        </x:is>
      </x:c>
      <x:c r="F536" s="3" t="n">
        <x:v>0.5</x:v>
      </x:c>
      <x:c r="G536" s="3" t="inlineStr">
        <x:is>
          <x:t xml:space="preserve">T</x:t>
        </x:is>
      </x:c>
      <x:c r="H536" s="3" t="n">
        <x:v>0.5</x:v>
      </x:c>
      <x:c r="I536" s="3" t="inlineStr">
        <x:is>
          <x:t xml:space="preserve">For cloud and SaaS services used for sensitive data (email, file sharing, code platforms), do you collect audit trails and monitor risky sharing/exfiltration patterns?</x:t>
        </x:is>
      </x:c>
      <x:c r="J536" s="3" t="inlineStr">
        <x:is>
          <x:t xml:space="preserve">Focus on whether you can see risky sharing (external links, mass downloads, unusual access), and whether those logs are centralized and retained.</x:t>
        </x:is>
      </x:c>
      <x:c r="K536" s="3" t="inlineStr">
        <x:is>
          <x:t xml:space="preserve">Optional Annex (Ask in Full/Deep mode OR if SEC-D2-Q04 BaseScore ≥ 2).</x:t>
        </x:is>
      </x:c>
      <x:c r="L536" s="3" t="inlineStr">
        <x:is>
          <x:t xml:space="preserve">OPS_STD</x:t>
        </x:is>
      </x:c>
      <x:c r="M536" s="3" t="n">
        <x:v>1</x:v>
      </x:c>
      <x:c r="N536" s="3" t="n"/>
      <x:c r="O536" s="3" t="n"/>
      <x:c r="P536" s="3" t="inlineStr">
        <x:is>
          <x:t xml:space="preserve">SEC-D14-Q40-A1</x:t>
        </x:is>
      </x:c>
      <x:c r="Q536" s="3" t="n">
        <x:v>2</x:v>
      </x:c>
      <x:c r="R536" s="3" t="inlineStr">
        <x:is>
          <x:t xml:space="preserve">We don’t consistently collect cloud/SaaS audit trails; visibility into sharing/exfiltration is limited.</x:t>
        </x:is>
      </x:c>
      <x:c r="S536" s="3" t="n">
        <x:v>0</x:v>
      </x:c>
      <x:c r="T536" s="3" t="inlineStr">
        <x:is>
          <x:t xml:space="preserve">cloud_visibility_gap,visibility_gap</x:t>
        </x:is>
      </x:c>
      <x:c r="U536" s="3" t="inlineStr">
        <x:is>
          <x:t xml:space="preserve">Visibility Gap</x:t>
        </x:is>
      </x:c>
      <x:c r="V536" s="3" t="inlineStr">
        <x:is>
          <x:t xml:space="preserve">Expand_Cloud_SaaS_Logging</x:t>
        </x:is>
      </x:c>
      <x:c r="W536" s="3" t="inlineStr">
        <x:is>
          <x:t xml:space="preserve">N</x:t>
        </x:is>
      </x:c>
      <x:c r="X536" s="3" t="inlineStr">
        <x:is>
          <x:t xml:space="preserve">List of SaaS used</x:t>
        </x:is>
      </x:c>
      <x:c r="Y536" s="6">
        <x:f>(S536*IF(E536="G",F536,0))+(S536*IF(G536="G",H536,0))</x:f>
      </x:c>
      <x:c r="Z536" s="6">
        <x:f>(S536*IF(E536="E",F536,0))+(S536*IF(G536="E",H536,0))</x:f>
      </x:c>
      <x:c r="AA536" s="6">
        <x:f>(S536*IF(E536="T",F536,0))+(S536*IF(G536="T",H536,0))</x:f>
      </x:c>
      <x:c r="AB536" s="6">
        <x:f>(S536*IF(E536="L",F536,0))+(S536*IF(G536="L",H536,0))</x:f>
      </x:c>
      <x:c r="AC536" s="6">
        <x:f>(S536*IF(E536="H",F536,0))+(S536*IF(G536="H",H536,0))</x:f>
      </x:c>
      <x:c r="AD536" s="6">
        <x:f>(S536*IF(E536="V",F536,0))+(S536*IF(G536="V",H536,0))</x:f>
      </x:c>
      <x:c r="AE536" s="6">
        <x:f>(S536*IF(E536="R",F536,0))+(S536*IF(G536="R",H536,0))</x:f>
      </x:c>
      <x:c r="AF536" s="6">
        <x:f>(S536*IF(E536="F",F536,0))+(S536*IF(G536="F",H536,0))</x:f>
      </x:c>
      <x:c r="AG536" s="6">
        <x:f>(S536*IF(E536="W",F536,0))+(S536*IF(G536="W",H536,0))</x:f>
      </x:c>
    </x:row>
    <x:row r="537">
      <x:c r="A537" s="3" t="inlineStr">
        <x:is>
          <x:t xml:space="preserve">Security</x:t>
        </x:is>
      </x:c>
      <x:c r="B537" s="3" t="inlineStr">
        <x:is>
          <x:t xml:space="preserve">SEC-D14-Q40</x:t>
        </x:is>
      </x:c>
      <x:c r="C537" s="3" t="inlineStr">
        <x:is>
          <x:t xml:space="preserve">T3</x:t>
        </x:is>
      </x:c>
      <x:c r="D537" s="3" t="inlineStr">
        <x:is>
          <x:t xml:space="preserve">14. Cloud &amp; SaaS Monitoring (Deep)</x:t>
        </x:is>
      </x:c>
      <x:c r="E537" s="3" t="inlineStr">
        <x:is>
          <x:t xml:space="preserve">V</x:t>
        </x:is>
      </x:c>
      <x:c r="F537" s="3" t="n">
        <x:v>0.5</x:v>
      </x:c>
      <x:c r="G537" s="3" t="inlineStr">
        <x:is>
          <x:t xml:space="preserve">T</x:t>
        </x:is>
      </x:c>
      <x:c r="H537" s="3" t="n">
        <x:v>0.5</x:v>
      </x:c>
      <x:c r="I537" s="3" t="inlineStr">
        <x:is>
          <x:t xml:space="preserve">For cloud and SaaS services used for sensitive data (email, file sharing, code platforms), do you collect audit trails and monitor risky sharing/exfiltration patterns?</x:t>
        </x:is>
      </x:c>
      <x:c r="J537" s="3" t="inlineStr">
        <x:is>
          <x:t xml:space="preserve">Focus on whether you can see risky sharing (external links, mass downloads, unusual access), and whether those logs are centralized and retained.</x:t>
        </x:is>
      </x:c>
      <x:c r="K537" s="3" t="inlineStr">
        <x:is>
          <x:t xml:space="preserve">Optional Annex (Ask in Full/Deep mode OR if SEC-D2-Q04 BaseScore ≥ 2).</x:t>
        </x:is>
      </x:c>
      <x:c r="L537" s="3" t="inlineStr">
        <x:is>
          <x:t xml:space="preserve">OPS_STD</x:t>
        </x:is>
      </x:c>
      <x:c r="M537" s="3" t="n">
        <x:v>1</x:v>
      </x:c>
      <x:c r="N537" s="3" t="n"/>
      <x:c r="O537" s="3" t="n"/>
      <x:c r="P537" s="3" t="inlineStr">
        <x:is>
          <x:t xml:space="preserve">SEC-D14-Q40-A2</x:t>
        </x:is>
      </x:c>
      <x:c r="Q537" s="3" t="n">
        <x:v>3</x:v>
      </x:c>
      <x:c r="R537" s="3" t="inlineStr">
        <x:is>
          <x:t xml:space="preserve">Some audit trails exist, but they’re not centralized and are hard to use in investigations.</x:t>
        </x:is>
      </x:c>
      <x:c r="S537" s="3" t="n">
        <x:v>1</x:v>
      </x:c>
      <x:c r="T537" s="3" t="inlineStr">
        <x:is>
          <x:t xml:space="preserve">partial_visibility,ad_hoc</x:t>
        </x:is>
      </x:c>
      <x:c r="U537" s="3" t="inlineStr">
        <x:is>
          <x:t xml:space="preserve">Shadow Mature</x:t>
        </x:is>
      </x:c>
      <x:c r="V537" s="3" t="inlineStr">
        <x:is>
          <x:t xml:space="preserve">Expand_Cloud_SaaS_Logging</x:t>
        </x:is>
      </x:c>
      <x:c r="W537" s="3" t="inlineStr">
        <x:is>
          <x:t xml:space="preserve">N</x:t>
        </x:is>
      </x:c>
      <x:c r="X537" s="3" t="inlineStr">
        <x:is>
          <x:t xml:space="preserve">Where logs live</x:t>
        </x:is>
      </x:c>
      <x:c r="Y537" s="6">
        <x:f>(S537*IF(E537="G",F537,0))+(S537*IF(G537="G",H537,0))</x:f>
      </x:c>
      <x:c r="Z537" s="6">
        <x:f>(S537*IF(E537="E",F537,0))+(S537*IF(G537="E",H537,0))</x:f>
      </x:c>
      <x:c r="AA537" s="6">
        <x:f>(S537*IF(E537="T",F537,0))+(S537*IF(G537="T",H537,0))</x:f>
      </x:c>
      <x:c r="AB537" s="6">
        <x:f>(S537*IF(E537="L",F537,0))+(S537*IF(G537="L",H537,0))</x:f>
      </x:c>
      <x:c r="AC537" s="6">
        <x:f>(S537*IF(E537="H",F537,0))+(S537*IF(G537="H",H537,0))</x:f>
      </x:c>
      <x:c r="AD537" s="6">
        <x:f>(S537*IF(E537="V",F537,0))+(S537*IF(G537="V",H537,0))</x:f>
      </x:c>
      <x:c r="AE537" s="6">
        <x:f>(S537*IF(E537="R",F537,0))+(S537*IF(G537="R",H537,0))</x:f>
      </x:c>
      <x:c r="AF537" s="6">
        <x:f>(S537*IF(E537="F",F537,0))+(S537*IF(G537="F",H537,0))</x:f>
      </x:c>
      <x:c r="AG537" s="6">
        <x:f>(S537*IF(E537="W",F537,0))+(S537*IF(G537="W",H537,0))</x:f>
      </x:c>
    </x:row>
    <x:row r="538">
      <x:c r="A538" s="3" t="inlineStr">
        <x:is>
          <x:t xml:space="preserve">Security</x:t>
        </x:is>
      </x:c>
      <x:c r="B538" s="3" t="inlineStr">
        <x:is>
          <x:t xml:space="preserve">SEC-D14-Q40</x:t>
        </x:is>
      </x:c>
      <x:c r="C538" s="3" t="inlineStr">
        <x:is>
          <x:t xml:space="preserve">T3</x:t>
        </x:is>
      </x:c>
      <x:c r="D538" s="3" t="inlineStr">
        <x:is>
          <x:t xml:space="preserve">14. Cloud &amp; SaaS Monitoring (Deep)</x:t>
        </x:is>
      </x:c>
      <x:c r="E538" s="3" t="inlineStr">
        <x:is>
          <x:t xml:space="preserve">V</x:t>
        </x:is>
      </x:c>
      <x:c r="F538" s="3" t="n">
        <x:v>0.5</x:v>
      </x:c>
      <x:c r="G538" s="3" t="inlineStr">
        <x:is>
          <x:t xml:space="preserve">T</x:t>
        </x:is>
      </x:c>
      <x:c r="H538" s="3" t="n">
        <x:v>0.5</x:v>
      </x:c>
      <x:c r="I538" s="3" t="inlineStr">
        <x:is>
          <x:t xml:space="preserve">For cloud and SaaS services used for sensitive data (email, file sharing, code platforms), do you collect audit trails and monitor risky sharing/exfiltration patterns?</x:t>
        </x:is>
      </x:c>
      <x:c r="J538" s="3" t="inlineStr">
        <x:is>
          <x:t xml:space="preserve">Focus on whether you can see risky sharing (external links, mass downloads, unusual access), and whether those logs are centralized and retained.</x:t>
        </x:is>
      </x:c>
      <x:c r="K538" s="3" t="inlineStr">
        <x:is>
          <x:t xml:space="preserve">Optional Annex (Ask in Full/Deep mode OR if SEC-D2-Q04 BaseScore ≥ 2).</x:t>
        </x:is>
      </x:c>
      <x:c r="L538" s="3" t="inlineStr">
        <x:is>
          <x:t xml:space="preserve">OPS_STD</x:t>
        </x:is>
      </x:c>
      <x:c r="M538" s="3" t="n">
        <x:v>1</x:v>
      </x:c>
      <x:c r="N538" s="3" t="n"/>
      <x:c r="O538" s="3" t="n"/>
      <x:c r="P538" s="3" t="inlineStr">
        <x:is>
          <x:t xml:space="preserve">SEC-D14-Q40-A3</x:t>
        </x:is>
      </x:c>
      <x:c r="Q538" s="3" t="n">
        <x:v>4</x:v>
      </x:c>
      <x:c r="R538" s="3" t="inlineStr">
        <x:is>
          <x:t xml:space="preserve">We collect key audit logs centrally, but monitoring focuses on generic alerts and misses risky sharing patterns.</x:t>
        </x:is>
      </x:c>
      <x:c r="S538" s="3" t="n">
        <x:v>2</x:v>
      </x:c>
      <x:c r="T538" s="3" t="inlineStr">
        <x:is>
          <x:t xml:space="preserve">partial_maturity,inconsistent_execution</x:t>
        </x:is>
      </x:c>
      <x:c r="U538" s="3" t="inlineStr">
        <x:is>
          <x:t xml:space="preserve">Visibility Gap</x:t>
        </x:is>
      </x:c>
      <x:c r="V538" s="3" t="inlineStr">
        <x:is>
          <x:t xml:space="preserve">Expand_Cloud_SaaS_Logging</x:t>
        </x:is>
      </x:c>
      <x:c r="W538" s="3" t="inlineStr">
        <x:is>
          <x:t xml:space="preserve">N</x:t>
        </x:is>
      </x:c>
      <x:c r="X538" s="3" t="inlineStr">
        <x:is>
          <x:t xml:space="preserve">Example alerts</x:t>
        </x:is>
      </x:c>
      <x:c r="Y538" s="6">
        <x:f>(S538*IF(E538="G",F538,0))+(S538*IF(G538="G",H538,0))</x:f>
      </x:c>
      <x:c r="Z538" s="6">
        <x:f>(S538*IF(E538="E",F538,0))+(S538*IF(G538="E",H538,0))</x:f>
      </x:c>
      <x:c r="AA538" s="6">
        <x:f>(S538*IF(E538="T",F538,0))+(S538*IF(G538="T",H538,0))</x:f>
      </x:c>
      <x:c r="AB538" s="6">
        <x:f>(S538*IF(E538="L",F538,0))+(S538*IF(G538="L",H538,0))</x:f>
      </x:c>
      <x:c r="AC538" s="6">
        <x:f>(S538*IF(E538="H",F538,0))+(S538*IF(G538="H",H538,0))</x:f>
      </x:c>
      <x:c r="AD538" s="6">
        <x:f>(S538*IF(E538="V",F538,0))+(S538*IF(G538="V",H538,0))</x:f>
      </x:c>
      <x:c r="AE538" s="6">
        <x:f>(S538*IF(E538="R",F538,0))+(S538*IF(G538="R",H538,0))</x:f>
      </x:c>
      <x:c r="AF538" s="6">
        <x:f>(S538*IF(E538="F",F538,0))+(S538*IF(G538="F",H538,0))</x:f>
      </x:c>
      <x:c r="AG538" s="6">
        <x:f>(S538*IF(E538="W",F538,0))+(S538*IF(G538="W",H538,0))</x:f>
      </x:c>
    </x:row>
    <x:row r="539">
      <x:c r="A539" s="3" t="inlineStr">
        <x:is>
          <x:t xml:space="preserve">Security</x:t>
        </x:is>
      </x:c>
      <x:c r="B539" s="3" t="inlineStr">
        <x:is>
          <x:t xml:space="preserve">SEC-D14-Q40</x:t>
        </x:is>
      </x:c>
      <x:c r="C539" s="3" t="inlineStr">
        <x:is>
          <x:t xml:space="preserve">T3</x:t>
        </x:is>
      </x:c>
      <x:c r="D539" s="3" t="inlineStr">
        <x:is>
          <x:t xml:space="preserve">14. Cloud &amp; SaaS Monitoring (Deep)</x:t>
        </x:is>
      </x:c>
      <x:c r="E539" s="3" t="inlineStr">
        <x:is>
          <x:t xml:space="preserve">V</x:t>
        </x:is>
      </x:c>
      <x:c r="F539" s="3" t="n">
        <x:v>0.5</x:v>
      </x:c>
      <x:c r="G539" s="3" t="inlineStr">
        <x:is>
          <x:t xml:space="preserve">T</x:t>
        </x:is>
      </x:c>
      <x:c r="H539" s="3" t="n">
        <x:v>0.5</x:v>
      </x:c>
      <x:c r="I539" s="3" t="inlineStr">
        <x:is>
          <x:t xml:space="preserve">For cloud and SaaS services used for sensitive data (email, file sharing, code platforms), do you collect audit trails and monitor risky sharing/exfiltration patterns?</x:t>
        </x:is>
      </x:c>
      <x:c r="J539" s="3" t="inlineStr">
        <x:is>
          <x:t xml:space="preserve">Focus on whether you can see risky sharing (external links, mass downloads, unusual access), and whether those logs are centralized and retained.</x:t>
        </x:is>
      </x:c>
      <x:c r="K539" s="3" t="inlineStr">
        <x:is>
          <x:t xml:space="preserve">Optional Annex (Ask in Full/Deep mode OR if SEC-D2-Q04 BaseScore ≥ 2).</x:t>
        </x:is>
      </x:c>
      <x:c r="L539" s="3" t="inlineStr">
        <x:is>
          <x:t xml:space="preserve">OPS_STD</x:t>
        </x:is>
      </x:c>
      <x:c r="M539" s="3" t="n">
        <x:v>1</x:v>
      </x:c>
      <x:c r="N539" s="3" t="n"/>
      <x:c r="O539" s="3" t="n"/>
      <x:c r="P539" s="3" t="inlineStr">
        <x:is>
          <x:t xml:space="preserve">SEC-D14-Q40-A4</x:t>
        </x:is>
      </x:c>
      <x:c r="Q539" s="3" t="n">
        <x:v>5</x:v>
      </x:c>
      <x:c r="R539" s="3" t="inlineStr">
        <x:is>
          <x:t xml:space="preserve">We collect and monitor audit trails for key services; risky sharing/exfil patterns are in scope for detection.</x:t>
        </x:is>
      </x:c>
      <x:c r="S539" s="3" t="n">
        <x:v>3</x:v>
      </x:c>
      <x:c r="T539" s="3" t="inlineStr">
        <x:is>
          <x:t xml:space="preserve">good_practice,execution_strength</x:t>
        </x:is>
      </x:c>
      <x:c r="U539" s="3" t="n"/>
      <x:c r="V539" s="3" t="inlineStr">
        <x:is>
          <x:t xml:space="preserve">Request_Evidence</x:t>
        </x:is>
      </x:c>
      <x:c r="W539" s="3" t="inlineStr">
        <x:is>
          <x:t xml:space="preserve">N</x:t>
        </x:is>
      </x:c>
      <x:c r="X539" s="3" t="inlineStr">
        <x:is>
          <x:t xml:space="preserve">Detection list</x:t>
        </x:is>
      </x:c>
      <x:c r="Y539" s="6">
        <x:f>(S539*IF(E539="G",F539,0))+(S539*IF(G539="G",H539,0))</x:f>
      </x:c>
      <x:c r="Z539" s="6">
        <x:f>(S539*IF(E539="E",F539,0))+(S539*IF(G539="E",H539,0))</x:f>
      </x:c>
      <x:c r="AA539" s="6">
        <x:f>(S539*IF(E539="T",F539,0))+(S539*IF(G539="T",H539,0))</x:f>
      </x:c>
      <x:c r="AB539" s="6">
        <x:f>(S539*IF(E539="L",F539,0))+(S539*IF(G539="L",H539,0))</x:f>
      </x:c>
      <x:c r="AC539" s="6">
        <x:f>(S539*IF(E539="H",F539,0))+(S539*IF(G539="H",H539,0))</x:f>
      </x:c>
      <x:c r="AD539" s="6">
        <x:f>(S539*IF(E539="V",F539,0))+(S539*IF(G539="V",H539,0))</x:f>
      </x:c>
      <x:c r="AE539" s="6">
        <x:f>(S539*IF(E539="R",F539,0))+(S539*IF(G539="R",H539,0))</x:f>
      </x:c>
      <x:c r="AF539" s="6">
        <x:f>(S539*IF(E539="F",F539,0))+(S539*IF(G539="F",H539,0))</x:f>
      </x:c>
      <x:c r="AG539" s="6">
        <x:f>(S539*IF(E539="W",F539,0))+(S539*IF(G539="W",H539,0))</x:f>
      </x:c>
    </x:row>
    <x:row r="540">
      <x:c r="A540" s="3" t="inlineStr">
        <x:is>
          <x:t xml:space="preserve">Security</x:t>
        </x:is>
      </x:c>
      <x:c r="B540" s="3" t="inlineStr">
        <x:is>
          <x:t xml:space="preserve">SEC-D14-Q40</x:t>
        </x:is>
      </x:c>
      <x:c r="C540" s="3" t="inlineStr">
        <x:is>
          <x:t xml:space="preserve">T3</x:t>
        </x:is>
      </x:c>
      <x:c r="D540" s="3" t="inlineStr">
        <x:is>
          <x:t xml:space="preserve">14. Cloud &amp; SaaS Monitoring (Deep)</x:t>
        </x:is>
      </x:c>
      <x:c r="E540" s="3" t="inlineStr">
        <x:is>
          <x:t xml:space="preserve">V</x:t>
        </x:is>
      </x:c>
      <x:c r="F540" s="3" t="n">
        <x:v>0.5</x:v>
      </x:c>
      <x:c r="G540" s="3" t="inlineStr">
        <x:is>
          <x:t xml:space="preserve">T</x:t>
        </x:is>
      </x:c>
      <x:c r="H540" s="3" t="n">
        <x:v>0.5</x:v>
      </x:c>
      <x:c r="I540" s="3" t="inlineStr">
        <x:is>
          <x:t xml:space="preserve">For cloud and SaaS services used for sensitive data (email, file sharing, code platforms), do you collect audit trails and monitor risky sharing/exfiltration patterns?</x:t>
        </x:is>
      </x:c>
      <x:c r="J540" s="3" t="inlineStr">
        <x:is>
          <x:t xml:space="preserve">Focus on whether you can see risky sharing (external links, mass downloads, unusual access), and whether those logs are centralized and retained.</x:t>
        </x:is>
      </x:c>
      <x:c r="K540" s="3" t="inlineStr">
        <x:is>
          <x:t xml:space="preserve">Optional Annex (Ask in Full/Deep mode OR if SEC-D2-Q04 BaseScore ≥ 2).</x:t>
        </x:is>
      </x:c>
      <x:c r="L540" s="3" t="inlineStr">
        <x:is>
          <x:t xml:space="preserve">OPS_STD</x:t>
        </x:is>
      </x:c>
      <x:c r="M540" s="3" t="n">
        <x:v>1</x:v>
      </x:c>
      <x:c r="N540" s="3" t="n"/>
      <x:c r="O540" s="3" t="n"/>
      <x:c r="P540" s="3" t="inlineStr">
        <x:is>
          <x:t xml:space="preserve">SEC-D14-Q40-A5</x:t>
        </x:is>
      </x:c>
      <x:c r="Q540" s="3" t="n">
        <x:v>6</x:v>
      </x:c>
      <x:c r="R540" s="3" t="inlineStr">
        <x:is>
          <x:t xml:space="preserve">Cloud/SaaS logs are comprehensive, correlated with identity and data sensitivity, and validated for coverage.</x:t>
        </x:is>
      </x:c>
      <x:c r="S540" s="3" t="n">
        <x:v>4</x:v>
      </x:c>
      <x:c r="T540" s="3" t="inlineStr">
        <x:is>
          <x:t xml:space="preserve">optimized,execution_strength</x:t>
        </x:is>
      </x:c>
      <x:c r="U540" s="3" t="n"/>
      <x:c r="V540" s="3" t="inlineStr">
        <x:is>
          <x:t xml:space="preserve">Request_Evidence</x:t>
        </x:is>
      </x:c>
      <x:c r="W540" s="3" t="inlineStr">
        <x:is>
          <x:t xml:space="preserve">N</x:t>
        </x:is>
      </x:c>
      <x:c r="X540" s="3" t="inlineStr">
        <x:is>
          <x:t xml:space="preserve">Coverage proof</x:t>
        </x:is>
      </x:c>
      <x:c r="Y540" s="6">
        <x:f>(S540*IF(E540="G",F540,0))+(S540*IF(G540="G",H540,0))</x:f>
      </x:c>
      <x:c r="Z540" s="6">
        <x:f>(S540*IF(E540="E",F540,0))+(S540*IF(G540="E",H540,0))</x:f>
      </x:c>
      <x:c r="AA540" s="6">
        <x:f>(S540*IF(E540="T",F540,0))+(S540*IF(G540="T",H540,0))</x:f>
      </x:c>
      <x:c r="AB540" s="6">
        <x:f>(S540*IF(E540="L",F540,0))+(S540*IF(G540="L",H540,0))</x:f>
      </x:c>
      <x:c r="AC540" s="6">
        <x:f>(S540*IF(E540="H",F540,0))+(S540*IF(G540="H",H540,0))</x:f>
      </x:c>
      <x:c r="AD540" s="6">
        <x:f>(S540*IF(E540="V",F540,0))+(S540*IF(G540="V",H540,0))</x:f>
      </x:c>
      <x:c r="AE540" s="6">
        <x:f>(S540*IF(E540="R",F540,0))+(S540*IF(G540="R",H540,0))</x:f>
      </x:c>
      <x:c r="AF540" s="6">
        <x:f>(S540*IF(E540="F",F540,0))+(S540*IF(G540="F",H540,0))</x:f>
      </x:c>
      <x:c r="AG540" s="6">
        <x:f>(S540*IF(E540="W",F540,0))+(S540*IF(G540="W",H540,0))</x:f>
      </x:c>
    </x:row>
    <x:row r="541">
      <x:c r="A541" s="3" t="inlineStr">
        <x:is>
          <x:t xml:space="preserve">Security</x:t>
        </x:is>
      </x:c>
      <x:c r="B541" s="3" t="inlineStr">
        <x:is>
          <x:t xml:space="preserve">SEC-D14-Q41</x:t>
        </x:is>
      </x:c>
      <x:c r="C541" s="3" t="inlineStr">
        <x:is>
          <x:t xml:space="preserve">T4</x:t>
        </x:is>
      </x:c>
      <x:c r="D541" s="3" t="inlineStr">
        <x:is>
          <x:t xml:space="preserve">14. Cloud &amp; SaaS Monitoring (Deep)</x:t>
        </x:is>
      </x:c>
      <x:c r="E541" s="3" t="inlineStr">
        <x:is>
          <x:t xml:space="preserve">V</x:t>
        </x:is>
      </x:c>
      <x:c r="F541" s="3" t="n">
        <x:v>0.6</x:v>
      </x:c>
      <x:c r="G541" s="3" t="inlineStr">
        <x:is>
          <x:t xml:space="preserve">F</x:t>
        </x:is>
      </x:c>
      <x:c r="H541" s="3" t="n">
        <x:v>0.4</x:v>
      </x:c>
      <x:c r="I541" s="3" t="inlineStr">
        <x:is>
          <x:t xml:space="preserve">Are data-loss / risky-sharing controls tuned to ‘what matters most’ (crown jewels) rather than blanket blocking that drives workarounds?</x:t>
        </x:is>
      </x:c>
      <x:c r="J541" s="3" t="inlineStr">
        <x:is>
          <x:t xml:space="preserve">Look for risk-based policies: stronger controls for sensitive repositories and high‑risk roles, measured business impact, and documented exceptions.</x:t>
        </x:is>
      </x:c>
      <x:c r="K541" s="3" t="inlineStr">
        <x:is>
          <x:t xml:space="preserve">Optional Annex (Ask in Full/Deep mode).</x:t>
        </x:is>
      </x:c>
      <x:c r="L541" s="3" t="inlineStr">
        <x:is>
          <x:t xml:space="preserve">OPS_STD</x:t>
        </x:is>
      </x:c>
      <x:c r="M541" s="3" t="n">
        <x:v>1</x:v>
      </x:c>
      <x:c r="N541" s="3" t="n"/>
      <x:c r="O541" s="3" t="n"/>
      <x:c r="P541" s="3" t="inlineStr">
        <x:is>
          <x:t xml:space="preserve">SEC-D14-Q41-A0</x:t>
        </x:is>
      </x:c>
      <x:c r="Q541" s="3" t="n">
        <x:v>1</x:v>
      </x:c>
      <x:c r="R541" s="3" t="inlineStr">
        <x:is>
          <x:t xml:space="preserve">I don’t know / not sure.</x:t>
        </x:is>
      </x:c>
      <x:c r="S541" s="3" t="n">
        <x:v>0</x:v>
      </x:c>
      <x:c r="T541" s="3" t="inlineStr">
        <x:is>
          <x:t xml:space="preserve">unknown</x:t>
        </x:is>
      </x:c>
      <x:c r="U541" s="3" t="inlineStr">
        <x:is>
          <x:t xml:space="preserve">Unknown</x:t>
        </x:is>
      </x:c>
      <x:c r="V541" s="3" t="inlineStr">
        <x:is>
          <x:t xml:space="preserve">Clarify_Stakeholders</x:t>
        </x:is>
      </x:c>
      <x:c r="W541" s="3" t="inlineStr">
        <x:is>
          <x:t xml:space="preserve">N</x:t>
        </x:is>
      </x:c>
      <x:c r="X541" s="3" t="inlineStr">
        <x:is>
          <x:t xml:space="preserve">None</x:t>
        </x:is>
      </x:c>
      <x:c r="Y541" s="6">
        <x:f>(S541*IF(E541="G",F541,0))+(S541*IF(G541="G",H541,0))</x:f>
      </x:c>
      <x:c r="Z541" s="6">
        <x:f>(S541*IF(E541="E",F541,0))+(S541*IF(G541="E",H541,0))</x:f>
      </x:c>
      <x:c r="AA541" s="6">
        <x:f>(S541*IF(E541="T",F541,0))+(S541*IF(G541="T",H541,0))</x:f>
      </x:c>
      <x:c r="AB541" s="6">
        <x:f>(S541*IF(E541="L",F541,0))+(S541*IF(G541="L",H541,0))</x:f>
      </x:c>
      <x:c r="AC541" s="6">
        <x:f>(S541*IF(E541="H",F541,0))+(S541*IF(G541="H",H541,0))</x:f>
      </x:c>
      <x:c r="AD541" s="6">
        <x:f>(S541*IF(E541="V",F541,0))+(S541*IF(G541="V",H541,0))</x:f>
      </x:c>
      <x:c r="AE541" s="6">
        <x:f>(S541*IF(E541="R",F541,0))+(S541*IF(G541="R",H541,0))</x:f>
      </x:c>
      <x:c r="AF541" s="6">
        <x:f>(S541*IF(E541="F",F541,0))+(S541*IF(G541="F",H541,0))</x:f>
      </x:c>
      <x:c r="AG541" s="6">
        <x:f>(S541*IF(E541="W",F541,0))+(S541*IF(G541="W",H541,0))</x:f>
      </x:c>
    </x:row>
    <x:row r="542">
      <x:c r="A542" s="3" t="inlineStr">
        <x:is>
          <x:t xml:space="preserve">Security</x:t>
        </x:is>
      </x:c>
      <x:c r="B542" s="3" t="inlineStr">
        <x:is>
          <x:t xml:space="preserve">SEC-D14-Q41</x:t>
        </x:is>
      </x:c>
      <x:c r="C542" s="3" t="inlineStr">
        <x:is>
          <x:t xml:space="preserve">T4</x:t>
        </x:is>
      </x:c>
      <x:c r="D542" s="3" t="inlineStr">
        <x:is>
          <x:t xml:space="preserve">14. Cloud &amp; SaaS Monitoring (Deep)</x:t>
        </x:is>
      </x:c>
      <x:c r="E542" s="3" t="inlineStr">
        <x:is>
          <x:t xml:space="preserve">V</x:t>
        </x:is>
      </x:c>
      <x:c r="F542" s="3" t="n">
        <x:v>0.6</x:v>
      </x:c>
      <x:c r="G542" s="3" t="inlineStr">
        <x:is>
          <x:t xml:space="preserve">F</x:t>
        </x:is>
      </x:c>
      <x:c r="H542" s="3" t="n">
        <x:v>0.4</x:v>
      </x:c>
      <x:c r="I542" s="3" t="inlineStr">
        <x:is>
          <x:t xml:space="preserve">Are data-loss / risky-sharing controls tuned to ‘what matters most’ (crown jewels) rather than blanket blocking that drives workarounds?</x:t>
        </x:is>
      </x:c>
      <x:c r="J542" s="3" t="inlineStr">
        <x:is>
          <x:t xml:space="preserve">Look for risk-based policies: stronger controls for sensitive repositories and high‑risk roles, measured business impact, and documented exceptions.</x:t>
        </x:is>
      </x:c>
      <x:c r="K542" s="3" t="inlineStr">
        <x:is>
          <x:t xml:space="preserve">Optional Annex (Ask in Full/Deep mode).</x:t>
        </x:is>
      </x:c>
      <x:c r="L542" s="3" t="inlineStr">
        <x:is>
          <x:t xml:space="preserve">OPS_STD</x:t>
        </x:is>
      </x:c>
      <x:c r="M542" s="3" t="n">
        <x:v>1</x:v>
      </x:c>
      <x:c r="N542" s="3" t="n"/>
      <x:c r="O542" s="3" t="n"/>
      <x:c r="P542" s="3" t="inlineStr">
        <x:is>
          <x:t xml:space="preserve">SEC-D14-Q41-A1</x:t>
        </x:is>
      </x:c>
      <x:c r="Q542" s="3" t="n">
        <x:v>2</x:v>
      </x:c>
      <x:c r="R542" s="3" t="inlineStr">
        <x:is>
          <x:t xml:space="preserve">Controls are mostly blanket blocking; it disrupts work and pushes people to workarounds/shadow tools.</x:t>
        </x:is>
      </x:c>
      <x:c r="S542" s="3" t="n">
        <x:v>0</x:v>
      </x:c>
      <x:c r="T542" s="3" t="inlineStr">
        <x:is>
          <x:t xml:space="preserve">bypass_pressure,dlp_tuning_gap</x:t>
        </x:is>
      </x:c>
      <x:c r="U542" s="3" t="inlineStr">
        <x:is>
          <x:t xml:space="preserve">Bypass Pressure</x:t>
        </x:is>
      </x:c>
      <x:c r="V542" s="3" t="inlineStr">
        <x:is>
          <x:t xml:space="preserve">Tune_DLP_Crown_Jewels</x:t>
        </x:is>
      </x:c>
      <x:c r="W542" s="3" t="inlineStr">
        <x:is>
          <x:t xml:space="preserve">N</x:t>
        </x:is>
      </x:c>
      <x:c r="X542" s="3" t="inlineStr">
        <x:is>
          <x:t xml:space="preserve">Examples of blocked work</x:t>
        </x:is>
      </x:c>
      <x:c r="Y542" s="6">
        <x:f>(S542*IF(E542="G",F542,0))+(S542*IF(G542="G",H542,0))</x:f>
      </x:c>
      <x:c r="Z542" s="6">
        <x:f>(S542*IF(E542="E",F542,0))+(S542*IF(G542="E",H542,0))</x:f>
      </x:c>
      <x:c r="AA542" s="6">
        <x:f>(S542*IF(E542="T",F542,0))+(S542*IF(G542="T",H542,0))</x:f>
      </x:c>
      <x:c r="AB542" s="6">
        <x:f>(S542*IF(E542="L",F542,0))+(S542*IF(G542="L",H542,0))</x:f>
      </x:c>
      <x:c r="AC542" s="6">
        <x:f>(S542*IF(E542="H",F542,0))+(S542*IF(G542="H",H542,0))</x:f>
      </x:c>
      <x:c r="AD542" s="6">
        <x:f>(S542*IF(E542="V",F542,0))+(S542*IF(G542="V",H542,0))</x:f>
      </x:c>
      <x:c r="AE542" s="6">
        <x:f>(S542*IF(E542="R",F542,0))+(S542*IF(G542="R",H542,0))</x:f>
      </x:c>
      <x:c r="AF542" s="6">
        <x:f>(S542*IF(E542="F",F542,0))+(S542*IF(G542="F",H542,0))</x:f>
      </x:c>
      <x:c r="AG542" s="6">
        <x:f>(S542*IF(E542="W",F542,0))+(S542*IF(G542="W",H542,0))</x:f>
      </x:c>
    </x:row>
    <x:row r="543">
      <x:c r="A543" s="3" t="inlineStr">
        <x:is>
          <x:t xml:space="preserve">Security</x:t>
        </x:is>
      </x:c>
      <x:c r="B543" s="3" t="inlineStr">
        <x:is>
          <x:t xml:space="preserve">SEC-D14-Q41</x:t>
        </x:is>
      </x:c>
      <x:c r="C543" s="3" t="inlineStr">
        <x:is>
          <x:t xml:space="preserve">T4</x:t>
        </x:is>
      </x:c>
      <x:c r="D543" s="3" t="inlineStr">
        <x:is>
          <x:t xml:space="preserve">14. Cloud &amp; SaaS Monitoring (Deep)</x:t>
        </x:is>
      </x:c>
      <x:c r="E543" s="3" t="inlineStr">
        <x:is>
          <x:t xml:space="preserve">V</x:t>
        </x:is>
      </x:c>
      <x:c r="F543" s="3" t="n">
        <x:v>0.6</x:v>
      </x:c>
      <x:c r="G543" s="3" t="inlineStr">
        <x:is>
          <x:t xml:space="preserve">F</x:t>
        </x:is>
      </x:c>
      <x:c r="H543" s="3" t="n">
        <x:v>0.4</x:v>
      </x:c>
      <x:c r="I543" s="3" t="inlineStr">
        <x:is>
          <x:t xml:space="preserve">Are data-loss / risky-sharing controls tuned to ‘what matters most’ (crown jewels) rather than blanket blocking that drives workarounds?</x:t>
        </x:is>
      </x:c>
      <x:c r="J543" s="3" t="inlineStr">
        <x:is>
          <x:t xml:space="preserve">Look for risk-based policies: stronger controls for sensitive repositories and high‑risk roles, measured business impact, and documented exceptions.</x:t>
        </x:is>
      </x:c>
      <x:c r="K543" s="3" t="inlineStr">
        <x:is>
          <x:t xml:space="preserve">Optional Annex (Ask in Full/Deep mode).</x:t>
        </x:is>
      </x:c>
      <x:c r="L543" s="3" t="inlineStr">
        <x:is>
          <x:t xml:space="preserve">OPS_STD</x:t>
        </x:is>
      </x:c>
      <x:c r="M543" s="3" t="n">
        <x:v>1</x:v>
      </x:c>
      <x:c r="N543" s="3" t="n"/>
      <x:c r="O543" s="3" t="n"/>
      <x:c r="P543" s="3" t="inlineStr">
        <x:is>
          <x:t xml:space="preserve">SEC-D14-Q41-A2</x:t>
        </x:is>
      </x:c>
      <x:c r="Q543" s="3" t="n">
        <x:v>3</x:v>
      </x:c>
      <x:c r="R543" s="3" t="inlineStr">
        <x:is>
          <x:t xml:space="preserve">Controls exist but are inconsistently applied; exceptions are informal and not tracked.</x:t>
        </x:is>
      </x:c>
      <x:c r="S543" s="3" t="n">
        <x:v>1</x:v>
      </x:c>
      <x:c r="T543" s="3" t="inlineStr">
        <x:is>
          <x:t xml:space="preserve">ad_hoc,inconsistent_execution</x:t>
        </x:is>
      </x:c>
      <x:c r="U543" s="3" t="inlineStr">
        <x:is>
          <x:t xml:space="preserve">Shadow Mature</x:t>
        </x:is>
      </x:c>
      <x:c r="V543" s="3" t="inlineStr">
        <x:is>
          <x:t xml:space="preserve">Tune_DLP_Crown_Jewels</x:t>
        </x:is>
      </x:c>
      <x:c r="W543" s="3" t="inlineStr">
        <x:is>
          <x:t xml:space="preserve">N</x:t>
        </x:is>
      </x:c>
      <x:c r="X543" s="3" t="inlineStr">
        <x:is>
          <x:t xml:space="preserve">Exception process</x:t>
        </x:is>
      </x:c>
      <x:c r="Y543" s="6">
        <x:f>(S543*IF(E543="G",F543,0))+(S543*IF(G543="G",H543,0))</x:f>
      </x:c>
      <x:c r="Z543" s="6">
        <x:f>(S543*IF(E543="E",F543,0))+(S543*IF(G543="E",H543,0))</x:f>
      </x:c>
      <x:c r="AA543" s="6">
        <x:f>(S543*IF(E543="T",F543,0))+(S543*IF(G543="T",H543,0))</x:f>
      </x:c>
      <x:c r="AB543" s="6">
        <x:f>(S543*IF(E543="L",F543,0))+(S543*IF(G543="L",H543,0))</x:f>
      </x:c>
      <x:c r="AC543" s="6">
        <x:f>(S543*IF(E543="H",F543,0))+(S543*IF(G543="H",H543,0))</x:f>
      </x:c>
      <x:c r="AD543" s="6">
        <x:f>(S543*IF(E543="V",F543,0))+(S543*IF(G543="V",H543,0))</x:f>
      </x:c>
      <x:c r="AE543" s="6">
        <x:f>(S543*IF(E543="R",F543,0))+(S543*IF(G543="R",H543,0))</x:f>
      </x:c>
      <x:c r="AF543" s="6">
        <x:f>(S543*IF(E543="F",F543,0))+(S543*IF(G543="F",H543,0))</x:f>
      </x:c>
      <x:c r="AG543" s="6">
        <x:f>(S543*IF(E543="W",F543,0))+(S543*IF(G543="W",H543,0))</x:f>
      </x:c>
    </x:row>
    <x:row r="544">
      <x:c r="A544" s="3" t="inlineStr">
        <x:is>
          <x:t xml:space="preserve">Security</x:t>
        </x:is>
      </x:c>
      <x:c r="B544" s="3" t="inlineStr">
        <x:is>
          <x:t xml:space="preserve">SEC-D14-Q41</x:t>
        </x:is>
      </x:c>
      <x:c r="C544" s="3" t="inlineStr">
        <x:is>
          <x:t xml:space="preserve">T4</x:t>
        </x:is>
      </x:c>
      <x:c r="D544" s="3" t="inlineStr">
        <x:is>
          <x:t xml:space="preserve">14. Cloud &amp; SaaS Monitoring (Deep)</x:t>
        </x:is>
      </x:c>
      <x:c r="E544" s="3" t="inlineStr">
        <x:is>
          <x:t xml:space="preserve">V</x:t>
        </x:is>
      </x:c>
      <x:c r="F544" s="3" t="n">
        <x:v>0.6</x:v>
      </x:c>
      <x:c r="G544" s="3" t="inlineStr">
        <x:is>
          <x:t xml:space="preserve">F</x:t>
        </x:is>
      </x:c>
      <x:c r="H544" s="3" t="n">
        <x:v>0.4</x:v>
      </x:c>
      <x:c r="I544" s="3" t="inlineStr">
        <x:is>
          <x:t xml:space="preserve">Are data-loss / risky-sharing controls tuned to ‘what matters most’ (crown jewels) rather than blanket blocking that drives workarounds?</x:t>
        </x:is>
      </x:c>
      <x:c r="J544" s="3" t="inlineStr">
        <x:is>
          <x:t xml:space="preserve">Look for risk-based policies: stronger controls for sensitive repositories and high‑risk roles, measured business impact, and documented exceptions.</x:t>
        </x:is>
      </x:c>
      <x:c r="K544" s="3" t="inlineStr">
        <x:is>
          <x:t xml:space="preserve">Optional Annex (Ask in Full/Deep mode).</x:t>
        </x:is>
      </x:c>
      <x:c r="L544" s="3" t="inlineStr">
        <x:is>
          <x:t xml:space="preserve">OPS_STD</x:t>
        </x:is>
      </x:c>
      <x:c r="M544" s="3" t="n">
        <x:v>1</x:v>
      </x:c>
      <x:c r="N544" s="3" t="n"/>
      <x:c r="O544" s="3" t="n"/>
      <x:c r="P544" s="3" t="inlineStr">
        <x:is>
          <x:t xml:space="preserve">SEC-D14-Q41-A3</x:t>
        </x:is>
      </x:c>
      <x:c r="Q544" s="3" t="n">
        <x:v>4</x:v>
      </x:c>
      <x:c r="R544" s="3" t="inlineStr">
        <x:is>
          <x:t xml:space="preserve">We have some risk-based controls, but crown jewels mapping isn’t strong enough to tune confidently.</x:t>
        </x:is>
      </x:c>
      <x:c r="S544" s="3" t="n">
        <x:v>2</x:v>
      </x:c>
      <x:c r="T544" s="3" t="inlineStr">
        <x:is>
          <x:t xml:space="preserve">partial_maturity,partial_visibility</x:t>
        </x:is>
      </x:c>
      <x:c r="U544" s="3" t="inlineStr">
        <x:is>
          <x:t xml:space="preserve">Visibility Gap</x:t>
        </x:is>
      </x:c>
      <x:c r="V544" s="3" t="inlineStr">
        <x:is>
          <x:t xml:space="preserve">Tune_DLP_Crown_Jewels</x:t>
        </x:is>
      </x:c>
      <x:c r="W544" s="3" t="inlineStr">
        <x:is>
          <x:t xml:space="preserve">N</x:t>
        </x:is>
      </x:c>
      <x:c r="X544" s="3" t="inlineStr">
        <x:is>
          <x:t xml:space="preserve">Policy scope</x:t>
        </x:is>
      </x:c>
      <x:c r="Y544" s="6">
        <x:f>(S544*IF(E544="G",F544,0))+(S544*IF(G544="G",H544,0))</x:f>
      </x:c>
      <x:c r="Z544" s="6">
        <x:f>(S544*IF(E544="E",F544,0))+(S544*IF(G544="E",H544,0))</x:f>
      </x:c>
      <x:c r="AA544" s="6">
        <x:f>(S544*IF(E544="T",F544,0))+(S544*IF(G544="T",H544,0))</x:f>
      </x:c>
      <x:c r="AB544" s="6">
        <x:f>(S544*IF(E544="L",F544,0))+(S544*IF(G544="L",H544,0))</x:f>
      </x:c>
      <x:c r="AC544" s="6">
        <x:f>(S544*IF(E544="H",F544,0))+(S544*IF(G544="H",H544,0))</x:f>
      </x:c>
      <x:c r="AD544" s="6">
        <x:f>(S544*IF(E544="V",F544,0))+(S544*IF(G544="V",H544,0))</x:f>
      </x:c>
      <x:c r="AE544" s="6">
        <x:f>(S544*IF(E544="R",F544,0))+(S544*IF(G544="R",H544,0))</x:f>
      </x:c>
      <x:c r="AF544" s="6">
        <x:f>(S544*IF(E544="F",F544,0))+(S544*IF(G544="F",H544,0))</x:f>
      </x:c>
      <x:c r="AG544" s="6">
        <x:f>(S544*IF(E544="W",F544,0))+(S544*IF(G544="W",H544,0))</x:f>
      </x:c>
    </x:row>
    <x:row r="545">
      <x:c r="A545" s="3" t="inlineStr">
        <x:is>
          <x:t xml:space="preserve">Security</x:t>
        </x:is>
      </x:c>
      <x:c r="B545" s="3" t="inlineStr">
        <x:is>
          <x:t xml:space="preserve">SEC-D14-Q41</x:t>
        </x:is>
      </x:c>
      <x:c r="C545" s="3" t="inlineStr">
        <x:is>
          <x:t xml:space="preserve">T4</x:t>
        </x:is>
      </x:c>
      <x:c r="D545" s="3" t="inlineStr">
        <x:is>
          <x:t xml:space="preserve">14. Cloud &amp; SaaS Monitoring (Deep)</x:t>
        </x:is>
      </x:c>
      <x:c r="E545" s="3" t="inlineStr">
        <x:is>
          <x:t xml:space="preserve">V</x:t>
        </x:is>
      </x:c>
      <x:c r="F545" s="3" t="n">
        <x:v>0.6</x:v>
      </x:c>
      <x:c r="G545" s="3" t="inlineStr">
        <x:is>
          <x:t xml:space="preserve">F</x:t>
        </x:is>
      </x:c>
      <x:c r="H545" s="3" t="n">
        <x:v>0.4</x:v>
      </x:c>
      <x:c r="I545" s="3" t="inlineStr">
        <x:is>
          <x:t xml:space="preserve">Are data-loss / risky-sharing controls tuned to ‘what matters most’ (crown jewels) rather than blanket blocking that drives workarounds?</x:t>
        </x:is>
      </x:c>
      <x:c r="J545" s="3" t="inlineStr">
        <x:is>
          <x:t xml:space="preserve">Look for risk-based policies: stronger controls for sensitive repositories and high‑risk roles, measured business impact, and documented exceptions.</x:t>
        </x:is>
      </x:c>
      <x:c r="K545" s="3" t="inlineStr">
        <x:is>
          <x:t xml:space="preserve">Optional Annex (Ask in Full/Deep mode).</x:t>
        </x:is>
      </x:c>
      <x:c r="L545" s="3" t="inlineStr">
        <x:is>
          <x:t xml:space="preserve">OPS_STD</x:t>
        </x:is>
      </x:c>
      <x:c r="M545" s="3" t="n">
        <x:v>1</x:v>
      </x:c>
      <x:c r="N545" s="3" t="n"/>
      <x:c r="O545" s="3" t="n"/>
      <x:c r="P545" s="3" t="inlineStr">
        <x:is>
          <x:t xml:space="preserve">SEC-D14-Q41-A4</x:t>
        </x:is>
      </x:c>
      <x:c r="Q545" s="3" t="n">
        <x:v>5</x:v>
      </x:c>
      <x:c r="R545" s="3" t="inlineStr">
        <x:is>
          <x:t xml:space="preserve">Controls are tuned based on crown jewels and role risk; business impact is measured and exceptions are governed.</x:t>
        </x:is>
      </x:c>
      <x:c r="S545" s="3" t="n">
        <x:v>3</x:v>
      </x:c>
      <x:c r="T545" s="3" t="inlineStr">
        <x:is>
          <x:t xml:space="preserve">good_practice,execution_strength</x:t>
        </x:is>
      </x:c>
      <x:c r="U545" s="3" t="n"/>
      <x:c r="V545" s="3" t="inlineStr">
        <x:is>
          <x:t xml:space="preserve">Request_Evidence</x:t>
        </x:is>
      </x:c>
      <x:c r="W545" s="3" t="inlineStr">
        <x:is>
          <x:t xml:space="preserve">N</x:t>
        </x:is>
      </x:c>
      <x:c r="X545" s="3" t="inlineStr">
        <x:is>
          <x:t xml:space="preserve">Metrics evidence</x:t>
        </x:is>
      </x:c>
      <x:c r="Y545" s="6">
        <x:f>(S545*IF(E545="G",F545,0))+(S545*IF(G545="G",H545,0))</x:f>
      </x:c>
      <x:c r="Z545" s="6">
        <x:f>(S545*IF(E545="E",F545,0))+(S545*IF(G545="E",H545,0))</x:f>
      </x:c>
      <x:c r="AA545" s="6">
        <x:f>(S545*IF(E545="T",F545,0))+(S545*IF(G545="T",H545,0))</x:f>
      </x:c>
      <x:c r="AB545" s="6">
        <x:f>(S545*IF(E545="L",F545,0))+(S545*IF(G545="L",H545,0))</x:f>
      </x:c>
      <x:c r="AC545" s="6">
        <x:f>(S545*IF(E545="H",F545,0))+(S545*IF(G545="H",H545,0))</x:f>
      </x:c>
      <x:c r="AD545" s="6">
        <x:f>(S545*IF(E545="V",F545,0))+(S545*IF(G545="V",H545,0))</x:f>
      </x:c>
      <x:c r="AE545" s="6">
        <x:f>(S545*IF(E545="R",F545,0))+(S545*IF(G545="R",H545,0))</x:f>
      </x:c>
      <x:c r="AF545" s="6">
        <x:f>(S545*IF(E545="F",F545,0))+(S545*IF(G545="F",H545,0))</x:f>
      </x:c>
      <x:c r="AG545" s="6">
        <x:f>(S545*IF(E545="W",F545,0))+(S545*IF(G545="W",H545,0))</x:f>
      </x:c>
    </x:row>
    <x:row r="546">
      <x:c r="A546" s="3" t="inlineStr">
        <x:is>
          <x:t xml:space="preserve">Security</x:t>
        </x:is>
      </x:c>
      <x:c r="B546" s="3" t="inlineStr">
        <x:is>
          <x:t xml:space="preserve">SEC-D14-Q41</x:t>
        </x:is>
      </x:c>
      <x:c r="C546" s="3" t="inlineStr">
        <x:is>
          <x:t xml:space="preserve">T4</x:t>
        </x:is>
      </x:c>
      <x:c r="D546" s="3" t="inlineStr">
        <x:is>
          <x:t xml:space="preserve">14. Cloud &amp; SaaS Monitoring (Deep)</x:t>
        </x:is>
      </x:c>
      <x:c r="E546" s="3" t="inlineStr">
        <x:is>
          <x:t xml:space="preserve">V</x:t>
        </x:is>
      </x:c>
      <x:c r="F546" s="3" t="n">
        <x:v>0.6</x:v>
      </x:c>
      <x:c r="G546" s="3" t="inlineStr">
        <x:is>
          <x:t xml:space="preserve">F</x:t>
        </x:is>
      </x:c>
      <x:c r="H546" s="3" t="n">
        <x:v>0.4</x:v>
      </x:c>
      <x:c r="I546" s="3" t="inlineStr">
        <x:is>
          <x:t xml:space="preserve">Are data-loss / risky-sharing controls tuned to ‘what matters most’ (crown jewels) rather than blanket blocking that drives workarounds?</x:t>
        </x:is>
      </x:c>
      <x:c r="J546" s="3" t="inlineStr">
        <x:is>
          <x:t xml:space="preserve">Look for risk-based policies: stronger controls for sensitive repositories and high‑risk roles, measured business impact, and documented exceptions.</x:t>
        </x:is>
      </x:c>
      <x:c r="K546" s="3" t="inlineStr">
        <x:is>
          <x:t xml:space="preserve">Optional Annex (Ask in Full/Deep mode).</x:t>
        </x:is>
      </x:c>
      <x:c r="L546" s="3" t="inlineStr">
        <x:is>
          <x:t xml:space="preserve">OPS_STD</x:t>
        </x:is>
      </x:c>
      <x:c r="M546" s="3" t="n">
        <x:v>1</x:v>
      </x:c>
      <x:c r="N546" s="3" t="n"/>
      <x:c r="O546" s="3" t="n"/>
      <x:c r="P546" s="3" t="inlineStr">
        <x:is>
          <x:t xml:space="preserve">SEC-D14-Q41-A5</x:t>
        </x:is>
      </x:c>
      <x:c r="Q546" s="3" t="n">
        <x:v>6</x:v>
      </x:c>
      <x:c r="R546" s="3" t="inlineStr">
        <x:is>
          <x:t xml:space="preserve">Controls are continuously optimized using measured impact and risk scoring; workarounds are minimized and monitored.</x:t>
        </x:is>
      </x:c>
      <x:c r="S546" s="3" t="n">
        <x:v>4</x:v>
      </x:c>
      <x:c r="T546" s="3" t="inlineStr">
        <x:is>
          <x:t xml:space="preserve">optimized,execution_strength</x:t>
        </x:is>
      </x:c>
      <x:c r="U546" s="3" t="n"/>
      <x:c r="V546" s="3" t="inlineStr">
        <x:is>
          <x:t xml:space="preserve">Request_Evidence</x:t>
        </x:is>
      </x:c>
      <x:c r="W546" s="3" t="inlineStr">
        <x:is>
          <x:t xml:space="preserve">N</x:t>
        </x:is>
      </x:c>
      <x:c r="X546" s="3" t="inlineStr">
        <x:is>
          <x:t xml:space="preserve">Optimization proof</x:t>
        </x:is>
      </x:c>
      <x:c r="Y546" s="6">
        <x:f>(S546*IF(E546="G",F546,0))+(S546*IF(G546="G",H546,0))</x:f>
      </x:c>
      <x:c r="Z546" s="6">
        <x:f>(S546*IF(E546="E",F546,0))+(S546*IF(G546="E",H546,0))</x:f>
      </x:c>
      <x:c r="AA546" s="6">
        <x:f>(S546*IF(E546="T",F546,0))+(S546*IF(G546="T",H546,0))</x:f>
      </x:c>
      <x:c r="AB546" s="6">
        <x:f>(S546*IF(E546="L",F546,0))+(S546*IF(G546="L",H546,0))</x:f>
      </x:c>
      <x:c r="AC546" s="6">
        <x:f>(S546*IF(E546="H",F546,0))+(S546*IF(G546="H",H546,0))</x:f>
      </x:c>
      <x:c r="AD546" s="6">
        <x:f>(S546*IF(E546="V",F546,0))+(S546*IF(G546="V",H546,0))</x:f>
      </x:c>
      <x:c r="AE546" s="6">
        <x:f>(S546*IF(E546="R",F546,0))+(S546*IF(G546="R",H546,0))</x:f>
      </x:c>
      <x:c r="AF546" s="6">
        <x:f>(S546*IF(E546="F",F546,0))+(S546*IF(G546="F",H546,0))</x:f>
      </x:c>
      <x:c r="AG546" s="6">
        <x:f>(S546*IF(E546="W",F546,0))+(S546*IF(G546="W",H546,0))</x:f>
      </x:c>
    </x:row>
  </x:sheetData>
  <x:pageMargins left="0.7" right="0.7" top="0.75" bottom="0.75" header="0.3" footer="0.3"/>
  <x:tableParts count="1">
    <x:tablePart xmlns:r="http://schemas.openxmlformats.org/officeDocument/2006/relationships" r:id="R56a4026d275141a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customWidth="1"/>
    <x:col min="2" max="2" width="10" customWidth="1"/>
    <x:col min="3" max="3" width="10" customWidth="1"/>
    <x:col min="4" max="4" width="16" customWidth="1"/>
    <x:col min="5" max="5" width="16" customWidth="1"/>
    <x:col min="6" max="6" width="10" customWidth="1"/>
    <x:col min="7" max="7" width="10" customWidth="1"/>
    <x:col min="8" max="8" width="14" customWidth="1"/>
    <x:col min="9" max="9" width="21" customWidth="1"/>
    <x:col min="10" max="10" width="15" customWidth="1"/>
    <x:col min="11" max="11" width="11" customWidth="1"/>
    <x:col min="12" max="12" width="20" customWidth="1"/>
    <x:col min="13" max="13" width="10" customWidth="1"/>
  </x:cols>
  <x:sheetData>
    <x:row r="1">
      <x:c r="A1" s="5" t="inlineStr">
        <x:is>
          <x:t xml:space="preserve">AssessmentID</x:t>
        </x:is>
      </x:c>
      <x:c r="B1" s="5" t="inlineStr">
        <x:is>
          <x:t xml:space="preserve">Scope</x:t>
        </x:is>
      </x:c>
      <x:c r="C1" s="5" t="inlineStr">
        <x:is>
          <x:t xml:space="preserve">Pack</x:t>
        </x:is>
      </x:c>
      <x:c r="D1" s="5" t="inlineStr">
        <x:is>
          <x:t xml:space="preserve">RespondentRole</x:t>
        </x:is>
      </x:c>
      <x:c r="E1" s="5" t="inlineStr">
        <x:is>
          <x:t xml:space="preserve">RespondentType</x:t>
        </x:is>
      </x:c>
      <x:c r="F1" s="5" t="inlineStr">
        <x:is>
          <x:t xml:space="preserve">Q-ID</x:t>
        </x:is>
      </x:c>
      <x:c r="G1" s="5" t="inlineStr">
        <x:is>
          <x:t xml:space="preserve">A-ID</x:t>
        </x:is>
      </x:c>
      <x:c r="H1" s="5" t="inlineStr">
        <x:is>
          <x:t xml:space="preserve">EvidenceTier</x:t>
        </x:is>
      </x:c>
      <x:c r="I1" s="5" t="inlineStr">
        <x:is>
          <x:t xml:space="preserve">EvidenceRecencyDays</x:t>
        </x:is>
      </x:c>
      <x:c r="J1" s="5" t="inlineStr">
        <x:is>
          <x:t xml:space="preserve">ScopeCoverage</x:t>
        </x:is>
      </x:c>
      <x:c r="K1" s="5" t="inlineStr">
        <x:is>
          <x:t xml:space="preserve">SamplingN</x:t>
        </x:is>
      </x:c>
      <x:c r="L1" s="5" t="inlineStr">
        <x:is>
          <x:t xml:space="preserve">AssessorConfidence</x:t>
        </x:is>
      </x:c>
      <x:c r="M1" s="5" t="inlineStr">
        <x:is>
          <x:t xml:space="preserve">Notes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22d82ffe7364eda"/>
  </x:tableParts>
</x:worksheet>
</file>