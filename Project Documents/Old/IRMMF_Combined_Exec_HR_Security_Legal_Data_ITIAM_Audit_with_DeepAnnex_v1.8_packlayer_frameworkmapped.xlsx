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62cdd0723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6d509320dfe54dea"/>
    <x:sheet xmlns:r="http://schemas.openxmlformats.org/officeDocument/2006/relationships" name="Reference" sheetId="2" r:id="R9d6a917a00814864"/>
    <x:sheet xmlns:r="http://schemas.openxmlformats.org/officeDocument/2006/relationships" name="Lists" sheetId="3" r:id="Ref45034a4daf4f89"/>
    <x:sheet xmlns:r="http://schemas.openxmlformats.org/officeDocument/2006/relationships" name="PackDefinitions" sheetId="4" r:id="R8ceba73665474a64"/>
    <x:sheet xmlns:r="http://schemas.openxmlformats.org/officeDocument/2006/relationships" name="PackLayer_Notes" sheetId="5" r:id="R2b1c712b73bc4c98"/>
    <x:sheet xmlns:r="http://schemas.openxmlformats.org/officeDocument/2006/relationships" name="PackMap" sheetId="6" r:id="Rb735c752545a47fa"/>
    <x:sheet xmlns:r="http://schemas.openxmlformats.org/officeDocument/2006/relationships" name="Questions" sheetId="7" r:id="R23669d63322841d5"/>
    <x:sheet xmlns:r="http://schemas.openxmlformats.org/officeDocument/2006/relationships" name="AnswerOptions" sheetId="8" r:id="Rd00d2801ee9e44f8"/>
    <x:sheet xmlns:r="http://schemas.openxmlformats.org/officeDocument/2006/relationships" name="Pack_Table" sheetId="9" r:id="R82198aff27d543b1"/>
    <x:sheet xmlns:r="http://schemas.openxmlformats.org/officeDocument/2006/relationships" name="Response_Template" sheetId="10" r:id="R4af6dc63015f4f3d"/>
    <x:sheet xmlns:r="http://schemas.openxmlformats.org/officeDocument/2006/relationships" name="Validation" sheetId="11" r:id="R729dda98530e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f7b398e844719" /><Relationship Type="http://schemas.openxmlformats.org/officeDocument/2006/relationships/theme" Target="/xl/theme/theme1.xml" Id="Rb75746a75aac4300" /><Relationship Type="http://schemas.openxmlformats.org/officeDocument/2006/relationships/sharedStrings" Target="/xl/sharedStrings.xml" Id="R18d77d7b470e40c5" /><Relationship Type="http://schemas.openxmlformats.org/officeDocument/2006/relationships/worksheet" Target="/xl/worksheets/sheet1.xml" Id="R6d509320dfe54dea" /><Relationship Type="http://schemas.openxmlformats.org/officeDocument/2006/relationships/worksheet" Target="/xl/worksheets/sheet2.xml" Id="R9d6a917a00814864" /><Relationship Type="http://schemas.openxmlformats.org/officeDocument/2006/relationships/worksheet" Target="/xl/worksheets/sheet3.xml" Id="Ref45034a4daf4f89" /><Relationship Type="http://schemas.openxmlformats.org/officeDocument/2006/relationships/worksheet" Target="/xl/worksheets/sheet4.xml" Id="R8ceba73665474a64" /><Relationship Type="http://schemas.openxmlformats.org/officeDocument/2006/relationships/worksheet" Target="/xl/worksheets/sheet5.xml" Id="R2b1c712b73bc4c98" /><Relationship Type="http://schemas.openxmlformats.org/officeDocument/2006/relationships/worksheet" Target="/xl/worksheets/sheet6.xml" Id="Rb735c752545a47fa" /><Relationship Type="http://schemas.openxmlformats.org/officeDocument/2006/relationships/worksheet" Target="/xl/worksheets/sheet7.xml" Id="R23669d63322841d5" /><Relationship Type="http://schemas.openxmlformats.org/officeDocument/2006/relationships/worksheet" Target="/xl/worksheets/sheet8.xml" Id="Rd00d2801ee9e44f8" /><Relationship Type="http://schemas.openxmlformats.org/officeDocument/2006/relationships/worksheet" Target="/xl/worksheets/sheet9.xml" Id="R82198aff27d543b1" /><Relationship Type="http://schemas.openxmlformats.org/officeDocument/2006/relationships/worksheet" Target="/xl/worksheets/sheet10.xml" Id="R4af6dc63015f4f3d" /><Relationship Type="http://schemas.openxmlformats.org/officeDocument/2006/relationships/worksheet" Target="/xl/worksheets/sheet11.xml" Id="R729dda98530e480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60" customWidth="1"/>
    <x:col min="3" max="3" width="60" customWidth="1"/>
  </x:cols>
  <x:sheetData>
    <x:row r="1">
      <x:c r="A1" s="1" t="inlineStr">
        <x:is>
          <x:t xml:space="preserve">Workbook</x:t>
        </x:is>
      </x:c>
      <x:c r="B1" s="1" t="inlineStr">
        <x:is>
          <x:t xml:space="preserve">IRMMF Combined Executive + HR + Security Question Packs (Model-Admin Ready)</x:t>
        </x:is>
      </x:c>
      <x:c r="C1" s="1" t="inlineStr">
        <x:is>
          <x:t xml:space="preserve">Column</x:t>
        </x:is>
      </x:c>
    </x:row>
    <x:row r="2">
      <x:c r="A2" t="inlineStr">
        <x:is>
          <x:t xml:space="preserve">Version</x:t>
        </x:is>
      </x:c>
      <x:c r="B2" t="inlineStr">
        <x:is>
          <x:t xml:space="preserve">v1.6.0</x:t>
        </x:is>
      </x:c>
    </x:row>
    <x:row r="3">
      <x:c r="A3" t="inlineStr">
        <x:is>
          <x:t xml:space="preserve">Effective Date</x:t>
        </x:is>
      </x:c>
      <x:c r="B3" t="inlineStr">
        <x:is>
          <x:t xml:space="preserve">2026-01-08</x:t>
        </x:is>
      </x:c>
    </x:row>
    <x:row r="4">
      <x:c r="A4" t="inlineStr">
        <x:is>
          <x:t xml:space="preserve">Description</x:t>
        </x:is>
      </x:c>
      <x:c r="B4" t="inlineStr">
        <x:is>
          <x:t xml:space="preserve">Combined question bank for Executive, HR, and Security packs aligned to IRMMF methodology (tiers, evidence policies, CW/TH, modes, segmentation-ready).</x:t>
        </x:is>
      </x:c>
    </x:row>
    <x:row r="5">
      <x:c r="A5" t="inlineStr">
        <x:is>
          <x:t xml:space="preserve">Change Log</x:t>
        </x:is>
      </x:c>
      <x:c r="B5" t="inlineStr">
        <x:is>
          <x:t xml:space="preserve"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x:t>
        </x:is>
      </x:c>
    </x:row>
    <x:row r="10">
      <x:c r="A10" t="inlineStr">
        <x:is>
          <x:t xml:space="preserve">2026-01-08</x:t>
        </x:is>
      </x:c>
      <x:c r="B10" t="inlineStr">
        <x:is>
          <x:t xml:space="preserve">v1.6.0</x:t>
        </x:is>
      </x:c>
      <x:c r="C10" t="inlineStr">
        <x:is>
          <x:t xml:space="preserve">Refactored workbook towards canonical bank + pack mapping layer: renamed PackQuestionMap→PackMap; added Order/RequiredRole &amp; mapping fields; deprecated Pack columns in Questions/AnswerOptions; added PackLayer_Notes.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customWidth="1"/>
    <x:col min="2" max="2" width="38" customWidth="1"/>
    <x:col min="3" max="3" width="60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Key</x:t>
        </x:is>
      </x:c>
      <x:c r="C1" s="1" t="inlineStr">
        <x:is>
          <x:t xml:space="preserve">Value/Description</x:t>
        </x:is>
      </x:c>
    </x:row>
    <x:row r="2">
      <x:c r="A2" t="inlineStr">
        <x:is>
          <x:t xml:space="preserve">Axes</x:t>
        </x:is>
      </x:c>
      <x:c r="B2" t="inlineStr">
        <x:is>
          <x:t xml:space="preserve">G</x:t>
        </x:is>
      </x:c>
      <x:c r="C2" t="inlineStr">
        <x:is>
          <x:t xml:space="preserve">Governance — Mandate, sponsorship, funding, decision rights, oversight cadence.</x:t>
        </x:is>
      </x:c>
    </x:row>
    <x:row r="3">
      <x:c r="A3" t="inlineStr">
        <x:is>
          <x:t xml:space="preserve">Axes</x:t>
        </x:is>
      </x:c>
      <x:c r="B3" t="inlineStr">
        <x:is>
          <x:t xml:space="preserve">E</x:t>
        </x:is>
      </x:c>
      <x:c r="C3" t="inlineStr">
        <x:is>
          <x:t xml:space="preserve">Execution — Operational consistency; repeatable habits and adoption.</x:t>
        </x:is>
      </x:c>
    </x:row>
    <x:row r="4">
      <x:c r="A4" t="inlineStr">
        <x:is>
          <x:t xml:space="preserve">Axes</x:t>
        </x:is>
      </x:c>
      <x:c r="B4" t="inlineStr">
        <x:is>
          <x:t xml:space="preserve">T</x:t>
        </x:is>
      </x:c>
      <x:c r="C4" t="inlineStr">
        <x:is>
          <x:t xml:space="preserve">Technical Orchestration — Automation and integration of monitoring/detection/respond.</x:t>
        </x:is>
      </x:c>
    </x:row>
    <x:row r="5">
      <x:c r="A5" t="inlineStr">
        <x:is>
          <x:t xml:space="preserve">Axes</x:t>
        </x:is>
      </x:c>
      <x:c r="B5" t="inlineStr">
        <x:is>
          <x:t xml:space="preserve">L</x:t>
        </x:is>
      </x:c>
      <x:c r="C5" t="inlineStr">
        <x:is>
          <x:t xml:space="preserve">Legal &amp; Privacy — Defensibility, proportionality, transparency, lawful basis, auditability.</x:t>
        </x:is>
      </x:c>
    </x:row>
    <x:row r="6">
      <x:c r="A6" t="inlineStr">
        <x:is>
          <x:t xml:space="preserve">Axes</x:t>
        </x:is>
      </x:c>
      <x:c r="B6" t="inlineStr">
        <x:is>
          <x:t xml:space="preserve">H</x:t>
        </x:is>
      </x:c>
      <x:c r="C6" t="inlineStr">
        <x:is>
          <x:t xml:space="preserve">Human Sentiment — Psychological safety, speak-up culture, fairness perception.</x:t>
        </x:is>
      </x:c>
    </x:row>
    <x:row r="7">
      <x:c r="A7" t="inlineStr">
        <x:is>
          <x:t xml:space="preserve">Axes</x:t>
        </x:is>
      </x:c>
      <x:c r="B7" t="inlineStr">
        <x:is>
          <x:t xml:space="preserve">V</x:t>
        </x:is>
      </x:c>
      <x:c r="C7" t="inlineStr">
        <x:is>
          <x:t xml:space="preserve">Visibility — Sensitive assets/systems, data flows, access concentration.</x:t>
        </x:is>
      </x:c>
    </x:row>
    <x:row r="8">
      <x:c r="A8" t="inlineStr">
        <x:is>
          <x:t xml:space="preserve">Axes</x:t>
        </x:is>
      </x:c>
      <x:c r="B8" t="inlineStr">
        <x:is>
          <x:t xml:space="preserve">R</x:t>
        </x:is>
      </x:c>
      <x:c r="C8" t="inlineStr">
        <x:is>
          <x:t xml:space="preserve">Resilience — Case handling, investigations, exercises, recovery and learning.</x:t>
        </x:is>
      </x:c>
    </x:row>
    <x:row r="9">
      <x:c r="A9" t="inlineStr">
        <x:is>
          <x:t xml:space="preserve">Axes</x:t>
        </x:is>
      </x:c>
      <x:c r="B9" t="inlineStr">
        <x:is>
          <x:t xml:space="preserve">F</x:t>
        </x:is>
      </x:c>
      <x:c r="C9" t="inlineStr">
        <x:is>
          <x:t xml:space="preserve">Friction Management — Ability to reduce bypass pressure; usability and exception management.</x:t>
        </x:is>
      </x:c>
    </x:row>
    <x:row r="10">
      <x:c r="A10" t="inlineStr">
        <x:is>
          <x:t xml:space="preserve">Axes</x:t>
        </x:is>
      </x:c>
      <x:c r="B10" t="inlineStr">
        <x:is>
          <x:t xml:space="preserve">W</x:t>
        </x:is>
      </x:c>
      <x:c r="C10" t="inlineStr">
        <x:is>
          <x:t xml:space="preserve">Control Lag Management — Ability to adapt controls quickly during change events.</x:t>
        </x:is>
      </x:c>
    </x:row>
    <x:row r="11">
      <x:c r="A11" t="inlineStr">
        <x:is>
          <x:t xml:space="preserve">Tiers</x:t>
        </x:is>
      </x:c>
      <x:c r="B11" t="inlineStr">
        <x:is>
          <x:t xml:space="preserve">T1</x:t>
        </x:is>
      </x:c>
      <x:c r="C11" t="inlineStr">
        <x:is>
          <x:t xml:space="preserve">Gatekeeper — High-level question used for Lightweight Mode and routing.</x:t>
        </x:is>
      </x:c>
    </x:row>
    <x:row r="12">
      <x:c r="A12" t="inlineStr">
        <x:is>
          <x:t xml:space="preserve">Tiers</x:t>
        </x:is>
      </x:c>
      <x:c r="B12" t="inlineStr">
        <x:is>
          <x:t xml:space="preserve">T2</x:t>
        </x:is>
      </x:c>
      <x:c r="C12" t="inlineStr">
        <x:is>
          <x:t xml:space="preserve">Drill-down / Shadow probe — Adds nuance and checks reality without survey fatigue.</x:t>
        </x:is>
      </x:c>
    </x:row>
    <x:row r="13">
      <x:c r="A13" t="inlineStr">
        <x:is>
          <x:t xml:space="preserve">Tiers</x:t>
        </x:is>
      </x:c>
      <x:c r="B13" t="inlineStr">
        <x:is>
          <x:t xml:space="preserve">T3</x:t>
        </x:is>
      </x:c>
      <x:c r="C13" t="inlineStr">
        <x:is>
          <x:t xml:space="preserve">Business-proofing — Introduces evidence expectations and operational examples.</x:t>
        </x:is>
      </x:c>
    </x:row>
    <x:row r="14">
      <x:c r="A14" t="inlineStr">
        <x:is>
          <x:t xml:space="preserve">EvidencePolicyID</x:t>
        </x:is>
      </x:c>
      <x:c r="B14" t="inlineStr">
        <x:is>
          <x:t xml:space="preserve">GOV_STD</x:t>
        </x:is>
      </x:c>
      <x:c r="C14" t="inlineStr">
        <x:is>
          <x:t xml:space="preserve">Governance standard — Prefer artifact evidence for BaseScore≥3; recency class: governance.</x:t>
        </x:is>
      </x:c>
    </x:row>
    <x:row r="15">
      <x:c r="A15" t="inlineStr">
        <x:is>
          <x:t xml:space="preserve">EvidencePolicyID</x:t>
        </x:is>
      </x:c>
      <x:c r="B15" t="inlineStr">
        <x:is>
          <x:t xml:space="preserve">RISK_STD</x:t>
        </x:is>
      </x:c>
      <x:c r="C15" t="inlineStr">
        <x:is>
          <x:t xml:space="preserve">Risk/targeting standard — Prefer evidence for BaseScore≥3; sample outputs encouraged.</x:t>
        </x:is>
      </x:c>
    </x:row>
    <x:row r="16">
      <x:c r="A16" t="inlineStr">
        <x:is>
          <x:t xml:space="preserve">EvidencePolicyID</x:t>
        </x:is>
      </x:c>
      <x:c r="B16" t="inlineStr">
        <x:is>
          <x:t xml:space="preserve">OPS_STD</x:t>
        </x:is>
      </x:c>
      <x:c r="C16" t="inlineStr">
        <x:is>
          <x:t xml:space="preserve">Operational standard — Operational examples acceptable for BaseScore 2–3; evidence for 4.</x:t>
        </x:is>
      </x:c>
    </x:row>
    <x:row r="17">
      <x:c r="A17" t="inlineStr">
        <x:is>
          <x:t xml:space="preserve">EvidencePolicyID</x:t>
        </x:is>
      </x:c>
      <x:c r="B17" t="inlineStr">
        <x:is>
          <x:t xml:space="preserve">CULT_SOFT</x:t>
        </x:is>
      </x:c>
      <x:c r="C17" t="inlineStr">
        <x:is>
          <x:t xml:space="preserve">Culture soft — Self-report acceptable up to 3; evidence strengthens CI, not required for 3.</x:t>
        </x:is>
      </x:c>
    </x:row>
    <x:row r="18">
      <x:c r="A18" t="inlineStr">
        <x:is>
          <x:t xml:space="preserve">EvidencePolicyID</x:t>
        </x:is>
      </x:c>
      <x:c r="B18" t="inlineStr">
        <x:is>
          <x:t xml:space="preserve">LEG_STRICT</x:t>
        </x:is>
      </x:c>
      <x:c r="C18" t="inlineStr">
        <x:is>
          <x:t xml:space="preserve">Legal strict — Tier A cap low; BaseScore≥3 expects at least artifacts; 4 expects proof/audit.</x:t>
        </x:is>
      </x:c>
    </x:row>
    <x:row r="19">
      <x:c r="A19" t="inlineStr">
        <x:is>
          <x:t xml:space="preserve">FractureType</x:t>
        </x:is>
      </x:c>
      <x:c r="B19" t="inlineStr">
        <x:is>
          <x:t xml:space="preserve">Bypass Pressure</x:t>
        </x:is>
      </x:c>
      <x:c r="C19" t="inlineStr">
        <x:is>
          <x:t xml:space="preserve">Narrative classification used for executive reporting and service triggers.</x:t>
        </x:is>
      </x:c>
    </x:row>
    <x:row r="20">
      <x:c r="A20" t="inlineStr">
        <x:is>
          <x:t xml:space="preserve">FractureType</x:t>
        </x:is>
      </x:c>
      <x:c r="B20" t="inlineStr">
        <x:is>
          <x:t xml:space="preserve">Control Lag</x:t>
        </x:is>
      </x:c>
      <x:c r="C20" t="inlineStr">
        <x:is>
          <x:t xml:space="preserve">Narrative classification used for executive reporting and service triggers.</x:t>
        </x:is>
      </x:c>
    </x:row>
    <x:row r="21">
      <x:c r="A21" t="inlineStr">
        <x:is>
          <x:t xml:space="preserve">FractureType</x:t>
        </x:is>
      </x:c>
      <x:c r="B21" t="inlineStr">
        <x:is>
          <x:t xml:space="preserve">Culture Risk</x:t>
        </x:is>
      </x:c>
      <x:c r="C21" t="inlineStr">
        <x:is>
          <x:t xml:space="preserve">Narrative classification used for executive reporting and service triggers.</x:t>
        </x:is>
      </x:c>
    </x:row>
    <x:row r="22">
      <x:c r="A22" t="inlineStr">
        <x:is>
          <x:t xml:space="preserve">FractureType</x:t>
        </x:is>
      </x:c>
      <x:c r="B22" t="inlineStr">
        <x:is>
          <x:t xml:space="preserve">Legal Exposure</x:t>
        </x:is>
      </x:c>
      <x:c r="C22" t="inlineStr">
        <x:is>
          <x:t xml:space="preserve">Narrative classification used for executive reporting and service triggers.</x:t>
        </x:is>
      </x:c>
    </x:row>
    <x:row r="23">
      <x:c r="A23" t="inlineStr">
        <x:is>
          <x:t xml:space="preserve">FractureType</x:t>
        </x:is>
      </x:c>
      <x:c r="B23" t="inlineStr">
        <x:is>
          <x:t xml:space="preserve">Operating Model Gap</x:t>
        </x:is>
      </x:c>
      <x:c r="C23" t="inlineStr">
        <x:is>
          <x:t xml:space="preserve">Narrative classification used for executive reporting and service triggers.</x:t>
        </x:is>
      </x:c>
    </x:row>
    <x:row r="24">
      <x:c r="A24" t="inlineStr">
        <x:is>
          <x:t xml:space="preserve">FractureType</x:t>
        </x:is>
      </x:c>
      <x:c r="B24" t="inlineStr">
        <x:is>
          <x:t xml:space="preserve">Paper Dragon</x:t>
        </x:is>
      </x:c>
      <x:c r="C24" t="inlineStr">
        <x:is>
          <x:t xml:space="preserve">Narrative classification used for executive reporting and service triggers.</x:t>
        </x:is>
      </x:c>
    </x:row>
    <x:row r="25">
      <x:c r="A25" t="inlineStr">
        <x:is>
          <x:t xml:space="preserve">FractureType</x:t>
        </x:is>
      </x:c>
      <x:c r="B25" t="inlineStr">
        <x:is>
          <x:t xml:space="preserve">Resilience Gap</x:t>
        </x:is>
      </x:c>
      <x:c r="C25" t="inlineStr">
        <x:is>
          <x:t xml:space="preserve">Narrative classification used for executive reporting and service triggers.</x:t>
        </x:is>
      </x:c>
    </x:row>
    <x:row r="26">
      <x:c r="A26" t="inlineStr">
        <x:is>
          <x:t xml:space="preserve">FractureType</x:t>
        </x:is>
      </x:c>
      <x:c r="B26" t="inlineStr">
        <x:is>
          <x:t xml:space="preserve">Shadow Mature</x:t>
        </x:is>
      </x:c>
      <x:c r="C26" t="inlineStr">
        <x:is>
          <x:t xml:space="preserve">Narrative classification used for executive reporting and service triggers.</x:t>
        </x:is>
      </x:c>
    </x:row>
    <x:row r="27">
      <x:c r="A27" t="inlineStr">
        <x:is>
          <x:t xml:space="preserve">FractureType</x:t>
        </x:is>
      </x:c>
      <x:c r="B27" t="inlineStr">
        <x:is>
          <x:t xml:space="preserve">Toxic Enforcer</x:t>
        </x:is>
      </x:c>
      <x:c r="C27" t="inlineStr">
        <x:is>
          <x:t xml:space="preserve">Narrative classification used for executive reporting and service triggers.</x:t>
        </x:is>
      </x:c>
    </x:row>
    <x:row r="28">
      <x:c r="A28" t="inlineStr">
        <x:is>
          <x:t xml:space="preserve">FractureType</x:t>
        </x:is>
      </x:c>
      <x:c r="B28" t="inlineStr">
        <x:is>
          <x:t xml:space="preserve">Unknown</x:t>
        </x:is>
      </x:c>
      <x:c r="C28" t="inlineStr">
        <x:is>
          <x:t xml:space="preserve">Narrative classification used for executive reporting and service triggers.</x:t>
        </x:is>
      </x:c>
    </x:row>
    <x:row r="29">
      <x:c r="A29" t="inlineStr">
        <x:is>
          <x:t xml:space="preserve">FractureType</x:t>
        </x:is>
      </x:c>
      <x:c r="B29" t="inlineStr">
        <x:is>
          <x:t xml:space="preserve">Visibility Gap</x:t>
        </x:is>
      </x:c>
      <x:c r="C29" t="inlineStr">
        <x:is>
          <x:t xml:space="preserve">Narrative classification used for executive reporting and service triggers.</x:t>
        </x:is>
      </x:c>
    </x:row>
    <x:row r="30">
      <x:c r="A30" t="inlineStr">
        <x:is>
          <x:t xml:space="preserve">FollowUpTrigger</x:t>
        </x:is>
      </x:c>
      <x:c r="B30" t="inlineStr">
        <x:is>
          <x:t xml:space="preserve">Add_Appeals_Process</x:t>
        </x:is>
      </x:c>
      <x:c r="C30" t="inlineStr">
        <x:is>
          <x:t xml:space="preserve">Recommended next action or advisory trigger.</x:t>
        </x:is>
      </x:c>
    </x:row>
    <x:row r="31">
      <x:c r="A31" t="inlineStr">
        <x:is>
          <x:t xml:space="preserve">FollowUpTrigger</x:t>
        </x:is>
      </x:c>
      <x:c r="B31" t="inlineStr">
        <x:is>
          <x:t xml:space="preserve">Align_Funding_Governance</x:t>
        </x:is>
      </x:c>
      <x:c r="C31" t="inlineStr">
        <x:is>
          <x:t xml:space="preserve">Recommended next action or advisory trigger.</x:t>
        </x:is>
      </x:c>
    </x:row>
    <x:row r="32">
      <x:c r="A32" t="inlineStr">
        <x:is>
          <x:t xml:space="preserve">FollowUpTrigger</x:t>
        </x:is>
      </x:c>
      <x:c r="B32" t="inlineStr">
        <x:is>
          <x:t xml:space="preserve">Align_On_Crown_Jewels</x:t>
        </x:is>
      </x:c>
      <x:c r="C32" t="inlineStr">
        <x:is>
          <x:t xml:space="preserve">Recommended next action or advisory trigger.</x:t>
        </x:is>
      </x:c>
    </x:row>
    <x:row r="33">
      <x:c r="A33" t="inlineStr">
        <x:is>
          <x:t xml:space="preserve">FollowUpTrigger</x:t>
        </x:is>
      </x:c>
      <x:c r="B33" t="inlineStr">
        <x:is>
          <x:t xml:space="preserve">Align_On_Scenarios</x:t>
        </x:is>
      </x:c>
      <x:c r="C33" t="inlineStr">
        <x:is>
          <x:t xml:space="preserve">Recommended next action or advisory trigger.</x:t>
        </x:is>
      </x:c>
    </x:row>
    <x:row r="34">
      <x:c r="A34" t="inlineStr">
        <x:is>
          <x:t xml:space="preserve">FollowUpTrigger</x:t>
        </x:is>
      </x:c>
      <x:c r="B34" t="inlineStr">
        <x:is>
          <x:t xml:space="preserve">Align_Policy_To_Reality</x:t>
        </x:is>
      </x:c>
      <x:c r="C34" t="inlineStr">
        <x:is>
          <x:t xml:space="preserve">Recommended next action or advisory trigger.</x:t>
        </x:is>
      </x:c>
    </x:row>
    <x:row r="35">
      <x:c r="A35" t="inlineStr">
        <x:is>
          <x:t xml:space="preserve">FollowUpTrigger</x:t>
        </x:is>
      </x:c>
      <x:c r="B35" t="inlineStr">
        <x:is>
          <x:t xml:space="preserve">Assess_Case_Model</x:t>
        </x:is>
      </x:c>
      <x:c r="C35" t="inlineStr">
        <x:is>
          <x:t xml:space="preserve">Recommended next action or advisory trigger.</x:t>
        </x:is>
      </x:c>
    </x:row>
    <x:row r="36">
      <x:c r="A36" t="inlineStr">
        <x:is>
          <x:t xml:space="preserve">FollowUpTrigger</x:t>
        </x:is>
      </x:c>
      <x:c r="B36" t="inlineStr">
        <x:is>
          <x:t xml:space="preserve">Assess_Control_Lag</x:t>
        </x:is>
      </x:c>
      <x:c r="C36" t="inlineStr">
        <x:is>
          <x:t xml:space="preserve">Recommended next action or advisory trigger.</x:t>
        </x:is>
      </x:c>
    </x:row>
    <x:row r="37">
      <x:c r="A37" t="inlineStr">
        <x:is>
          <x:t xml:space="preserve">FollowUpTrigger</x:t>
        </x:is>
      </x:c>
      <x:c r="B37" t="inlineStr">
        <x:is>
          <x:t xml:space="preserve">Assess_Data_Residency</x:t>
        </x:is>
      </x:c>
      <x:c r="C37" t="inlineStr">
        <x:is>
          <x:t xml:space="preserve">Recommended next action or advisory trigger.</x:t>
        </x:is>
      </x:c>
    </x:row>
    <x:row r="38">
      <x:c r="A38" t="inlineStr">
        <x:is>
          <x:t xml:space="preserve">FollowUpTrigger</x:t>
        </x:is>
      </x:c>
      <x:c r="B38" t="inlineStr">
        <x:is>
          <x:t xml:space="preserve">Assess_Detection</x:t>
        </x:is>
      </x:c>
      <x:c r="C38" t="inlineStr">
        <x:is>
          <x:t xml:space="preserve">Recommended next action or advisory trigger.</x:t>
        </x:is>
      </x:c>
    </x:row>
    <x:row r="39">
      <x:c r="A39" t="inlineStr">
        <x:is>
          <x:t xml:space="preserve">FollowUpTrigger</x:t>
        </x:is>
      </x:c>
      <x:c r="B39" t="inlineStr">
        <x:is>
          <x:t xml:space="preserve">Assess_Evidence_Handling</x:t>
        </x:is>
      </x:c>
      <x:c r="C39" t="inlineStr">
        <x:is>
          <x:t xml:space="preserve">Recommended next action or advisory trigger.</x:t>
        </x:is>
      </x:c>
    </x:row>
    <x:row r="40">
      <x:c r="A40" t="inlineStr">
        <x:is>
          <x:t xml:space="preserve">FollowUpTrigger</x:t>
        </x:is>
      </x:c>
      <x:c r="B40" t="inlineStr">
        <x:is>
          <x:t xml:space="preserve">Assess_Friction</x:t>
        </x:is>
      </x:c>
      <x:c r="C40" t="inlineStr">
        <x:is>
          <x:t xml:space="preserve">Recommended next action or advisory trigger.</x:t>
        </x:is>
      </x:c>
    </x:row>
    <x:row r="41">
      <x:c r="A41" t="inlineStr">
        <x:is>
          <x:t xml:space="preserve">FollowUpTrigger</x:t>
        </x:is>
      </x:c>
      <x:c r="B41" t="inlineStr">
        <x:is>
          <x:t xml:space="preserve">Assess_ThirdParty</x:t>
        </x:is>
      </x:c>
      <x:c r="C41" t="inlineStr">
        <x:is>
          <x:t xml:space="preserve">Recommended next action or advisory trigger.</x:t>
        </x:is>
      </x:c>
    </x:row>
    <x:row r="42">
      <x:c r="A42" t="inlineStr">
        <x:is>
          <x:t xml:space="preserve">FollowUpTrigger</x:t>
        </x:is>
      </x:c>
      <x:c r="B42" t="inlineStr">
        <x:is>
          <x:t xml:space="preserve">Assurance_On_Reality</x:t>
        </x:is>
      </x:c>
      <x:c r="C42" t="inlineStr">
        <x:is>
          <x:t xml:space="preserve">Recommended next action or advisory trigger.</x:t>
        </x:is>
      </x:c>
    </x:row>
    <x:row r="43">
      <x:c r="A43" t="inlineStr">
        <x:is>
          <x:t xml:space="preserve">FollowUpTrigger</x:t>
        </x:is>
      </x:c>
      <x:c r="B43" t="inlineStr">
        <x:is>
          <x:t xml:space="preserve">Behavioral_Design</x:t>
        </x:is>
      </x:c>
      <x:c r="C43" t="inlineStr">
        <x:is>
          <x:t xml:space="preserve">Recommended next action or advisory trigger.</x:t>
        </x:is>
      </x:c>
    </x:row>
    <x:row r="44">
      <x:c r="A44" t="inlineStr">
        <x:is>
          <x:t xml:space="preserve">FollowUpTrigger</x:t>
        </x:is>
      </x:c>
      <x:c r="B44" t="inlineStr">
        <x:is>
          <x:t xml:space="preserve">Build_Detection_Strategy</x:t>
        </x:is>
      </x:c>
      <x:c r="C44" t="inlineStr">
        <x:is>
          <x:t xml:space="preserve">Recommended next action or advisory trigger.</x:t>
        </x:is>
      </x:c>
    </x:row>
    <x:row r="45">
      <x:c r="A45" t="inlineStr">
        <x:is>
          <x:t xml:space="preserve">FollowUpTrigger</x:t>
        </x:is>
      </x:c>
      <x:c r="B45" t="inlineStr">
        <x:is>
          <x:t xml:space="preserve">Capture_Informal_Practices</x:t>
        </x:is>
      </x:c>
      <x:c r="C45" t="inlineStr">
        <x:is>
          <x:t xml:space="preserve">Recommended next action or advisory trigger.</x:t>
        </x:is>
      </x:c>
    </x:row>
    <x:row r="46">
      <x:c r="A46" t="inlineStr">
        <x:is>
          <x:t xml:space="preserve">FollowUpTrigger</x:t>
        </x:is>
      </x:c>
      <x:c r="B46" t="inlineStr">
        <x:is>
          <x:t xml:space="preserve">Capture_Playbook</x:t>
        </x:is>
      </x:c>
      <x:c r="C46" t="inlineStr">
        <x:is>
          <x:t xml:space="preserve">Recommended next action or advisory trigger.</x:t>
        </x:is>
      </x:c>
    </x:row>
    <x:row r="47">
      <x:c r="A47" t="inlineStr">
        <x:is>
          <x:t xml:space="preserve">FollowUpTrigger</x:t>
        </x:is>
      </x:c>
      <x:c r="B47" t="inlineStr">
        <x:is>
          <x:t xml:space="preserve">Clarify_Budget</x:t>
        </x:is>
      </x:c>
      <x:c r="C47" t="inlineStr">
        <x:is>
          <x:t xml:space="preserve">Recommended next action or advisory trigger.</x:t>
        </x:is>
      </x:c>
    </x:row>
    <x:row r="48">
      <x:c r="A48" t="inlineStr">
        <x:is>
          <x:t xml:space="preserve">FollowUpTrigger</x:t>
        </x:is>
      </x:c>
      <x:c r="B48" t="inlineStr">
        <x:is>
          <x:t xml:space="preserve">Clarify_Roadmap</x:t>
        </x:is>
      </x:c>
      <x:c r="C48" t="inlineStr">
        <x:is>
          <x:t xml:space="preserve">Recommended next action or advisory trigger.</x:t>
        </x:is>
      </x:c>
    </x:row>
    <x:row r="49">
      <x:c r="A49" t="inlineStr">
        <x:is>
          <x:t xml:space="preserve">FollowUpTrigger</x:t>
        </x:is>
      </x:c>
      <x:c r="B49" t="inlineStr">
        <x:is>
          <x:t xml:space="preserve">Clarify_Stakeholders</x:t>
        </x:is>
      </x:c>
      <x:c r="C49" t="inlineStr">
        <x:is>
          <x:t xml:space="preserve">Recommended next action or advisory trigger.</x:t>
        </x:is>
      </x:c>
    </x:row>
    <x:row r="50">
      <x:c r="A50" t="inlineStr">
        <x:is>
          <x:t xml:space="preserve">FollowUpTrigger</x:t>
        </x:is>
      </x:c>
      <x:c r="B50" t="inlineStr">
        <x:is>
          <x:t xml:space="preserve">Close_Learning_Loop</x:t>
        </x:is>
      </x:c>
      <x:c r="C50" t="inlineStr">
        <x:is>
          <x:t xml:space="preserve">Recommended next action or advisory trigger.</x:t>
        </x:is>
      </x:c>
    </x:row>
    <x:row r="51">
      <x:c r="A51" t="inlineStr">
        <x:is>
          <x:t xml:space="preserve">FollowUpTrigger</x:t>
        </x:is>
      </x:c>
      <x:c r="B51" t="inlineStr">
        <x:is>
          <x:t xml:space="preserve">ControlLag_Sprint</x:t>
        </x:is>
      </x:c>
      <x:c r="C51" t="inlineStr">
        <x:is>
          <x:t xml:space="preserve">Recommended next action or advisory trigger.</x:t>
        </x:is>
      </x:c>
    </x:row>
    <x:row r="52">
      <x:c r="A52" t="inlineStr">
        <x:is>
          <x:t xml:space="preserve">FollowUpTrigger</x:t>
        </x:is>
      </x:c>
      <x:c r="B52" t="inlineStr">
        <x:is>
          <x:t xml:space="preserve">Convert_To_Playbooks</x:t>
        </x:is>
      </x:c>
      <x:c r="C52" t="inlineStr">
        <x:is>
          <x:t xml:space="preserve">Recommended next action or advisory trigger.</x:t>
        </x:is>
      </x:c>
    </x:row>
    <x:row r="53">
      <x:c r="A53" t="inlineStr">
        <x:is>
          <x:t xml:space="preserve">FollowUpTrigger</x:t>
        </x:is>
      </x:c>
      <x:c r="B53" t="inlineStr">
        <x:is>
          <x:t xml:space="preserve">Create_NearMiss_Process</x:t>
        </x:is>
      </x:c>
      <x:c r="C53" t="inlineStr">
        <x:is>
          <x:t xml:space="preserve">Recommended next action or advisory trigger.</x:t>
        </x:is>
      </x:c>
    </x:row>
    <x:row r="54">
      <x:c r="A54" t="inlineStr">
        <x:is>
          <x:t xml:space="preserve">FollowUpTrigger</x:t>
        </x:is>
      </x:c>
      <x:c r="B54" t="inlineStr">
        <x:is>
          <x:t xml:space="preserve">Create_Roadmap</x:t>
        </x:is>
      </x:c>
      <x:c r="C54" t="inlineStr">
        <x:is>
          <x:t xml:space="preserve">Recommended next action or advisory trigger.</x:t>
        </x:is>
      </x:c>
    </x:row>
    <x:row r="55">
      <x:c r="A55" t="inlineStr">
        <x:is>
          <x:t xml:space="preserve">FollowUpTrigger</x:t>
        </x:is>
      </x:c>
      <x:c r="B55" t="inlineStr">
        <x:is>
          <x:t xml:space="preserve">Create_Scenarios</x:t>
        </x:is>
      </x:c>
      <x:c r="C55" t="inlineStr">
        <x:is>
          <x:t xml:space="preserve">Recommended next action or advisory trigger.</x:t>
        </x:is>
      </x:c>
    </x:row>
    <x:row r="56">
      <x:c r="A56" t="inlineStr">
        <x:is>
          <x:t xml:space="preserve">FollowUpTrigger</x:t>
        </x:is>
      </x:c>
      <x:c r="B56" t="inlineStr">
        <x:is>
          <x:t xml:space="preserve">Create_Trust_Playbook</x:t>
        </x:is>
      </x:c>
      <x:c r="C56" t="inlineStr">
        <x:is>
          <x:t xml:space="preserve">Recommended next action or advisory trigger.</x:t>
        </x:is>
      </x:c>
    </x:row>
    <x:row r="57">
      <x:c r="A57" t="inlineStr">
        <x:is>
          <x:t xml:space="preserve">FollowUpTrigger</x:t>
        </x:is>
      </x:c>
      <x:c r="B57" t="inlineStr">
        <x:is>
          <x:t xml:space="preserve">Create_Working_Group</x:t>
        </x:is>
      </x:c>
      <x:c r="C57" t="inlineStr">
        <x:is>
          <x:t xml:space="preserve">Recommended next action or advisory trigger.</x:t>
        </x:is>
      </x:c>
    </x:row>
    <x:row r="58">
      <x:c r="A58" t="inlineStr">
        <x:is>
          <x:t xml:space="preserve">FollowUpTrigger</x:t>
        </x:is>
      </x:c>
      <x:c r="B58" t="inlineStr">
        <x:is>
          <x:t xml:space="preserve">Culture_Diagnostics</x:t>
        </x:is>
      </x:c>
      <x:c r="C58" t="inlineStr">
        <x:is>
          <x:t xml:space="preserve">Recommended next action or advisory trigger.</x:t>
        </x:is>
      </x:c>
    </x:row>
    <x:row r="59">
      <x:c r="A59" t="inlineStr">
        <x:is>
          <x:t xml:space="preserve">FollowUpTrigger</x:t>
        </x:is>
      </x:c>
      <x:c r="B59" t="inlineStr">
        <x:is>
          <x:t xml:space="preserve">Culture_Workshop</x:t>
        </x:is>
      </x:c>
      <x:c r="C59" t="inlineStr">
        <x:is>
          <x:t xml:space="preserve">Recommended next action or advisory trigger.</x:t>
        </x:is>
      </x:c>
    </x:row>
    <x:row r="60">
      <x:c r="A60" t="inlineStr">
        <x:is>
          <x:t xml:space="preserve">FollowUpTrigger</x:t>
        </x:is>
      </x:c>
      <x:c r="B60" t="inlineStr">
        <x:is>
          <x:t xml:space="preserve">Define_Cadence</x:t>
        </x:is>
      </x:c>
      <x:c r="C60" t="inlineStr">
        <x:is>
          <x:t xml:space="preserve">Recommended next action or advisory trigger.</x:t>
        </x:is>
      </x:c>
    </x:row>
    <x:row r="61">
      <x:c r="A61" t="inlineStr">
        <x:is>
          <x:t xml:space="preserve">FollowUpTrigger</x:t>
        </x:is>
      </x:c>
      <x:c r="B61" t="inlineStr">
        <x:is>
          <x:t xml:space="preserve">Define_Escalation</x:t>
        </x:is>
      </x:c>
      <x:c r="C61" t="inlineStr">
        <x:is>
          <x:t xml:space="preserve">Recommended next action or advisory trigger.</x:t>
        </x:is>
      </x:c>
    </x:row>
    <x:row r="62">
      <x:c r="A62" t="inlineStr">
        <x:is>
          <x:t xml:space="preserve">FollowUpTrigger</x:t>
        </x:is>
      </x:c>
      <x:c r="B62" t="inlineStr">
        <x:is>
          <x:t xml:space="preserve">Define_Funding_Model</x:t>
        </x:is>
      </x:c>
      <x:c r="C62" t="inlineStr">
        <x:is>
          <x:t xml:space="preserve">Recommended next action or advisory trigger.</x:t>
        </x:is>
      </x:c>
    </x:row>
    <x:row r="63">
      <x:c r="A63" t="inlineStr">
        <x:is>
          <x:t xml:space="preserve">FollowUpTrigger</x:t>
        </x:is>
      </x:c>
      <x:c r="B63" t="inlineStr">
        <x:is>
          <x:t xml:space="preserve">Define_KPIs</x:t>
        </x:is>
      </x:c>
      <x:c r="C63" t="inlineStr">
        <x:is>
          <x:t xml:space="preserve">Recommended next action or advisory trigger.</x:t>
        </x:is>
      </x:c>
    </x:row>
    <x:row r="64">
      <x:c r="A64" t="inlineStr">
        <x:is>
          <x:t xml:space="preserve">FollowUpTrigger</x:t>
        </x:is>
      </x:c>
      <x:c r="B64" t="inlineStr">
        <x:is>
          <x:t xml:space="preserve">Define_LE_Plan</x:t>
        </x:is>
      </x:c>
      <x:c r="C64" t="inlineStr">
        <x:is>
          <x:t xml:space="preserve">Recommended next action or advisory trigger.</x:t>
        </x:is>
      </x:c>
    </x:row>
    <x:row r="65">
      <x:c r="A65" t="inlineStr">
        <x:is>
          <x:t xml:space="preserve">FollowUpTrigger</x:t>
        </x:is>
      </x:c>
      <x:c r="B65" t="inlineStr">
        <x:is>
          <x:t xml:space="preserve">Define_Ownership</x:t>
        </x:is>
      </x:c>
      <x:c r="C65" t="inlineStr">
        <x:is>
          <x:t xml:space="preserve">Recommended next action or advisory trigger.</x:t>
        </x:is>
      </x:c>
    </x:row>
    <x:row r="66">
      <x:c r="A66" t="inlineStr">
        <x:is>
          <x:t xml:space="preserve">FollowUpTrigger</x:t>
        </x:is>
      </x:c>
      <x:c r="B66" t="inlineStr">
        <x:is>
          <x:t xml:space="preserve">Design_Case_Model</x:t>
        </x:is>
      </x:c>
      <x:c r="C66" t="inlineStr">
        <x:is>
          <x:t xml:space="preserve">Recommended next action or advisory trigger.</x:t>
        </x:is>
      </x:c>
    </x:row>
    <x:row r="67">
      <x:c r="A67" t="inlineStr">
        <x:is>
          <x:t xml:space="preserve">FollowUpTrigger</x:t>
        </x:is>
      </x:c>
      <x:c r="B67" t="inlineStr">
        <x:is>
          <x:t xml:space="preserve">Design_Fairness_Process</x:t>
        </x:is>
      </x:c>
      <x:c r="C67" t="inlineStr">
        <x:is>
          <x:t xml:space="preserve">Recommended next action or advisory trigger.</x:t>
        </x:is>
      </x:c>
    </x:row>
    <x:row r="68">
      <x:c r="A68" t="inlineStr">
        <x:is>
          <x:t xml:space="preserve">FollowUpTrigger</x:t>
        </x:is>
      </x:c>
      <x:c r="B68" t="inlineStr">
        <x:is>
          <x:t xml:space="preserve">Design_Ops_Model</x:t>
        </x:is>
      </x:c>
      <x:c r="C68" t="inlineStr">
        <x:is>
          <x:t xml:space="preserve">Recommended next action or advisory trigger.</x:t>
        </x:is>
      </x:c>
    </x:row>
    <x:row r="69">
      <x:c r="A69" t="inlineStr">
        <x:is>
          <x:t xml:space="preserve">FollowUpTrigger</x:t>
        </x:is>
      </x:c>
      <x:c r="B69" t="inlineStr">
        <x:is>
          <x:t xml:space="preserve">Document_Crown_Jewels</x:t>
        </x:is>
      </x:c>
      <x:c r="C69" t="inlineStr">
        <x:is>
          <x:t xml:space="preserve">Recommended next action or advisory trigger.</x:t>
        </x:is>
      </x:c>
    </x:row>
    <x:row r="70">
      <x:c r="A70" t="inlineStr">
        <x:is>
          <x:t xml:space="preserve">FollowUpTrigger</x:t>
        </x:is>
      </x:c>
      <x:c r="B70" t="inlineStr">
        <x:is>
          <x:t xml:space="preserve">Document_NA</x:t>
        </x:is>
      </x:c>
      <x:c r="C70" t="inlineStr">
        <x:is>
          <x:t xml:space="preserve">Recommended next action or advisory trigger.</x:t>
        </x:is>
      </x:c>
    </x:row>
    <x:row r="71">
      <x:c r="A71" t="inlineStr">
        <x:is>
          <x:t xml:space="preserve">FollowUpTrigger</x:t>
        </x:is>
      </x:c>
      <x:c r="B71" t="inlineStr">
        <x:is>
          <x:t xml:space="preserve">Document_Scenarios</x:t>
        </x:is>
      </x:c>
      <x:c r="C71" t="inlineStr">
        <x:is>
          <x:t xml:space="preserve">Recommended next action or advisory trigger.</x:t>
        </x:is>
      </x:c>
    </x:row>
    <x:row r="72">
      <x:c r="A72" t="inlineStr">
        <x:is>
          <x:t xml:space="preserve">FollowUpTrigger</x:t>
        </x:is>
      </x:c>
      <x:c r="B72" t="inlineStr">
        <x:is>
          <x:t xml:space="preserve">Enforce_Custody_Process</x:t>
        </x:is>
      </x:c>
      <x:c r="C72" t="inlineStr">
        <x:is>
          <x:t xml:space="preserve">Recommended next action or advisory trigger.</x:t>
        </x:is>
      </x:c>
    </x:row>
    <x:row r="73">
      <x:c r="A73" t="inlineStr">
        <x:is>
          <x:t xml:space="preserve">FollowUpTrigger</x:t>
        </x:is>
      </x:c>
      <x:c r="B73" t="inlineStr">
        <x:is>
          <x:t xml:space="preserve">Evidence_Upgrade</x:t>
        </x:is>
      </x:c>
      <x:c r="C73" t="inlineStr">
        <x:is>
          <x:t xml:space="preserve">Recommended next action or advisory trigger.</x:t>
        </x:is>
      </x:c>
    </x:row>
    <x:row r="74">
      <x:c r="A74" t="inlineStr">
        <x:is>
          <x:t xml:space="preserve">FollowUpTrigger</x:t>
        </x:is>
      </x:c>
      <x:c r="B74" t="inlineStr">
        <x:is>
          <x:t xml:space="preserve">Exercise_LE_Plan</x:t>
        </x:is>
      </x:c>
      <x:c r="C74" t="inlineStr">
        <x:is>
          <x:t xml:space="preserve">Recommended next action or advisory trigger.</x:t>
        </x:is>
      </x:c>
    </x:row>
    <x:row r="75">
      <x:c r="A75" t="inlineStr">
        <x:is>
          <x:t xml:space="preserve">FollowUpTrigger</x:t>
        </x:is>
      </x:c>
      <x:c r="B75" t="inlineStr">
        <x:is>
          <x:t xml:space="preserve">Exercise_Scenarios</x:t>
        </x:is>
      </x:c>
      <x:c r="C75" t="inlineStr">
        <x:is>
          <x:t xml:space="preserve">Recommended next action or advisory trigger.</x:t>
        </x:is>
      </x:c>
    </x:row>
    <x:row r="76">
      <x:c r="A76" t="inlineStr">
        <x:is>
          <x:t xml:space="preserve">FollowUpTrigger</x:t>
        </x:is>
      </x:c>
      <x:c r="B76" t="inlineStr">
        <x:is>
          <x:t xml:space="preserve">Expand_Role_Mapping</x:t>
        </x:is>
      </x:c>
      <x:c r="C76" t="inlineStr">
        <x:is>
          <x:t xml:space="preserve">Recommended next action or advisory trigger.</x:t>
        </x:is>
      </x:c>
    </x:row>
    <x:row r="77">
      <x:c r="A77" t="inlineStr">
        <x:is>
          <x:t xml:space="preserve">FollowUpTrigger</x:t>
        </x:is>
      </x:c>
      <x:c r="B77" t="inlineStr">
        <x:is>
          <x:t xml:space="preserve">Expand_Scope</x:t>
        </x:is>
      </x:c>
      <x:c r="C77" t="inlineStr">
        <x:is>
          <x:t xml:space="preserve">Recommended next action or advisory trigger.</x:t>
        </x:is>
      </x:c>
    </x:row>
    <x:row r="78">
      <x:c r="A78" t="inlineStr">
        <x:is>
          <x:t xml:space="preserve">FollowUpTrigger</x:t>
        </x:is>
      </x:c>
      <x:c r="B78" t="inlineStr">
        <x:is>
          <x:t xml:space="preserve">Extend_To_ThirdParty</x:t>
        </x:is>
      </x:c>
      <x:c r="C78" t="inlineStr">
        <x:is>
          <x:t xml:space="preserve">Recommended next action or advisory trigger.</x:t>
        </x:is>
      </x:c>
    </x:row>
    <x:row r="79">
      <x:c r="A79" t="inlineStr">
        <x:is>
          <x:t xml:space="preserve">FollowUpTrigger</x:t>
        </x:is>
      </x:c>
      <x:c r="B79" t="inlineStr">
        <x:is>
          <x:t xml:space="preserve">Formalize_Access_Reviews</x:t>
        </x:is>
      </x:c>
      <x:c r="C79" t="inlineStr">
        <x:is>
          <x:t xml:space="preserve">Recommended next action or advisory trigger.</x:t>
        </x:is>
      </x:c>
    </x:row>
    <x:row r="80">
      <x:c r="A80" t="inlineStr">
        <x:is>
          <x:t xml:space="preserve">FollowUpTrigger</x:t>
        </x:is>
      </x:c>
      <x:c r="B80" t="inlineStr">
        <x:is>
          <x:t xml:space="preserve">Formalize_Cadence</x:t>
        </x:is>
      </x:c>
      <x:c r="C80" t="inlineStr">
        <x:is>
          <x:t xml:space="preserve">Recommended next action or advisory trigger.</x:t>
        </x:is>
      </x:c>
    </x:row>
    <x:row r="81">
      <x:c r="A81" t="inlineStr">
        <x:is>
          <x:t xml:space="preserve">FollowUpTrigger</x:t>
        </x:is>
      </x:c>
      <x:c r="B81" t="inlineStr">
        <x:is>
          <x:t xml:space="preserve">Formalize_Case_Model</x:t>
        </x:is>
      </x:c>
      <x:c r="C81" t="inlineStr">
        <x:is>
          <x:t xml:space="preserve">Recommended next action or advisory trigger.</x:t>
        </x:is>
      </x:c>
    </x:row>
    <x:row r="82">
      <x:c r="A82" t="inlineStr">
        <x:is>
          <x:t xml:space="preserve">FollowUpTrigger</x:t>
        </x:is>
      </x:c>
      <x:c r="B82" t="inlineStr">
        <x:is>
          <x:t xml:space="preserve">Formalize_Escalation</x:t>
        </x:is>
      </x:c>
      <x:c r="C82" t="inlineStr">
        <x:is>
          <x:t xml:space="preserve">Recommended next action or advisory trigger.</x:t>
        </x:is>
      </x:c>
    </x:row>
    <x:row r="83">
      <x:c r="A83" t="inlineStr">
        <x:is>
          <x:t xml:space="preserve">FollowUpTrigger</x:t>
        </x:is>
      </x:c>
      <x:c r="B83" t="inlineStr">
        <x:is>
          <x:t xml:space="preserve">Formalize_NearMiss_Process</x:t>
        </x:is>
      </x:c>
      <x:c r="C83" t="inlineStr">
        <x:is>
          <x:t xml:space="preserve">Recommended next action or advisory trigger.</x:t>
        </x:is>
      </x:c>
    </x:row>
    <x:row r="84">
      <x:c r="A84" t="inlineStr">
        <x:is>
          <x:t xml:space="preserve">FollowUpTrigger</x:t>
        </x:is>
      </x:c>
      <x:c r="B84" t="inlineStr">
        <x:is>
          <x:t xml:space="preserve">Formalize_Playbook</x:t>
        </x:is>
      </x:c>
      <x:c r="C84" t="inlineStr">
        <x:is>
          <x:t xml:space="preserve">Recommended next action or advisory trigger.</x:t>
        </x:is>
      </x:c>
    </x:row>
    <x:row r="85">
      <x:c r="A85" t="inlineStr">
        <x:is>
          <x:t xml:space="preserve">FollowUpTrigger</x:t>
        </x:is>
      </x:c>
      <x:c r="B85" t="inlineStr">
        <x:is>
          <x:t xml:space="preserve">Formalize_Reinforcement</x:t>
        </x:is>
      </x:c>
      <x:c r="C85" t="inlineStr">
        <x:is>
          <x:t xml:space="preserve">Recommended next action or advisory trigger.</x:t>
        </x:is>
      </x:c>
    </x:row>
    <x:row r="86">
      <x:c r="A86" t="inlineStr">
        <x:is>
          <x:t xml:space="preserve">FollowUpTrigger</x:t>
        </x:is>
      </x:c>
      <x:c r="B86" t="inlineStr">
        <x:is>
          <x:t xml:space="preserve">Formalize_Roadmap</x:t>
        </x:is>
      </x:c>
      <x:c r="C86" t="inlineStr">
        <x:is>
          <x:t xml:space="preserve">Recommended next action or advisory trigger.</x:t>
        </x:is>
      </x:c>
    </x:row>
    <x:row r="87">
      <x:c r="A87" t="inlineStr">
        <x:is>
          <x:t xml:space="preserve">FollowUpTrigger</x:t>
        </x:is>
      </x:c>
      <x:c r="B87" t="inlineStr">
        <x:is>
          <x:t xml:space="preserve">Formalize_Trust_Playbook</x:t>
        </x:is>
      </x:c>
      <x:c r="C87" t="inlineStr">
        <x:is>
          <x:t xml:space="preserve">Recommended next action or advisory trigger.</x:t>
        </x:is>
      </x:c>
    </x:row>
    <x:row r="88">
      <x:c r="A88" t="inlineStr">
        <x:is>
          <x:t xml:space="preserve">FollowUpTrigger</x:t>
        </x:is>
      </x:c>
      <x:c r="B88" t="inlineStr">
        <x:is>
          <x:t xml:space="preserve">Foundational_Setup</x:t>
        </x:is>
      </x:c>
      <x:c r="C88" t="inlineStr">
        <x:is>
          <x:t xml:space="preserve">Recommended next action or advisory trigger.</x:t>
        </x:is>
      </x:c>
    </x:row>
    <x:row r="89">
      <x:c r="A89" t="inlineStr">
        <x:is>
          <x:t xml:space="preserve">FollowUpTrigger</x:t>
        </x:is>
      </x:c>
      <x:c r="B89" t="inlineStr">
        <x:is>
          <x:t xml:space="preserve">Improve_Adoption</x:t>
        </x:is>
      </x:c>
      <x:c r="C89" t="inlineStr">
        <x:is>
          <x:t xml:space="preserve">Recommended next action or advisory trigger.</x:t>
        </x:is>
      </x:c>
    </x:row>
    <x:row r="90">
      <x:c r="A90" t="inlineStr">
        <x:is>
          <x:t xml:space="preserve">FollowUpTrigger</x:t>
        </x:is>
      </x:c>
      <x:c r="B90" t="inlineStr">
        <x:is>
          <x:t xml:space="preserve">Improve_Auditability</x:t>
        </x:is>
      </x:c>
      <x:c r="C90" t="inlineStr">
        <x:is>
          <x:t xml:space="preserve">Recommended next action or advisory trigger.</x:t>
        </x:is>
      </x:c>
    </x:row>
    <x:row r="91">
      <x:c r="A91" t="inlineStr">
        <x:is>
          <x:t xml:space="preserve">FollowUpTrigger</x:t>
        </x:is>
      </x:c>
      <x:c r="B91" t="inlineStr">
        <x:is>
          <x:t xml:space="preserve">Improve_Cadence</x:t>
        </x:is>
      </x:c>
      <x:c r="C91" t="inlineStr">
        <x:is>
          <x:t xml:space="preserve">Recommended next action or advisory trigger.</x:t>
        </x:is>
      </x:c>
    </x:row>
    <x:row r="92">
      <x:c r="A92" t="inlineStr">
        <x:is>
          <x:t xml:space="preserve">FollowUpTrigger</x:t>
        </x:is>
      </x:c>
      <x:c r="B92" t="inlineStr">
        <x:is>
          <x:t xml:space="preserve">Improve_Exercise_Loop</x:t>
        </x:is>
      </x:c>
      <x:c r="C92" t="inlineStr">
        <x:is>
          <x:t xml:space="preserve">Recommended next action or advisory trigger.</x:t>
        </x:is>
      </x:c>
    </x:row>
    <x:row r="93">
      <x:c r="A93" t="inlineStr">
        <x:is>
          <x:t xml:space="preserve">FollowUpTrigger</x:t>
        </x:is>
      </x:c>
      <x:c r="B93" t="inlineStr">
        <x:is>
          <x:t xml:space="preserve">Improve_Metrics</x:t>
        </x:is>
      </x:c>
      <x:c r="C93" t="inlineStr">
        <x:is>
          <x:t xml:space="preserve">Recommended next action or advisory trigger.</x:t>
        </x:is>
      </x:c>
    </x:row>
    <x:row r="94">
      <x:c r="A94" t="inlineStr">
        <x:is>
          <x:t xml:space="preserve">FollowUpTrigger</x:t>
        </x:is>
      </x:c>
      <x:c r="B94" t="inlineStr">
        <x:is>
          <x:t xml:space="preserve">Improve_SpeakUp_System</x:t>
        </x:is>
      </x:c>
      <x:c r="C94" t="inlineStr">
        <x:is>
          <x:t xml:space="preserve">Recommended next action or advisory trigger.</x:t>
        </x:is>
      </x:c>
    </x:row>
    <x:row r="95">
      <x:c r="A95" t="inlineStr">
        <x:is>
          <x:t xml:space="preserve">FollowUpTrigger</x:t>
        </x:is>
      </x:c>
      <x:c r="B95" t="inlineStr">
        <x:is>
          <x:t xml:space="preserve">Improve_Transparency</x:t>
        </x:is>
      </x:c>
      <x:c r="C95" t="inlineStr">
        <x:is>
          <x:t xml:space="preserve">Recommended next action or advisory trigger.</x:t>
        </x:is>
      </x:c>
    </x:row>
    <x:row r="96">
      <x:c r="A96" t="inlineStr">
        <x:is>
          <x:t xml:space="preserve">FollowUpTrigger</x:t>
        </x:is>
      </x:c>
      <x:c r="B96" t="inlineStr">
        <x:is>
          <x:t xml:space="preserve">Improve_Visibility</x:t>
        </x:is>
      </x:c>
      <x:c r="C96" t="inlineStr">
        <x:is>
          <x:t xml:space="preserve">Recommended next action or advisory trigger.</x:t>
        </x:is>
      </x:c>
    </x:row>
    <x:row r="97">
      <x:c r="A97" t="inlineStr">
        <x:is>
          <x:t xml:space="preserve">FollowUpTrigger</x:t>
        </x:is>
      </x:c>
      <x:c r="B97" t="inlineStr">
        <x:is>
          <x:t xml:space="preserve">Insider_Playbooks</x:t>
        </x:is>
      </x:c>
      <x:c r="C97" t="inlineStr">
        <x:is>
          <x:t xml:space="preserve">Recommended next action or advisory trigger.</x:t>
        </x:is>
      </x:c>
    </x:row>
    <x:row r="98">
      <x:c r="A98" t="inlineStr">
        <x:is>
          <x:t xml:space="preserve">FollowUpTrigger</x:t>
        </x:is>
      </x:c>
      <x:c r="B98" t="inlineStr">
        <x:is>
          <x:t xml:space="preserve">Integrate_HR_Security</x:t>
        </x:is>
      </x:c>
      <x:c r="C98" t="inlineStr">
        <x:is>
          <x:t xml:space="preserve">Recommended next action or advisory trigger.</x:t>
        </x:is>
      </x:c>
    </x:row>
    <x:row r="99">
      <x:c r="A99" t="inlineStr">
        <x:is>
          <x:t xml:space="preserve">FollowUpTrigger</x:t>
        </x:is>
      </x:c>
      <x:c r="B99" t="inlineStr">
        <x:is>
          <x:t xml:space="preserve">Legal_Clarification</x:t>
        </x:is>
      </x:c>
      <x:c r="C99" t="inlineStr">
        <x:is>
          <x:t xml:space="preserve">Recommended next action or advisory trigger.</x:t>
        </x:is>
      </x:c>
    </x:row>
    <x:row r="100">
      <x:c r="A100" t="inlineStr">
        <x:is>
          <x:t xml:space="preserve">FollowUpTrigger</x:t>
        </x:is>
      </x:c>
      <x:c r="B100" t="inlineStr">
        <x:is>
          <x:t xml:space="preserve">Legal_Defensibility_Audit</x:t>
        </x:is>
      </x:c>
      <x:c r="C100" t="inlineStr">
        <x:is>
          <x:t xml:space="preserve">Recommended next action or advisory trigger.</x:t>
        </x:is>
      </x:c>
    </x:row>
    <x:row r="101">
      <x:c r="A101" t="inlineStr">
        <x:is>
          <x:t xml:space="preserve">FollowUpTrigger</x:t>
        </x:is>
      </x:c>
      <x:c r="B101" t="inlineStr">
        <x:is>
          <x:t xml:space="preserve">Link_To_Priorities</x:t>
        </x:is>
      </x:c>
      <x:c r="C101" t="inlineStr">
        <x:is>
          <x:t xml:space="preserve">Recommended next action or advisory trigger.</x:t>
        </x:is>
      </x:c>
    </x:row>
    <x:row r="102">
      <x:c r="A102" t="inlineStr">
        <x:is>
          <x:t xml:space="preserve">FollowUpTrigger</x:t>
        </x:is>
      </x:c>
      <x:c r="B102" t="inlineStr">
        <x:is>
          <x:t xml:space="preserve">Manager_Enablement</x:t>
        </x:is>
      </x:c>
      <x:c r="C102" t="inlineStr">
        <x:is>
          <x:t xml:space="preserve">Recommended next action or advisory trigger.</x:t>
        </x:is>
      </x:c>
    </x:row>
    <x:row r="103">
      <x:c r="A103" t="inlineStr">
        <x:is>
          <x:t xml:space="preserve">FollowUpTrigger</x:t>
        </x:is>
      </x:c>
      <x:c r="B103" t="inlineStr">
        <x:is>
          <x:t xml:space="preserve">Manager_Training</x:t>
        </x:is>
      </x:c>
      <x:c r="C103" t="inlineStr">
        <x:is>
          <x:t xml:space="preserve">Recommended next action or advisory trigger.</x:t>
        </x:is>
      </x:c>
    </x:row>
    <x:row r="104">
      <x:c r="A104" t="inlineStr">
        <x:is>
          <x:t xml:space="preserve">FollowUpTrigger</x:t>
        </x:is>
      </x:c>
      <x:c r="B104" t="inlineStr">
        <x:is>
          <x:t xml:space="preserve">Measure_Alt_Delivery</x:t>
        </x:is>
      </x:c>
      <x:c r="C104" t="inlineStr">
        <x:is>
          <x:t xml:space="preserve">Recommended next action or advisory trigger.</x:t>
        </x:is>
      </x:c>
    </x:row>
    <x:row r="105">
      <x:c r="A105" t="inlineStr">
        <x:is>
          <x:t xml:space="preserve">FollowUpTrigger</x:t>
        </x:is>
      </x:c>
      <x:c r="B105" t="inlineStr">
        <x:is>
          <x:t xml:space="preserve">Measure_Control_Lag</x:t>
        </x:is>
      </x:c>
      <x:c r="C105" t="inlineStr">
        <x:is>
          <x:t xml:space="preserve">Recommended next action or advisory trigger.</x:t>
        </x:is>
      </x:c>
    </x:row>
    <x:row r="106">
      <x:c r="A106" t="inlineStr">
        <x:is>
          <x:t xml:space="preserve">FollowUpTrigger</x:t>
        </x:is>
      </x:c>
      <x:c r="B106" t="inlineStr">
        <x:is>
          <x:t xml:space="preserve">Measure_Friction</x:t>
        </x:is>
      </x:c>
      <x:c r="C106" t="inlineStr">
        <x:is>
          <x:t xml:space="preserve">Recommended next action or advisory trigger.</x:t>
        </x:is>
      </x:c>
    </x:row>
    <x:row r="107">
      <x:c r="A107" t="inlineStr">
        <x:is>
          <x:t xml:space="preserve">FollowUpTrigger</x:t>
        </x:is>
      </x:c>
      <x:c r="B107" t="inlineStr">
        <x:is>
          <x:t xml:space="preserve">Plan_Assurance</x:t>
        </x:is>
      </x:c>
      <x:c r="C107" t="inlineStr">
        <x:is>
          <x:t xml:space="preserve">Recommended next action or advisory trigger.</x:t>
        </x:is>
      </x:c>
    </x:row>
    <x:row r="108">
      <x:c r="A108" t="inlineStr">
        <x:is>
          <x:t xml:space="preserve">FollowUpTrigger</x:t>
        </x:is>
      </x:c>
      <x:c r="B108" t="inlineStr">
        <x:is>
          <x:t xml:space="preserve">Plan_Exercises</x:t>
        </x:is>
      </x:c>
      <x:c r="C108" t="inlineStr">
        <x:is>
          <x:t xml:space="preserve">Recommended next action or advisory trigger.</x:t>
        </x:is>
      </x:c>
    </x:row>
    <x:row r="109">
      <x:c r="A109" t="inlineStr">
        <x:is>
          <x:t xml:space="preserve">FollowUpTrigger</x:t>
        </x:is>
      </x:c>
      <x:c r="B109" t="inlineStr">
        <x:is>
          <x:t xml:space="preserve">Request_Evidence</x:t>
        </x:is>
      </x:c>
      <x:c r="C109" t="inlineStr">
        <x:is>
          <x:t xml:space="preserve">Recommended next action or advisory trigger.</x:t>
        </x:is>
      </x:c>
    </x:row>
    <x:row r="110">
      <x:c r="A110" t="inlineStr">
        <x:is>
          <x:t xml:space="preserve">FollowUpTrigger</x:t>
        </x:is>
      </x:c>
      <x:c r="B110" t="inlineStr">
        <x:is>
          <x:t xml:space="preserve">Residency_Retention_Remediation</x:t>
        </x:is>
      </x:c>
      <x:c r="C110" t="inlineStr">
        <x:is>
          <x:t xml:space="preserve">Recommended next action or advisory trigger.</x:t>
        </x:is>
      </x:c>
    </x:row>
    <x:row r="111">
      <x:c r="A111" t="inlineStr">
        <x:is>
          <x:t xml:space="preserve">FollowUpTrigger</x:t>
        </x:is>
      </x:c>
      <x:c r="B111" t="inlineStr">
        <x:is>
          <x:t xml:space="preserve">Role_Mapping</x:t>
        </x:is>
      </x:c>
      <x:c r="C111" t="inlineStr">
        <x:is>
          <x:t xml:space="preserve">Recommended next action or advisory trigger.</x:t>
        </x:is>
      </x:c>
    </x:row>
    <x:row r="112">
      <x:c r="A112" t="inlineStr">
        <x:is>
          <x:t xml:space="preserve">FollowUpTrigger</x:t>
        </x:is>
      </x:c>
      <x:c r="B112" t="inlineStr">
        <x:is>
          <x:t xml:space="preserve">Run_Crown_Jewel_Workshop</x:t>
        </x:is>
      </x:c>
      <x:c r="C112" t="inlineStr">
        <x:is>
          <x:t xml:space="preserve">Recommended next action or advisory trigger.</x:t>
        </x:is>
      </x:c>
    </x:row>
    <x:row r="113">
      <x:c r="A113" t="inlineStr">
        <x:is>
          <x:t xml:space="preserve">FollowUpTrigger</x:t>
        </x:is>
      </x:c>
      <x:c r="B113" t="inlineStr">
        <x:is>
          <x:t xml:space="preserve">Run_Shadow_Probe</x:t>
        </x:is>
      </x:c>
      <x:c r="C113" t="inlineStr">
        <x:is>
          <x:t xml:space="preserve">Recommended next action or advisory trigger.</x:t>
        </x:is>
      </x:c>
    </x:row>
    <x:row r="114">
      <x:c r="A114" t="inlineStr">
        <x:is>
          <x:t xml:space="preserve">FollowUpTrigger</x:t>
        </x:is>
      </x:c>
      <x:c r="B114" t="inlineStr">
        <x:is>
          <x:t xml:space="preserve">Scale_And_Govern</x:t>
        </x:is>
      </x:c>
      <x:c r="C114" t="inlineStr">
        <x:is>
          <x:t xml:space="preserve">Recommended next action or advisory trigger.</x:t>
        </x:is>
      </x:c>
    </x:row>
    <x:row r="115">
      <x:c r="A115" t="inlineStr">
        <x:is>
          <x:t xml:space="preserve">FollowUpTrigger</x:t>
        </x:is>
      </x:c>
      <x:c r="B115" t="inlineStr">
        <x:is>
          <x:t xml:space="preserve">Security_UX_Review</x:t>
        </x:is>
      </x:c>
      <x:c r="C115" t="inlineStr">
        <x:is>
          <x:t xml:space="preserve">Recommended next action or advisory trigger.</x:t>
        </x:is>
      </x:c>
    </x:row>
    <x:row r="116">
      <x:c r="A116" t="inlineStr">
        <x:is>
          <x:t xml:space="preserve">FollowUpTrigger</x:t>
        </x:is>
      </x:c>
      <x:c r="B116" t="inlineStr">
        <x:is>
          <x:t xml:space="preserve">Set_Cadence</x:t>
        </x:is>
      </x:c>
      <x:c r="C116" t="inlineStr">
        <x:is>
          <x:t xml:space="preserve">Recommended next action or advisory trigger.</x:t>
        </x:is>
      </x:c>
    </x:row>
    <x:row r="117">
      <x:c r="A117" t="inlineStr">
        <x:is>
          <x:t xml:space="preserve">FollowUpTrigger</x:t>
        </x:is>
      </x:c>
      <x:c r="B117" t="inlineStr">
        <x:is>
          <x:t xml:space="preserve">ShadowIT_Discovery</x:t>
        </x:is>
      </x:c>
      <x:c r="C117" t="inlineStr">
        <x:is>
          <x:t xml:space="preserve">Recommended next action or advisory trigger.</x:t>
        </x:is>
      </x:c>
    </x:row>
    <x:row r="118">
      <x:c r="A118" t="inlineStr">
        <x:is>
          <x:t xml:space="preserve">FollowUpTrigger</x:t>
        </x:is>
      </x:c>
      <x:c r="B118" t="inlineStr">
        <x:is>
          <x:t xml:space="preserve">ShadowIT_Process</x:t>
        </x:is>
      </x:c>
      <x:c r="C118" t="inlineStr">
        <x:is>
          <x:t xml:space="preserve">Recommended next action or advisory trigger.</x:t>
        </x:is>
      </x:c>
    </x:row>
    <x:row r="119">
      <x:c r="A119" t="inlineStr">
        <x:is>
          <x:t xml:space="preserve">FollowUpTrigger</x:t>
        </x:is>
      </x:c>
      <x:c r="B119" t="inlineStr">
        <x:is>
          <x:t xml:space="preserve">Speed_Alternatives</x:t>
        </x:is>
      </x:c>
      <x:c r="C119" t="inlineStr">
        <x:is>
          <x:t xml:space="preserve">Recommended next action or advisory trigger.</x:t>
        </x:is>
      </x:c>
    </x:row>
    <x:row r="120">
      <x:c r="A120" t="inlineStr">
        <x:is>
          <x:t xml:space="preserve">FollowUpTrigger</x:t>
        </x:is>
      </x:c>
      <x:c r="B120" t="inlineStr">
        <x:is>
          <x:t xml:space="preserve">Stabilize_Funding</x:t>
        </x:is>
      </x:c>
      <x:c r="C120" t="inlineStr">
        <x:is>
          <x:t xml:space="preserve">Recommended next action or advisory trigger.</x:t>
        </x:is>
      </x:c>
    </x:row>
    <x:row r="121">
      <x:c r="A121" t="inlineStr">
        <x:is>
          <x:t xml:space="preserve">FollowUpTrigger</x:t>
        </x:is>
      </x:c>
      <x:c r="B121" t="inlineStr">
        <x:is>
          <x:t xml:space="preserve">Stakeholder_Engagement</x:t>
        </x:is>
      </x:c>
      <x:c r="C121" t="inlineStr">
        <x:is>
          <x:t xml:space="preserve">Recommended next action or advisory trigger.</x:t>
        </x:is>
      </x:c>
    </x:row>
    <x:row r="122">
      <x:c r="A122" t="inlineStr">
        <x:is>
          <x:t xml:space="preserve">FollowUpTrigger</x:t>
        </x:is>
      </x:c>
      <x:c r="B122" t="inlineStr">
        <x:is>
          <x:t xml:space="preserve">Standardize_Governance</x:t>
        </x:is>
      </x:c>
      <x:c r="C122" t="inlineStr">
        <x:is>
          <x:t xml:space="preserve">Recommended next action or advisory trigger.</x:t>
        </x:is>
      </x:c>
    </x:row>
    <x:row r="123">
      <x:c r="A123" t="inlineStr">
        <x:is>
          <x:t xml:space="preserve">FollowUpTrigger</x:t>
        </x:is>
      </x:c>
      <x:c r="B123" t="inlineStr">
        <x:is>
          <x:t xml:space="preserve">Standardize_ThirdParty</x:t>
        </x:is>
      </x:c>
      <x:c r="C123" t="inlineStr">
        <x:is>
          <x:t xml:space="preserve">Recommended next action or advisory trigger.</x:t>
        </x:is>
      </x:c>
    </x:row>
    <x:row r="124">
      <x:c r="A124" t="inlineStr">
        <x:is>
          <x:t xml:space="preserve">FollowUpTrigger</x:t>
        </x:is>
      </x:c>
      <x:c r="B124" t="inlineStr">
        <x:is>
          <x:t xml:space="preserve">Start_Mapping</x:t>
        </x:is>
      </x:c>
      <x:c r="C124" t="inlineStr">
        <x:is>
          <x:t xml:space="preserve">Recommended next action or advisory trigger.</x:t>
        </x:is>
      </x:c>
    </x:row>
    <x:row r="125">
      <x:c r="A125" t="inlineStr">
        <x:is>
          <x:t xml:space="preserve">FollowUpTrigger</x:t>
        </x:is>
      </x:c>
      <x:c r="B125" t="inlineStr">
        <x:is>
          <x:t xml:space="preserve">Strengthen_Governance</x:t>
        </x:is>
      </x:c>
      <x:c r="C125" t="inlineStr">
        <x:is>
          <x:t xml:space="preserve">Recommended next action or advisory trigger.</x:t>
        </x:is>
      </x:c>
    </x:row>
    <x:row r="126">
      <x:c r="A126" t="inlineStr">
        <x:is>
          <x:t xml:space="preserve">FollowUpTrigger</x:t>
        </x:is>
      </x:c>
      <x:c r="B126" t="inlineStr">
        <x:is>
          <x:t xml:space="preserve">Strengthen_SpeakUp</x:t>
        </x:is>
      </x:c>
      <x:c r="C126" t="inlineStr">
        <x:is>
          <x:t xml:space="preserve">Recommended next action or advisory trigger.</x:t>
        </x:is>
      </x:c>
    </x:row>
    <x:row r="127">
      <x:c r="A127" t="inlineStr">
        <x:is>
          <x:t xml:space="preserve">FollowUpTrigger</x:t>
        </x:is>
      </x:c>
      <x:c r="B127" t="inlineStr">
        <x:is>
          <x:t xml:space="preserve">Systematize_Detection</x:t>
        </x:is>
      </x:c>
      <x:c r="C127" t="inlineStr">
        <x:is>
          <x:t xml:space="preserve">Recommended next action or advisory trigger.</x:t>
        </x:is>
      </x:c>
    </x:row>
    <x:row r="128">
      <x:c r="A128" t="inlineStr">
        <x:is>
          <x:t xml:space="preserve">FollowUpTrigger</x:t>
        </x:is>
      </x:c>
      <x:c r="B128" t="inlineStr">
        <x:is>
          <x:t xml:space="preserve">Transparency_Remediation</x:t>
        </x:is>
      </x:c>
      <x:c r="C128" t="inlineStr">
        <x:is>
          <x:t xml:space="preserve">Recommended next action or advisory trigger.</x:t>
        </x:is>
      </x:c>
    </x:row>
    <x:row r="129">
      <x:c r="A129" t="inlineStr">
        <x:is>
          <x:t xml:space="preserve">FollowUpTrigger</x:t>
        </x:is>
      </x:c>
      <x:c r="B129" t="inlineStr">
        <x:is>
          <x:t xml:space="preserve">Upgrade_KPIs</x:t>
        </x:is>
      </x:c>
      <x:c r="C129" t="inlineStr">
        <x:is>
          <x:t xml:space="preserve">Recommended next action or advisory trigger.</x:t>
        </x:is>
      </x:c>
    </x:row>
    <x:row r="130">
      <x:c r="A130" t="inlineStr">
        <x:is>
          <x:t xml:space="preserve">FollowUpTrigger</x:t>
        </x:is>
      </x:c>
      <x:c r="B130" t="inlineStr">
        <x:is>
          <x:t xml:space="preserve">Validate_Tech_Reality</x:t>
        </x:is>
      </x:c>
      <x:c r="C130" t="inlineStr">
        <x:is>
          <x:t xml:space="preserve">Recommended next action or advisory trigger.</x:t>
        </x:is>
      </x:c>
    </x:row>
    <x:row r="131">
      <x:c r="A131" t="inlineStr">
        <x:is>
          <x:t xml:space="preserve">FollowUpTrigger</x:t>
        </x:is>
      </x:c>
      <x:c r="B131" t="inlineStr">
        <x:is>
          <x:t xml:space="preserve">Verify_ThirdParty</x:t>
        </x:is>
      </x:c>
      <x:c r="C131" t="inlineStr">
        <x:is>
          <x:t xml:space="preserve">Recommended next action or advisory trigger.</x:t>
        </x:is>
      </x:c>
    </x:row>
    <x:row r="132">
      <x:c r="A132" t="inlineStr">
        <x:is>
          <x:t xml:space="preserve">Tags</x:t>
        </x:is>
      </x:c>
      <x:c r="B132" t="inlineStr">
        <x:is>
          <x:t xml:space="preserve">paper_dragon_signal</x:t>
        </x:is>
      </x:c>
      <x:c r="C132" t="inlineStr">
        <x:is>
          <x:t xml:space="preserve">Policy exists but weak execution/evidence; likely posture&gt;reality.</x:t>
        </x:is>
      </x:c>
    </x:row>
    <x:row r="133">
      <x:c r="A133" t="inlineStr">
        <x:is>
          <x:t xml:space="preserve">Tags</x:t>
        </x:is>
      </x:c>
      <x:c r="B133" t="inlineStr">
        <x:is>
          <x:t xml:space="preserve">shadow_mature_signal</x:t>
        </x:is>
      </x:c>
      <x:c r="C133" t="inlineStr">
        <x:is>
          <x:t xml:space="preserve">Informal execution exists without governance; hidden operational maturity.</x:t>
        </x:is>
      </x:c>
    </x:row>
    <x:row r="134">
      <x:c r="A134" t="inlineStr">
        <x:is>
          <x:t xml:space="preserve">Tags</x:t>
        </x:is>
      </x:c>
      <x:c r="B134" t="inlineStr">
        <x:is>
          <x:t xml:space="preserve">toxic_enforcer_signal</x:t>
        </x:is>
      </x:c>
      <x:c r="C134" t="inlineStr">
        <x:is>
          <x:t xml:space="preserve">Secrecy/punitive approach; culture risk increases insider risk.</x:t>
        </x:is>
      </x:c>
    </x:row>
    <x:row r="135">
      <x:c r="A135" t="inlineStr">
        <x:is>
          <x:t xml:space="preserve">Tags</x:t>
        </x:is>
      </x:c>
      <x:c r="B135" t="inlineStr">
        <x:is>
          <x:t xml:space="preserve">bypass_pressure</x:t>
        </x:is>
      </x:c>
      <x:c r="C135" t="inlineStr">
        <x:is>
          <x:t xml:space="preserve">Workarounds likely; security friction driving risky behaviour.</x:t>
        </x:is>
      </x:c>
    </x:row>
    <x:row r="136">
      <x:c r="A136" t="inlineStr">
        <x:is>
          <x:t xml:space="preserve">Tags</x:t>
        </x:is>
      </x:c>
      <x:c r="B136" t="inlineStr">
        <x:is>
          <x:t xml:space="preserve">control_lag_high</x:t>
        </x:is>
      </x:c>
      <x:c r="C136" t="inlineStr">
        <x:is>
          <x:t xml:space="preserve">Slow adaptation during change; risk spikes during M&amp;A/layoffs.</x:t>
        </x:is>
      </x:c>
    </x:row>
    <x:row r="137">
      <x:c r="A137" t="inlineStr">
        <x:is>
          <x:t xml:space="preserve">Modes</x:t>
        </x:is>
      </x:c>
      <x:c r="B137" t="inlineStr">
        <x:is>
          <x:t xml:space="preserve">Lightweight</x:t>
        </x:is>
      </x:c>
      <x:c r="C137" t="inlineStr">
        <x:is>
          <x:t xml:space="preserve">T1 only (Gatekeepers + minimal shadow probes). Intended for SME/quick scan.</x:t>
        </x:is>
      </x:c>
    </x:row>
    <x:row r="138">
      <x:c r="A138" t="inlineStr">
        <x:is>
          <x:t xml:space="preserve">Modes</x:t>
        </x:is>
      </x:c>
      <x:c r="B138" t="inlineStr">
        <x:is>
          <x:t xml:space="preserve">Standard</x:t>
        </x:is>
      </x:c>
      <x:c r="C138" t="inlineStr">
        <x:is>
          <x:t xml:space="preserve">T1+T2 (Gatekeepers + Shadow Probes + key drill-down). Default assessment mode.</x:t>
        </x:is>
      </x:c>
    </x:row>
    <x:row r="139">
      <x:c r="A139" t="inlineStr">
        <x:is>
          <x:t xml:space="preserve">Modes</x:t>
        </x:is>
      </x:c>
      <x:c r="B139" t="inlineStr">
        <x:is>
          <x:t xml:space="preserve">Full</x:t>
        </x:is>
      </x:c>
      <x:c r="C139" t="inlineStr">
        <x:is>
          <x:t xml:space="preserve">T1+T2+T3 (Includes deeper drill-down and verification prompts).</x:t>
        </x:is>
      </x:c>
    </x:row>
    <x:row r="140">
      <x:c r="A140" t="inlineStr">
        <x:is>
          <x:t xml:space="preserve">ImplementationNotes</x:t>
        </x:is>
      </x:c>
      <x:c r="B140" t="inlineStr">
        <x:is>
          <x:t xml:space="preserve">CriticalityWeight (CW)</x:t>
        </x:is>
      </x:c>
      <x:c r="C140" t="inlineStr">
        <x:is>
          <x:t xml:space="preserve">Add CW per question (default 1.0) for harmonic aggregation and prioritization.</x:t>
        </x:is>
      </x:c>
    </x:row>
    <x:row r="141">
      <x:c r="A141" t="inlineStr">
        <x:is>
          <x:t xml:space="preserve">ImplementationNotes</x:t>
        </x:is>
      </x:c>
      <x:c r="B141" t="inlineStr">
        <x:is>
          <x:t xml:space="preserve">Threshold (TH) for Critical Controls</x:t>
        </x:is>
      </x:c>
      <x:c r="C141" t="inlineStr">
        <x:is>
          <x:t xml:space="preserve">Optional TH per critical question; apply floor penalty when CNS(q) &lt; TH(q). Blank = no threshold.</x:t>
        </x:is>
      </x:c>
    </x:row>
    <x:row r="142">
      <x:c r="A142" t="inlineStr">
        <x:is>
          <x:t xml:space="preserve">ImplementationNotes</x:t>
        </x:is>
      </x:c>
      <x:c r="B142" t="inlineStr">
        <x:is>
          <x:t xml:space="preserve">Regional/BU Segmentation</x:t>
        </x:is>
      </x:c>
      <x:c r="C142" t="inlineStr">
        <x:is>
          <x:t xml:space="preserve">Add optional Scope field (Region/BU) to response capture to support segmentation and roll-ups in one dataset.</x:t>
        </x:is>
      </x:c>
    </x:row>
    <x:row r="143">
      <x:c r="A143" t="inlineStr">
        <x:is>
          <x:t xml:space="preserve">ImplementationNotes</x:t>
        </x:is>
      </x:c>
      <x:c r="B143" t="inlineStr">
        <x:is>
          <x:t xml:space="preserve">Version Control</x:t>
        </x:is>
      </x:c>
      <x:c r="C143" t="inlineStr">
        <x:is>
          <x:t xml:space="preserve">Maintain Metadata sheet with version number, effective date, and change log; store model_version per assessment run.</x:t>
        </x:is>
      </x:c>
    </x:row>
    <x:row r="144">
      <x:c r="A144" t="inlineStr">
        <x:is>
          <x:t xml:space="preserve">ScoringEngineNotes</x:t>
        </x:is>
      </x:c>
      <x:c r="B144" t="inlineStr">
        <x:is>
          <x:t xml:space="preserve">Branching State Machine</x:t>
        </x:is>
      </x:c>
      <x:c r="C144" t="inlineStr">
        <x:is>
          <x:t xml:space="preserve">Implement branching rules: Tier-1 gatekeepers route to drill-down or shadow probe path when BaseScore &lt; 2.</x:t>
        </x:is>
      </x:c>
    </x:row>
    <x:row r="145">
      <x:c r="A145" t="inlineStr">
        <x:is>
          <x:t xml:space="preserve">ScoringEngineNotes</x:t>
        </x:is>
      </x:c>
      <x:c r="B145" t="inlineStr">
        <x:is>
          <x:t xml:space="preserve">EvidencePolicyID</x:t>
        </x:is>
      </x:c>
      <x:c r="C145" t="inlineStr">
        <x:is>
          <x:t xml:space="preserve">Use EvidencePolicyID to compute evidence caps and CI adjustments (axis-specific policy matrix).</x:t>
        </x:is>
      </x:c>
    </x:row>
    <x:row r="146">
      <x:c r="A146" t="inlineStr">
        <x:is>
          <x:t xml:space="preserve">ScoringEngineNotes</x:t>
        </x:is>
      </x:c>
      <x:c r="B146" t="inlineStr">
        <x:is>
          <x:t xml:space="preserve">Dual-Axis Contribution</x:t>
        </x:is>
      </x:c>
      <x:c r="C146" t="inlineStr">
        <x:is>
          <x:t xml:space="preserve">CNS(q) contributes W1×score to Axis1 and W2×score to Axis2 (when Axis2 exists).</x:t>
        </x:is>
      </x:c>
    </x:row>
    <x:row r="147">
      <x:c r="A147" t="inlineStr">
        <x:is>
          <x:t xml:space="preserve">ScoringEngineNotes</x:t>
        </x:is>
      </x:c>
      <x:c r="B147" t="inlineStr">
        <x:is>
          <x:t xml:space="preserve">Fracture/Achetype Signals</x:t>
        </x:is>
      </x:c>
      <x:c r="C147" t="inlineStr">
        <x:is>
          <x:t xml:space="preserve">Aggregate FractureType and Tags counts for narrative archetype probabilities and advisory triggers.</x:t>
        </x:is>
      </x:c>
    </x:row>
    <x:row r="148">
      <x:c r="A148" t="inlineStr">
        <x:is>
          <x:t xml:space="preserve">ScoringEngineNotes</x:t>
        </x:is>
      </x:c>
      <x:c r="B148" t="inlineStr">
        <x:is>
          <x:t xml:space="preserve">FollowUpTrigger Roadmap</x:t>
        </x:is>
      </x:c>
      <x:c r="C148" t="inlineStr">
        <x:is>
          <x:t xml:space="preserve">Aggregate top triggers to produce service roadmap; prioritize by CW and evidence gaps.</x:t>
        </x:is>
      </x:c>
    </x:row>
    <x:row r="149">
      <x:c r="A149" t="inlineStr">
        <x:is>
          <x:t xml:space="preserve">ScoringEngineNotes</x:t>
        </x:is>
      </x:c>
      <x:c r="B149" t="inlineStr">
        <x:is>
          <x:t xml:space="preserve">Annex Questions</x:t>
        </x:is>
      </x:c>
      <x:c r="C149" t="inlineStr">
        <x:is>
          <x:t xml:space="preserve">Treat BranchType='Annex' as optional deep drill-down. Include only in Full/Deep mode or when gatekeepers indicate sufficient baseline capability. Publish annex results as 'Technical Depth' addendum without altering lightweight gatekeeper narrative.</x:t>
        </x:is>
      </x:c>
    </x:row>
    <x:row r="150">
      <x:c r="A150" t="inlineStr">
        <x:is>
          <x:t xml:space="preserve">ScoringEngineNotes</x:t>
        </x:is>
      </x:c>
      <x:c r="B150" t="inlineStr">
        <x:is>
          <x:t xml:space="preserve">Security Deep Annex</x:t>
        </x:is>
      </x:c>
      <x:c r="C150" t="inlineStr">
        <x:is>
          <x:t xml:space="preserve">This annex validates telemetry integrity, identity attribution, containment automation, and detection QA. Use CW/TH to prioritize critical technical weaknesses that undermine investigations and recovery.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8" customWidth="1"/>
    <x:col min="4" max="4" width="21" customWidth="1"/>
    <x:col min="5" max="5" width="33" customWidth="1"/>
    <x:col min="6" max="6" width="24" customWidth="1"/>
    <x:col min="7" max="7" width="13" customWidth="1"/>
    <x:col min="8" max="8" width="11" customWidth="1"/>
    <x:col min="9" max="9" width="17" customWidth="1"/>
    <x:col min="10" max="10" width="10" customWidth="1"/>
    <x:col min="11" max="11" width="17" customWidth="1"/>
    <x:col min="12" max="12" width="13" customWidth="1"/>
  </x:cols>
  <x:sheetData>
    <x:row r="1">
      <x:c r="A1" s="1" t="inlineStr">
        <x:is>
          <x:t xml:space="preserve">Tiers</x:t>
        </x:is>
      </x:c>
      <x:c r="B1" s="1" t="inlineStr">
        <x:is>
          <x:t xml:space="preserve">Axes</x:t>
        </x:is>
      </x:c>
      <x:c r="C1" s="1" t="inlineStr">
        <x:is>
          <x:t xml:space="preserve">EvidencePolicyID</x:t>
        </x:is>
      </x:c>
      <x:c r="D1" s="1" t="inlineStr">
        <x:is>
          <x:t xml:space="preserve">FractureType</x:t>
        </x:is>
      </x:c>
      <x:c r="E1" s="1" t="inlineStr">
        <x:is>
          <x:t xml:space="preserve">FollowUpTrigger</x:t>
        </x:is>
      </x:c>
      <x:c r="F1" s="1" t="inlineStr">
        <x:is>
          <x:t xml:space="preserve">Tags</x:t>
        </x:is>
      </x:c>
      <x:c r="G1" s="1" t="inlineStr">
        <x:is>
          <x:t xml:space="preserve">Modes</x:t>
        </x:is>
      </x:c>
      <x:c r="H1" s="1" t="inlineStr">
        <x:is>
          <x:t xml:space="preserve">Packs</x:t>
        </x:is>
      </x:c>
      <x:c r="I1" s="1" t="inlineStr">
        <x:is>
          <x:t xml:space="preserve">NegativeControl</x:t>
        </x:is>
      </x:c>
      <x:c r="J1" s="1" t="inlineStr">
        <x:is>
          <x:t xml:space="preserve">Column</x:t>
        </x:is>
      </x:c>
      <x:c r="K1" s="1" t="inlineStr">
        <x:is>
          <x:t xml:space="preserve">BranchType_List</x:t>
        </x:is>
      </x:c>
      <x:c r="L1" s="1" t="inlineStr">
        <x:is>
          <x:t xml:space="preserve">PackID_List</x:t>
        </x:is>
      </x:c>
    </x:row>
    <x:row r="2">
      <x:c r="A2" t="inlineStr">
        <x:is>
          <x:t xml:space="preserve">T1</x:t>
        </x:is>
      </x:c>
      <x:c r="B2" t="inlineStr">
        <x:is>
          <x:t xml:space="preserve">G</x:t>
        </x:is>
      </x:c>
      <x:c r="C2" t="inlineStr">
        <x:is>
          <x:t xml:space="preserve">GOV_STD</x:t>
        </x:is>
      </x:c>
      <x:c r="D2" t="inlineStr">
        <x:is>
          <x:t xml:space="preserve">Bypass Pressure</x:t>
        </x:is>
      </x:c>
      <x:c r="E2" t="inlineStr">
        <x:is>
          <x:t xml:space="preserve">Add_Appeals_Process</x:t>
        </x:is>
      </x:c>
      <x:c r="F2" t="inlineStr">
        <x:is>
          <x:t xml:space="preserve">ad_hoc</x:t>
        </x:is>
      </x:c>
      <x:c r="G2" t="inlineStr">
        <x:is>
          <x:t xml:space="preserve">Lightweight</x:t>
        </x:is>
      </x:c>
      <x:c r="H2" t="inlineStr">
        <x:is>
          <x:t xml:space="preserve">Executive</x:t>
        </x:is>
      </x:c>
      <x:c r="I2" t="inlineStr">
        <x:is>
          <x:t xml:space="preserve">Y</x:t>
        </x:is>
      </x:c>
      <x:c r="K2" t="inlineStr">
        <x:is>
          <x:t xml:space="preserve">Gatekeeper</x:t>
        </x:is>
      </x:c>
      <x:c r="L2" t="inlineStr">
        <x:is>
          <x:t xml:space="preserve">Executive</x:t>
        </x:is>
      </x:c>
    </x:row>
    <x:row r="3">
      <x:c r="A3" t="inlineStr">
        <x:is>
          <x:t xml:space="preserve">T2</x:t>
        </x:is>
      </x:c>
      <x:c r="B3" t="inlineStr">
        <x:is>
          <x:t xml:space="preserve">E</x:t>
        </x:is>
      </x:c>
      <x:c r="C3" t="inlineStr">
        <x:is>
          <x:t xml:space="preserve">RISK_STD</x:t>
        </x:is>
      </x:c>
      <x:c r="D3" t="inlineStr">
        <x:is>
          <x:t xml:space="preserve">Control Lag</x:t>
        </x:is>
      </x:c>
      <x:c r="E3" t="inlineStr">
        <x:is>
          <x:t xml:space="preserve">Align_Funding_Governance</x:t>
        </x:is>
      </x:c>
      <x:c r="F3" t="inlineStr">
        <x:is>
          <x:t xml:space="preserve">alert_fatigue</x:t>
        </x:is>
      </x:c>
      <x:c r="G3" t="inlineStr">
        <x:is>
          <x:t xml:space="preserve">Standard</x:t>
        </x:is>
      </x:c>
      <x:c r="H3" t="inlineStr">
        <x:is>
          <x:t xml:space="preserve">HR</x:t>
        </x:is>
      </x:c>
      <x:c r="I3" t="inlineStr">
        <x:is>
          <x:t xml:space="preserve">N</x:t>
        </x:is>
      </x:c>
      <x:c r="K3" t="inlineStr">
        <x:is>
          <x:t xml:space="preserve">ShadowProbe</x:t>
        </x:is>
      </x:c>
      <x:c r="L3" t="inlineStr">
        <x:is>
          <x:t xml:space="preserve">HR</x:t>
        </x:is>
      </x:c>
    </x:row>
    <x:row r="4">
      <x:c r="A4" t="inlineStr">
        <x:is>
          <x:t xml:space="preserve">T3</x:t>
        </x:is>
      </x:c>
      <x:c r="B4" t="inlineStr">
        <x:is>
          <x:t xml:space="preserve">T</x:t>
        </x:is>
      </x:c>
      <x:c r="C4" t="inlineStr">
        <x:is>
          <x:t xml:space="preserve">OPS_STD</x:t>
        </x:is>
      </x:c>
      <x:c r="D4" t="inlineStr">
        <x:is>
          <x:t xml:space="preserve">Culture Risk</x:t>
        </x:is>
      </x:c>
      <x:c r="E4" t="inlineStr">
        <x:is>
          <x:t xml:space="preserve">Align_On_Crown_Jewels</x:t>
        </x:is>
      </x:c>
      <x:c r="F4" t="inlineStr">
        <x:is>
          <x:t xml:space="preserve">blind_spot</x:t>
        </x:is>
      </x:c>
      <x:c r="G4" t="inlineStr">
        <x:is>
          <x:t xml:space="preserve">Full</x:t>
        </x:is>
      </x:c>
      <x:c r="H4" t="inlineStr">
        <x:is>
          <x:t xml:space="preserve">Security</x:t>
        </x:is>
      </x:c>
      <x:c r="K4" t="inlineStr">
        <x:is>
          <x:t xml:space="preserve">DrillDown</x:t>
        </x:is>
      </x:c>
      <x:c r="L4" t="inlineStr">
        <x:is>
          <x:t xml:space="preserve">Security</x:t>
        </x:is>
      </x:c>
    </x:row>
    <x:row r="5">
      <x:c r="A5" t="inlineStr">
        <x:is>
          <x:t xml:space="preserve">T4</x:t>
        </x:is>
      </x:c>
      <x:c r="B5" t="inlineStr">
        <x:is>
          <x:t xml:space="preserve">L</x:t>
        </x:is>
      </x:c>
      <x:c r="C5" t="inlineStr">
        <x:is>
          <x:t xml:space="preserve">CULT_SOFT</x:t>
        </x:is>
      </x:c>
      <x:c r="D5" t="inlineStr">
        <x:is>
          <x:t xml:space="preserve">Legal Exposure</x:t>
        </x:is>
      </x:c>
      <x:c r="E5" t="inlineStr">
        <x:is>
          <x:t xml:space="preserve">Align_On_Scenarios</x:t>
        </x:is>
      </x:c>
      <x:c r="F5" t="inlineStr">
        <x:is>
          <x:t xml:space="preserve">business_disruption</x:t>
        </x:is>
      </x:c>
      <x:c r="H5" t="inlineStr">
        <x:is>
          <x:t xml:space="preserve">Legal</x:t>
        </x:is>
      </x:c>
      <x:c r="K5" t="inlineStr">
        <x:is>
          <x:t xml:space="preserve">End</x:t>
        </x:is>
      </x:c>
    </x:row>
    <x:row r="6">
      <x:c r="B6" t="inlineStr">
        <x:is>
          <x:t xml:space="preserve">H</x:t>
        </x:is>
      </x:c>
      <x:c r="C6" t="inlineStr">
        <x:is>
          <x:t xml:space="preserve">LEG_STRICT</x:t>
        </x:is>
      </x:c>
      <x:c r="D6" t="inlineStr">
        <x:is>
          <x:t xml:space="preserve">Operating Model Gap</x:t>
        </x:is>
      </x:c>
      <x:c r="E6" t="inlineStr">
        <x:is>
          <x:t xml:space="preserve">Align_Policy_To_Reality</x:t>
        </x:is>
      </x:c>
      <x:c r="F6" t="inlineStr">
        <x:is>
          <x:t xml:space="preserve">bypass_pressure</x:t>
        </x:is>
      </x:c>
      <x:c r="H6" t="inlineStr">
        <x:is>
          <x:t xml:space="preserve">DataBusiness</x:t>
        </x:is>
      </x:c>
    </x:row>
    <x:row r="7">
      <x:c r="B7" t="inlineStr">
        <x:is>
          <x:t xml:space="preserve">V</x:t>
        </x:is>
      </x:c>
      <x:c r="D7" t="inlineStr">
        <x:is>
          <x:t xml:space="preserve">Paper Dragon</x:t>
        </x:is>
      </x:c>
      <x:c r="E7" t="inlineStr">
        <x:is>
          <x:t xml:space="preserve">Assess_Case_Model</x:t>
        </x:is>
      </x:c>
      <x:c r="F7" t="inlineStr">
        <x:is>
          <x:t xml:space="preserve">cloud_visibility_gap</x:t>
        </x:is>
      </x:c>
      <x:c r="H7" t="inlineStr">
        <x:is>
          <x:t xml:space="preserve">IT_IAM</x:t>
        </x:is>
      </x:c>
    </x:row>
    <x:row r="8">
      <x:c r="B8" t="inlineStr">
        <x:is>
          <x:t xml:space="preserve">R</x:t>
        </x:is>
      </x:c>
      <x:c r="D8" t="inlineStr">
        <x:is>
          <x:t xml:space="preserve">Resilience Gap</x:t>
        </x:is>
      </x:c>
      <x:c r="E8" t="inlineStr">
        <x:is>
          <x:t xml:space="preserve">Assess_Control_Lag</x:t>
        </x:is>
      </x:c>
      <x:c r="F8" t="inlineStr">
        <x:is>
          <x:t xml:space="preserve">compliance_only</x:t>
        </x:is>
      </x:c>
      <x:c r="H8" t="inlineStr">
        <x:is>
          <x:t xml:space="preserve">RiskAudit</x:t>
        </x:is>
      </x:c>
    </x:row>
    <x:row r="9">
      <x:c r="B9" t="inlineStr">
        <x:is>
          <x:t xml:space="preserve">F</x:t>
        </x:is>
      </x:c>
      <x:c r="D9" t="inlineStr">
        <x:is>
          <x:t xml:space="preserve">Shadow Mature</x:t>
        </x:is>
      </x:c>
      <x:c r="E9" t="inlineStr">
        <x:is>
          <x:t xml:space="preserve">Assess_Data_Residency</x:t>
        </x:is>
      </x:c>
      <x:c r="F9" t="inlineStr">
        <x:is>
          <x:t xml:space="preserve">control_lag</x:t>
        </x:is>
      </x:c>
    </x:row>
    <x:row r="10">
      <x:c r="B10" t="inlineStr">
        <x:is>
          <x:t xml:space="preserve">W</x:t>
        </x:is>
      </x:c>
      <x:c r="D10" t="inlineStr">
        <x:is>
          <x:t xml:space="preserve">Toxic Enforcer</x:t>
        </x:is>
      </x:c>
      <x:c r="E10" t="inlineStr">
        <x:is>
          <x:t xml:space="preserve">Assess_Detection</x:t>
        </x:is>
      </x:c>
      <x:c r="F10" t="inlineStr">
        <x:is>
          <x:t xml:space="preserve">control_lag_high</x:t>
        </x:is>
      </x:c>
    </x:row>
    <x:row r="11">
      <x:c r="D11" t="inlineStr">
        <x:is>
          <x:t xml:space="preserve">Unknown</x:t>
        </x:is>
      </x:c>
      <x:c r="E11" t="inlineStr">
        <x:is>
          <x:t xml:space="preserve">Assess_Evidence_Handling</x:t>
        </x:is>
      </x:c>
      <x:c r="F11" t="inlineStr">
        <x:is>
          <x:t xml:space="preserve">culture_risk</x:t>
        </x:is>
      </x:c>
    </x:row>
    <x:row r="12">
      <x:c r="D12" t="inlineStr">
        <x:is>
          <x:t xml:space="preserve">Visibility Gap</x:t>
        </x:is>
      </x:c>
      <x:c r="E12" t="inlineStr">
        <x:is>
          <x:t xml:space="preserve">Assess_Friction</x:t>
        </x:is>
      </x:c>
      <x:c r="F12" t="inlineStr">
        <x:is>
          <x:t xml:space="preserve">dlp_tuning_gap</x:t>
        </x:is>
      </x:c>
    </x:row>
    <x:row r="13">
      <x:c r="E13" t="inlineStr">
        <x:is>
          <x:t xml:space="preserve">Assess_ThirdParty</x:t>
        </x:is>
      </x:c>
      <x:c r="F13" t="inlineStr">
        <x:is>
          <x:t xml:space="preserve">execution_strength</x:t>
        </x:is>
      </x:c>
    </x:row>
    <x:row r="14">
      <x:c r="E14" t="inlineStr">
        <x:is>
          <x:t xml:space="preserve">Assurance_On_Reality</x:t>
        </x:is>
      </x:c>
      <x:c r="F14" t="inlineStr">
        <x:is>
          <x:t xml:space="preserve">forensic_gap</x:t>
        </x:is>
      </x:c>
    </x:row>
    <x:row r="15">
      <x:c r="E15" t="inlineStr">
        <x:is>
          <x:t xml:space="preserve">Behavioral_Design</x:t>
        </x:is>
      </x:c>
      <x:c r="F15" t="inlineStr">
        <x:is>
          <x:t xml:space="preserve">forensic_ready</x:t>
        </x:is>
      </x:c>
    </x:row>
    <x:row r="16">
      <x:c r="E16" t="inlineStr">
        <x:is>
          <x:t xml:space="preserve">Build_Detection_Strategy</x:t>
        </x:is>
      </x:c>
      <x:c r="F16" t="inlineStr">
        <x:is>
          <x:t xml:space="preserve">foundational_gap</x:t>
        </x:is>
      </x:c>
    </x:row>
    <x:row r="17">
      <x:c r="E17" t="inlineStr">
        <x:is>
          <x:t xml:space="preserve">Capture_Informal_Practices</x:t>
        </x:is>
      </x:c>
      <x:c r="F17" t="inlineStr">
        <x:is>
          <x:t xml:space="preserve">good_practice</x:t>
        </x:is>
      </x:c>
    </x:row>
    <x:row r="18">
      <x:c r="E18" t="inlineStr">
        <x:is>
          <x:t xml:space="preserve">Capture_Playbook</x:t>
        </x:is>
      </x:c>
      <x:c r="F18" t="inlineStr">
        <x:is>
          <x:t xml:space="preserve">identity_gap</x:t>
        </x:is>
      </x:c>
    </x:row>
    <x:row r="19">
      <x:c r="E19" t="inlineStr">
        <x:is>
          <x:t xml:space="preserve">Clarify_Budget</x:t>
        </x:is>
      </x:c>
      <x:c r="F19" t="inlineStr">
        <x:is>
          <x:t xml:space="preserve">inconsistent_execution</x:t>
        </x:is>
      </x:c>
    </x:row>
    <x:row r="20">
      <x:c r="E20" t="inlineStr">
        <x:is>
          <x:t xml:space="preserve">Clarify_Roadmap</x:t>
        </x:is>
      </x:c>
      <x:c r="F20" t="inlineStr">
        <x:is>
          <x:t xml:space="preserve">informal_only</x:t>
        </x:is>
      </x:c>
    </x:row>
    <x:row r="21">
      <x:c r="E21" t="inlineStr">
        <x:is>
          <x:t xml:space="preserve">Clarify_Stakeholders</x:t>
        </x:is>
      </x:c>
      <x:c r="F21" t="inlineStr">
        <x:is>
          <x:t xml:space="preserve">key_person_dependency</x:t>
        </x:is>
      </x:c>
    </x:row>
    <x:row r="22">
      <x:c r="E22" t="inlineStr">
        <x:is>
          <x:t xml:space="preserve">Close_Learning_Loop</x:t>
        </x:is>
      </x:c>
      <x:c r="F22" t="inlineStr">
        <x:is>
          <x:t xml:space="preserve">legal_exposure</x:t>
        </x:is>
      </x:c>
    </x:row>
    <x:row r="23">
      <x:c r="E23" t="inlineStr">
        <x:is>
          <x:t xml:space="preserve">ControlLag_Sprint</x:t>
        </x:is>
      </x:c>
      <x:c r="F23" t="inlineStr">
        <x:is>
          <x:t xml:space="preserve">legal_red_flag</x:t>
        </x:is>
      </x:c>
    </x:row>
    <x:row r="24">
      <x:c r="E24" t="inlineStr">
        <x:is>
          <x:t xml:space="preserve">Convert_To_Playbooks</x:t>
        </x:is>
      </x:c>
      <x:c r="F24" t="inlineStr">
        <x:is>
          <x:t xml:space="preserve">log_gap</x:t>
        </x:is>
      </x:c>
    </x:row>
    <x:row r="25">
      <x:c r="E25" t="inlineStr">
        <x:is>
          <x:t xml:space="preserve">Create_NearMiss_Process</x:t>
        </x:is>
      </x:c>
      <x:c r="F25" t="inlineStr">
        <x:is>
          <x:t xml:space="preserve">low-confidence</x:t>
        </x:is>
      </x:c>
    </x:row>
    <x:row r="26">
      <x:c r="E26" t="inlineStr">
        <x:is>
          <x:t xml:space="preserve">Create_Roadmap</x:t>
        </x:is>
      </x:c>
      <x:c r="F26" t="inlineStr">
        <x:is>
          <x:t xml:space="preserve">low_cadence</x:t>
        </x:is>
      </x:c>
    </x:row>
    <x:row r="27">
      <x:c r="E27" t="inlineStr">
        <x:is>
          <x:t xml:space="preserve">Create_Scenarios</x:t>
        </x:is>
      </x:c>
      <x:c r="F27" t="inlineStr">
        <x:is>
          <x:t xml:space="preserve">misalignment_signal</x:t>
        </x:is>
      </x:c>
    </x:row>
    <x:row r="28">
      <x:c r="E28" t="inlineStr">
        <x:is>
          <x:t xml:space="preserve">Create_Trust_Playbook</x:t>
        </x:is>
      </x:c>
      <x:c r="F28" t="inlineStr">
        <x:is>
          <x:t xml:space="preserve">n_a</x:t>
        </x:is>
      </x:c>
    </x:row>
    <x:row r="29">
      <x:c r="E29" t="inlineStr">
        <x:is>
          <x:t xml:space="preserve">Create_Working_Group</x:t>
        </x:is>
      </x:c>
      <x:c r="F29" t="inlineStr">
        <x:is>
          <x:t xml:space="preserve">operating_model_gap</x:t>
        </x:is>
      </x:c>
    </x:row>
    <x:row r="30">
      <x:c r="E30" t="inlineStr">
        <x:is>
          <x:t xml:space="preserve">Culture_Diagnostics</x:t>
        </x:is>
      </x:c>
      <x:c r="F30" t="inlineStr">
        <x:is>
          <x:t xml:space="preserve">optimized</x:t>
        </x:is>
      </x:c>
    </x:row>
    <x:row r="31">
      <x:c r="E31" t="inlineStr">
        <x:is>
          <x:t xml:space="preserve">Culture_Workshop</x:t>
        </x:is>
      </x:c>
      <x:c r="F31" t="inlineStr">
        <x:is>
          <x:t xml:space="preserve">pam_gap</x:t>
        </x:is>
      </x:c>
    </x:row>
    <x:row r="32">
      <x:c r="E32" t="inlineStr">
        <x:is>
          <x:t xml:space="preserve">Define_Cadence</x:t>
        </x:is>
      </x:c>
      <x:c r="F32" t="inlineStr">
        <x:is>
          <x:t xml:space="preserve">paper_budget</x:t>
        </x:is>
      </x:c>
    </x:row>
    <x:row r="33">
      <x:c r="E33" t="inlineStr">
        <x:is>
          <x:t xml:space="preserve">Define_Escalation</x:t>
        </x:is>
      </x:c>
      <x:c r="F33" t="inlineStr">
        <x:is>
          <x:t xml:space="preserve">paper_dragon_signal</x:t>
        </x:is>
      </x:c>
    </x:row>
    <x:row r="34">
      <x:c r="E34" t="inlineStr">
        <x:is>
          <x:t xml:space="preserve">Define_Funding_Model</x:t>
        </x:is>
      </x:c>
      <x:c r="F34" t="inlineStr">
        <x:is>
          <x:t xml:space="preserve">paper_process</x:t>
        </x:is>
      </x:c>
    </x:row>
    <x:row r="35">
      <x:c r="E35" t="inlineStr">
        <x:is>
          <x:t xml:space="preserve">Define_KPIs</x:t>
        </x:is>
      </x:c>
      <x:c r="F35" t="inlineStr">
        <x:is>
          <x:t xml:space="preserve">paper_roadmap</x:t>
        </x:is>
      </x:c>
    </x:row>
    <x:row r="36">
      <x:c r="E36" t="inlineStr">
        <x:is>
          <x:t xml:space="preserve">Define_LE_Plan</x:t>
        </x:is>
      </x:c>
      <x:c r="F36" t="inlineStr">
        <x:is>
          <x:t xml:space="preserve">partial_maturity</x:t>
        </x:is>
      </x:c>
    </x:row>
    <x:row r="37">
      <x:c r="E37" t="inlineStr">
        <x:is>
          <x:t xml:space="preserve">Define_Ownership</x:t>
        </x:is>
      </x:c>
      <x:c r="F37" t="inlineStr">
        <x:is>
          <x:t xml:space="preserve">partial_visibility</x:t>
        </x:is>
      </x:c>
    </x:row>
    <x:row r="38">
      <x:c r="E38" t="inlineStr">
        <x:is>
          <x:t xml:space="preserve">Design_Case_Model</x:t>
        </x:is>
      </x:c>
      <x:c r="F38" t="inlineStr">
        <x:is>
          <x:t xml:space="preserve">privileged_gap</x:t>
        </x:is>
      </x:c>
    </x:row>
    <x:row r="39">
      <x:c r="E39" t="inlineStr">
        <x:is>
          <x:t xml:space="preserve">Design_Fairness_Process</x:t>
        </x:is>
      </x:c>
      <x:c r="F39" t="inlineStr">
        <x:is>
          <x:t xml:space="preserve">reactive</x:t>
        </x:is>
      </x:c>
    </x:row>
    <x:row r="40">
      <x:c r="E40" t="inlineStr">
        <x:is>
          <x:t xml:space="preserve">Design_Ops_Model</x:t>
        </x:is>
      </x:c>
      <x:c r="F40" t="inlineStr">
        <x:is>
          <x:t xml:space="preserve">resilience_gap</x:t>
        </x:is>
      </x:c>
    </x:row>
    <x:row r="41">
      <x:c r="E41" t="inlineStr">
        <x:is>
          <x:t xml:space="preserve">Document_Crown_Jewels</x:t>
        </x:is>
      </x:c>
      <x:c r="F41" t="inlineStr">
        <x:is>
          <x:t xml:space="preserve">shadow_mature_signal</x:t>
        </x:is>
      </x:c>
    </x:row>
    <x:row r="42">
      <x:c r="E42" t="inlineStr">
        <x:is>
          <x:t xml:space="preserve">Document_NA</x:t>
        </x:is>
      </x:c>
      <x:c r="F42" t="inlineStr">
        <x:is>
          <x:t xml:space="preserve">shadow_signal</x:t>
        </x:is>
      </x:c>
    </x:row>
    <x:row r="43">
      <x:c r="E43" t="inlineStr">
        <x:is>
          <x:t xml:space="preserve">Document_Scenarios</x:t>
        </x:is>
      </x:c>
      <x:c r="F43" t="inlineStr">
        <x:is>
          <x:t xml:space="preserve">siloed</x:t>
        </x:is>
      </x:c>
    </x:row>
    <x:row r="44">
      <x:c r="E44" t="inlineStr">
        <x:is>
          <x:t xml:space="preserve">Enforce_Custody_Process</x:t>
        </x:is>
      </x:c>
      <x:c r="F44" t="inlineStr">
        <x:is>
          <x:t xml:space="preserve">tamper_risk</x:t>
        </x:is>
      </x:c>
    </x:row>
    <x:row r="45">
      <x:c r="E45" t="inlineStr">
        <x:is>
          <x:t xml:space="preserve">Evidence_Upgrade</x:t>
        </x:is>
      </x:c>
      <x:c r="F45" t="inlineStr">
        <x:is>
          <x:t xml:space="preserve">testing_gap</x:t>
        </x:is>
      </x:c>
    </x:row>
    <x:row r="46">
      <x:c r="E46" t="inlineStr">
        <x:is>
          <x:t xml:space="preserve">Exercise_LE_Plan</x:t>
        </x:is>
      </x:c>
      <x:c r="F46" t="inlineStr">
        <x:is>
          <x:t xml:space="preserve">third_party_gap</x:t>
        </x:is>
      </x:c>
    </x:row>
    <x:row r="47">
      <x:c r="E47" t="inlineStr">
        <x:is>
          <x:t xml:space="preserve">Exercise_Scenarios</x:t>
        </x:is>
      </x:c>
      <x:c r="F47" t="inlineStr">
        <x:is>
          <x:t xml:space="preserve">toxic_enforcer_signal</x:t>
        </x:is>
      </x:c>
    </x:row>
    <x:row r="48">
      <x:c r="E48" t="inlineStr">
        <x:is>
          <x:t xml:space="preserve">Expand_Role_Mapping</x:t>
        </x:is>
      </x:c>
      <x:c r="F48" t="inlineStr">
        <x:is>
          <x:t xml:space="preserve">triage_quality_gap</x:t>
        </x:is>
      </x:c>
    </x:row>
    <x:row r="49">
      <x:c r="E49" t="inlineStr">
        <x:is>
          <x:t xml:space="preserve">Expand_Scope</x:t>
        </x:is>
      </x:c>
      <x:c r="F49" t="inlineStr">
        <x:is>
          <x:t xml:space="preserve">tribal_knowledge</x:t>
        </x:is>
      </x:c>
    </x:row>
    <x:row r="50">
      <x:c r="E50" t="inlineStr">
        <x:is>
          <x:t xml:space="preserve">Extend_To_ThirdParty</x:t>
        </x:is>
      </x:c>
      <x:c r="F50" t="inlineStr">
        <x:is>
          <x:t xml:space="preserve">unknown</x:t>
        </x:is>
      </x:c>
    </x:row>
    <x:row r="51">
      <x:c r="E51" t="inlineStr">
        <x:is>
          <x:t xml:space="preserve">Formalize_Access_Reviews</x:t>
        </x:is>
      </x:c>
      <x:c r="F51" t="inlineStr">
        <x:is>
          <x:t xml:space="preserve">unstable_funding</x:t>
        </x:is>
      </x:c>
    </x:row>
    <x:row r="52">
      <x:c r="E52" t="inlineStr">
        <x:is>
          <x:t xml:space="preserve">Formalize_Cadence</x:t>
        </x:is>
      </x:c>
      <x:c r="F52" t="inlineStr">
        <x:is>
          <x:t xml:space="preserve">vanity_metrics</x:t>
        </x:is>
      </x:c>
    </x:row>
    <x:row r="53">
      <x:c r="E53" t="inlineStr">
        <x:is>
          <x:t xml:space="preserve">Formalize_Case_Model</x:t>
        </x:is>
      </x:c>
      <x:c r="F53" t="inlineStr">
        <x:is>
          <x:t xml:space="preserve">visibility_gap</x:t>
        </x:is>
      </x:c>
    </x:row>
    <x:row r="54">
      <x:c r="E54" t="inlineStr">
        <x:is>
          <x:t xml:space="preserve">Formalize_Escalation</x:t>
        </x:is>
      </x:c>
    </x:row>
    <x:row r="55">
      <x:c r="E55" t="inlineStr">
        <x:is>
          <x:t xml:space="preserve">Formalize_NearMiss_Process</x:t>
        </x:is>
      </x:c>
    </x:row>
    <x:row r="56">
      <x:c r="E56" t="inlineStr">
        <x:is>
          <x:t xml:space="preserve">Formalize_Playbook</x:t>
        </x:is>
      </x:c>
    </x:row>
    <x:row r="57">
      <x:c r="E57" t="inlineStr">
        <x:is>
          <x:t xml:space="preserve">Formalize_Reinforcement</x:t>
        </x:is>
      </x:c>
    </x:row>
    <x:row r="58">
      <x:c r="E58" t="inlineStr">
        <x:is>
          <x:t xml:space="preserve">Formalize_Roadmap</x:t>
        </x:is>
      </x:c>
    </x:row>
    <x:row r="59">
      <x:c r="E59" t="inlineStr">
        <x:is>
          <x:t xml:space="preserve">Formalize_Trust_Playbook</x:t>
        </x:is>
      </x:c>
    </x:row>
    <x:row r="60">
      <x:c r="E60" t="inlineStr">
        <x:is>
          <x:t xml:space="preserve">Foundational_Setup</x:t>
        </x:is>
      </x:c>
    </x:row>
    <x:row r="61">
      <x:c r="E61" t="inlineStr">
        <x:is>
          <x:t xml:space="preserve">Improve_Adoption</x:t>
        </x:is>
      </x:c>
    </x:row>
    <x:row r="62">
      <x:c r="E62" t="inlineStr">
        <x:is>
          <x:t xml:space="preserve">Improve_Auditability</x:t>
        </x:is>
      </x:c>
    </x:row>
    <x:row r="63">
      <x:c r="E63" t="inlineStr">
        <x:is>
          <x:t xml:space="preserve">Improve_Cadence</x:t>
        </x:is>
      </x:c>
    </x:row>
    <x:row r="64">
      <x:c r="E64" t="inlineStr">
        <x:is>
          <x:t xml:space="preserve">Improve_Exercise_Loop</x:t>
        </x:is>
      </x:c>
    </x:row>
    <x:row r="65">
      <x:c r="E65" t="inlineStr">
        <x:is>
          <x:t xml:space="preserve">Improve_Metrics</x:t>
        </x:is>
      </x:c>
    </x:row>
    <x:row r="66">
      <x:c r="E66" t="inlineStr">
        <x:is>
          <x:t xml:space="preserve">Improve_SpeakUp_System</x:t>
        </x:is>
      </x:c>
    </x:row>
    <x:row r="67">
      <x:c r="E67" t="inlineStr">
        <x:is>
          <x:t xml:space="preserve">Improve_Transparency</x:t>
        </x:is>
      </x:c>
    </x:row>
    <x:row r="68">
      <x:c r="E68" t="inlineStr">
        <x:is>
          <x:t xml:space="preserve">Improve_Visibility</x:t>
        </x:is>
      </x:c>
    </x:row>
    <x:row r="69">
      <x:c r="E69" t="inlineStr">
        <x:is>
          <x:t xml:space="preserve">Insider_Playbooks</x:t>
        </x:is>
      </x:c>
    </x:row>
    <x:row r="70">
      <x:c r="E70" t="inlineStr">
        <x:is>
          <x:t xml:space="preserve">Integrate_HR_Security</x:t>
        </x:is>
      </x:c>
    </x:row>
    <x:row r="71">
      <x:c r="E71" t="inlineStr">
        <x:is>
          <x:t xml:space="preserve">Legal_Clarification</x:t>
        </x:is>
      </x:c>
    </x:row>
    <x:row r="72">
      <x:c r="E72" t="inlineStr">
        <x:is>
          <x:t xml:space="preserve">Legal_Defensibility_Audit</x:t>
        </x:is>
      </x:c>
    </x:row>
    <x:row r="73">
      <x:c r="E73" t="inlineStr">
        <x:is>
          <x:t xml:space="preserve">Link_To_Priorities</x:t>
        </x:is>
      </x:c>
    </x:row>
    <x:row r="74">
      <x:c r="E74" t="inlineStr">
        <x:is>
          <x:t xml:space="preserve">Manager_Enablement</x:t>
        </x:is>
      </x:c>
    </x:row>
    <x:row r="75">
      <x:c r="E75" t="inlineStr">
        <x:is>
          <x:t xml:space="preserve">Manager_Training</x:t>
        </x:is>
      </x:c>
    </x:row>
    <x:row r="76">
      <x:c r="E76" t="inlineStr">
        <x:is>
          <x:t xml:space="preserve">Measure_Alt_Delivery</x:t>
        </x:is>
      </x:c>
    </x:row>
    <x:row r="77">
      <x:c r="E77" t="inlineStr">
        <x:is>
          <x:t xml:space="preserve">Measure_Control_Lag</x:t>
        </x:is>
      </x:c>
    </x:row>
    <x:row r="78">
      <x:c r="E78" t="inlineStr">
        <x:is>
          <x:t xml:space="preserve">Measure_Friction</x:t>
        </x:is>
      </x:c>
    </x:row>
    <x:row r="79">
      <x:c r="E79" t="inlineStr">
        <x:is>
          <x:t xml:space="preserve">Plan_Assurance</x:t>
        </x:is>
      </x:c>
    </x:row>
    <x:row r="80">
      <x:c r="E80" t="inlineStr">
        <x:is>
          <x:t xml:space="preserve">Plan_Exercises</x:t>
        </x:is>
      </x:c>
    </x:row>
    <x:row r="81">
      <x:c r="E81" t="inlineStr">
        <x:is>
          <x:t xml:space="preserve">Request_Evidence</x:t>
        </x:is>
      </x:c>
    </x:row>
    <x:row r="82">
      <x:c r="E82" t="inlineStr">
        <x:is>
          <x:t xml:space="preserve">Residency_Retention_Remediation</x:t>
        </x:is>
      </x:c>
    </x:row>
    <x:row r="83">
      <x:c r="E83" t="inlineStr">
        <x:is>
          <x:t xml:space="preserve">Role_Mapping</x:t>
        </x:is>
      </x:c>
    </x:row>
    <x:row r="84">
      <x:c r="E84" t="inlineStr">
        <x:is>
          <x:t xml:space="preserve">Run_Crown_Jewel_Workshop</x:t>
        </x:is>
      </x:c>
    </x:row>
    <x:row r="85">
      <x:c r="E85" t="inlineStr">
        <x:is>
          <x:t xml:space="preserve">Run_Shadow_Probe</x:t>
        </x:is>
      </x:c>
    </x:row>
    <x:row r="86">
      <x:c r="E86" t="inlineStr">
        <x:is>
          <x:t xml:space="preserve">Scale_And_Govern</x:t>
        </x:is>
      </x:c>
    </x:row>
    <x:row r="87">
      <x:c r="E87" t="inlineStr">
        <x:is>
          <x:t xml:space="preserve">Security_UX_Review</x:t>
        </x:is>
      </x:c>
    </x:row>
    <x:row r="88">
      <x:c r="E88" t="inlineStr">
        <x:is>
          <x:t xml:space="preserve">Set_Cadence</x:t>
        </x:is>
      </x:c>
    </x:row>
    <x:row r="89">
      <x:c r="E89" t="inlineStr">
        <x:is>
          <x:t xml:space="preserve">ShadowIT_Discovery</x:t>
        </x:is>
      </x:c>
    </x:row>
    <x:row r="90">
      <x:c r="E90" t="inlineStr">
        <x:is>
          <x:t xml:space="preserve">ShadowIT_Process</x:t>
        </x:is>
      </x:c>
    </x:row>
    <x:row r="91">
      <x:c r="E91" t="inlineStr">
        <x:is>
          <x:t xml:space="preserve">Speed_Alternatives</x:t>
        </x:is>
      </x:c>
    </x:row>
    <x:row r="92">
      <x:c r="E92" t="inlineStr">
        <x:is>
          <x:t xml:space="preserve">Stabilize_Funding</x:t>
        </x:is>
      </x:c>
    </x:row>
    <x:row r="93">
      <x:c r="E93" t="inlineStr">
        <x:is>
          <x:t xml:space="preserve">Stakeholder_Engagement</x:t>
        </x:is>
      </x:c>
    </x:row>
    <x:row r="94">
      <x:c r="E94" t="inlineStr">
        <x:is>
          <x:t xml:space="preserve">Standardize_Governance</x:t>
        </x:is>
      </x:c>
    </x:row>
    <x:row r="95">
      <x:c r="E95" t="inlineStr">
        <x:is>
          <x:t xml:space="preserve">Standardize_ThirdParty</x:t>
        </x:is>
      </x:c>
    </x:row>
    <x:row r="96">
      <x:c r="E96" t="inlineStr">
        <x:is>
          <x:t xml:space="preserve">Start_Mapping</x:t>
        </x:is>
      </x:c>
    </x:row>
    <x:row r="97">
      <x:c r="E97" t="inlineStr">
        <x:is>
          <x:t xml:space="preserve">Strengthen_Governance</x:t>
        </x:is>
      </x:c>
    </x:row>
    <x:row r="98">
      <x:c r="E98" t="inlineStr">
        <x:is>
          <x:t xml:space="preserve">Strengthen_SpeakUp</x:t>
        </x:is>
      </x:c>
    </x:row>
    <x:row r="99">
      <x:c r="E99" t="inlineStr">
        <x:is>
          <x:t xml:space="preserve">Systematize_Detection</x:t>
        </x:is>
      </x:c>
    </x:row>
    <x:row r="100">
      <x:c r="E100" t="inlineStr">
        <x:is>
          <x:t xml:space="preserve">Transparency_Remediation</x:t>
        </x:is>
      </x:c>
    </x:row>
    <x:row r="101">
      <x:c r="E101" t="inlineStr">
        <x:is>
          <x:t xml:space="preserve">Upgrade_KPIs</x:t>
        </x:is>
      </x:c>
    </x:row>
    <x:row r="102">
      <x:c r="E102" t="inlineStr">
        <x:is>
          <x:t xml:space="preserve">Validate_Tech_Reality</x:t>
        </x:is>
      </x:c>
    </x:row>
    <x:row r="103">
      <x:c r="E103" t="inlineStr">
        <x:is>
          <x:t xml:space="preserve">Verify_ThirdParty</x:t>
        </x:is>
      </x:c>
    </x:row>
    <x:row r="104">
      <x:c r="E104" t="inlineStr">
        <x:is>
          <x:t xml:space="preserve">Expand_Cloud_SaaS_Logging</x:t>
        </x:is>
      </x:c>
    </x:row>
    <x:row r="105">
      <x:c r="E105" t="inlineStr">
        <x:is>
          <x:t xml:space="preserve">Implement_PAM_JIT</x:t>
        </x:is>
      </x:c>
    </x:row>
    <x:row r="106">
      <x:c r="E106" t="inlineStr">
        <x:is>
          <x:t xml:space="preserve">Implement_SOAR_Containment</x:t>
        </x:is>
      </x:c>
    </x:row>
    <x:row r="107">
      <x:c r="E107" t="inlineStr">
        <x:is>
          <x:t xml:space="preserve">Improve_Identity_Correlation</x:t>
        </x:is>
      </x:c>
    </x:row>
    <x:row r="108">
      <x:c r="E108" t="inlineStr">
        <x:is>
          <x:t xml:space="preserve">Improve_Triage_QA</x:t>
        </x:is>
      </x:c>
    </x:row>
    <x:row r="109">
      <x:c r="E109" t="inlineStr">
        <x:is>
          <x:t xml:space="preserve">Integrate_JML_Automation</x:t>
        </x:is>
      </x:c>
    </x:row>
    <x:row r="110">
      <x:c r="E110" t="inlineStr">
        <x:is>
          <x:t xml:space="preserve">Run_Purple_Team</x:t>
        </x:is>
      </x:c>
    </x:row>
    <x:row r="111">
      <x:c r="E111" t="inlineStr">
        <x:is>
          <x:t xml:space="preserve">Tune_DLP_Crown_Jewels</x:t>
        </x:is>
      </x:c>
    </x:row>
    <x:row r="112">
      <x:c r="E112" t="inlineStr">
        <x:is>
          <x:t xml:space="preserve">Tune_Detections_Reduce_Friction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customWidth="1"/>
    <x:col min="2" max="2" width="16" customWidth="1"/>
    <x:col min="3" max="3" width="13" customWidth="1"/>
    <x:col min="4" max="4" width="60" customWidth="1"/>
    <x:col min="5" max="5" width="27" customWidth="1"/>
    <x:col min="6" max="6" width="10" customWidth="1"/>
  </x:cols>
  <x:sheetData>
    <x:row r="1">
      <x:c r="A1" s="1" t="inlineStr">
        <x:is>
          <x:t xml:space="preserve">PackID</x:t>
        </x:is>
      </x:c>
      <x:c r="B1" s="1" t="inlineStr">
        <x:is>
          <x:t xml:space="preserve">PackName</x:t>
        </x:is>
      </x:c>
      <x:c r="C1" s="1" t="inlineStr">
        <x:is>
          <x:t xml:space="preserve">TargetRoles</x:t>
        </x:is>
      </x:c>
      <x:c r="D1" s="1" t="inlineStr">
        <x:is>
          <x:t xml:space="preserve">Description</x:t>
        </x:is>
      </x:c>
      <x:c r="E1" s="1" t="inlineStr">
        <x:is>
          <x:t xml:space="preserve">DefaultModes</x:t>
        </x:is>
      </x:c>
      <x:c r="F1" s="1" t="inlineStr">
        <x:is>
          <x:t xml:space="preserve">Notes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Executive Pack</x:t>
        </x:is>
      </x:c>
      <x:c r="C2" t="inlineStr">
        <x:is>
          <x:t xml:space="preserve">exec</x:t>
        </x:is>
      </x:c>
      <x:c r="D2" t="inlineStr">
        <x:is>
          <x:t xml:space="preserve">Board/sponsor-facing assessment focusing on mandate, targeting, and resilience narrative.</x:t>
        </x:is>
      </x:c>
      <x:c r="E2" t="inlineStr">
        <x:is>
          <x:t xml:space="preserve">Lightweight;Standard;Deep</x:t>
        </x:is>
      </x:c>
    </x:row>
    <x:row r="3">
      <x:c r="A3" t="inlineStr">
        <x:is>
          <x:t xml:space="preserve">HR</x:t>
        </x:is>
      </x:c>
      <x:c r="B3" t="inlineStr">
        <x:is>
          <x:t xml:space="preserve">HR Pack</x:t>
        </x:is>
      </x:c>
      <x:c r="C3" t="inlineStr">
        <x:is>
          <x:t xml:space="preserve">hr</x:t>
        </x:is>
      </x:c>
      <x:c r="D3" t="inlineStr">
        <x:is>
          <x:t xml:space="preserve">HR/Employee Relations-focused assessment on culture, speak-up, fairness, interventions and coordination.</x:t>
        </x:is>
      </x:c>
      <x:c r="E3" t="inlineStr">
        <x:is>
          <x:t xml:space="preserve">Lightweight;Standard;Deep</x:t>
        </x:is>
      </x:c>
    </x:row>
    <x:row r="4">
      <x:c r="A4" t="inlineStr">
        <x:is>
          <x:t xml:space="preserve">Security</x:t>
        </x:is>
      </x:c>
      <x:c r="B4" t="inlineStr">
        <x:is>
          <x:t xml:space="preserve">Security Pack</x:t>
        </x:is>
      </x:c>
      <x:c r="C4" t="inlineStr">
        <x:is>
          <x:t xml:space="preserve">security</x:t>
        </x:is>
      </x:c>
      <x:c r="D4" t="inlineStr">
        <x:is>
          <x:t xml:space="preserve">Security/SOC/IR-focused assessment on telemetry, detection, orchestration and response operations.</x:t>
        </x:is>
      </x:c>
      <x:c r="E4" t="inlineStr">
        <x:is>
          <x:t xml:space="preserve">Lightweight;Standard;Deep</x:t>
        </x:is>
      </x:c>
    </x:row>
    <x:row r="5">
      <x:c r="A5" t="inlineStr">
        <x:is>
          <x:t xml:space="preserve">Legal</x:t>
        </x:is>
      </x:c>
      <x:c r="B5" t="inlineStr">
        <x:is>
          <x:t xml:space="preserve">Legal / Privacy Pack</x:t>
        </x:is>
      </x:c>
      <x:c r="C5" t="inlineStr">
        <x:is>
          <x:t xml:space="preserve">legal,privacy,dpo,works_council</x:t>
        </x:is>
      </x:c>
      <x:c r="D5" t="inlineStr">
        <x:is>
          <x:t xml:space="preserve">Legal, privacy, and employee-rights-focused assessment on defensibility, transparency, evidence, and whistleblowing safeguards.</x:t>
        </x:is>
      </x:c>
      <x:c r="E5" t="inlineStr">
        <x:is>
          <x:t xml:space="preserve">Lightweight;Standard;Deep</x:t>
        </x:is>
      </x:c>
      <x:c r="F5" t="inlineStr">
        <x:is>
          <x:t xml:space="preserve">Aligns with employment/privacy law and regulatory defensibility.</x:t>
        </x:is>
      </x:c>
    </x:row>
    <x:row r="6">
      <x:c r="A6" t="inlineStr">
        <x:is>
          <x:t xml:space="preserve">DataBusiness</x:t>
        </x:is>
      </x:c>
      <x:c r="B6" t="inlineStr">
        <x:is>
          <x:t xml:space="preserve">Data / Business Pack</x:t>
        </x:is>
      </x:c>
      <x:c r="C6" t="inlineStr">
        <x:is>
          <x:t xml:space="preserve">data_owner,business_owner,product,ops</x:t>
        </x:is>
      </x:c>
      <x:c r="D6" t="inlineStr">
        <x:is>
          <x:t xml:space="preserve">Business and data-owner assessment on crown jewels, data flows, third parties, operational friction, and change-event risk velocity.</x:t>
        </x:is>
      </x:c>
      <x:c r="E6" t="inlineStr">
        <x:is>
          <x:t xml:space="preserve">Lightweight;Standard;Deep</x:t>
        </x:is>
      </x:c>
      <x:c r="F6" t="inlineStr">
        <x:is>
          <x:t xml:space="preserve">Designed for non-technical respondents.</x:t>
        </x:is>
      </x:c>
    </x:row>
    <x:row r="7">
      <x:c r="A7" t="inlineStr">
        <x:is>
          <x:t xml:space="preserve">IT_IAM</x:t>
        </x:is>
      </x:c>
      <x:c r="B7" t="inlineStr">
        <x:is>
          <x:t xml:space="preserve">IT / IAM Pack</x:t>
        </x:is>
      </x:c>
      <x:c r="C7" t="inlineStr">
        <x:is>
          <x:t xml:space="preserve">it,iam,identity,platform</x:t>
        </x:is>
      </x:c>
      <x:c r="D7" t="inlineStr">
        <x:is>
          <x:t xml:space="preserve">IT identity and access management assessment on joiner/mover/leaver, privileged access, visibility, logging, and containment readiness.</x:t>
        </x:is>
      </x:c>
      <x:c r="E7" t="inlineStr">
        <x:is>
          <x:t xml:space="preserve">Lightweight;Standard;Deep</x:t>
        </x:is>
      </x:c>
      <x:c r="F7" t="inlineStr">
        <x:is>
          <x:t xml:space="preserve">Works for internal IT or outsourced IAM.</x:t>
        </x:is>
      </x:c>
    </x:row>
    <x:row r="8">
      <x:c r="A8" t="inlineStr">
        <x:is>
          <x:t xml:space="preserve">RiskAudit</x:t>
        </x:is>
      </x:c>
      <x:c r="B8" t="inlineStr">
        <x:is>
          <x:t xml:space="preserve">Risk / Audit Pack (Optional)</x:t>
        </x:is>
      </x:c>
      <x:c r="C8" t="inlineStr">
        <x:is>
          <x:t xml:space="preserve">risk,audit,second_line</x:t>
        </x:is>
      </x:c>
      <x:c r="D8" t="inlineStr">
        <x:is>
          <x:t xml:space="preserve">Optional assurance-focused pack covering ERM integration, control testing, evidence discipline, remediation tracking, and third-party assurance.</x:t>
        </x:is>
      </x:c>
      <x:c r="E8" t="inlineStr">
        <x:is>
          <x:t xml:space="preserve">Lightweight;Standard;Deep</x:t>
        </x:is>
      </x:c>
      <x:c r="F8" t="inlineStr">
        <x:is>
          <x:t xml:space="preserve">Usually run as an add-on; questions are marked optional in PackMap.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0" customWidth="1"/>
  </x:cols>
  <x:sheetData>
    <x:row r="1">
      <x:c r="A1" s="1" t="inlineStr">
        <x:is>
          <x:t xml:space="preserve">Pack architecture (v1.6)</x:t>
        </x:is>
      </x:c>
    </x:row>
    <x:row r="3">
      <x:c r="A3" t="inlineStr">
        <x:is>
          <x:t xml:space="preserve">Canonical content lives in: Questions + AnswerOptions.</x:t>
        </x:is>
      </x:c>
    </x:row>
    <x:row r="4">
      <x:c r="A4" t="inlineStr">
        <x:is>
          <x:t xml:space="preserve">Packs are defined ONLY in: PackDefinitions + PackMap (mapping layer).</x:t>
        </x:is>
      </x:c>
    </x:row>
    <x:row r="5">
      <x:c r="A5" t="inlineStr">
        <x:is>
          <x:t xml:space="preserve">Do not duplicate questions/answers per pack. Add a new question once, then map it to packs.</x:t>
        </x:is>
      </x:c>
    </x:row>
    <x:row r="6">
      <x:c r="A6" t="inlineStr">
        <x:is>
          <x:t xml:space="preserve">Pack_Table is a derived publish/export view (regenerate from canonical sheets).</x:t>
        </x:is>
      </x:c>
    </x:row>
    <x:row r="7">
      <x:c r="A7" t="inlineStr">
        <x:is>
          <x:t xml:space="preserve">PackMap fields added: Order, RequiredRole, ScopeApplicability, PrereqQID, GateCondition.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customWidth="1"/>
    <x:col min="2" max="2" width="13" customWidth="1"/>
    <x:col min="3" max="3" width="12" customWidth="1"/>
    <x:col min="4" max="4" width="21" customWidth="1"/>
    <x:col min="5" max="5" width="18" customWidth="1"/>
    <x:col min="6" max="6" width="14" customWidth="1"/>
    <x:col min="7" max="7" width="20" customWidth="1"/>
    <x:col min="8" max="8" width="20" customWidth="1"/>
    <x:col min="9" max="9" width="60" customWidth="1"/>
    <x:col min="10" max="10" width="10" customWidth="1"/>
    <x:col min="11" max="11" width="60" customWidth="1"/>
    <x:col min="12" max="12" width="10" customWidth="1"/>
    <x:col min="13" max="13" width="18" customWidth="1"/>
    <x:col min="14" max="14" width="14" customWidth="1"/>
    <x:col min="15" max="15" width="20" customWidth="1"/>
    <x:col min="16" max="16" width="11" customWidth="1"/>
    <x:col min="17" max="17" width="15" customWidth="1"/>
  </x:cols>
  <x:sheetData>
    <x:row r="1">
      <x:c r="A1" s="1" t="inlineStr">
        <x:is>
          <x:t xml:space="preserve">PackID</x:t>
        </x:is>
      </x:c>
      <x:c r="B1" s="1" t="inlineStr">
        <x:is>
          <x:t xml:space="preserve">Q-ID</x:t>
        </x:is>
      </x:c>
      <x:c r="C1" s="1" t="inlineStr">
        <x:is>
          <x:t xml:space="preserve">IsRequired</x:t>
        </x:is>
      </x:c>
      <x:c r="D1" s="1" t="inlineStr">
        <x:is>
          <x:t xml:space="preserve">Include_Lightweight</x:t>
        </x:is>
      </x:c>
      <x:c r="E1" s="1" t="inlineStr">
        <x:is>
          <x:t xml:space="preserve">Include_Standard</x:t>
        </x:is>
      </x:c>
      <x:c r="F1" s="1" t="inlineStr">
        <x:is>
          <x:t xml:space="preserve">Include_Deep</x:t>
        </x:is>
      </x:c>
      <x:c r="G1" s="1" t="inlineStr">
        <x:is>
          <x:t xml:space="preserve">RoleTargetOverride</x:t>
        </x:is>
      </x:c>
      <x:c r="H1" s="1" t="inlineStr">
        <x:is>
          <x:t xml:space="preserve">PackWeightOverride</x:t>
        </x:is>
      </x:c>
      <x:c r="I1" s="1" t="inlineStr">
        <x:is>
          <x:t xml:space="preserve">Notes</x:t>
        </x:is>
      </x:c>
      <x:c r="J1" s="1" t="inlineStr">
        <x:is>
          <x:t xml:space="preserve">Column</x:t>
        </x:is>
      </x:c>
      <x:c r="K1" s="1" t="inlineStr">
        <x:is>
          <x:t xml:space="preserve">Guidance</x:t>
        </x:is>
      </x:c>
      <x:c r="L1" s="1" t="inlineStr">
        <x:is>
          <x:t xml:space="preserve">Order</x:t>
        </x:is>
      </x:c>
      <x:c r="M1" s="1" t="inlineStr">
        <x:is>
          <x:t xml:space="preserve">PackTierOverride</x:t>
        </x:is>
      </x:c>
      <x:c r="N1" s="1" t="inlineStr">
        <x:is>
          <x:t xml:space="preserve">RequiredRole</x:t>
        </x:is>
      </x:c>
      <x:c r="O1" s="1" t="inlineStr">
        <x:is>
          <x:t xml:space="preserve">ScopeApplicability</x:t>
        </x:is>
      </x:c>
      <x:c r="P1" s="1" t="inlineStr">
        <x:is>
          <x:t xml:space="preserve">PrereqQID</x:t>
        </x:is>
      </x:c>
      <x:c r="Q1" s="1" t="inlineStr">
        <x:is>
          <x:t xml:space="preserve">GateCondition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EXCO-D1-Q01</x:t>
        </x:is>
      </x:c>
      <x:c r="C2" t="inlineStr">
        <x:is>
          <x:t xml:space="preserve">Y</x:t>
        </x:is>
      </x:c>
      <x:c r="D2" t="inlineStr">
        <x:is>
          <x:t xml:space="preserve">Y</x:t>
        </x:is>
      </x:c>
      <x:c r="E2" t="inlineStr">
        <x:is>
          <x:t xml:space="preserve">Y</x:t>
        </x:is>
      </x:c>
      <x:c r="F2" t="inlineStr">
        <x:is>
          <x:t xml:space="preserve">Y</x:t>
        </x:is>
      </x:c>
      <x:c r="I2" t="inlineStr">
        <x:is>
          <x:t xml:space="preserve">(Optional) To include a question in multiple packs, add additional rows with different PackID for the same Q-ID.</x:t>
        </x:is>
      </x:c>
      <x:c r="K2" t="inlineStr">
        <x:is>
          <x:t xml:space="preserve">Use this sheet as the single place to define which questions belong to which pack and which assessment mode includes them. Questions/AnswerOptions remain the master truth.</x:t>
        </x:is>
      </x:c>
      <x:c r="L2" t="n">
        <x:v>1</x:v>
      </x:c>
      <x:c r="N2" t="inlineStr">
        <x:is>
          <x:t xml:space="preserve">exec</x:t>
        </x:is>
      </x:c>
    </x:row>
    <x:row r="3">
      <x:c r="A3" t="inlineStr">
        <x:is>
          <x:t xml:space="preserve">Executive</x:t>
        </x:is>
      </x:c>
      <x:c r="B3" t="inlineStr">
        <x:is>
          <x:t xml:space="preserve">EXCO-D1-Q02</x:t>
        </x:is>
      </x:c>
      <x:c r="C3" t="inlineStr">
        <x:is>
          <x:t xml:space="preserve">Y</x:t>
        </x:is>
      </x:c>
      <x:c r="D3" t="inlineStr">
        <x:is>
          <x:t xml:space="preserve">N</x:t>
        </x:is>
      </x:c>
      <x:c r="E3" t="inlineStr">
        <x:is>
          <x:t xml:space="preserve">Y</x:t>
        </x:is>
      </x:c>
      <x:c r="F3" t="inlineStr">
        <x:is>
          <x:t xml:space="preserve">Y</x:t>
        </x:is>
      </x:c>
      <x:c r="L3" t="n">
        <x:v>2</x:v>
      </x:c>
      <x:c r="N3" t="inlineStr">
        <x:is>
          <x:t xml:space="preserve">exec</x:t>
        </x:is>
      </x:c>
    </x:row>
    <x:row r="4">
      <x:c r="A4" t="inlineStr">
        <x:is>
          <x:t xml:space="preserve">Executive</x:t>
        </x:is>
      </x:c>
      <x:c r="B4" t="inlineStr">
        <x:is>
          <x:t xml:space="preserve">EXCO-D1-Q03</x:t>
        </x:is>
      </x:c>
      <x:c r="C4" t="inlineStr">
        <x:is>
          <x:t xml:space="preserve">Y</x:t>
        </x:is>
      </x:c>
      <x:c r="D4" t="inlineStr">
        <x:is>
          <x:t xml:space="preserve">N</x:t>
        </x:is>
      </x:c>
      <x:c r="E4" t="inlineStr">
        <x:is>
          <x:t xml:space="preserve">Y</x:t>
        </x:is>
      </x:c>
      <x:c r="F4" t="inlineStr">
        <x:is>
          <x:t xml:space="preserve">Y</x:t>
        </x:is>
      </x:c>
      <x:c r="L4" t="n">
        <x:v>3</x:v>
      </x:c>
      <x:c r="N4" t="inlineStr">
        <x:is>
          <x:t xml:space="preserve">exec</x:t>
        </x:is>
      </x:c>
    </x:row>
    <x:row r="5">
      <x:c r="A5" t="inlineStr">
        <x:is>
          <x:t xml:space="preserve">Executive</x:t>
        </x:is>
      </x:c>
      <x:c r="B5" t="inlineStr">
        <x:is>
          <x:t xml:space="preserve">EXCO-D1-Q04</x:t>
        </x:is>
      </x:c>
      <x:c r="C5" t="inlineStr">
        <x:is>
          <x:t xml:space="preserve">Y</x:t>
        </x:is>
      </x:c>
      <x:c r="D5" t="inlineStr">
        <x:is>
          <x:t xml:space="preserve">N</x:t>
        </x:is>
      </x:c>
      <x:c r="E5" t="inlineStr">
        <x:is>
          <x:t xml:space="preserve">Y</x:t>
        </x:is>
      </x:c>
      <x:c r="F5" t="inlineStr">
        <x:is>
          <x:t xml:space="preserve">Y</x:t>
        </x:is>
      </x:c>
      <x:c r="L5" t="n">
        <x:v>4</x:v>
      </x:c>
      <x:c r="N5" t="inlineStr">
        <x:is>
          <x:t xml:space="preserve">exec</x:t>
        </x:is>
      </x:c>
    </x:row>
    <x:row r="6">
      <x:c r="A6" t="inlineStr">
        <x:is>
          <x:t xml:space="preserve">Executive</x:t>
        </x:is>
      </x:c>
      <x:c r="B6" t="inlineStr">
        <x:is>
          <x:t xml:space="preserve">EXCO-D1-Q05</x:t>
        </x:is>
      </x:c>
      <x:c r="C6" t="inlineStr">
        <x:is>
          <x:t xml:space="preserve">Y</x:t>
        </x:is>
      </x:c>
      <x:c r="D6" t="inlineStr">
        <x:is>
          <x:t xml:space="preserve">N</x:t>
        </x:is>
      </x:c>
      <x:c r="E6" t="inlineStr">
        <x:is>
          <x:t xml:space="preserve">N</x:t>
        </x:is>
      </x:c>
      <x:c r="F6" t="inlineStr">
        <x:is>
          <x:t xml:space="preserve">Y</x:t>
        </x:is>
      </x:c>
      <x:c r="L6" t="n">
        <x:v>5</x:v>
      </x:c>
      <x:c r="N6" t="inlineStr">
        <x:is>
          <x:t xml:space="preserve">exec</x:t>
        </x:is>
      </x:c>
    </x:row>
    <x:row r="7">
      <x:c r="A7" t="inlineStr">
        <x:is>
          <x:t xml:space="preserve">Executive</x:t>
        </x:is>
      </x:c>
      <x:c r="B7" t="inlineStr">
        <x:is>
          <x:t xml:space="preserve">EXCO-D1-Q06</x:t>
        </x:is>
      </x:c>
      <x:c r="C7" t="inlineStr">
        <x:is>
          <x:t xml:space="preserve">Y</x:t>
        </x:is>
      </x:c>
      <x:c r="D7" t="inlineStr">
        <x:is>
          <x:t xml:space="preserve">N</x:t>
        </x:is>
      </x:c>
      <x:c r="E7" t="inlineStr">
        <x:is>
          <x:t xml:space="preserve">Y</x:t>
        </x:is>
      </x:c>
      <x:c r="F7" t="inlineStr">
        <x:is>
          <x:t xml:space="preserve">Y</x:t>
        </x:is>
      </x:c>
      <x:c r="L7" t="n">
        <x:v>6</x:v>
      </x:c>
      <x:c r="N7" t="inlineStr">
        <x:is>
          <x:t xml:space="preserve">exec</x:t>
        </x:is>
      </x:c>
    </x:row>
    <x:row r="8">
      <x:c r="A8" t="inlineStr">
        <x:is>
          <x:t xml:space="preserve">Executive</x:t>
        </x:is>
      </x:c>
      <x:c r="B8" t="inlineStr">
        <x:is>
          <x:t xml:space="preserve">EXCO-D2-Q01</x:t>
        </x:is>
      </x:c>
      <x:c r="C8" t="inlineStr">
        <x:is>
          <x:t xml:space="preserve">Y</x:t>
        </x:is>
      </x:c>
      <x:c r="D8" t="inlineStr">
        <x:is>
          <x:t xml:space="preserve">Y</x:t>
        </x:is>
      </x:c>
      <x:c r="E8" t="inlineStr">
        <x:is>
          <x:t xml:space="preserve">Y</x:t>
        </x:is>
      </x:c>
      <x:c r="F8" t="inlineStr">
        <x:is>
          <x:t xml:space="preserve">Y</x:t>
        </x:is>
      </x:c>
      <x:c r="L8" t="n">
        <x:v>7</x:v>
      </x:c>
      <x:c r="N8" t="inlineStr">
        <x:is>
          <x:t xml:space="preserve">exec</x:t>
        </x:is>
      </x:c>
    </x:row>
    <x:row r="9">
      <x:c r="A9" t="inlineStr">
        <x:is>
          <x:t xml:space="preserve">Executive</x:t>
        </x:is>
      </x:c>
      <x:c r="B9" t="inlineStr">
        <x:is>
          <x:t xml:space="preserve">EXCO-D2-Q02</x:t>
        </x:is>
      </x:c>
      <x:c r="C9" t="inlineStr">
        <x:is>
          <x:t xml:space="preserve">Y</x:t>
        </x:is>
      </x:c>
      <x:c r="D9" t="inlineStr">
        <x:is>
          <x:t xml:space="preserve">N</x:t>
        </x:is>
      </x:c>
      <x:c r="E9" t="inlineStr">
        <x:is>
          <x:t xml:space="preserve">Y</x:t>
        </x:is>
      </x:c>
      <x:c r="F9" t="inlineStr">
        <x:is>
          <x:t xml:space="preserve">Y</x:t>
        </x:is>
      </x:c>
      <x:c r="L9" t="n">
        <x:v>8</x:v>
      </x:c>
      <x:c r="N9" t="inlineStr">
        <x:is>
          <x:t xml:space="preserve">exec</x:t>
        </x:is>
      </x:c>
    </x:row>
    <x:row r="10">
      <x:c r="A10" t="inlineStr">
        <x:is>
          <x:t xml:space="preserve">Executive</x:t>
        </x:is>
      </x:c>
      <x:c r="B10" t="inlineStr">
        <x:is>
          <x:t xml:space="preserve">EXCO-D2-Q03</x:t>
        </x:is>
      </x:c>
      <x:c r="C10" t="inlineStr">
        <x:is>
          <x:t xml:space="preserve">Y</x:t>
        </x:is>
      </x:c>
      <x:c r="D10" t="inlineStr">
        <x:is>
          <x:t xml:space="preserve">N</x:t>
        </x:is>
      </x:c>
      <x:c r="E10" t="inlineStr">
        <x:is>
          <x:t xml:space="preserve">Y</x:t>
        </x:is>
      </x:c>
      <x:c r="F10" t="inlineStr">
        <x:is>
          <x:t xml:space="preserve">Y</x:t>
        </x:is>
      </x:c>
      <x:c r="L10" t="n">
        <x:v>9</x:v>
      </x:c>
      <x:c r="N10" t="inlineStr">
        <x:is>
          <x:t xml:space="preserve">exec</x:t>
        </x:is>
      </x:c>
    </x:row>
    <x:row r="11">
      <x:c r="A11" t="inlineStr">
        <x:is>
          <x:t xml:space="preserve">Executive</x:t>
        </x:is>
      </x:c>
      <x:c r="B11" t="inlineStr">
        <x:is>
          <x:t xml:space="preserve">EXCO-D2-Q04</x:t>
        </x:is>
      </x:c>
      <x:c r="C11" t="inlineStr">
        <x:is>
          <x:t xml:space="preserve">Y</x:t>
        </x:is>
      </x:c>
      <x:c r="D11" t="inlineStr">
        <x:is>
          <x:t xml:space="preserve">N</x:t>
        </x:is>
      </x:c>
      <x:c r="E11" t="inlineStr">
        <x:is>
          <x:t xml:space="preserve">Y</x:t>
        </x:is>
      </x:c>
      <x:c r="F11" t="inlineStr">
        <x:is>
          <x:t xml:space="preserve">Y</x:t>
        </x:is>
      </x:c>
      <x:c r="L11" t="n">
        <x:v>10</x:v>
      </x:c>
      <x:c r="N11" t="inlineStr">
        <x:is>
          <x:t xml:space="preserve">exec</x:t>
        </x:is>
      </x:c>
    </x:row>
    <x:row r="12">
      <x:c r="A12" t="inlineStr">
        <x:is>
          <x:t xml:space="preserve">Executive</x:t>
        </x:is>
      </x:c>
      <x:c r="B12" t="inlineStr">
        <x:is>
          <x:t xml:space="preserve">EXCO-D2-Q05</x:t>
        </x:is>
      </x:c>
      <x:c r="C12" t="inlineStr">
        <x:is>
          <x:t xml:space="preserve">Y</x:t>
        </x:is>
      </x:c>
      <x:c r="D12" t="inlineStr">
        <x:is>
          <x:t xml:space="preserve">N</x:t>
        </x:is>
      </x:c>
      <x:c r="E12" t="inlineStr">
        <x:is>
          <x:t xml:space="preserve">Y</x:t>
        </x:is>
      </x:c>
      <x:c r="F12" t="inlineStr">
        <x:is>
          <x:t xml:space="preserve">Y</x:t>
        </x:is>
      </x:c>
      <x:c r="L12" t="n">
        <x:v>11</x:v>
      </x:c>
      <x:c r="N12" t="inlineStr">
        <x:is>
          <x:t xml:space="preserve">exec</x:t>
        </x:is>
      </x:c>
    </x:row>
    <x:row r="13">
      <x:c r="A13" t="inlineStr">
        <x:is>
          <x:t xml:space="preserve">Executive</x:t>
        </x:is>
      </x:c>
      <x:c r="B13" t="inlineStr">
        <x:is>
          <x:t xml:space="preserve">EXCO-D2-Q06</x:t>
        </x:is>
      </x:c>
      <x:c r="C13" t="inlineStr">
        <x:is>
          <x:t xml:space="preserve">Y</x:t>
        </x:is>
      </x:c>
      <x:c r="D13" t="inlineStr">
        <x:is>
          <x:t xml:space="preserve">N</x:t>
        </x:is>
      </x:c>
      <x:c r="E13" t="inlineStr">
        <x:is>
          <x:t xml:space="preserve">Y</x:t>
        </x:is>
      </x:c>
      <x:c r="F13" t="inlineStr">
        <x:is>
          <x:t xml:space="preserve">Y</x:t>
        </x:is>
      </x:c>
      <x:c r="L13" t="n">
        <x:v>12</x:v>
      </x:c>
      <x:c r="N13" t="inlineStr">
        <x:is>
          <x:t xml:space="preserve">exec</x:t>
        </x:is>
      </x:c>
    </x:row>
    <x:row r="14">
      <x:c r="A14" t="inlineStr">
        <x:is>
          <x:t xml:space="preserve">Executive</x:t>
        </x:is>
      </x:c>
      <x:c r="B14" t="inlineStr">
        <x:is>
          <x:t xml:space="preserve">EXCO-D2-Q07</x:t>
        </x:is>
      </x:c>
      <x:c r="C14" t="inlineStr">
        <x:is>
          <x:t xml:space="preserve">Y</x:t>
        </x:is>
      </x:c>
      <x:c r="D14" t="inlineStr">
        <x:is>
          <x:t xml:space="preserve">N</x:t>
        </x:is>
      </x:c>
      <x:c r="E14" t="inlineStr">
        <x:is>
          <x:t xml:space="preserve">Y</x:t>
        </x:is>
      </x:c>
      <x:c r="F14" t="inlineStr">
        <x:is>
          <x:t xml:space="preserve">Y</x:t>
        </x:is>
      </x:c>
      <x:c r="L14" t="n">
        <x:v>13</x:v>
      </x:c>
      <x:c r="N14" t="inlineStr">
        <x:is>
          <x:t xml:space="preserve">exec</x:t>
        </x:is>
      </x:c>
    </x:row>
    <x:row r="15">
      <x:c r="A15" t="inlineStr">
        <x:is>
          <x:t xml:space="preserve">Executive</x:t>
        </x:is>
      </x:c>
      <x:c r="B15" t="inlineStr">
        <x:is>
          <x:t xml:space="preserve">EXCO-D2-Q08</x:t>
        </x:is>
      </x:c>
      <x:c r="C15" t="inlineStr">
        <x:is>
          <x:t xml:space="preserve">Y</x:t>
        </x:is>
      </x:c>
      <x:c r="D15" t="inlineStr">
        <x:is>
          <x:t xml:space="preserve">N</x:t>
        </x:is>
      </x:c>
      <x:c r="E15" t="inlineStr">
        <x:is>
          <x:t xml:space="preserve">Y</x:t>
        </x:is>
      </x:c>
      <x:c r="F15" t="inlineStr">
        <x:is>
          <x:t xml:space="preserve">Y</x:t>
        </x:is>
      </x:c>
      <x:c r="L15" t="n">
        <x:v>14</x:v>
      </x:c>
      <x:c r="N15" t="inlineStr">
        <x:is>
          <x:t xml:space="preserve">exec</x:t>
        </x:is>
      </x:c>
    </x:row>
    <x:row r="16">
      <x:c r="A16" t="inlineStr">
        <x:is>
          <x:t xml:space="preserve">Executive</x:t>
        </x:is>
      </x:c>
      <x:c r="B16" t="inlineStr">
        <x:is>
          <x:t xml:space="preserve">EXCO-D3-Q01</x:t>
        </x:is>
      </x:c>
      <x:c r="C16" t="inlineStr">
        <x:is>
          <x:t xml:space="preserve">Y</x:t>
        </x:is>
      </x:c>
      <x:c r="D16" t="inlineStr">
        <x:is>
          <x:t xml:space="preserve">Y</x:t>
        </x:is>
      </x:c>
      <x:c r="E16" t="inlineStr">
        <x:is>
          <x:t xml:space="preserve">Y</x:t>
        </x:is>
      </x:c>
      <x:c r="F16" t="inlineStr">
        <x:is>
          <x:t xml:space="preserve">Y</x:t>
        </x:is>
      </x:c>
      <x:c r="L16" t="n">
        <x:v>15</x:v>
      </x:c>
      <x:c r="N16" t="inlineStr">
        <x:is>
          <x:t xml:space="preserve">exec</x:t>
        </x:is>
      </x:c>
    </x:row>
    <x:row r="17">
      <x:c r="A17" t="inlineStr">
        <x:is>
          <x:t xml:space="preserve">Executive</x:t>
        </x:is>
      </x:c>
      <x:c r="B17" t="inlineStr">
        <x:is>
          <x:t xml:space="preserve">EXCO-D3-Q02</x:t>
        </x:is>
      </x:c>
      <x:c r="C17" t="inlineStr">
        <x:is>
          <x:t xml:space="preserve">Y</x:t>
        </x:is>
      </x:c>
      <x:c r="D17" t="inlineStr">
        <x:is>
          <x:t xml:space="preserve">N</x:t>
        </x:is>
      </x:c>
      <x:c r="E17" t="inlineStr">
        <x:is>
          <x:t xml:space="preserve">Y</x:t>
        </x:is>
      </x:c>
      <x:c r="F17" t="inlineStr">
        <x:is>
          <x:t xml:space="preserve">Y</x:t>
        </x:is>
      </x:c>
      <x:c r="L17" t="n">
        <x:v>16</x:v>
      </x:c>
      <x:c r="N17" t="inlineStr">
        <x:is>
          <x:t xml:space="preserve">exec</x:t>
        </x:is>
      </x:c>
    </x:row>
    <x:row r="18">
      <x:c r="A18" t="inlineStr">
        <x:is>
          <x:t xml:space="preserve">Executive</x:t>
        </x:is>
      </x:c>
      <x:c r="B18" t="inlineStr">
        <x:is>
          <x:t xml:space="preserve">EXCO-D3-Q03</x:t>
        </x:is>
      </x:c>
      <x:c r="C18" t="inlineStr">
        <x:is>
          <x:t xml:space="preserve">Y</x:t>
        </x:is>
      </x:c>
      <x:c r="D18" t="inlineStr">
        <x:is>
          <x:t xml:space="preserve">N</x:t>
        </x:is>
      </x:c>
      <x:c r="E18" t="inlineStr">
        <x:is>
          <x:t xml:space="preserve">Y</x:t>
        </x:is>
      </x:c>
      <x:c r="F18" t="inlineStr">
        <x:is>
          <x:t xml:space="preserve">Y</x:t>
        </x:is>
      </x:c>
      <x:c r="L18" t="n">
        <x:v>17</x:v>
      </x:c>
      <x:c r="N18" t="inlineStr">
        <x:is>
          <x:t xml:space="preserve">exec</x:t>
        </x:is>
      </x:c>
    </x:row>
    <x:row r="19">
      <x:c r="A19" t="inlineStr">
        <x:is>
          <x:t xml:space="preserve">Executive</x:t>
        </x:is>
      </x:c>
      <x:c r="B19" t="inlineStr">
        <x:is>
          <x:t xml:space="preserve">EXCO-D3-Q04</x:t>
        </x:is>
      </x:c>
      <x:c r="C19" t="inlineStr">
        <x:is>
          <x:t xml:space="preserve">Y</x:t>
        </x:is>
      </x:c>
      <x:c r="D19" t="inlineStr">
        <x:is>
          <x:t xml:space="preserve">N</x:t>
        </x:is>
      </x:c>
      <x:c r="E19" t="inlineStr">
        <x:is>
          <x:t xml:space="preserve">Y</x:t>
        </x:is>
      </x:c>
      <x:c r="F19" t="inlineStr">
        <x:is>
          <x:t xml:space="preserve">Y</x:t>
        </x:is>
      </x:c>
      <x:c r="L19" t="n">
        <x:v>18</x:v>
      </x:c>
      <x:c r="N19" t="inlineStr">
        <x:is>
          <x:t xml:space="preserve">exec</x:t>
        </x:is>
      </x:c>
    </x:row>
    <x:row r="20">
      <x:c r="A20" t="inlineStr">
        <x:is>
          <x:t xml:space="preserve">Executive</x:t>
        </x:is>
      </x:c>
      <x:c r="B20" t="inlineStr">
        <x:is>
          <x:t xml:space="preserve">EXCO-D3-Q05</x:t>
        </x:is>
      </x:c>
      <x:c r="C20" t="inlineStr">
        <x:is>
          <x:t xml:space="preserve">Y</x:t>
        </x:is>
      </x:c>
      <x:c r="D20" t="inlineStr">
        <x:is>
          <x:t xml:space="preserve">N</x:t>
        </x:is>
      </x:c>
      <x:c r="E20" t="inlineStr">
        <x:is>
          <x:t xml:space="preserve">N</x:t>
        </x:is>
      </x:c>
      <x:c r="F20" t="inlineStr">
        <x:is>
          <x:t xml:space="preserve">Y</x:t>
        </x:is>
      </x:c>
      <x:c r="L20" t="n">
        <x:v>19</x:v>
      </x:c>
      <x:c r="N20" t="inlineStr">
        <x:is>
          <x:t xml:space="preserve">exec</x:t>
        </x:is>
      </x:c>
    </x:row>
    <x:row r="21">
      <x:c r="A21" t="inlineStr">
        <x:is>
          <x:t xml:space="preserve">Executive</x:t>
        </x:is>
      </x:c>
      <x:c r="B21" t="inlineStr">
        <x:is>
          <x:t xml:space="preserve">EXCO-D3-Q06</x:t>
        </x:is>
      </x:c>
      <x:c r="C21" t="inlineStr">
        <x:is>
          <x:t xml:space="preserve">Y</x:t>
        </x:is>
      </x:c>
      <x:c r="D21" t="inlineStr">
        <x:is>
          <x:t xml:space="preserve">N</x:t>
        </x:is>
      </x:c>
      <x:c r="E21" t="inlineStr">
        <x:is>
          <x:t xml:space="preserve">Y</x:t>
        </x:is>
      </x:c>
      <x:c r="F21" t="inlineStr">
        <x:is>
          <x:t xml:space="preserve">Y</x:t>
        </x:is>
      </x:c>
      <x:c r="L21" t="n">
        <x:v>20</x:v>
      </x:c>
      <x:c r="N21" t="inlineStr">
        <x:is>
          <x:t xml:space="preserve">exec</x:t>
        </x:is>
      </x:c>
    </x:row>
    <x:row r="22">
      <x:c r="A22" t="inlineStr">
        <x:is>
          <x:t xml:space="preserve">Executive</x:t>
        </x:is>
      </x:c>
      <x:c r="B22" t="inlineStr">
        <x:is>
          <x:t xml:space="preserve">EXCO-D4-Q01</x:t>
        </x:is>
      </x:c>
      <x:c r="C22" t="inlineStr">
        <x:is>
          <x:t xml:space="preserve">Y</x:t>
        </x:is>
      </x:c>
      <x:c r="D22" t="inlineStr">
        <x:is>
          <x:t xml:space="preserve">Y</x:t>
        </x:is>
      </x:c>
      <x:c r="E22" t="inlineStr">
        <x:is>
          <x:t xml:space="preserve">Y</x:t>
        </x:is>
      </x:c>
      <x:c r="F22" t="inlineStr">
        <x:is>
          <x:t xml:space="preserve">Y</x:t>
        </x:is>
      </x:c>
      <x:c r="L22" t="n">
        <x:v>21</x:v>
      </x:c>
      <x:c r="N22" t="inlineStr">
        <x:is>
          <x:t xml:space="preserve">exec</x:t>
        </x:is>
      </x:c>
    </x:row>
    <x:row r="23">
      <x:c r="A23" t="inlineStr">
        <x:is>
          <x:t xml:space="preserve">Executive</x:t>
        </x:is>
      </x:c>
      <x:c r="B23" t="inlineStr">
        <x:is>
          <x:t xml:space="preserve">EXCO-D4-Q02</x:t>
        </x:is>
      </x:c>
      <x:c r="C23" t="inlineStr">
        <x:is>
          <x:t xml:space="preserve">Y</x:t>
        </x:is>
      </x:c>
      <x:c r="D23" t="inlineStr">
        <x:is>
          <x:t xml:space="preserve">N</x:t>
        </x:is>
      </x:c>
      <x:c r="E23" t="inlineStr">
        <x:is>
          <x:t xml:space="preserve">Y</x:t>
        </x:is>
      </x:c>
      <x:c r="F23" t="inlineStr">
        <x:is>
          <x:t xml:space="preserve">Y</x:t>
        </x:is>
      </x:c>
      <x:c r="L23" t="n">
        <x:v>22</x:v>
      </x:c>
      <x:c r="N23" t="inlineStr">
        <x:is>
          <x:t xml:space="preserve">exec</x:t>
        </x:is>
      </x:c>
    </x:row>
    <x:row r="24">
      <x:c r="A24" t="inlineStr">
        <x:is>
          <x:t xml:space="preserve">Executive</x:t>
        </x:is>
      </x:c>
      <x:c r="B24" t="inlineStr">
        <x:is>
          <x:t xml:space="preserve">EXCO-D4-Q03</x:t>
        </x:is>
      </x:c>
      <x:c r="C24" t="inlineStr">
        <x:is>
          <x:t xml:space="preserve">Y</x:t>
        </x:is>
      </x:c>
      <x:c r="D24" t="inlineStr">
        <x:is>
          <x:t xml:space="preserve">N</x:t>
        </x:is>
      </x:c>
      <x:c r="E24" t="inlineStr">
        <x:is>
          <x:t xml:space="preserve">Y</x:t>
        </x:is>
      </x:c>
      <x:c r="F24" t="inlineStr">
        <x:is>
          <x:t xml:space="preserve">Y</x:t>
        </x:is>
      </x:c>
      <x:c r="L24" t="n">
        <x:v>23</x:v>
      </x:c>
      <x:c r="N24" t="inlineStr">
        <x:is>
          <x:t xml:space="preserve">exec</x:t>
        </x:is>
      </x:c>
    </x:row>
    <x:row r="25">
      <x:c r="A25" t="inlineStr">
        <x:is>
          <x:t xml:space="preserve">Executive</x:t>
        </x:is>
      </x:c>
      <x:c r="B25" t="inlineStr">
        <x:is>
          <x:t xml:space="preserve">EXCO-D4-Q04</x:t>
        </x:is>
      </x:c>
      <x:c r="C25" t="inlineStr">
        <x:is>
          <x:t xml:space="preserve">Y</x:t>
        </x:is>
      </x:c>
      <x:c r="D25" t="inlineStr">
        <x:is>
          <x:t xml:space="preserve">N</x:t>
        </x:is>
      </x:c>
      <x:c r="E25" t="inlineStr">
        <x:is>
          <x:t xml:space="preserve">Y</x:t>
        </x:is>
      </x:c>
      <x:c r="F25" t="inlineStr">
        <x:is>
          <x:t xml:space="preserve">Y</x:t>
        </x:is>
      </x:c>
      <x:c r="L25" t="n">
        <x:v>24</x:v>
      </x:c>
      <x:c r="N25" t="inlineStr">
        <x:is>
          <x:t xml:space="preserve">exec</x:t>
        </x:is>
      </x:c>
    </x:row>
    <x:row r="26">
      <x:c r="A26" t="inlineStr">
        <x:is>
          <x:t xml:space="preserve">Executive</x:t>
        </x:is>
      </x:c>
      <x:c r="B26" t="inlineStr">
        <x:is>
          <x:t xml:space="preserve">EXCO-D5-Q01</x:t>
        </x:is>
      </x:c>
      <x:c r="C26" t="inlineStr">
        <x:is>
          <x:t xml:space="preserve">Y</x:t>
        </x:is>
      </x:c>
      <x:c r="D26" t="inlineStr">
        <x:is>
          <x:t xml:space="preserve">Y</x:t>
        </x:is>
      </x:c>
      <x:c r="E26" t="inlineStr">
        <x:is>
          <x:t xml:space="preserve">Y</x:t>
        </x:is>
      </x:c>
      <x:c r="F26" t="inlineStr">
        <x:is>
          <x:t xml:space="preserve">Y</x:t>
        </x:is>
      </x:c>
      <x:c r="L26" t="n">
        <x:v>25</x:v>
      </x:c>
      <x:c r="N26" t="inlineStr">
        <x:is>
          <x:t xml:space="preserve">exec</x:t>
        </x:is>
      </x:c>
    </x:row>
    <x:row r="27">
      <x:c r="A27" t="inlineStr">
        <x:is>
          <x:t xml:space="preserve">Executive</x:t>
        </x:is>
      </x:c>
      <x:c r="B27" t="inlineStr">
        <x:is>
          <x:t xml:space="preserve">EXCO-D5-Q02</x:t>
        </x:is>
      </x:c>
      <x:c r="C27" t="inlineStr">
        <x:is>
          <x:t xml:space="preserve">Y</x:t>
        </x:is>
      </x:c>
      <x:c r="D27" t="inlineStr">
        <x:is>
          <x:t xml:space="preserve">N</x:t>
        </x:is>
      </x:c>
      <x:c r="E27" t="inlineStr">
        <x:is>
          <x:t xml:space="preserve">Y</x:t>
        </x:is>
      </x:c>
      <x:c r="F27" t="inlineStr">
        <x:is>
          <x:t xml:space="preserve">Y</x:t>
        </x:is>
      </x:c>
      <x:c r="L27" t="n">
        <x:v>26</x:v>
      </x:c>
      <x:c r="N27" t="inlineStr">
        <x:is>
          <x:t xml:space="preserve">exec</x:t>
        </x:is>
      </x:c>
    </x:row>
    <x:row r="28">
      <x:c r="A28" t="inlineStr">
        <x:is>
          <x:t xml:space="preserve">Executive</x:t>
        </x:is>
      </x:c>
      <x:c r="B28" t="inlineStr">
        <x:is>
          <x:t xml:space="preserve">EXCO-D5-Q03</x:t>
        </x:is>
      </x:c>
      <x:c r="C28" t="inlineStr">
        <x:is>
          <x:t xml:space="preserve">Y</x:t>
        </x:is>
      </x:c>
      <x:c r="D28" t="inlineStr">
        <x:is>
          <x:t xml:space="preserve">N</x:t>
        </x:is>
      </x:c>
      <x:c r="E28" t="inlineStr">
        <x:is>
          <x:t xml:space="preserve">Y</x:t>
        </x:is>
      </x:c>
      <x:c r="F28" t="inlineStr">
        <x:is>
          <x:t xml:space="preserve">Y</x:t>
        </x:is>
      </x:c>
      <x:c r="L28" t="n">
        <x:v>27</x:v>
      </x:c>
      <x:c r="N28" t="inlineStr">
        <x:is>
          <x:t xml:space="preserve">exec</x:t>
        </x:is>
      </x:c>
    </x:row>
    <x:row r="29">
      <x:c r="A29" t="inlineStr">
        <x:is>
          <x:t xml:space="preserve">Executive</x:t>
        </x:is>
      </x:c>
      <x:c r="B29" t="inlineStr">
        <x:is>
          <x:t xml:space="preserve">EXCO-D6-Q01</x:t>
        </x:is>
      </x:c>
      <x:c r="C29" t="inlineStr">
        <x:is>
          <x:t xml:space="preserve">Y</x:t>
        </x:is>
      </x:c>
      <x:c r="D29" t="inlineStr">
        <x:is>
          <x:t xml:space="preserve">Y</x:t>
        </x:is>
      </x:c>
      <x:c r="E29" t="inlineStr">
        <x:is>
          <x:t xml:space="preserve">Y</x:t>
        </x:is>
      </x:c>
      <x:c r="F29" t="inlineStr">
        <x:is>
          <x:t xml:space="preserve">Y</x:t>
        </x:is>
      </x:c>
      <x:c r="L29" t="n">
        <x:v>28</x:v>
      </x:c>
      <x:c r="N29" t="inlineStr">
        <x:is>
          <x:t xml:space="preserve">exec</x:t>
        </x:is>
      </x:c>
    </x:row>
    <x:row r="30">
      <x:c r="A30" t="inlineStr">
        <x:is>
          <x:t xml:space="preserve">Executive</x:t>
        </x:is>
      </x:c>
      <x:c r="B30" t="inlineStr">
        <x:is>
          <x:t xml:space="preserve">EXCO-D6-Q02</x:t>
        </x:is>
      </x:c>
      <x:c r="C30" t="inlineStr">
        <x:is>
          <x:t xml:space="preserve">Y</x:t>
        </x:is>
      </x:c>
      <x:c r="D30" t="inlineStr">
        <x:is>
          <x:t xml:space="preserve">N</x:t>
        </x:is>
      </x:c>
      <x:c r="E30" t="inlineStr">
        <x:is>
          <x:t xml:space="preserve">Y</x:t>
        </x:is>
      </x:c>
      <x:c r="F30" t="inlineStr">
        <x:is>
          <x:t xml:space="preserve">Y</x:t>
        </x:is>
      </x:c>
      <x:c r="L30" t="n">
        <x:v>29</x:v>
      </x:c>
      <x:c r="N30" t="inlineStr">
        <x:is>
          <x:t xml:space="preserve">exec</x:t>
        </x:is>
      </x:c>
    </x:row>
    <x:row r="31">
      <x:c r="A31" t="inlineStr">
        <x:is>
          <x:t xml:space="preserve">Executive</x:t>
        </x:is>
      </x:c>
      <x:c r="B31" t="inlineStr">
        <x:is>
          <x:t xml:space="preserve">EXCO-D6-Q03</x:t>
        </x:is>
      </x:c>
      <x:c r="C31" t="inlineStr">
        <x:is>
          <x:t xml:space="preserve">Y</x:t>
        </x:is>
      </x:c>
      <x:c r="D31" t="inlineStr">
        <x:is>
          <x:t xml:space="preserve">N</x:t>
        </x:is>
      </x:c>
      <x:c r="E31" t="inlineStr">
        <x:is>
          <x:t xml:space="preserve">Y</x:t>
        </x:is>
      </x:c>
      <x:c r="F31" t="inlineStr">
        <x:is>
          <x:t xml:space="preserve">Y</x:t>
        </x:is>
      </x:c>
      <x:c r="L31" t="n">
        <x:v>30</x:v>
      </x:c>
      <x:c r="N31" t="inlineStr">
        <x:is>
          <x:t xml:space="preserve">exec</x:t>
        </x:is>
      </x:c>
    </x:row>
    <x:row r="32">
      <x:c r="A32" t="inlineStr">
        <x:is>
          <x:t xml:space="preserve">Executive</x:t>
        </x:is>
      </x:c>
      <x:c r="B32" t="inlineStr">
        <x:is>
          <x:t xml:space="preserve">EXCO-D7-Q01</x:t>
        </x:is>
      </x:c>
      <x:c r="C32" t="inlineStr">
        <x:is>
          <x:t xml:space="preserve">Y</x:t>
        </x:is>
      </x:c>
      <x:c r="D32" t="inlineStr">
        <x:is>
          <x:t xml:space="preserve">Y</x:t>
        </x:is>
      </x:c>
      <x:c r="E32" t="inlineStr">
        <x:is>
          <x:t xml:space="preserve">Y</x:t>
        </x:is>
      </x:c>
      <x:c r="F32" t="inlineStr">
        <x:is>
          <x:t xml:space="preserve">Y</x:t>
        </x:is>
      </x:c>
      <x:c r="L32" t="n">
        <x:v>31</x:v>
      </x:c>
      <x:c r="N32" t="inlineStr">
        <x:is>
          <x:t xml:space="preserve">exec</x:t>
        </x:is>
      </x:c>
    </x:row>
    <x:row r="33">
      <x:c r="A33" t="inlineStr">
        <x:is>
          <x:t xml:space="preserve">Executive</x:t>
        </x:is>
      </x:c>
      <x:c r="B33" t="inlineStr">
        <x:is>
          <x:t xml:space="preserve">EXCO-D7-Q02</x:t>
        </x:is>
      </x:c>
      <x:c r="C33" t="inlineStr">
        <x:is>
          <x:t xml:space="preserve">Y</x:t>
        </x:is>
      </x:c>
      <x:c r="D33" t="inlineStr">
        <x:is>
          <x:t xml:space="preserve">N</x:t>
        </x:is>
      </x:c>
      <x:c r="E33" t="inlineStr">
        <x:is>
          <x:t xml:space="preserve">Y</x:t>
        </x:is>
      </x:c>
      <x:c r="F33" t="inlineStr">
        <x:is>
          <x:t xml:space="preserve">Y</x:t>
        </x:is>
      </x:c>
      <x:c r="L33" t="n">
        <x:v>32</x:v>
      </x:c>
      <x:c r="N33" t="inlineStr">
        <x:is>
          <x:t xml:space="preserve">exec</x:t>
        </x:is>
      </x:c>
    </x:row>
    <x:row r="34">
      <x:c r="A34" t="inlineStr">
        <x:is>
          <x:t xml:space="preserve">Executive</x:t>
        </x:is>
      </x:c>
      <x:c r="B34" t="inlineStr">
        <x:is>
          <x:t xml:space="preserve">EXCO-D7-Q03</x:t>
        </x:is>
      </x:c>
      <x:c r="C34" t="inlineStr">
        <x:is>
          <x:t xml:space="preserve">Y</x:t>
        </x:is>
      </x:c>
      <x:c r="D34" t="inlineStr">
        <x:is>
          <x:t xml:space="preserve">N</x:t>
        </x:is>
      </x:c>
      <x:c r="E34" t="inlineStr">
        <x:is>
          <x:t xml:space="preserve">Y</x:t>
        </x:is>
      </x:c>
      <x:c r="F34" t="inlineStr">
        <x:is>
          <x:t xml:space="preserve">Y</x:t>
        </x:is>
      </x:c>
      <x:c r="L34" t="n">
        <x:v>33</x:v>
      </x:c>
      <x:c r="N34" t="inlineStr">
        <x:is>
          <x:t xml:space="preserve">exec</x:t>
        </x:is>
      </x:c>
    </x:row>
    <x:row r="35">
      <x:c r="A35" t="inlineStr">
        <x:is>
          <x:t xml:space="preserve">Executive</x:t>
        </x:is>
      </x:c>
      <x:c r="B35" t="inlineStr">
        <x:is>
          <x:t xml:space="preserve">EXCO-D7-Q04</x:t>
        </x:is>
      </x:c>
      <x:c r="C35" t="inlineStr">
        <x:is>
          <x:t xml:space="preserve">Y</x:t>
        </x:is>
      </x:c>
      <x:c r="D35" t="inlineStr">
        <x:is>
          <x:t xml:space="preserve">N</x:t>
        </x:is>
      </x:c>
      <x:c r="E35" t="inlineStr">
        <x:is>
          <x:t xml:space="preserve">Y</x:t>
        </x:is>
      </x:c>
      <x:c r="F35" t="inlineStr">
        <x:is>
          <x:t xml:space="preserve">Y</x:t>
        </x:is>
      </x:c>
      <x:c r="L35" t="n">
        <x:v>34</x:v>
      </x:c>
      <x:c r="N35" t="inlineStr">
        <x:is>
          <x:t xml:space="preserve">exec</x:t>
        </x:is>
      </x:c>
    </x:row>
    <x:row r="36">
      <x:c r="A36" t="inlineStr">
        <x:is>
          <x:t xml:space="preserve">Executive</x:t>
        </x:is>
      </x:c>
      <x:c r="B36" t="inlineStr">
        <x:is>
          <x:t xml:space="preserve">EXCO-D7-Q05</x:t>
        </x:is>
      </x:c>
      <x:c r="C36" t="inlineStr">
        <x:is>
          <x:t xml:space="preserve">Y</x:t>
        </x:is>
      </x:c>
      <x:c r="D36" t="inlineStr">
        <x:is>
          <x:t xml:space="preserve">N</x:t>
        </x:is>
      </x:c>
      <x:c r="E36" t="inlineStr">
        <x:is>
          <x:t xml:space="preserve">Y</x:t>
        </x:is>
      </x:c>
      <x:c r="F36" t="inlineStr">
        <x:is>
          <x:t xml:space="preserve">Y</x:t>
        </x:is>
      </x:c>
      <x:c r="L36" t="n">
        <x:v>35</x:v>
      </x:c>
      <x:c r="N36" t="inlineStr">
        <x:is>
          <x:t xml:space="preserve">exec</x:t>
        </x:is>
      </x:c>
    </x:row>
    <x:row r="37">
      <x:c r="A37" t="inlineStr">
        <x:is>
          <x:t xml:space="preserve">Executive</x:t>
        </x:is>
      </x:c>
      <x:c r="B37" t="inlineStr">
        <x:is>
          <x:t xml:space="preserve">EXCO-D8-Q01</x:t>
        </x:is>
      </x:c>
      <x:c r="C37" t="inlineStr">
        <x:is>
          <x:t xml:space="preserve">Y</x:t>
        </x:is>
      </x:c>
      <x:c r="D37" t="inlineStr">
        <x:is>
          <x:t xml:space="preserve">Y</x:t>
        </x:is>
      </x:c>
      <x:c r="E37" t="inlineStr">
        <x:is>
          <x:t xml:space="preserve">Y</x:t>
        </x:is>
      </x:c>
      <x:c r="F37" t="inlineStr">
        <x:is>
          <x:t xml:space="preserve">Y</x:t>
        </x:is>
      </x:c>
      <x:c r="L37" t="n">
        <x:v>36</x:v>
      </x:c>
      <x:c r="N37" t="inlineStr">
        <x:is>
          <x:t xml:space="preserve">exec</x:t>
        </x:is>
      </x:c>
    </x:row>
    <x:row r="38">
      <x:c r="A38" t="inlineStr">
        <x:is>
          <x:t xml:space="preserve">Executive</x:t>
        </x:is>
      </x:c>
      <x:c r="B38" t="inlineStr">
        <x:is>
          <x:t xml:space="preserve">EXCO-D8-Q02</x:t>
        </x:is>
      </x:c>
      <x:c r="C38" t="inlineStr">
        <x:is>
          <x:t xml:space="preserve">Y</x:t>
        </x:is>
      </x:c>
      <x:c r="D38" t="inlineStr">
        <x:is>
          <x:t xml:space="preserve">N</x:t>
        </x:is>
      </x:c>
      <x:c r="E38" t="inlineStr">
        <x:is>
          <x:t xml:space="preserve">Y</x:t>
        </x:is>
      </x:c>
      <x:c r="F38" t="inlineStr">
        <x:is>
          <x:t xml:space="preserve">Y</x:t>
        </x:is>
      </x:c>
      <x:c r="L38" t="n">
        <x:v>37</x:v>
      </x:c>
      <x:c r="N38" t="inlineStr">
        <x:is>
          <x:t xml:space="preserve">exec</x:t>
        </x:is>
      </x:c>
    </x:row>
    <x:row r="39">
      <x:c r="A39" t="inlineStr">
        <x:is>
          <x:t xml:space="preserve">Executive</x:t>
        </x:is>
      </x:c>
      <x:c r="B39" t="inlineStr">
        <x:is>
          <x:t xml:space="preserve">EXCO-D8-Q03</x:t>
        </x:is>
      </x:c>
      <x:c r="C39" t="inlineStr">
        <x:is>
          <x:t xml:space="preserve">Y</x:t>
        </x:is>
      </x:c>
      <x:c r="D39" t="inlineStr">
        <x:is>
          <x:t xml:space="preserve">N</x:t>
        </x:is>
      </x:c>
      <x:c r="E39" t="inlineStr">
        <x:is>
          <x:t xml:space="preserve">Y</x:t>
        </x:is>
      </x:c>
      <x:c r="F39" t="inlineStr">
        <x:is>
          <x:t xml:space="preserve">Y</x:t>
        </x:is>
      </x:c>
      <x:c r="L39" t="n">
        <x:v>38</x:v>
      </x:c>
      <x:c r="N39" t="inlineStr">
        <x:is>
          <x:t xml:space="preserve">exec</x:t>
        </x:is>
      </x:c>
    </x:row>
    <x:row r="40">
      <x:c r="A40" t="inlineStr">
        <x:is>
          <x:t xml:space="preserve">Executive</x:t>
        </x:is>
      </x:c>
      <x:c r="B40" t="inlineStr">
        <x:is>
          <x:t xml:space="preserve">EXCO-D8-Q04</x:t>
        </x:is>
      </x:c>
      <x:c r="C40" t="inlineStr">
        <x:is>
          <x:t xml:space="preserve">Y</x:t>
        </x:is>
      </x:c>
      <x:c r="D40" t="inlineStr">
        <x:is>
          <x:t xml:space="preserve">N</x:t>
        </x:is>
      </x:c>
      <x:c r="E40" t="inlineStr">
        <x:is>
          <x:t xml:space="preserve">N</x:t>
        </x:is>
      </x:c>
      <x:c r="F40" t="inlineStr">
        <x:is>
          <x:t xml:space="preserve">Y</x:t>
        </x:is>
      </x:c>
      <x:c r="L40" t="n">
        <x:v>39</x:v>
      </x:c>
      <x:c r="N40" t="inlineStr">
        <x:is>
          <x:t xml:space="preserve">exec</x:t>
        </x:is>
      </x:c>
    </x:row>
    <x:row r="41">
      <x:c r="A41" t="inlineStr">
        <x:is>
          <x:t xml:space="preserve">HR</x:t>
        </x:is>
      </x:c>
      <x:c r="B41" t="inlineStr">
        <x:is>
          <x:t xml:space="preserve">HR-D1-Q01</x:t>
        </x:is>
      </x:c>
      <x:c r="C41" t="inlineStr">
        <x:is>
          <x:t xml:space="preserve">Y</x:t>
        </x:is>
      </x:c>
      <x:c r="D41" t="inlineStr">
        <x:is>
          <x:t xml:space="preserve">Y</x:t>
        </x:is>
      </x:c>
      <x:c r="E41" t="inlineStr">
        <x:is>
          <x:t xml:space="preserve">Y</x:t>
        </x:is>
      </x:c>
      <x:c r="F41" t="inlineStr">
        <x:is>
          <x:t xml:space="preserve">Y</x:t>
        </x:is>
      </x:c>
      <x:c r="L41" t="n">
        <x:v>1</x:v>
      </x:c>
      <x:c r="N41" t="inlineStr">
        <x:is>
          <x:t xml:space="preserve">hr</x:t>
        </x:is>
      </x:c>
    </x:row>
    <x:row r="42">
      <x:c r="A42" t="inlineStr">
        <x:is>
          <x:t xml:space="preserve">HR</x:t>
        </x:is>
      </x:c>
      <x:c r="B42" t="inlineStr">
        <x:is>
          <x:t xml:space="preserve">HR-D1-Q02</x:t>
        </x:is>
      </x:c>
      <x:c r="C42" t="inlineStr">
        <x:is>
          <x:t xml:space="preserve">Y</x:t>
        </x:is>
      </x:c>
      <x:c r="D42" t="inlineStr">
        <x:is>
          <x:t xml:space="preserve">N</x:t>
        </x:is>
      </x:c>
      <x:c r="E42" t="inlineStr">
        <x:is>
          <x:t xml:space="preserve">Y</x:t>
        </x:is>
      </x:c>
      <x:c r="F42" t="inlineStr">
        <x:is>
          <x:t xml:space="preserve">Y</x:t>
        </x:is>
      </x:c>
      <x:c r="L42" t="n">
        <x:v>2</x:v>
      </x:c>
      <x:c r="N42" t="inlineStr">
        <x:is>
          <x:t xml:space="preserve">hr</x:t>
        </x:is>
      </x:c>
    </x:row>
    <x:row r="43">
      <x:c r="A43" t="inlineStr">
        <x:is>
          <x:t xml:space="preserve">HR</x:t>
        </x:is>
      </x:c>
      <x:c r="B43" t="inlineStr">
        <x:is>
          <x:t xml:space="preserve">HR-D1-Q03</x:t>
        </x:is>
      </x:c>
      <x:c r="C43" t="inlineStr">
        <x:is>
          <x:t xml:space="preserve">Y</x:t>
        </x:is>
      </x:c>
      <x:c r="D43" t="inlineStr">
        <x:is>
          <x:t xml:space="preserve">N</x:t>
        </x:is>
      </x:c>
      <x:c r="E43" t="inlineStr">
        <x:is>
          <x:t xml:space="preserve">Y</x:t>
        </x:is>
      </x:c>
      <x:c r="F43" t="inlineStr">
        <x:is>
          <x:t xml:space="preserve">Y</x:t>
        </x:is>
      </x:c>
      <x:c r="L43" t="n">
        <x:v>3</x:v>
      </x:c>
      <x:c r="N43" t="inlineStr">
        <x:is>
          <x:t xml:space="preserve">hr</x:t>
        </x:is>
      </x:c>
    </x:row>
    <x:row r="44">
      <x:c r="A44" t="inlineStr">
        <x:is>
          <x:t xml:space="preserve">HR</x:t>
        </x:is>
      </x:c>
      <x:c r="B44" t="inlineStr">
        <x:is>
          <x:t xml:space="preserve">HR-D1-Q04</x:t>
        </x:is>
      </x:c>
      <x:c r="C44" t="inlineStr">
        <x:is>
          <x:t xml:space="preserve">Y</x:t>
        </x:is>
      </x:c>
      <x:c r="D44" t="inlineStr">
        <x:is>
          <x:t xml:space="preserve">N</x:t>
        </x:is>
      </x:c>
      <x:c r="E44" t="inlineStr">
        <x:is>
          <x:t xml:space="preserve">N</x:t>
        </x:is>
      </x:c>
      <x:c r="F44" t="inlineStr">
        <x:is>
          <x:t xml:space="preserve">Y</x:t>
        </x:is>
      </x:c>
      <x:c r="L44" t="n">
        <x:v>4</x:v>
      </x:c>
      <x:c r="N44" t="inlineStr">
        <x:is>
          <x:t xml:space="preserve">hr</x:t>
        </x:is>
      </x:c>
    </x:row>
    <x:row r="45">
      <x:c r="A45" t="inlineStr">
        <x:is>
          <x:t xml:space="preserve">HR</x:t>
        </x:is>
      </x:c>
      <x:c r="B45" t="inlineStr">
        <x:is>
          <x:t xml:space="preserve">HR-D2-Q05</x:t>
        </x:is>
      </x:c>
      <x:c r="C45" t="inlineStr">
        <x:is>
          <x:t xml:space="preserve">Y</x:t>
        </x:is>
      </x:c>
      <x:c r="D45" t="inlineStr">
        <x:is>
          <x:t xml:space="preserve">Y</x:t>
        </x:is>
      </x:c>
      <x:c r="E45" t="inlineStr">
        <x:is>
          <x:t xml:space="preserve">Y</x:t>
        </x:is>
      </x:c>
      <x:c r="F45" t="inlineStr">
        <x:is>
          <x:t xml:space="preserve">Y</x:t>
        </x:is>
      </x:c>
      <x:c r="L45" t="n">
        <x:v>5</x:v>
      </x:c>
      <x:c r="N45" t="inlineStr">
        <x:is>
          <x:t xml:space="preserve">hr</x:t>
        </x:is>
      </x:c>
    </x:row>
    <x:row r="46">
      <x:c r="A46" t="inlineStr">
        <x:is>
          <x:t xml:space="preserve">HR</x:t>
        </x:is>
      </x:c>
      <x:c r="B46" t="inlineStr">
        <x:is>
          <x:t xml:space="preserve">HR-D2-Q06</x:t>
        </x:is>
      </x:c>
      <x:c r="C46" t="inlineStr">
        <x:is>
          <x:t xml:space="preserve">Y</x:t>
        </x:is>
      </x:c>
      <x:c r="D46" t="inlineStr">
        <x:is>
          <x:t xml:space="preserve">N</x:t>
        </x:is>
      </x:c>
      <x:c r="E46" t="inlineStr">
        <x:is>
          <x:t xml:space="preserve">Y</x:t>
        </x:is>
      </x:c>
      <x:c r="F46" t="inlineStr">
        <x:is>
          <x:t xml:space="preserve">Y</x:t>
        </x:is>
      </x:c>
      <x:c r="L46" t="n">
        <x:v>6</x:v>
      </x:c>
      <x:c r="N46" t="inlineStr">
        <x:is>
          <x:t xml:space="preserve">hr</x:t>
        </x:is>
      </x:c>
    </x:row>
    <x:row r="47">
      <x:c r="A47" t="inlineStr">
        <x:is>
          <x:t xml:space="preserve">HR</x:t>
        </x:is>
      </x:c>
      <x:c r="B47" t="inlineStr">
        <x:is>
          <x:t xml:space="preserve">HR-D2-Q07</x:t>
        </x:is>
      </x:c>
      <x:c r="C47" t="inlineStr">
        <x:is>
          <x:t xml:space="preserve">Y</x:t>
        </x:is>
      </x:c>
      <x:c r="D47" t="inlineStr">
        <x:is>
          <x:t xml:space="preserve">N</x:t>
        </x:is>
      </x:c>
      <x:c r="E47" t="inlineStr">
        <x:is>
          <x:t xml:space="preserve">Y</x:t>
        </x:is>
      </x:c>
      <x:c r="F47" t="inlineStr">
        <x:is>
          <x:t xml:space="preserve">Y</x:t>
        </x:is>
      </x:c>
      <x:c r="L47" t="n">
        <x:v>7</x:v>
      </x:c>
      <x:c r="N47" t="inlineStr">
        <x:is>
          <x:t xml:space="preserve">hr</x:t>
        </x:is>
      </x:c>
    </x:row>
    <x:row r="48">
      <x:c r="A48" t="inlineStr">
        <x:is>
          <x:t xml:space="preserve">HR</x:t>
        </x:is>
      </x:c>
      <x:c r="B48" t="inlineStr">
        <x:is>
          <x:t xml:space="preserve">HR-D2-Q08</x:t>
        </x:is>
      </x:c>
      <x:c r="C48" t="inlineStr">
        <x:is>
          <x:t xml:space="preserve">Y</x:t>
        </x:is>
      </x:c>
      <x:c r="D48" t="inlineStr">
        <x:is>
          <x:t xml:space="preserve">N</x:t>
        </x:is>
      </x:c>
      <x:c r="E48" t="inlineStr">
        <x:is>
          <x:t xml:space="preserve">N</x:t>
        </x:is>
      </x:c>
      <x:c r="F48" t="inlineStr">
        <x:is>
          <x:t xml:space="preserve">Y</x:t>
        </x:is>
      </x:c>
      <x:c r="L48" t="n">
        <x:v>8</x:v>
      </x:c>
      <x:c r="N48" t="inlineStr">
        <x:is>
          <x:t xml:space="preserve">hr</x:t>
        </x:is>
      </x:c>
    </x:row>
    <x:row r="49">
      <x:c r="A49" t="inlineStr">
        <x:is>
          <x:t xml:space="preserve">HR</x:t>
        </x:is>
      </x:c>
      <x:c r="B49" t="inlineStr">
        <x:is>
          <x:t xml:space="preserve">HR-D3-Q09</x:t>
        </x:is>
      </x:c>
      <x:c r="C49" t="inlineStr">
        <x:is>
          <x:t xml:space="preserve">Y</x:t>
        </x:is>
      </x:c>
      <x:c r="D49" t="inlineStr">
        <x:is>
          <x:t xml:space="preserve">Y</x:t>
        </x:is>
      </x:c>
      <x:c r="E49" t="inlineStr">
        <x:is>
          <x:t xml:space="preserve">Y</x:t>
        </x:is>
      </x:c>
      <x:c r="F49" t="inlineStr">
        <x:is>
          <x:t xml:space="preserve">Y</x:t>
        </x:is>
      </x:c>
      <x:c r="L49" t="n">
        <x:v>9</x:v>
      </x:c>
      <x:c r="N49" t="inlineStr">
        <x:is>
          <x:t xml:space="preserve">hr</x:t>
        </x:is>
      </x:c>
    </x:row>
    <x:row r="50">
      <x:c r="A50" t="inlineStr">
        <x:is>
          <x:t xml:space="preserve">HR</x:t>
        </x:is>
      </x:c>
      <x:c r="B50" t="inlineStr">
        <x:is>
          <x:t xml:space="preserve">HR-D3-Q10</x:t>
        </x:is>
      </x:c>
      <x:c r="C50" t="inlineStr">
        <x:is>
          <x:t xml:space="preserve">Y</x:t>
        </x:is>
      </x:c>
      <x:c r="D50" t="inlineStr">
        <x:is>
          <x:t xml:space="preserve">N</x:t>
        </x:is>
      </x:c>
      <x:c r="E50" t="inlineStr">
        <x:is>
          <x:t xml:space="preserve">Y</x:t>
        </x:is>
      </x:c>
      <x:c r="F50" t="inlineStr">
        <x:is>
          <x:t xml:space="preserve">Y</x:t>
        </x:is>
      </x:c>
      <x:c r="L50" t="n">
        <x:v>10</x:v>
      </x:c>
      <x:c r="N50" t="inlineStr">
        <x:is>
          <x:t xml:space="preserve">hr</x:t>
        </x:is>
      </x:c>
    </x:row>
    <x:row r="51">
      <x:c r="A51" t="inlineStr">
        <x:is>
          <x:t xml:space="preserve">HR</x:t>
        </x:is>
      </x:c>
      <x:c r="B51" t="inlineStr">
        <x:is>
          <x:t xml:space="preserve">HR-D3-Q11</x:t>
        </x:is>
      </x:c>
      <x:c r="C51" t="inlineStr">
        <x:is>
          <x:t xml:space="preserve">Y</x:t>
        </x:is>
      </x:c>
      <x:c r="D51" t="inlineStr">
        <x:is>
          <x:t xml:space="preserve">N</x:t>
        </x:is>
      </x:c>
      <x:c r="E51" t="inlineStr">
        <x:is>
          <x:t xml:space="preserve">Y</x:t>
        </x:is>
      </x:c>
      <x:c r="F51" t="inlineStr">
        <x:is>
          <x:t xml:space="preserve">Y</x:t>
        </x:is>
      </x:c>
      <x:c r="L51" t="n">
        <x:v>11</x:v>
      </x:c>
      <x:c r="N51" t="inlineStr">
        <x:is>
          <x:t xml:space="preserve">hr</x:t>
        </x:is>
      </x:c>
    </x:row>
    <x:row r="52">
      <x:c r="A52" t="inlineStr">
        <x:is>
          <x:t xml:space="preserve">HR</x:t>
        </x:is>
      </x:c>
      <x:c r="B52" t="inlineStr">
        <x:is>
          <x:t xml:space="preserve">HR-D3-Q12</x:t>
        </x:is>
      </x:c>
      <x:c r="C52" t="inlineStr">
        <x:is>
          <x:t xml:space="preserve">Y</x:t>
        </x:is>
      </x:c>
      <x:c r="D52" t="inlineStr">
        <x:is>
          <x:t xml:space="preserve">N</x:t>
        </x:is>
      </x:c>
      <x:c r="E52" t="inlineStr">
        <x:is>
          <x:t xml:space="preserve">N</x:t>
        </x:is>
      </x:c>
      <x:c r="F52" t="inlineStr">
        <x:is>
          <x:t xml:space="preserve">Y</x:t>
        </x:is>
      </x:c>
      <x:c r="L52" t="n">
        <x:v>12</x:v>
      </x:c>
      <x:c r="N52" t="inlineStr">
        <x:is>
          <x:t xml:space="preserve">hr</x:t>
        </x:is>
      </x:c>
    </x:row>
    <x:row r="53">
      <x:c r="A53" t="inlineStr">
        <x:is>
          <x:t xml:space="preserve">HR</x:t>
        </x:is>
      </x:c>
      <x:c r="B53" t="inlineStr">
        <x:is>
          <x:t xml:space="preserve">HR-D4-Q13</x:t>
        </x:is>
      </x:c>
      <x:c r="C53" t="inlineStr">
        <x:is>
          <x:t xml:space="preserve">Y</x:t>
        </x:is>
      </x:c>
      <x:c r="D53" t="inlineStr">
        <x:is>
          <x:t xml:space="preserve">Y</x:t>
        </x:is>
      </x:c>
      <x:c r="E53" t="inlineStr">
        <x:is>
          <x:t xml:space="preserve">Y</x:t>
        </x:is>
      </x:c>
      <x:c r="F53" t="inlineStr">
        <x:is>
          <x:t xml:space="preserve">Y</x:t>
        </x:is>
      </x:c>
      <x:c r="L53" t="n">
        <x:v>13</x:v>
      </x:c>
      <x:c r="N53" t="inlineStr">
        <x:is>
          <x:t xml:space="preserve">hr</x:t>
        </x:is>
      </x:c>
    </x:row>
    <x:row r="54">
      <x:c r="A54" t="inlineStr">
        <x:is>
          <x:t xml:space="preserve">HR</x:t>
        </x:is>
      </x:c>
      <x:c r="B54" t="inlineStr">
        <x:is>
          <x:t xml:space="preserve">HR-D4-Q14</x:t>
        </x:is>
      </x:c>
      <x:c r="C54" t="inlineStr">
        <x:is>
          <x:t xml:space="preserve">Y</x:t>
        </x:is>
      </x:c>
      <x:c r="D54" t="inlineStr">
        <x:is>
          <x:t xml:space="preserve">N</x:t>
        </x:is>
      </x:c>
      <x:c r="E54" t="inlineStr">
        <x:is>
          <x:t xml:space="preserve">Y</x:t>
        </x:is>
      </x:c>
      <x:c r="F54" t="inlineStr">
        <x:is>
          <x:t xml:space="preserve">Y</x:t>
        </x:is>
      </x:c>
      <x:c r="L54" t="n">
        <x:v>14</x:v>
      </x:c>
      <x:c r="N54" t="inlineStr">
        <x:is>
          <x:t xml:space="preserve">hr</x:t>
        </x:is>
      </x:c>
    </x:row>
    <x:row r="55">
      <x:c r="A55" t="inlineStr">
        <x:is>
          <x:t xml:space="preserve">HR</x:t>
        </x:is>
      </x:c>
      <x:c r="B55" t="inlineStr">
        <x:is>
          <x:t xml:space="preserve">HR-D4-Q15</x:t>
        </x:is>
      </x:c>
      <x:c r="C55" t="inlineStr">
        <x:is>
          <x:t xml:space="preserve">Y</x:t>
        </x:is>
      </x:c>
      <x:c r="D55" t="inlineStr">
        <x:is>
          <x:t xml:space="preserve">N</x:t>
        </x:is>
      </x:c>
      <x:c r="E55" t="inlineStr">
        <x:is>
          <x:t xml:space="preserve">Y</x:t>
        </x:is>
      </x:c>
      <x:c r="F55" t="inlineStr">
        <x:is>
          <x:t xml:space="preserve">Y</x:t>
        </x:is>
      </x:c>
      <x:c r="L55" t="n">
        <x:v>15</x:v>
      </x:c>
      <x:c r="N55" t="inlineStr">
        <x:is>
          <x:t xml:space="preserve">hr</x:t>
        </x:is>
      </x:c>
    </x:row>
    <x:row r="56">
      <x:c r="A56" t="inlineStr">
        <x:is>
          <x:t xml:space="preserve">HR</x:t>
        </x:is>
      </x:c>
      <x:c r="B56" t="inlineStr">
        <x:is>
          <x:t xml:space="preserve">HR-D4-Q16</x:t>
        </x:is>
      </x:c>
      <x:c r="C56" t="inlineStr">
        <x:is>
          <x:t xml:space="preserve">Y</x:t>
        </x:is>
      </x:c>
      <x:c r="D56" t="inlineStr">
        <x:is>
          <x:t xml:space="preserve">N</x:t>
        </x:is>
      </x:c>
      <x:c r="E56" t="inlineStr">
        <x:is>
          <x:t xml:space="preserve">N</x:t>
        </x:is>
      </x:c>
      <x:c r="F56" t="inlineStr">
        <x:is>
          <x:t xml:space="preserve">Y</x:t>
        </x:is>
      </x:c>
      <x:c r="L56" t="n">
        <x:v>16</x:v>
      </x:c>
      <x:c r="N56" t="inlineStr">
        <x:is>
          <x:t xml:space="preserve">hr</x:t>
        </x:is>
      </x:c>
    </x:row>
    <x:row r="57">
      <x:c r="A57" t="inlineStr">
        <x:is>
          <x:t xml:space="preserve">HR</x:t>
        </x:is>
      </x:c>
      <x:c r="B57" t="inlineStr">
        <x:is>
          <x:t xml:space="preserve">HR-D5-Q17</x:t>
        </x:is>
      </x:c>
      <x:c r="C57" t="inlineStr">
        <x:is>
          <x:t xml:space="preserve">Y</x:t>
        </x:is>
      </x:c>
      <x:c r="D57" t="inlineStr">
        <x:is>
          <x:t xml:space="preserve">Y</x:t>
        </x:is>
      </x:c>
      <x:c r="E57" t="inlineStr">
        <x:is>
          <x:t xml:space="preserve">Y</x:t>
        </x:is>
      </x:c>
      <x:c r="F57" t="inlineStr">
        <x:is>
          <x:t xml:space="preserve">Y</x:t>
        </x:is>
      </x:c>
      <x:c r="L57" t="n">
        <x:v>17</x:v>
      </x:c>
      <x:c r="N57" t="inlineStr">
        <x:is>
          <x:t xml:space="preserve">hr</x:t>
        </x:is>
      </x:c>
    </x:row>
    <x:row r="58">
      <x:c r="A58" t="inlineStr">
        <x:is>
          <x:t xml:space="preserve">HR</x:t>
        </x:is>
      </x:c>
      <x:c r="B58" t="inlineStr">
        <x:is>
          <x:t xml:space="preserve">HR-D5-Q18</x:t>
        </x:is>
      </x:c>
      <x:c r="C58" t="inlineStr">
        <x:is>
          <x:t xml:space="preserve">Y</x:t>
        </x:is>
      </x:c>
      <x:c r="D58" t="inlineStr">
        <x:is>
          <x:t xml:space="preserve">N</x:t>
        </x:is>
      </x:c>
      <x:c r="E58" t="inlineStr">
        <x:is>
          <x:t xml:space="preserve">Y</x:t>
        </x:is>
      </x:c>
      <x:c r="F58" t="inlineStr">
        <x:is>
          <x:t xml:space="preserve">Y</x:t>
        </x:is>
      </x:c>
      <x:c r="L58" t="n">
        <x:v>18</x:v>
      </x:c>
      <x:c r="N58" t="inlineStr">
        <x:is>
          <x:t xml:space="preserve">hr</x:t>
        </x:is>
      </x:c>
    </x:row>
    <x:row r="59">
      <x:c r="A59" t="inlineStr">
        <x:is>
          <x:t xml:space="preserve">HR</x:t>
        </x:is>
      </x:c>
      <x:c r="B59" t="inlineStr">
        <x:is>
          <x:t xml:space="preserve">HR-D5-Q19</x:t>
        </x:is>
      </x:c>
      <x:c r="C59" t="inlineStr">
        <x:is>
          <x:t xml:space="preserve">Y</x:t>
        </x:is>
      </x:c>
      <x:c r="D59" t="inlineStr">
        <x:is>
          <x:t xml:space="preserve">N</x:t>
        </x:is>
      </x:c>
      <x:c r="E59" t="inlineStr">
        <x:is>
          <x:t xml:space="preserve">Y</x:t>
        </x:is>
      </x:c>
      <x:c r="F59" t="inlineStr">
        <x:is>
          <x:t xml:space="preserve">Y</x:t>
        </x:is>
      </x:c>
      <x:c r="L59" t="n">
        <x:v>19</x:v>
      </x:c>
      <x:c r="N59" t="inlineStr">
        <x:is>
          <x:t xml:space="preserve">hr</x:t>
        </x:is>
      </x:c>
    </x:row>
    <x:row r="60">
      <x:c r="A60" t="inlineStr">
        <x:is>
          <x:t xml:space="preserve">HR</x:t>
        </x:is>
      </x:c>
      <x:c r="B60" t="inlineStr">
        <x:is>
          <x:t xml:space="preserve">HR-D6-Q20</x:t>
        </x:is>
      </x:c>
      <x:c r="C60" t="inlineStr">
        <x:is>
          <x:t xml:space="preserve">Y</x:t>
        </x:is>
      </x:c>
      <x:c r="D60" t="inlineStr">
        <x:is>
          <x:t xml:space="preserve">Y</x:t>
        </x:is>
      </x:c>
      <x:c r="E60" t="inlineStr">
        <x:is>
          <x:t xml:space="preserve">Y</x:t>
        </x:is>
      </x:c>
      <x:c r="F60" t="inlineStr">
        <x:is>
          <x:t xml:space="preserve">Y</x:t>
        </x:is>
      </x:c>
      <x:c r="L60" t="n">
        <x:v>20</x:v>
      </x:c>
      <x:c r="N60" t="inlineStr">
        <x:is>
          <x:t xml:space="preserve">hr</x:t>
        </x:is>
      </x:c>
    </x:row>
    <x:row r="61">
      <x:c r="A61" t="inlineStr">
        <x:is>
          <x:t xml:space="preserve">HR</x:t>
        </x:is>
      </x:c>
      <x:c r="B61" t="inlineStr">
        <x:is>
          <x:t xml:space="preserve">HR-D6-Q21</x:t>
        </x:is>
      </x:c>
      <x:c r="C61" t="inlineStr">
        <x:is>
          <x:t xml:space="preserve">Y</x:t>
        </x:is>
      </x:c>
      <x:c r="D61" t="inlineStr">
        <x:is>
          <x:t xml:space="preserve">N</x:t>
        </x:is>
      </x:c>
      <x:c r="E61" t="inlineStr">
        <x:is>
          <x:t xml:space="preserve">Y</x:t>
        </x:is>
      </x:c>
      <x:c r="F61" t="inlineStr">
        <x:is>
          <x:t xml:space="preserve">Y</x:t>
        </x:is>
      </x:c>
      <x:c r="L61" t="n">
        <x:v>21</x:v>
      </x:c>
      <x:c r="N61" t="inlineStr">
        <x:is>
          <x:t xml:space="preserve">hr</x:t>
        </x:is>
      </x:c>
    </x:row>
    <x:row r="62">
      <x:c r="A62" t="inlineStr">
        <x:is>
          <x:t xml:space="preserve">HR</x:t>
        </x:is>
      </x:c>
      <x:c r="B62" t="inlineStr">
        <x:is>
          <x:t xml:space="preserve">HR-D6-Q22</x:t>
        </x:is>
      </x:c>
      <x:c r="C62" t="inlineStr">
        <x:is>
          <x:t xml:space="preserve">Y</x:t>
        </x:is>
      </x:c>
      <x:c r="D62" t="inlineStr">
        <x:is>
          <x:t xml:space="preserve">N</x:t>
        </x:is>
      </x:c>
      <x:c r="E62" t="inlineStr">
        <x:is>
          <x:t xml:space="preserve">Y</x:t>
        </x:is>
      </x:c>
      <x:c r="F62" t="inlineStr">
        <x:is>
          <x:t xml:space="preserve">Y</x:t>
        </x:is>
      </x:c>
      <x:c r="L62" t="n">
        <x:v>22</x:v>
      </x:c>
      <x:c r="N62" t="inlineStr">
        <x:is>
          <x:t xml:space="preserve">hr</x:t>
        </x:is>
      </x:c>
    </x:row>
    <x:row r="63">
      <x:c r="A63" t="inlineStr">
        <x:is>
          <x:t xml:space="preserve">HR</x:t>
        </x:is>
      </x:c>
      <x:c r="B63" t="inlineStr">
        <x:is>
          <x:t xml:space="preserve">HR-D7-Q23</x:t>
        </x:is>
      </x:c>
      <x:c r="C63" t="inlineStr">
        <x:is>
          <x:t xml:space="preserve">Y</x:t>
        </x:is>
      </x:c>
      <x:c r="D63" t="inlineStr">
        <x:is>
          <x:t xml:space="preserve">Y</x:t>
        </x:is>
      </x:c>
      <x:c r="E63" t="inlineStr">
        <x:is>
          <x:t xml:space="preserve">Y</x:t>
        </x:is>
      </x:c>
      <x:c r="F63" t="inlineStr">
        <x:is>
          <x:t xml:space="preserve">Y</x:t>
        </x:is>
      </x:c>
      <x:c r="L63" t="n">
        <x:v>23</x:v>
      </x:c>
      <x:c r="N63" t="inlineStr">
        <x:is>
          <x:t xml:space="preserve">hr</x:t>
        </x:is>
      </x:c>
    </x:row>
    <x:row r="64">
      <x:c r="A64" t="inlineStr">
        <x:is>
          <x:t xml:space="preserve">HR</x:t>
        </x:is>
      </x:c>
      <x:c r="B64" t="inlineStr">
        <x:is>
          <x:t xml:space="preserve">HR-D7-Q24</x:t>
        </x:is>
      </x:c>
      <x:c r="C64" t="inlineStr">
        <x:is>
          <x:t xml:space="preserve">Y</x:t>
        </x:is>
      </x:c>
      <x:c r="D64" t="inlineStr">
        <x:is>
          <x:t xml:space="preserve">N</x:t>
        </x:is>
      </x:c>
      <x:c r="E64" t="inlineStr">
        <x:is>
          <x:t xml:space="preserve">Y</x:t>
        </x:is>
      </x:c>
      <x:c r="F64" t="inlineStr">
        <x:is>
          <x:t xml:space="preserve">Y</x:t>
        </x:is>
      </x:c>
      <x:c r="L64" t="n">
        <x:v>24</x:v>
      </x:c>
      <x:c r="N64" t="inlineStr">
        <x:is>
          <x:t xml:space="preserve">hr</x:t>
        </x:is>
      </x:c>
    </x:row>
    <x:row r="65">
      <x:c r="A65" t="inlineStr">
        <x:is>
          <x:t xml:space="preserve">HR</x:t>
        </x:is>
      </x:c>
      <x:c r="B65" t="inlineStr">
        <x:is>
          <x:t xml:space="preserve">HR-D7-Q25</x:t>
        </x:is>
      </x:c>
      <x:c r="C65" t="inlineStr">
        <x:is>
          <x:t xml:space="preserve">Y</x:t>
        </x:is>
      </x:c>
      <x:c r="D65" t="inlineStr">
        <x:is>
          <x:t xml:space="preserve">N</x:t>
        </x:is>
      </x:c>
      <x:c r="E65" t="inlineStr">
        <x:is>
          <x:t xml:space="preserve">Y</x:t>
        </x:is>
      </x:c>
      <x:c r="F65" t="inlineStr">
        <x:is>
          <x:t xml:space="preserve">Y</x:t>
        </x:is>
      </x:c>
      <x:c r="L65" t="n">
        <x:v>25</x:v>
      </x:c>
      <x:c r="N65" t="inlineStr">
        <x:is>
          <x:t xml:space="preserve">hr</x:t>
        </x:is>
      </x:c>
    </x:row>
    <x:row r="66">
      <x:c r="A66" t="inlineStr">
        <x:is>
          <x:t xml:space="preserve">HR</x:t>
        </x:is>
      </x:c>
      <x:c r="B66" t="inlineStr">
        <x:is>
          <x:t xml:space="preserve">HR-D7-Q26</x:t>
        </x:is>
      </x:c>
      <x:c r="C66" t="inlineStr">
        <x:is>
          <x:t xml:space="preserve">Y</x:t>
        </x:is>
      </x:c>
      <x:c r="D66" t="inlineStr">
        <x:is>
          <x:t xml:space="preserve">N</x:t>
        </x:is>
      </x:c>
      <x:c r="E66" t="inlineStr">
        <x:is>
          <x:t xml:space="preserve">N</x:t>
        </x:is>
      </x:c>
      <x:c r="F66" t="inlineStr">
        <x:is>
          <x:t xml:space="preserve">Y</x:t>
        </x:is>
      </x:c>
      <x:c r="L66" t="n">
        <x:v>26</x:v>
      </x:c>
      <x:c r="N66" t="inlineStr">
        <x:is>
          <x:t xml:space="preserve">hr</x:t>
        </x:is>
      </x:c>
    </x:row>
    <x:row r="67">
      <x:c r="A67" t="inlineStr">
        <x:is>
          <x:t xml:space="preserve">HR</x:t>
        </x:is>
      </x:c>
      <x:c r="B67" t="inlineStr">
        <x:is>
          <x:t xml:space="preserve">HR-D8-Q27</x:t>
        </x:is>
      </x:c>
      <x:c r="C67" t="inlineStr">
        <x:is>
          <x:t xml:space="preserve">Y</x:t>
        </x:is>
      </x:c>
      <x:c r="D67" t="inlineStr">
        <x:is>
          <x:t xml:space="preserve">Y</x:t>
        </x:is>
      </x:c>
      <x:c r="E67" t="inlineStr">
        <x:is>
          <x:t xml:space="preserve">Y</x:t>
        </x:is>
      </x:c>
      <x:c r="F67" t="inlineStr">
        <x:is>
          <x:t xml:space="preserve">Y</x:t>
        </x:is>
      </x:c>
      <x:c r="L67" t="n">
        <x:v>27</x:v>
      </x:c>
      <x:c r="N67" t="inlineStr">
        <x:is>
          <x:t xml:space="preserve">hr</x:t>
        </x:is>
      </x:c>
    </x:row>
    <x:row r="68">
      <x:c r="A68" t="inlineStr">
        <x:is>
          <x:t xml:space="preserve">HR</x:t>
        </x:is>
      </x:c>
      <x:c r="B68" t="inlineStr">
        <x:is>
          <x:t xml:space="preserve">HR-D8-Q28</x:t>
        </x:is>
      </x:c>
      <x:c r="C68" t="inlineStr">
        <x:is>
          <x:t xml:space="preserve">Y</x:t>
        </x:is>
      </x:c>
      <x:c r="D68" t="inlineStr">
        <x:is>
          <x:t xml:space="preserve">N</x:t>
        </x:is>
      </x:c>
      <x:c r="E68" t="inlineStr">
        <x:is>
          <x:t xml:space="preserve">Y</x:t>
        </x:is>
      </x:c>
      <x:c r="F68" t="inlineStr">
        <x:is>
          <x:t xml:space="preserve">Y</x:t>
        </x:is>
      </x:c>
      <x:c r="L68" t="n">
        <x:v>28</x:v>
      </x:c>
      <x:c r="N68" t="inlineStr">
        <x:is>
          <x:t xml:space="preserve">hr</x:t>
        </x:is>
      </x:c>
    </x:row>
    <x:row r="69">
      <x:c r="A69" t="inlineStr">
        <x:is>
          <x:t xml:space="preserve">HR</x:t>
        </x:is>
      </x:c>
      <x:c r="B69" t="inlineStr">
        <x:is>
          <x:t xml:space="preserve">HR-D8-Q29</x:t>
        </x:is>
      </x:c>
      <x:c r="C69" t="inlineStr">
        <x:is>
          <x:t xml:space="preserve">Y</x:t>
        </x:is>
      </x:c>
      <x:c r="D69" t="inlineStr">
        <x:is>
          <x:t xml:space="preserve">N</x:t>
        </x:is>
      </x:c>
      <x:c r="E69" t="inlineStr">
        <x:is>
          <x:t xml:space="preserve">N</x:t>
        </x:is>
      </x:c>
      <x:c r="F69" t="inlineStr">
        <x:is>
          <x:t xml:space="preserve">Y</x:t>
        </x:is>
      </x:c>
      <x:c r="L69" t="n">
        <x:v>29</x:v>
      </x:c>
      <x:c r="N69" t="inlineStr">
        <x:is>
          <x:t xml:space="preserve">hr</x:t>
        </x:is>
      </x:c>
    </x:row>
    <x:row r="70">
      <x:c r="A70" t="inlineStr">
        <x:is>
          <x:t xml:space="preserve">Security</x:t>
        </x:is>
      </x:c>
      <x:c r="B70" t="inlineStr">
        <x:is>
          <x:t xml:space="preserve">SEC-D1-Q01</x:t>
        </x:is>
      </x:c>
      <x:c r="C70" t="inlineStr">
        <x:is>
          <x:t xml:space="preserve">Y</x:t>
        </x:is>
      </x:c>
      <x:c r="D70" t="inlineStr">
        <x:is>
          <x:t xml:space="preserve">Y</x:t>
        </x:is>
      </x:c>
      <x:c r="E70" t="inlineStr">
        <x:is>
          <x:t xml:space="preserve">Y</x:t>
        </x:is>
      </x:c>
      <x:c r="F70" t="inlineStr">
        <x:is>
          <x:t xml:space="preserve">Y</x:t>
        </x:is>
      </x:c>
      <x:c r="L70" t="n">
        <x:v>1</x:v>
      </x:c>
      <x:c r="N70" t="inlineStr">
        <x:is>
          <x:t xml:space="preserve">security</x:t>
        </x:is>
      </x:c>
    </x:row>
    <x:row r="71">
      <x:c r="A71" t="inlineStr">
        <x:is>
          <x:t xml:space="preserve">Security</x:t>
        </x:is>
      </x:c>
      <x:c r="B71" t="inlineStr">
        <x:is>
          <x:t xml:space="preserve">SEC-D1-Q02</x:t>
        </x:is>
      </x:c>
      <x:c r="C71" t="inlineStr">
        <x:is>
          <x:t xml:space="preserve">Y</x:t>
        </x:is>
      </x:c>
      <x:c r="D71" t="inlineStr">
        <x:is>
          <x:t xml:space="preserve">N</x:t>
        </x:is>
      </x:c>
      <x:c r="E71" t="inlineStr">
        <x:is>
          <x:t xml:space="preserve">Y</x:t>
        </x:is>
      </x:c>
      <x:c r="F71" t="inlineStr">
        <x:is>
          <x:t xml:space="preserve">Y</x:t>
        </x:is>
      </x:c>
      <x:c r="L71" t="n">
        <x:v>2</x:v>
      </x:c>
      <x:c r="N71" t="inlineStr">
        <x:is>
          <x:t xml:space="preserve">security</x:t>
        </x:is>
      </x:c>
    </x:row>
    <x:row r="72">
      <x:c r="A72" t="inlineStr">
        <x:is>
          <x:t xml:space="preserve">Security</x:t>
        </x:is>
      </x:c>
      <x:c r="B72" t="inlineStr">
        <x:is>
          <x:t xml:space="preserve">SEC-D1-Q03</x:t>
        </x:is>
      </x:c>
      <x:c r="C72" t="inlineStr">
        <x:is>
          <x:t xml:space="preserve">Y</x:t>
        </x:is>
      </x:c>
      <x:c r="D72" t="inlineStr">
        <x:is>
          <x:t xml:space="preserve">N</x:t>
        </x:is>
      </x:c>
      <x:c r="E72" t="inlineStr">
        <x:is>
          <x:t xml:space="preserve">Y</x:t>
        </x:is>
      </x:c>
      <x:c r="F72" t="inlineStr">
        <x:is>
          <x:t xml:space="preserve">Y</x:t>
        </x:is>
      </x:c>
      <x:c r="L72" t="n">
        <x:v>3</x:v>
      </x:c>
      <x:c r="N72" t="inlineStr">
        <x:is>
          <x:t xml:space="preserve">security</x:t>
        </x:is>
      </x:c>
    </x:row>
    <x:row r="73">
      <x:c r="A73" t="inlineStr">
        <x:is>
          <x:t xml:space="preserve">Security</x:t>
        </x:is>
      </x:c>
      <x:c r="B73" t="inlineStr">
        <x:is>
          <x:t xml:space="preserve">SEC-D2-Q04</x:t>
        </x:is>
      </x:c>
      <x:c r="C73" t="inlineStr">
        <x:is>
          <x:t xml:space="preserve">Y</x:t>
        </x:is>
      </x:c>
      <x:c r="D73" t="inlineStr">
        <x:is>
          <x:t xml:space="preserve">Y</x:t>
        </x:is>
      </x:c>
      <x:c r="E73" t="inlineStr">
        <x:is>
          <x:t xml:space="preserve">Y</x:t>
        </x:is>
      </x:c>
      <x:c r="F73" t="inlineStr">
        <x:is>
          <x:t xml:space="preserve">Y</x:t>
        </x:is>
      </x:c>
      <x:c r="L73" t="n">
        <x:v>4</x:v>
      </x:c>
      <x:c r="N73" t="inlineStr">
        <x:is>
          <x:t xml:space="preserve">security</x:t>
        </x:is>
      </x:c>
    </x:row>
    <x:row r="74">
      <x:c r="A74" t="inlineStr">
        <x:is>
          <x:t xml:space="preserve">Security</x:t>
        </x:is>
      </x:c>
      <x:c r="B74" t="inlineStr">
        <x:is>
          <x:t xml:space="preserve">SEC-D2-Q05</x:t>
        </x:is>
      </x:c>
      <x:c r="C74" t="inlineStr">
        <x:is>
          <x:t xml:space="preserve">Y</x:t>
        </x:is>
      </x:c>
      <x:c r="D74" t="inlineStr">
        <x:is>
          <x:t xml:space="preserve">N</x:t>
        </x:is>
      </x:c>
      <x:c r="E74" t="inlineStr">
        <x:is>
          <x:t xml:space="preserve">Y</x:t>
        </x:is>
      </x:c>
      <x:c r="F74" t="inlineStr">
        <x:is>
          <x:t xml:space="preserve">Y</x:t>
        </x:is>
      </x:c>
      <x:c r="L74" t="n">
        <x:v>5</x:v>
      </x:c>
      <x:c r="N74" t="inlineStr">
        <x:is>
          <x:t xml:space="preserve">security</x:t>
        </x:is>
      </x:c>
    </x:row>
    <x:row r="75">
      <x:c r="A75" t="inlineStr">
        <x:is>
          <x:t xml:space="preserve">Security</x:t>
        </x:is>
      </x:c>
      <x:c r="B75" t="inlineStr">
        <x:is>
          <x:t xml:space="preserve">SEC-D2-Q06</x:t>
        </x:is>
      </x:c>
      <x:c r="C75" t="inlineStr">
        <x:is>
          <x:t xml:space="preserve">Y</x:t>
        </x:is>
      </x:c>
      <x:c r="D75" t="inlineStr">
        <x:is>
          <x:t xml:space="preserve">N</x:t>
        </x:is>
      </x:c>
      <x:c r="E75" t="inlineStr">
        <x:is>
          <x:t xml:space="preserve">Y</x:t>
        </x:is>
      </x:c>
      <x:c r="F75" t="inlineStr">
        <x:is>
          <x:t xml:space="preserve">Y</x:t>
        </x:is>
      </x:c>
      <x:c r="L75" t="n">
        <x:v>6</x:v>
      </x:c>
      <x:c r="N75" t="inlineStr">
        <x:is>
          <x:t xml:space="preserve">security</x:t>
        </x:is>
      </x:c>
    </x:row>
    <x:row r="76">
      <x:c r="A76" t="inlineStr">
        <x:is>
          <x:t xml:space="preserve">Security</x:t>
        </x:is>
      </x:c>
      <x:c r="B76" t="inlineStr">
        <x:is>
          <x:t xml:space="preserve">SEC-D3-Q07</x:t>
        </x:is>
      </x:c>
      <x:c r="C76" t="inlineStr">
        <x:is>
          <x:t xml:space="preserve">Y</x:t>
        </x:is>
      </x:c>
      <x:c r="D76" t="inlineStr">
        <x:is>
          <x:t xml:space="preserve">Y</x:t>
        </x:is>
      </x:c>
      <x:c r="E76" t="inlineStr">
        <x:is>
          <x:t xml:space="preserve">Y</x:t>
        </x:is>
      </x:c>
      <x:c r="F76" t="inlineStr">
        <x:is>
          <x:t xml:space="preserve">Y</x:t>
        </x:is>
      </x:c>
      <x:c r="L76" t="n">
        <x:v>7</x:v>
      </x:c>
      <x:c r="N76" t="inlineStr">
        <x:is>
          <x:t xml:space="preserve">security</x:t>
        </x:is>
      </x:c>
    </x:row>
    <x:row r="77">
      <x:c r="A77" t="inlineStr">
        <x:is>
          <x:t xml:space="preserve">Security</x:t>
        </x:is>
      </x:c>
      <x:c r="B77" t="inlineStr">
        <x:is>
          <x:t xml:space="preserve">SEC-D3-Q08</x:t>
        </x:is>
      </x:c>
      <x:c r="C77" t="inlineStr">
        <x:is>
          <x:t xml:space="preserve">Y</x:t>
        </x:is>
      </x:c>
      <x:c r="D77" t="inlineStr">
        <x:is>
          <x:t xml:space="preserve">N</x:t>
        </x:is>
      </x:c>
      <x:c r="E77" t="inlineStr">
        <x:is>
          <x:t xml:space="preserve">Y</x:t>
        </x:is>
      </x:c>
      <x:c r="F77" t="inlineStr">
        <x:is>
          <x:t xml:space="preserve">Y</x:t>
        </x:is>
      </x:c>
      <x:c r="L77" t="n">
        <x:v>8</x:v>
      </x:c>
      <x:c r="N77" t="inlineStr">
        <x:is>
          <x:t xml:space="preserve">security</x:t>
        </x:is>
      </x:c>
    </x:row>
    <x:row r="78">
      <x:c r="A78" t="inlineStr">
        <x:is>
          <x:t xml:space="preserve">Security</x:t>
        </x:is>
      </x:c>
      <x:c r="B78" t="inlineStr">
        <x:is>
          <x:t xml:space="preserve">SEC-D3-Q09</x:t>
        </x:is>
      </x:c>
      <x:c r="C78" t="inlineStr">
        <x:is>
          <x:t xml:space="preserve">Y</x:t>
        </x:is>
      </x:c>
      <x:c r="D78" t="inlineStr">
        <x:is>
          <x:t xml:space="preserve">N</x:t>
        </x:is>
      </x:c>
      <x:c r="E78" t="inlineStr">
        <x:is>
          <x:t xml:space="preserve">Y</x:t>
        </x:is>
      </x:c>
      <x:c r="F78" t="inlineStr">
        <x:is>
          <x:t xml:space="preserve">Y</x:t>
        </x:is>
      </x:c>
      <x:c r="L78" t="n">
        <x:v>9</x:v>
      </x:c>
      <x:c r="N78" t="inlineStr">
        <x:is>
          <x:t xml:space="preserve">security</x:t>
        </x:is>
      </x:c>
    </x:row>
    <x:row r="79">
      <x:c r="A79" t="inlineStr">
        <x:is>
          <x:t xml:space="preserve">Security</x:t>
        </x:is>
      </x:c>
      <x:c r="B79" t="inlineStr">
        <x:is>
          <x:t xml:space="preserve">SEC-D4-Q10</x:t>
        </x:is>
      </x:c>
      <x:c r="C79" t="inlineStr">
        <x:is>
          <x:t xml:space="preserve">Y</x:t>
        </x:is>
      </x:c>
      <x:c r="D79" t="inlineStr">
        <x:is>
          <x:t xml:space="preserve">Y</x:t>
        </x:is>
      </x:c>
      <x:c r="E79" t="inlineStr">
        <x:is>
          <x:t xml:space="preserve">Y</x:t>
        </x:is>
      </x:c>
      <x:c r="F79" t="inlineStr">
        <x:is>
          <x:t xml:space="preserve">Y</x:t>
        </x:is>
      </x:c>
      <x:c r="L79" t="n">
        <x:v>10</x:v>
      </x:c>
      <x:c r="N79" t="inlineStr">
        <x:is>
          <x:t xml:space="preserve">security</x:t>
        </x:is>
      </x:c>
    </x:row>
    <x:row r="80">
      <x:c r="A80" t="inlineStr">
        <x:is>
          <x:t xml:space="preserve">Security</x:t>
        </x:is>
      </x:c>
      <x:c r="B80" t="inlineStr">
        <x:is>
          <x:t xml:space="preserve">SEC-D4-Q11</x:t>
        </x:is>
      </x:c>
      <x:c r="C80" t="inlineStr">
        <x:is>
          <x:t xml:space="preserve">Y</x:t>
        </x:is>
      </x:c>
      <x:c r="D80" t="inlineStr">
        <x:is>
          <x:t xml:space="preserve">N</x:t>
        </x:is>
      </x:c>
      <x:c r="E80" t="inlineStr">
        <x:is>
          <x:t xml:space="preserve">Y</x:t>
        </x:is>
      </x:c>
      <x:c r="F80" t="inlineStr">
        <x:is>
          <x:t xml:space="preserve">Y</x:t>
        </x:is>
      </x:c>
      <x:c r="L80" t="n">
        <x:v>11</x:v>
      </x:c>
      <x:c r="N80" t="inlineStr">
        <x:is>
          <x:t xml:space="preserve">security</x:t>
        </x:is>
      </x:c>
    </x:row>
    <x:row r="81">
      <x:c r="A81" t="inlineStr">
        <x:is>
          <x:t xml:space="preserve">Security</x:t>
        </x:is>
      </x:c>
      <x:c r="B81" t="inlineStr">
        <x:is>
          <x:t xml:space="preserve">SEC-D4-Q12</x:t>
        </x:is>
      </x:c>
      <x:c r="C81" t="inlineStr">
        <x:is>
          <x:t xml:space="preserve">Y</x:t>
        </x:is>
      </x:c>
      <x:c r="D81" t="inlineStr">
        <x:is>
          <x:t xml:space="preserve">N</x:t>
        </x:is>
      </x:c>
      <x:c r="E81" t="inlineStr">
        <x:is>
          <x:t xml:space="preserve">Y</x:t>
        </x:is>
      </x:c>
      <x:c r="F81" t="inlineStr">
        <x:is>
          <x:t xml:space="preserve">Y</x:t>
        </x:is>
      </x:c>
      <x:c r="L81" t="n">
        <x:v>12</x:v>
      </x:c>
      <x:c r="N81" t="inlineStr">
        <x:is>
          <x:t xml:space="preserve">security</x:t>
        </x:is>
      </x:c>
    </x:row>
    <x:row r="82">
      <x:c r="A82" t="inlineStr">
        <x:is>
          <x:t xml:space="preserve">Security</x:t>
        </x:is>
      </x:c>
      <x:c r="B82" t="inlineStr">
        <x:is>
          <x:t xml:space="preserve">SEC-D5-Q13</x:t>
        </x:is>
      </x:c>
      <x:c r="C82" t="inlineStr">
        <x:is>
          <x:t xml:space="preserve">Y</x:t>
        </x:is>
      </x:c>
      <x:c r="D82" t="inlineStr">
        <x:is>
          <x:t xml:space="preserve">Y</x:t>
        </x:is>
      </x:c>
      <x:c r="E82" t="inlineStr">
        <x:is>
          <x:t xml:space="preserve">Y</x:t>
        </x:is>
      </x:c>
      <x:c r="F82" t="inlineStr">
        <x:is>
          <x:t xml:space="preserve">Y</x:t>
        </x:is>
      </x:c>
      <x:c r="L82" t="n">
        <x:v>13</x:v>
      </x:c>
      <x:c r="N82" t="inlineStr">
        <x:is>
          <x:t xml:space="preserve">security</x:t>
        </x:is>
      </x:c>
    </x:row>
    <x:row r="83">
      <x:c r="A83" t="inlineStr">
        <x:is>
          <x:t xml:space="preserve">Security</x:t>
        </x:is>
      </x:c>
      <x:c r="B83" t="inlineStr">
        <x:is>
          <x:t xml:space="preserve">SEC-D5-Q14</x:t>
        </x:is>
      </x:c>
      <x:c r="C83" t="inlineStr">
        <x:is>
          <x:t xml:space="preserve">Y</x:t>
        </x:is>
      </x:c>
      <x:c r="D83" t="inlineStr">
        <x:is>
          <x:t xml:space="preserve">N</x:t>
        </x:is>
      </x:c>
      <x:c r="E83" t="inlineStr">
        <x:is>
          <x:t xml:space="preserve">Y</x:t>
        </x:is>
      </x:c>
      <x:c r="F83" t="inlineStr">
        <x:is>
          <x:t xml:space="preserve">Y</x:t>
        </x:is>
      </x:c>
      <x:c r="L83" t="n">
        <x:v>14</x:v>
      </x:c>
      <x:c r="N83" t="inlineStr">
        <x:is>
          <x:t xml:space="preserve">security</x:t>
        </x:is>
      </x:c>
    </x:row>
    <x:row r="84">
      <x:c r="A84" t="inlineStr">
        <x:is>
          <x:t xml:space="preserve">Security</x:t>
        </x:is>
      </x:c>
      <x:c r="B84" t="inlineStr">
        <x:is>
          <x:t xml:space="preserve">SEC-D5-Q15</x:t>
        </x:is>
      </x:c>
      <x:c r="C84" t="inlineStr">
        <x:is>
          <x:t xml:space="preserve">Y</x:t>
        </x:is>
      </x:c>
      <x:c r="D84" t="inlineStr">
        <x:is>
          <x:t xml:space="preserve">N</x:t>
        </x:is>
      </x:c>
      <x:c r="E84" t="inlineStr">
        <x:is>
          <x:t xml:space="preserve">Y</x:t>
        </x:is>
      </x:c>
      <x:c r="F84" t="inlineStr">
        <x:is>
          <x:t xml:space="preserve">Y</x:t>
        </x:is>
      </x:c>
      <x:c r="L84" t="n">
        <x:v>15</x:v>
      </x:c>
      <x:c r="N84" t="inlineStr">
        <x:is>
          <x:t xml:space="preserve">security</x:t>
        </x:is>
      </x:c>
    </x:row>
    <x:row r="85">
      <x:c r="A85" t="inlineStr">
        <x:is>
          <x:t xml:space="preserve">Security</x:t>
        </x:is>
      </x:c>
      <x:c r="B85" t="inlineStr">
        <x:is>
          <x:t xml:space="preserve">SEC-D6-Q16</x:t>
        </x:is>
      </x:c>
      <x:c r="C85" t="inlineStr">
        <x:is>
          <x:t xml:space="preserve">Y</x:t>
        </x:is>
      </x:c>
      <x:c r="D85" t="inlineStr">
        <x:is>
          <x:t xml:space="preserve">Y</x:t>
        </x:is>
      </x:c>
      <x:c r="E85" t="inlineStr">
        <x:is>
          <x:t xml:space="preserve">Y</x:t>
        </x:is>
      </x:c>
      <x:c r="F85" t="inlineStr">
        <x:is>
          <x:t xml:space="preserve">Y</x:t>
        </x:is>
      </x:c>
      <x:c r="L85" t="n">
        <x:v>16</x:v>
      </x:c>
      <x:c r="N85" t="inlineStr">
        <x:is>
          <x:t xml:space="preserve">security</x:t>
        </x:is>
      </x:c>
    </x:row>
    <x:row r="86">
      <x:c r="A86" t="inlineStr">
        <x:is>
          <x:t xml:space="preserve">Security</x:t>
        </x:is>
      </x:c>
      <x:c r="B86" t="inlineStr">
        <x:is>
          <x:t xml:space="preserve">SEC-D6-Q17</x:t>
        </x:is>
      </x:c>
      <x:c r="C86" t="inlineStr">
        <x:is>
          <x:t xml:space="preserve">Y</x:t>
        </x:is>
      </x:c>
      <x:c r="D86" t="inlineStr">
        <x:is>
          <x:t xml:space="preserve">N</x:t>
        </x:is>
      </x:c>
      <x:c r="E86" t="inlineStr">
        <x:is>
          <x:t xml:space="preserve">Y</x:t>
        </x:is>
      </x:c>
      <x:c r="F86" t="inlineStr">
        <x:is>
          <x:t xml:space="preserve">Y</x:t>
        </x:is>
      </x:c>
      <x:c r="L86" t="n">
        <x:v>17</x:v>
      </x:c>
      <x:c r="N86" t="inlineStr">
        <x:is>
          <x:t xml:space="preserve">security</x:t>
        </x:is>
      </x:c>
    </x:row>
    <x:row r="87">
      <x:c r="A87" t="inlineStr">
        <x:is>
          <x:t xml:space="preserve">Security</x:t>
        </x:is>
      </x:c>
      <x:c r="B87" t="inlineStr">
        <x:is>
          <x:t xml:space="preserve">SEC-D6-Q18</x:t>
        </x:is>
      </x:c>
      <x:c r="C87" t="inlineStr">
        <x:is>
          <x:t xml:space="preserve">Y</x:t>
        </x:is>
      </x:c>
      <x:c r="D87" t="inlineStr">
        <x:is>
          <x:t xml:space="preserve">N</x:t>
        </x:is>
      </x:c>
      <x:c r="E87" t="inlineStr">
        <x:is>
          <x:t xml:space="preserve">Y</x:t>
        </x:is>
      </x:c>
      <x:c r="F87" t="inlineStr">
        <x:is>
          <x:t xml:space="preserve">Y</x:t>
        </x:is>
      </x:c>
      <x:c r="L87" t="n">
        <x:v>18</x:v>
      </x:c>
      <x:c r="N87" t="inlineStr">
        <x:is>
          <x:t xml:space="preserve">security</x:t>
        </x:is>
      </x:c>
    </x:row>
    <x:row r="88">
      <x:c r="A88" t="inlineStr">
        <x:is>
          <x:t xml:space="preserve">Security</x:t>
        </x:is>
      </x:c>
      <x:c r="B88" t="inlineStr">
        <x:is>
          <x:t xml:space="preserve">SEC-D7-Q19</x:t>
        </x:is>
      </x:c>
      <x:c r="C88" t="inlineStr">
        <x:is>
          <x:t xml:space="preserve">Y</x:t>
        </x:is>
      </x:c>
      <x:c r="D88" t="inlineStr">
        <x:is>
          <x:t xml:space="preserve">Y</x:t>
        </x:is>
      </x:c>
      <x:c r="E88" t="inlineStr">
        <x:is>
          <x:t xml:space="preserve">Y</x:t>
        </x:is>
      </x:c>
      <x:c r="F88" t="inlineStr">
        <x:is>
          <x:t xml:space="preserve">Y</x:t>
        </x:is>
      </x:c>
      <x:c r="L88" t="n">
        <x:v>19</x:v>
      </x:c>
      <x:c r="N88" t="inlineStr">
        <x:is>
          <x:t xml:space="preserve">security</x:t>
        </x:is>
      </x:c>
    </x:row>
    <x:row r="89">
      <x:c r="A89" t="inlineStr">
        <x:is>
          <x:t xml:space="preserve">Security</x:t>
        </x:is>
      </x:c>
      <x:c r="B89" t="inlineStr">
        <x:is>
          <x:t xml:space="preserve">SEC-D7-Q20</x:t>
        </x:is>
      </x:c>
      <x:c r="C89" t="inlineStr">
        <x:is>
          <x:t xml:space="preserve">Y</x:t>
        </x:is>
      </x:c>
      <x:c r="D89" t="inlineStr">
        <x:is>
          <x:t xml:space="preserve">N</x:t>
        </x:is>
      </x:c>
      <x:c r="E89" t="inlineStr">
        <x:is>
          <x:t xml:space="preserve">Y</x:t>
        </x:is>
      </x:c>
      <x:c r="F89" t="inlineStr">
        <x:is>
          <x:t xml:space="preserve">Y</x:t>
        </x:is>
      </x:c>
      <x:c r="L89" t="n">
        <x:v>20</x:v>
      </x:c>
      <x:c r="N89" t="inlineStr">
        <x:is>
          <x:t xml:space="preserve">security</x:t>
        </x:is>
      </x:c>
    </x:row>
    <x:row r="90">
      <x:c r="A90" t="inlineStr">
        <x:is>
          <x:t xml:space="preserve">Security</x:t>
        </x:is>
      </x:c>
      <x:c r="B90" t="inlineStr">
        <x:is>
          <x:t xml:space="preserve">SEC-D7-Q21</x:t>
        </x:is>
      </x:c>
      <x:c r="C90" t="inlineStr">
        <x:is>
          <x:t xml:space="preserve">Y</x:t>
        </x:is>
      </x:c>
      <x:c r="D90" t="inlineStr">
        <x:is>
          <x:t xml:space="preserve">N</x:t>
        </x:is>
      </x:c>
      <x:c r="E90" t="inlineStr">
        <x:is>
          <x:t xml:space="preserve">N</x:t>
        </x:is>
      </x:c>
      <x:c r="F90" t="inlineStr">
        <x:is>
          <x:t xml:space="preserve">Y</x:t>
        </x:is>
      </x:c>
      <x:c r="L90" t="n">
        <x:v>21</x:v>
      </x:c>
      <x:c r="N90" t="inlineStr">
        <x:is>
          <x:t xml:space="preserve">security</x:t>
        </x:is>
      </x:c>
    </x:row>
    <x:row r="91">
      <x:c r="A91" t="inlineStr">
        <x:is>
          <x:t xml:space="preserve">Security</x:t>
        </x:is>
      </x:c>
      <x:c r="B91" t="inlineStr">
        <x:is>
          <x:t xml:space="preserve">SEC-D8-Q22</x:t>
        </x:is>
      </x:c>
      <x:c r="C91" t="inlineStr">
        <x:is>
          <x:t xml:space="preserve">Y</x:t>
        </x:is>
      </x:c>
      <x:c r="D91" t="inlineStr">
        <x:is>
          <x:t xml:space="preserve">Y</x:t>
        </x:is>
      </x:c>
      <x:c r="E91" t="inlineStr">
        <x:is>
          <x:t xml:space="preserve">Y</x:t>
        </x:is>
      </x:c>
      <x:c r="F91" t="inlineStr">
        <x:is>
          <x:t xml:space="preserve">Y</x:t>
        </x:is>
      </x:c>
      <x:c r="L91" t="n">
        <x:v>22</x:v>
      </x:c>
      <x:c r="N91" t="inlineStr">
        <x:is>
          <x:t xml:space="preserve">security</x:t>
        </x:is>
      </x:c>
    </x:row>
    <x:row r="92">
      <x:c r="A92" t="inlineStr">
        <x:is>
          <x:t xml:space="preserve">Security</x:t>
        </x:is>
      </x:c>
      <x:c r="B92" t="inlineStr">
        <x:is>
          <x:t xml:space="preserve">SEC-D8-Q23</x:t>
        </x:is>
      </x:c>
      <x:c r="C92" t="inlineStr">
        <x:is>
          <x:t xml:space="preserve">Y</x:t>
        </x:is>
      </x:c>
      <x:c r="D92" t="inlineStr">
        <x:is>
          <x:t xml:space="preserve">N</x:t>
        </x:is>
      </x:c>
      <x:c r="E92" t="inlineStr">
        <x:is>
          <x:t xml:space="preserve">Y</x:t>
        </x:is>
      </x:c>
      <x:c r="F92" t="inlineStr">
        <x:is>
          <x:t xml:space="preserve">Y</x:t>
        </x:is>
      </x:c>
      <x:c r="L92" t="n">
        <x:v>23</x:v>
      </x:c>
      <x:c r="N92" t="inlineStr">
        <x:is>
          <x:t xml:space="preserve">security</x:t>
        </x:is>
      </x:c>
    </x:row>
    <x:row r="93">
      <x:c r="A93" t="inlineStr">
        <x:is>
          <x:t xml:space="preserve">Security</x:t>
        </x:is>
      </x:c>
      <x:c r="B93" t="inlineStr">
        <x:is>
          <x:t xml:space="preserve">SEC-D8-Q24</x:t>
        </x:is>
      </x:c>
      <x:c r="C93" t="inlineStr">
        <x:is>
          <x:t xml:space="preserve">Y</x:t>
        </x:is>
      </x:c>
      <x:c r="D93" t="inlineStr">
        <x:is>
          <x:t xml:space="preserve">N</x:t>
        </x:is>
      </x:c>
      <x:c r="E93" t="inlineStr">
        <x:is>
          <x:t xml:space="preserve">N</x:t>
        </x:is>
      </x:c>
      <x:c r="F93" t="inlineStr">
        <x:is>
          <x:t xml:space="preserve">Y</x:t>
        </x:is>
      </x:c>
      <x:c r="L93" t="n">
        <x:v>24</x:v>
      </x:c>
      <x:c r="N93" t="inlineStr">
        <x:is>
          <x:t xml:space="preserve">security</x:t>
        </x:is>
      </x:c>
    </x:row>
    <x:row r="94">
      <x:c r="A94" t="inlineStr">
        <x:is>
          <x:t xml:space="preserve">Security</x:t>
        </x:is>
      </x:c>
      <x:c r="B94" t="inlineStr">
        <x:is>
          <x:t xml:space="preserve">SEC-D9-Q25</x:t>
        </x:is>
      </x:c>
      <x:c r="C94" t="inlineStr">
        <x:is>
          <x:t xml:space="preserve">Y</x:t>
        </x:is>
      </x:c>
      <x:c r="D94" t="inlineStr">
        <x:is>
          <x:t xml:space="preserve">Y</x:t>
        </x:is>
      </x:c>
      <x:c r="E94" t="inlineStr">
        <x:is>
          <x:t xml:space="preserve">Y</x:t>
        </x:is>
      </x:c>
      <x:c r="F94" t="inlineStr">
        <x:is>
          <x:t xml:space="preserve">Y</x:t>
        </x:is>
      </x:c>
      <x:c r="L94" t="n">
        <x:v>25</x:v>
      </x:c>
      <x:c r="N94" t="inlineStr">
        <x:is>
          <x:t xml:space="preserve">security</x:t>
        </x:is>
      </x:c>
    </x:row>
    <x:row r="95">
      <x:c r="A95" t="inlineStr">
        <x:is>
          <x:t xml:space="preserve">Security</x:t>
        </x:is>
      </x:c>
      <x:c r="B95" t="inlineStr">
        <x:is>
          <x:t xml:space="preserve">SEC-D9-Q26</x:t>
        </x:is>
      </x:c>
      <x:c r="C95" t="inlineStr">
        <x:is>
          <x:t xml:space="preserve">Y</x:t>
        </x:is>
      </x:c>
      <x:c r="D95" t="inlineStr">
        <x:is>
          <x:t xml:space="preserve">N</x:t>
        </x:is>
      </x:c>
      <x:c r="E95" t="inlineStr">
        <x:is>
          <x:t xml:space="preserve">Y</x:t>
        </x:is>
      </x:c>
      <x:c r="F95" t="inlineStr">
        <x:is>
          <x:t xml:space="preserve">Y</x:t>
        </x:is>
      </x:c>
      <x:c r="L95" t="n">
        <x:v>26</x:v>
      </x:c>
      <x:c r="N95" t="inlineStr">
        <x:is>
          <x:t xml:space="preserve">security</x:t>
        </x:is>
      </x:c>
    </x:row>
    <x:row r="96">
      <x:c r="A96" t="inlineStr">
        <x:is>
          <x:t xml:space="preserve">Security</x:t>
        </x:is>
      </x:c>
      <x:c r="B96" t="inlineStr">
        <x:is>
          <x:t xml:space="preserve">SEC-D9-Q27</x:t>
        </x:is>
      </x:c>
      <x:c r="C96" t="inlineStr">
        <x:is>
          <x:t xml:space="preserve">Y</x:t>
        </x:is>
      </x:c>
      <x:c r="D96" t="inlineStr">
        <x:is>
          <x:t xml:space="preserve">N</x:t>
        </x:is>
      </x:c>
      <x:c r="E96" t="inlineStr">
        <x:is>
          <x:t xml:space="preserve">N</x:t>
        </x:is>
      </x:c>
      <x:c r="F96" t="inlineStr">
        <x:is>
          <x:t xml:space="preserve">Y</x:t>
        </x:is>
      </x:c>
      <x:c r="L96" t="n">
        <x:v>27</x:v>
      </x:c>
      <x:c r="N96" t="inlineStr">
        <x:is>
          <x:t xml:space="preserve">security</x:t>
        </x:is>
      </x:c>
    </x:row>
    <x:row r="97">
      <x:c r="A97" t="inlineStr">
        <x:is>
          <x:t xml:space="preserve">Legal</x:t>
        </x:is>
      </x:c>
      <x:c r="B97" t="inlineStr">
        <x:is>
          <x:t xml:space="preserve">LEG-D1-Q01</x:t>
        </x:is>
      </x:c>
      <x:c r="C97" t="inlineStr">
        <x:is>
          <x:t xml:space="preserve">Y</x:t>
        </x:is>
      </x:c>
      <x:c r="D97" t="inlineStr">
        <x:is>
          <x:t xml:space="preserve">Y</x:t>
        </x:is>
      </x:c>
      <x:c r="E97" t="inlineStr">
        <x:is>
          <x:t xml:space="preserve">Y</x:t>
        </x:is>
      </x:c>
      <x:c r="F97" t="inlineStr">
        <x:is>
          <x:t xml:space="preserve">Y</x:t>
        </x:is>
      </x:c>
      <x:c r="L97" t="n">
        <x:v>1</x:v>
      </x:c>
      <x:c r="N97" t="inlineStr">
        <x:is>
          <x:t xml:space="preserve">legal</x:t>
        </x:is>
      </x:c>
    </x:row>
    <x:row r="98">
      <x:c r="A98" t="inlineStr">
        <x:is>
          <x:t xml:space="preserve">Legal</x:t>
        </x:is>
      </x:c>
      <x:c r="B98" t="inlineStr">
        <x:is>
          <x:t xml:space="preserve">LEG-D1-Q02</x:t>
        </x:is>
      </x:c>
      <x:c r="C98" t="inlineStr">
        <x:is>
          <x:t xml:space="preserve">Y</x:t>
        </x:is>
      </x:c>
      <x:c r="D98" t="inlineStr">
        <x:is>
          <x:t xml:space="preserve">N</x:t>
        </x:is>
      </x:c>
      <x:c r="E98" t="inlineStr">
        <x:is>
          <x:t xml:space="preserve">Y</x:t>
        </x:is>
      </x:c>
      <x:c r="F98" t="inlineStr">
        <x:is>
          <x:t xml:space="preserve">Y</x:t>
        </x:is>
      </x:c>
      <x:c r="L98" t="n">
        <x:v>2</x:v>
      </x:c>
      <x:c r="N98" t="inlineStr">
        <x:is>
          <x:t xml:space="preserve">legal</x:t>
        </x:is>
      </x:c>
    </x:row>
    <x:row r="99">
      <x:c r="A99" t="inlineStr">
        <x:is>
          <x:t xml:space="preserve">Legal</x:t>
        </x:is>
      </x:c>
      <x:c r="B99" t="inlineStr">
        <x:is>
          <x:t xml:space="preserve">LEG-D1-Q03</x:t>
        </x:is>
      </x:c>
      <x:c r="C99" t="inlineStr">
        <x:is>
          <x:t xml:space="preserve">Y</x:t>
        </x:is>
      </x:c>
      <x:c r="D99" t="inlineStr">
        <x:is>
          <x:t xml:space="preserve">N</x:t>
        </x:is>
      </x:c>
      <x:c r="E99" t="inlineStr">
        <x:is>
          <x:t xml:space="preserve">Y</x:t>
        </x:is>
      </x:c>
      <x:c r="F99" t="inlineStr">
        <x:is>
          <x:t xml:space="preserve">Y</x:t>
        </x:is>
      </x:c>
      <x:c r="L99" t="n">
        <x:v>3</x:v>
      </x:c>
      <x:c r="N99" t="inlineStr">
        <x:is>
          <x:t xml:space="preserve">legal</x:t>
        </x:is>
      </x:c>
    </x:row>
    <x:row r="100">
      <x:c r="A100" t="inlineStr">
        <x:is>
          <x:t xml:space="preserve">Legal</x:t>
        </x:is>
      </x:c>
      <x:c r="B100" t="inlineStr">
        <x:is>
          <x:t xml:space="preserve">LEG-D1-Q04</x:t>
        </x:is>
      </x:c>
      <x:c r="C100" t="inlineStr">
        <x:is>
          <x:t xml:space="preserve">Y</x:t>
        </x:is>
      </x:c>
      <x:c r="D100" t="inlineStr">
        <x:is>
          <x:t xml:space="preserve">Y</x:t>
        </x:is>
      </x:c>
      <x:c r="E100" t="inlineStr">
        <x:is>
          <x:t xml:space="preserve">Y</x:t>
        </x:is>
      </x:c>
      <x:c r="F100" t="inlineStr">
        <x:is>
          <x:t xml:space="preserve">Y</x:t>
        </x:is>
      </x:c>
      <x:c r="L100" t="n">
        <x:v>4</x:v>
      </x:c>
      <x:c r="N100" t="inlineStr">
        <x:is>
          <x:t xml:space="preserve">legal</x:t>
        </x:is>
      </x:c>
    </x:row>
    <x:row r="101">
      <x:c r="A101" t="inlineStr">
        <x:is>
          <x:t xml:space="preserve">Legal</x:t>
        </x:is>
      </x:c>
      <x:c r="B101" t="inlineStr">
        <x:is>
          <x:t xml:space="preserve">LEG-D1-Q05</x:t>
        </x:is>
      </x:c>
      <x:c r="C101" t="inlineStr">
        <x:is>
          <x:t xml:space="preserve">Y</x:t>
        </x:is>
      </x:c>
      <x:c r="D101" t="inlineStr">
        <x:is>
          <x:t xml:space="preserve">N</x:t>
        </x:is>
      </x:c>
      <x:c r="E101" t="inlineStr">
        <x:is>
          <x:t xml:space="preserve">Y</x:t>
        </x:is>
      </x:c>
      <x:c r="F101" t="inlineStr">
        <x:is>
          <x:t xml:space="preserve">Y</x:t>
        </x:is>
      </x:c>
      <x:c r="L101" t="n">
        <x:v>5</x:v>
      </x:c>
      <x:c r="N101" t="inlineStr">
        <x:is>
          <x:t xml:space="preserve">legal</x:t>
        </x:is>
      </x:c>
    </x:row>
    <x:row r="102">
      <x:c r="A102" t="inlineStr">
        <x:is>
          <x:t xml:space="preserve">Legal</x:t>
        </x:is>
      </x:c>
      <x:c r="B102" t="inlineStr">
        <x:is>
          <x:t xml:space="preserve">LEG-D1-Q06</x:t>
        </x:is>
      </x:c>
      <x:c r="C102" t="inlineStr">
        <x:is>
          <x:t xml:space="preserve">Y</x:t>
        </x:is>
      </x:c>
      <x:c r="D102" t="inlineStr">
        <x:is>
          <x:t xml:space="preserve">N</x:t>
        </x:is>
      </x:c>
      <x:c r="E102" t="inlineStr">
        <x:is>
          <x:t xml:space="preserve">Y</x:t>
        </x:is>
      </x:c>
      <x:c r="F102" t="inlineStr">
        <x:is>
          <x:t xml:space="preserve">Y</x:t>
        </x:is>
      </x:c>
      <x:c r="L102" t="n">
        <x:v>6</x:v>
      </x:c>
      <x:c r="N102" t="inlineStr">
        <x:is>
          <x:t xml:space="preserve">legal</x:t>
        </x:is>
      </x:c>
    </x:row>
    <x:row r="103">
      <x:c r="A103" t="inlineStr">
        <x:is>
          <x:t xml:space="preserve">Legal</x:t>
        </x:is>
      </x:c>
      <x:c r="B103" t="inlineStr">
        <x:is>
          <x:t xml:space="preserve">LEG-D2-Q07</x:t>
        </x:is>
      </x:c>
      <x:c r="C103" t="inlineStr">
        <x:is>
          <x:t xml:space="preserve">Y</x:t>
        </x:is>
      </x:c>
      <x:c r="D103" t="inlineStr">
        <x:is>
          <x:t xml:space="preserve">Y</x:t>
        </x:is>
      </x:c>
      <x:c r="E103" t="inlineStr">
        <x:is>
          <x:t xml:space="preserve">Y</x:t>
        </x:is>
      </x:c>
      <x:c r="F103" t="inlineStr">
        <x:is>
          <x:t xml:space="preserve">Y</x:t>
        </x:is>
      </x:c>
      <x:c r="L103" t="n">
        <x:v>7</x:v>
      </x:c>
      <x:c r="N103" t="inlineStr">
        <x:is>
          <x:t xml:space="preserve">legal</x:t>
        </x:is>
      </x:c>
    </x:row>
    <x:row r="104">
      <x:c r="A104" t="inlineStr">
        <x:is>
          <x:t xml:space="preserve">Legal</x:t>
        </x:is>
      </x:c>
      <x:c r="B104" t="inlineStr">
        <x:is>
          <x:t xml:space="preserve">LEG-D2-Q08</x:t>
        </x:is>
      </x:c>
      <x:c r="C104" t="inlineStr">
        <x:is>
          <x:t xml:space="preserve">Y</x:t>
        </x:is>
      </x:c>
      <x:c r="D104" t="inlineStr">
        <x:is>
          <x:t xml:space="preserve">N</x:t>
        </x:is>
      </x:c>
      <x:c r="E104" t="inlineStr">
        <x:is>
          <x:t xml:space="preserve">Y</x:t>
        </x:is>
      </x:c>
      <x:c r="F104" t="inlineStr">
        <x:is>
          <x:t xml:space="preserve">Y</x:t>
        </x:is>
      </x:c>
      <x:c r="L104" t="n">
        <x:v>8</x:v>
      </x:c>
      <x:c r="N104" t="inlineStr">
        <x:is>
          <x:t xml:space="preserve">legal</x:t>
        </x:is>
      </x:c>
    </x:row>
    <x:row r="105">
      <x:c r="A105" t="inlineStr">
        <x:is>
          <x:t xml:space="preserve">Legal</x:t>
        </x:is>
      </x:c>
      <x:c r="B105" t="inlineStr">
        <x:is>
          <x:t xml:space="preserve">LEG-D2-Q09</x:t>
        </x:is>
      </x:c>
      <x:c r="C105" t="inlineStr">
        <x:is>
          <x:t xml:space="preserve">Y</x:t>
        </x:is>
      </x:c>
      <x:c r="D105" t="inlineStr">
        <x:is>
          <x:t xml:space="preserve">Y</x:t>
        </x:is>
      </x:c>
      <x:c r="E105" t="inlineStr">
        <x:is>
          <x:t xml:space="preserve">Y</x:t>
        </x:is>
      </x:c>
      <x:c r="F105" t="inlineStr">
        <x:is>
          <x:t xml:space="preserve">Y</x:t>
        </x:is>
      </x:c>
      <x:c r="L105" t="n">
        <x:v>9</x:v>
      </x:c>
      <x:c r="N105" t="inlineStr">
        <x:is>
          <x:t xml:space="preserve">legal</x:t>
        </x:is>
      </x:c>
    </x:row>
    <x:row r="106">
      <x:c r="A106" t="inlineStr">
        <x:is>
          <x:t xml:space="preserve">Legal</x:t>
        </x:is>
      </x:c>
      <x:c r="B106" t="inlineStr">
        <x:is>
          <x:t xml:space="preserve">LEG-D2-Q10</x:t>
        </x:is>
      </x:c>
      <x:c r="C106" t="inlineStr">
        <x:is>
          <x:t xml:space="preserve">Y</x:t>
        </x:is>
      </x:c>
      <x:c r="D106" t="inlineStr">
        <x:is>
          <x:t xml:space="preserve">N</x:t>
        </x:is>
      </x:c>
      <x:c r="E106" t="inlineStr">
        <x:is>
          <x:t xml:space="preserve">Y</x:t>
        </x:is>
      </x:c>
      <x:c r="F106" t="inlineStr">
        <x:is>
          <x:t xml:space="preserve">Y</x:t>
        </x:is>
      </x:c>
      <x:c r="L106" t="n">
        <x:v>10</x:v>
      </x:c>
      <x:c r="N106" t="inlineStr">
        <x:is>
          <x:t xml:space="preserve">legal</x:t>
        </x:is>
      </x:c>
    </x:row>
    <x:row r="107">
      <x:c r="A107" t="inlineStr">
        <x:is>
          <x:t xml:space="preserve">Legal</x:t>
        </x:is>
      </x:c>
      <x:c r="B107" t="inlineStr">
        <x:is>
          <x:t xml:space="preserve">LEG-D3-Q11</x:t>
        </x:is>
      </x:c>
      <x:c r="C107" t="inlineStr">
        <x:is>
          <x:t xml:space="preserve">Y</x:t>
        </x:is>
      </x:c>
      <x:c r="D107" t="inlineStr">
        <x:is>
          <x:t xml:space="preserve">Y</x:t>
        </x:is>
      </x:c>
      <x:c r="E107" t="inlineStr">
        <x:is>
          <x:t xml:space="preserve">Y</x:t>
        </x:is>
      </x:c>
      <x:c r="F107" t="inlineStr">
        <x:is>
          <x:t xml:space="preserve">Y</x:t>
        </x:is>
      </x:c>
      <x:c r="L107" t="n">
        <x:v>11</x:v>
      </x:c>
      <x:c r="N107" t="inlineStr">
        <x:is>
          <x:t xml:space="preserve">legal</x:t>
        </x:is>
      </x:c>
    </x:row>
    <x:row r="108">
      <x:c r="A108" t="inlineStr">
        <x:is>
          <x:t xml:space="preserve">Legal</x:t>
        </x:is>
      </x:c>
      <x:c r="B108" t="inlineStr">
        <x:is>
          <x:t xml:space="preserve">LEG-D3-Q12</x:t>
        </x:is>
      </x:c>
      <x:c r="C108" t="inlineStr">
        <x:is>
          <x:t xml:space="preserve">Y</x:t>
        </x:is>
      </x:c>
      <x:c r="D108" t="inlineStr">
        <x:is>
          <x:t xml:space="preserve">N</x:t>
        </x:is>
      </x:c>
      <x:c r="E108" t="inlineStr">
        <x:is>
          <x:t xml:space="preserve">Y</x:t>
        </x:is>
      </x:c>
      <x:c r="F108" t="inlineStr">
        <x:is>
          <x:t xml:space="preserve">Y</x:t>
        </x:is>
      </x:c>
      <x:c r="L108" t="n">
        <x:v>12</x:v>
      </x:c>
      <x:c r="N108" t="inlineStr">
        <x:is>
          <x:t xml:space="preserve">legal</x:t>
        </x:is>
      </x:c>
    </x:row>
    <x:row r="109">
      <x:c r="A109" t="inlineStr">
        <x:is>
          <x:t xml:space="preserve">Legal</x:t>
        </x:is>
      </x:c>
      <x:c r="B109" t="inlineStr">
        <x:is>
          <x:t xml:space="preserve">LEG-D4-Q13</x:t>
        </x:is>
      </x:c>
      <x:c r="C109" t="inlineStr">
        <x:is>
          <x:t xml:space="preserve">Y</x:t>
        </x:is>
      </x:c>
      <x:c r="D109" t="inlineStr">
        <x:is>
          <x:t xml:space="preserve">Y</x:t>
        </x:is>
      </x:c>
      <x:c r="E109" t="inlineStr">
        <x:is>
          <x:t xml:space="preserve">Y</x:t>
        </x:is>
      </x:c>
      <x:c r="F109" t="inlineStr">
        <x:is>
          <x:t xml:space="preserve">Y</x:t>
        </x:is>
      </x:c>
      <x:c r="L109" t="n">
        <x:v>13</x:v>
      </x:c>
      <x:c r="N109" t="inlineStr">
        <x:is>
          <x:t xml:space="preserve">legal</x:t>
        </x:is>
      </x:c>
    </x:row>
    <x:row r="110">
      <x:c r="A110" t="inlineStr">
        <x:is>
          <x:t xml:space="preserve">Legal</x:t>
        </x:is>
      </x:c>
      <x:c r="B110" t="inlineStr">
        <x:is>
          <x:t xml:space="preserve">LEG-D4-Q14</x:t>
        </x:is>
      </x:c>
      <x:c r="C110" t="inlineStr">
        <x:is>
          <x:t xml:space="preserve">Y</x:t>
        </x:is>
      </x:c>
      <x:c r="D110" t="inlineStr">
        <x:is>
          <x:t xml:space="preserve">N</x:t>
        </x:is>
      </x:c>
      <x:c r="E110" t="inlineStr">
        <x:is>
          <x:t xml:space="preserve">Y</x:t>
        </x:is>
      </x:c>
      <x:c r="F110" t="inlineStr">
        <x:is>
          <x:t xml:space="preserve">Y</x:t>
        </x:is>
      </x:c>
      <x:c r="L110" t="n">
        <x:v>14</x:v>
      </x:c>
      <x:c r="N110" t="inlineStr">
        <x:is>
          <x:t xml:space="preserve">legal</x:t>
        </x:is>
      </x:c>
    </x:row>
    <x:row r="111">
      <x:c r="A111" t="inlineStr">
        <x:is>
          <x:t xml:space="preserve">Legal</x:t>
        </x:is>
      </x:c>
      <x:c r="B111" t="inlineStr">
        <x:is>
          <x:t xml:space="preserve">LEG-D5-Q15</x:t>
        </x:is>
      </x:c>
      <x:c r="C111" t="inlineStr">
        <x:is>
          <x:t xml:space="preserve">Y</x:t>
        </x:is>
      </x:c>
      <x:c r="D111" t="inlineStr">
        <x:is>
          <x:t xml:space="preserve">N</x:t>
        </x:is>
      </x:c>
      <x:c r="E111" t="inlineStr">
        <x:is>
          <x:t xml:space="preserve">Y</x:t>
        </x:is>
      </x:c>
      <x:c r="F111" t="inlineStr">
        <x:is>
          <x:t xml:space="preserve">Y</x:t>
        </x:is>
      </x:c>
      <x:c r="L111" t="n">
        <x:v>15</x:v>
      </x:c>
      <x:c r="N111" t="inlineStr">
        <x:is>
          <x:t xml:space="preserve">legal</x:t>
        </x:is>
      </x:c>
    </x:row>
    <x:row r="112">
      <x:c r="A112" t="inlineStr">
        <x:is>
          <x:t xml:space="preserve">Legal</x:t>
        </x:is>
      </x:c>
      <x:c r="B112" t="inlineStr">
        <x:is>
          <x:t xml:space="preserve">LEG-D6-Q16</x:t>
        </x:is>
      </x:c>
      <x:c r="C112" t="inlineStr">
        <x:is>
          <x:t xml:space="preserve">Y</x:t>
        </x:is>
      </x:c>
      <x:c r="D112" t="inlineStr">
        <x:is>
          <x:t xml:space="preserve">N</x:t>
        </x:is>
      </x:c>
      <x:c r="E112" t="inlineStr">
        <x:is>
          <x:t xml:space="preserve">Y</x:t>
        </x:is>
      </x:c>
      <x:c r="F112" t="inlineStr">
        <x:is>
          <x:t xml:space="preserve">Y</x:t>
        </x:is>
      </x:c>
      <x:c r="L112" t="n">
        <x:v>16</x:v>
      </x:c>
      <x:c r="N112" t="inlineStr">
        <x:is>
          <x:t xml:space="preserve">legal</x:t>
        </x:is>
      </x:c>
    </x:row>
    <x:row r="113">
      <x:c r="A113" t="inlineStr">
        <x:is>
          <x:t xml:space="preserve">Legal</x:t>
        </x:is>
      </x:c>
      <x:c r="B113" t="inlineStr">
        <x:is>
          <x:t xml:space="preserve">LEG-D6-Q17</x:t>
        </x:is>
      </x:c>
      <x:c r="C113" t="inlineStr">
        <x:is>
          <x:t xml:space="preserve">Y</x:t>
        </x:is>
      </x:c>
      <x:c r="D113" t="inlineStr">
        <x:is>
          <x:t xml:space="preserve">N</x:t>
        </x:is>
      </x:c>
      <x:c r="E113" t="inlineStr">
        <x:is>
          <x:t xml:space="preserve">Y</x:t>
        </x:is>
      </x:c>
      <x:c r="F113" t="inlineStr">
        <x:is>
          <x:t xml:space="preserve">Y</x:t>
        </x:is>
      </x:c>
      <x:c r="L113" t="n">
        <x:v>17</x:v>
      </x:c>
      <x:c r="N113" t="inlineStr">
        <x:is>
          <x:t xml:space="preserve">legal</x:t>
        </x:is>
      </x:c>
    </x:row>
    <x:row r="114">
      <x:c r="A114" t="inlineStr">
        <x:is>
          <x:t xml:space="preserve">Legal</x:t>
        </x:is>
      </x:c>
      <x:c r="B114" t="inlineStr">
        <x:is>
          <x:t xml:space="preserve">LEG-D7-Q18</x:t>
        </x:is>
      </x:c>
      <x:c r="C114" t="inlineStr">
        <x:is>
          <x:t xml:space="preserve">Y</x:t>
        </x:is>
      </x:c>
      <x:c r="D114" t="inlineStr">
        <x:is>
          <x:t xml:space="preserve">N</x:t>
        </x:is>
      </x:c>
      <x:c r="E114" t="inlineStr">
        <x:is>
          <x:t xml:space="preserve">N</x:t>
        </x:is>
      </x:c>
      <x:c r="F114" t="inlineStr">
        <x:is>
          <x:t xml:space="preserve">Y</x:t>
        </x:is>
      </x:c>
      <x:c r="L114" t="n">
        <x:v>18</x:v>
      </x:c>
      <x:c r="N114" t="inlineStr">
        <x:is>
          <x:t xml:space="preserve">legal</x:t>
        </x:is>
      </x:c>
    </x:row>
    <x:row r="115">
      <x:c r="A115" t="inlineStr">
        <x:is>
          <x:t xml:space="preserve">DataBusiness</x:t>
        </x:is>
      </x:c>
      <x:c r="B115" t="inlineStr">
        <x:is>
          <x:t xml:space="preserve">DATA-D1-Q01</x:t>
        </x:is>
      </x:c>
      <x:c r="C115" t="inlineStr">
        <x:is>
          <x:t xml:space="preserve">Y</x:t>
        </x:is>
      </x:c>
      <x:c r="D115" t="inlineStr">
        <x:is>
          <x:t xml:space="preserve">Y</x:t>
        </x:is>
      </x:c>
      <x:c r="E115" t="inlineStr">
        <x:is>
          <x:t xml:space="preserve">Y</x:t>
        </x:is>
      </x:c>
      <x:c r="F115" t="inlineStr">
        <x:is>
          <x:t xml:space="preserve">Y</x:t>
        </x:is>
      </x:c>
      <x:c r="L115" t="n">
        <x:v>1</x:v>
      </x:c>
      <x:c r="N115" t="inlineStr">
        <x:is>
          <x:t xml:space="preserve">data_business</x:t>
        </x:is>
      </x:c>
    </x:row>
    <x:row r="116">
      <x:c r="A116" t="inlineStr">
        <x:is>
          <x:t xml:space="preserve">DataBusiness</x:t>
        </x:is>
      </x:c>
      <x:c r="B116" t="inlineStr">
        <x:is>
          <x:t xml:space="preserve">DATA-D1-Q02</x:t>
        </x:is>
      </x:c>
      <x:c r="C116" t="inlineStr">
        <x:is>
          <x:t xml:space="preserve">Y</x:t>
        </x:is>
      </x:c>
      <x:c r="D116" t="inlineStr">
        <x:is>
          <x:t xml:space="preserve">N</x:t>
        </x:is>
      </x:c>
      <x:c r="E116" t="inlineStr">
        <x:is>
          <x:t xml:space="preserve">Y</x:t>
        </x:is>
      </x:c>
      <x:c r="F116" t="inlineStr">
        <x:is>
          <x:t xml:space="preserve">Y</x:t>
        </x:is>
      </x:c>
      <x:c r="L116" t="n">
        <x:v>2</x:v>
      </x:c>
      <x:c r="N116" t="inlineStr">
        <x:is>
          <x:t xml:space="preserve">data_business</x:t>
        </x:is>
      </x:c>
    </x:row>
    <x:row r="117">
      <x:c r="A117" t="inlineStr">
        <x:is>
          <x:t xml:space="preserve">DataBusiness</x:t>
        </x:is>
      </x:c>
      <x:c r="B117" t="inlineStr">
        <x:is>
          <x:t xml:space="preserve">DATA-D1-Q03</x:t>
        </x:is>
      </x:c>
      <x:c r="C117" t="inlineStr">
        <x:is>
          <x:t xml:space="preserve">Y</x:t>
        </x:is>
      </x:c>
      <x:c r="D117" t="inlineStr">
        <x:is>
          <x:t xml:space="preserve">N</x:t>
        </x:is>
      </x:c>
      <x:c r="E117" t="inlineStr">
        <x:is>
          <x:t xml:space="preserve">Y</x:t>
        </x:is>
      </x:c>
      <x:c r="F117" t="inlineStr">
        <x:is>
          <x:t xml:space="preserve">Y</x:t>
        </x:is>
      </x:c>
      <x:c r="L117" t="n">
        <x:v>3</x:v>
      </x:c>
      <x:c r="N117" t="inlineStr">
        <x:is>
          <x:t xml:space="preserve">data_business</x:t>
        </x:is>
      </x:c>
    </x:row>
    <x:row r="118">
      <x:c r="A118" t="inlineStr">
        <x:is>
          <x:t xml:space="preserve">DataBusiness</x:t>
        </x:is>
      </x:c>
      <x:c r="B118" t="inlineStr">
        <x:is>
          <x:t xml:space="preserve">DATA-D2-Q04</x:t>
        </x:is>
      </x:c>
      <x:c r="C118" t="inlineStr">
        <x:is>
          <x:t xml:space="preserve">Y</x:t>
        </x:is>
      </x:c>
      <x:c r="D118" t="inlineStr">
        <x:is>
          <x:t xml:space="preserve">Y</x:t>
        </x:is>
      </x:c>
      <x:c r="E118" t="inlineStr">
        <x:is>
          <x:t xml:space="preserve">Y</x:t>
        </x:is>
      </x:c>
      <x:c r="F118" t="inlineStr">
        <x:is>
          <x:t xml:space="preserve">Y</x:t>
        </x:is>
      </x:c>
      <x:c r="L118" t="n">
        <x:v>4</x:v>
      </x:c>
      <x:c r="N118" t="inlineStr">
        <x:is>
          <x:t xml:space="preserve">data_business</x:t>
        </x:is>
      </x:c>
    </x:row>
    <x:row r="119">
      <x:c r="A119" t="inlineStr">
        <x:is>
          <x:t xml:space="preserve">DataBusiness</x:t>
        </x:is>
      </x:c>
      <x:c r="B119" t="inlineStr">
        <x:is>
          <x:t xml:space="preserve">DATA-D2-Q05</x:t>
        </x:is>
      </x:c>
      <x:c r="C119" t="inlineStr">
        <x:is>
          <x:t xml:space="preserve">Y</x:t>
        </x:is>
      </x:c>
      <x:c r="D119" t="inlineStr">
        <x:is>
          <x:t xml:space="preserve">N</x:t>
        </x:is>
      </x:c>
      <x:c r="E119" t="inlineStr">
        <x:is>
          <x:t xml:space="preserve">Y</x:t>
        </x:is>
      </x:c>
      <x:c r="F119" t="inlineStr">
        <x:is>
          <x:t xml:space="preserve">Y</x:t>
        </x:is>
      </x:c>
      <x:c r="L119" t="n">
        <x:v>5</x:v>
      </x:c>
      <x:c r="N119" t="inlineStr">
        <x:is>
          <x:t xml:space="preserve">data_business</x:t>
        </x:is>
      </x:c>
    </x:row>
    <x:row r="120">
      <x:c r="A120" t="inlineStr">
        <x:is>
          <x:t xml:space="preserve">DataBusiness</x:t>
        </x:is>
      </x:c>
      <x:c r="B120" t="inlineStr">
        <x:is>
          <x:t xml:space="preserve">DATA-D3-Q06</x:t>
        </x:is>
      </x:c>
      <x:c r="C120" t="inlineStr">
        <x:is>
          <x:t xml:space="preserve">Y</x:t>
        </x:is>
      </x:c>
      <x:c r="D120" t="inlineStr">
        <x:is>
          <x:t xml:space="preserve">Y</x:t>
        </x:is>
      </x:c>
      <x:c r="E120" t="inlineStr">
        <x:is>
          <x:t xml:space="preserve">Y</x:t>
        </x:is>
      </x:c>
      <x:c r="F120" t="inlineStr">
        <x:is>
          <x:t xml:space="preserve">Y</x:t>
        </x:is>
      </x:c>
      <x:c r="L120" t="n">
        <x:v>6</x:v>
      </x:c>
      <x:c r="N120" t="inlineStr">
        <x:is>
          <x:t xml:space="preserve">data_business</x:t>
        </x:is>
      </x:c>
    </x:row>
    <x:row r="121">
      <x:c r="A121" t="inlineStr">
        <x:is>
          <x:t xml:space="preserve">DataBusiness</x:t>
        </x:is>
      </x:c>
      <x:c r="B121" t="inlineStr">
        <x:is>
          <x:t xml:space="preserve">DATA-D3-Q07</x:t>
        </x:is>
      </x:c>
      <x:c r="C121" t="inlineStr">
        <x:is>
          <x:t xml:space="preserve">Y</x:t>
        </x:is>
      </x:c>
      <x:c r="D121" t="inlineStr">
        <x:is>
          <x:t xml:space="preserve">N</x:t>
        </x:is>
      </x:c>
      <x:c r="E121" t="inlineStr">
        <x:is>
          <x:t xml:space="preserve">Y</x:t>
        </x:is>
      </x:c>
      <x:c r="F121" t="inlineStr">
        <x:is>
          <x:t xml:space="preserve">Y</x:t>
        </x:is>
      </x:c>
      <x:c r="L121" t="n">
        <x:v>7</x:v>
      </x:c>
      <x:c r="N121" t="inlineStr">
        <x:is>
          <x:t xml:space="preserve">data_business</x:t>
        </x:is>
      </x:c>
    </x:row>
    <x:row r="122">
      <x:c r="A122" t="inlineStr">
        <x:is>
          <x:t xml:space="preserve">DataBusiness</x:t>
        </x:is>
      </x:c>
      <x:c r="B122" t="inlineStr">
        <x:is>
          <x:t xml:space="preserve">DATA-D3-Q08</x:t>
        </x:is>
      </x:c>
      <x:c r="C122" t="inlineStr">
        <x:is>
          <x:t xml:space="preserve">Y</x:t>
        </x:is>
      </x:c>
      <x:c r="D122" t="inlineStr">
        <x:is>
          <x:t xml:space="preserve">N</x:t>
        </x:is>
      </x:c>
      <x:c r="E122" t="inlineStr">
        <x:is>
          <x:t xml:space="preserve">Y</x:t>
        </x:is>
      </x:c>
      <x:c r="F122" t="inlineStr">
        <x:is>
          <x:t xml:space="preserve">Y</x:t>
        </x:is>
      </x:c>
      <x:c r="L122" t="n">
        <x:v>8</x:v>
      </x:c>
      <x:c r="N122" t="inlineStr">
        <x:is>
          <x:t xml:space="preserve">data_business</x:t>
        </x:is>
      </x:c>
    </x:row>
    <x:row r="123">
      <x:c r="A123" t="inlineStr">
        <x:is>
          <x:t xml:space="preserve">DataBusiness</x:t>
        </x:is>
      </x:c>
      <x:c r="B123" t="inlineStr">
        <x:is>
          <x:t xml:space="preserve">DATA-D4-Q09</x:t>
        </x:is>
      </x:c>
      <x:c r="C123" t="inlineStr">
        <x:is>
          <x:t xml:space="preserve">Y</x:t>
        </x:is>
      </x:c>
      <x:c r="D123" t="inlineStr">
        <x:is>
          <x:t xml:space="preserve">Y</x:t>
        </x:is>
      </x:c>
      <x:c r="E123" t="inlineStr">
        <x:is>
          <x:t xml:space="preserve">Y</x:t>
        </x:is>
      </x:c>
      <x:c r="F123" t="inlineStr">
        <x:is>
          <x:t xml:space="preserve">Y</x:t>
        </x:is>
      </x:c>
      <x:c r="L123" t="n">
        <x:v>9</x:v>
      </x:c>
      <x:c r="N123" t="inlineStr">
        <x:is>
          <x:t xml:space="preserve">data_business</x:t>
        </x:is>
      </x:c>
    </x:row>
    <x:row r="124">
      <x:c r="A124" t="inlineStr">
        <x:is>
          <x:t xml:space="preserve">DataBusiness</x:t>
        </x:is>
      </x:c>
      <x:c r="B124" t="inlineStr">
        <x:is>
          <x:t xml:space="preserve">DATA-D4-Q10</x:t>
        </x:is>
      </x:c>
      <x:c r="C124" t="inlineStr">
        <x:is>
          <x:t xml:space="preserve">Y</x:t>
        </x:is>
      </x:c>
      <x:c r="D124" t="inlineStr">
        <x:is>
          <x:t xml:space="preserve">N</x:t>
        </x:is>
      </x:c>
      <x:c r="E124" t="inlineStr">
        <x:is>
          <x:t xml:space="preserve">Y</x:t>
        </x:is>
      </x:c>
      <x:c r="F124" t="inlineStr">
        <x:is>
          <x:t xml:space="preserve">Y</x:t>
        </x:is>
      </x:c>
      <x:c r="L124" t="n">
        <x:v>10</x:v>
      </x:c>
      <x:c r="N124" t="inlineStr">
        <x:is>
          <x:t xml:space="preserve">data_business</x:t>
        </x:is>
      </x:c>
    </x:row>
    <x:row r="125">
      <x:c r="A125" t="inlineStr">
        <x:is>
          <x:t xml:space="preserve">DataBusiness</x:t>
        </x:is>
      </x:c>
      <x:c r="B125" t="inlineStr">
        <x:is>
          <x:t xml:space="preserve">DATA-D5-Q11</x:t>
        </x:is>
      </x:c>
      <x:c r="C125" t="inlineStr">
        <x:is>
          <x:t xml:space="preserve">Y</x:t>
        </x:is>
      </x:c>
      <x:c r="D125" t="inlineStr">
        <x:is>
          <x:t xml:space="preserve">Y</x:t>
        </x:is>
      </x:c>
      <x:c r="E125" t="inlineStr">
        <x:is>
          <x:t xml:space="preserve">Y</x:t>
        </x:is>
      </x:c>
      <x:c r="F125" t="inlineStr">
        <x:is>
          <x:t xml:space="preserve">Y</x:t>
        </x:is>
      </x:c>
      <x:c r="L125" t="n">
        <x:v>11</x:v>
      </x:c>
      <x:c r="N125" t="inlineStr">
        <x:is>
          <x:t xml:space="preserve">data_business</x:t>
        </x:is>
      </x:c>
    </x:row>
    <x:row r="126">
      <x:c r="A126" t="inlineStr">
        <x:is>
          <x:t xml:space="preserve">DataBusiness</x:t>
        </x:is>
      </x:c>
      <x:c r="B126" t="inlineStr">
        <x:is>
          <x:t xml:space="preserve">DATA-D5-Q12</x:t>
        </x:is>
      </x:c>
      <x:c r="C126" t="inlineStr">
        <x:is>
          <x:t xml:space="preserve">Y</x:t>
        </x:is>
      </x:c>
      <x:c r="D126" t="inlineStr">
        <x:is>
          <x:t xml:space="preserve">N</x:t>
        </x:is>
      </x:c>
      <x:c r="E126" t="inlineStr">
        <x:is>
          <x:t xml:space="preserve">Y</x:t>
        </x:is>
      </x:c>
      <x:c r="F126" t="inlineStr">
        <x:is>
          <x:t xml:space="preserve">Y</x:t>
        </x:is>
      </x:c>
      <x:c r="L126" t="n">
        <x:v>12</x:v>
      </x:c>
      <x:c r="N126" t="inlineStr">
        <x:is>
          <x:t xml:space="preserve">data_business</x:t>
        </x:is>
      </x:c>
    </x:row>
    <x:row r="127">
      <x:c r="A127" t="inlineStr">
        <x:is>
          <x:t xml:space="preserve">DataBusiness</x:t>
        </x:is>
      </x:c>
      <x:c r="B127" t="inlineStr">
        <x:is>
          <x:t xml:space="preserve">DATA-D6-Q13</x:t>
        </x:is>
      </x:c>
      <x:c r="C127" t="inlineStr">
        <x:is>
          <x:t xml:space="preserve">Y</x:t>
        </x:is>
      </x:c>
      <x:c r="D127" t="inlineStr">
        <x:is>
          <x:t xml:space="preserve">N</x:t>
        </x:is>
      </x:c>
      <x:c r="E127" t="inlineStr">
        <x:is>
          <x:t xml:space="preserve">Y</x:t>
        </x:is>
      </x:c>
      <x:c r="F127" t="inlineStr">
        <x:is>
          <x:t xml:space="preserve">Y</x:t>
        </x:is>
      </x:c>
      <x:c r="L127" t="n">
        <x:v>13</x:v>
      </x:c>
      <x:c r="N127" t="inlineStr">
        <x:is>
          <x:t xml:space="preserve">data_business</x:t>
        </x:is>
      </x:c>
    </x:row>
    <x:row r="128">
      <x:c r="A128" t="inlineStr">
        <x:is>
          <x:t xml:space="preserve">DataBusiness</x:t>
        </x:is>
      </x:c>
      <x:c r="B128" t="inlineStr">
        <x:is>
          <x:t xml:space="preserve">DATA-D7-Q14</x:t>
        </x:is>
      </x:c>
      <x:c r="C128" t="inlineStr">
        <x:is>
          <x:t xml:space="preserve">Y</x:t>
        </x:is>
      </x:c>
      <x:c r="D128" t="inlineStr">
        <x:is>
          <x:t xml:space="preserve">N</x:t>
        </x:is>
      </x:c>
      <x:c r="E128" t="inlineStr">
        <x:is>
          <x:t xml:space="preserve">Y</x:t>
        </x:is>
      </x:c>
      <x:c r="F128" t="inlineStr">
        <x:is>
          <x:t xml:space="preserve">Y</x:t>
        </x:is>
      </x:c>
      <x:c r="L128" t="n">
        <x:v>14</x:v>
      </x:c>
      <x:c r="N128" t="inlineStr">
        <x:is>
          <x:t xml:space="preserve">data_business</x:t>
        </x:is>
      </x:c>
    </x:row>
    <x:row r="129">
      <x:c r="A129" t="inlineStr">
        <x:is>
          <x:t xml:space="preserve">DataBusiness</x:t>
        </x:is>
      </x:c>
      <x:c r="B129" t="inlineStr">
        <x:is>
          <x:t xml:space="preserve">DATA-D8-Q15</x:t>
        </x:is>
      </x:c>
      <x:c r="C129" t="inlineStr">
        <x:is>
          <x:t xml:space="preserve">Y</x:t>
        </x:is>
      </x:c>
      <x:c r="D129" t="inlineStr">
        <x:is>
          <x:t xml:space="preserve">N</x:t>
        </x:is>
      </x:c>
      <x:c r="E129" t="inlineStr">
        <x:is>
          <x:t xml:space="preserve">N</x:t>
        </x:is>
      </x:c>
      <x:c r="F129" t="inlineStr">
        <x:is>
          <x:t xml:space="preserve">Y</x:t>
        </x:is>
      </x:c>
      <x:c r="L129" t="n">
        <x:v>15</x:v>
      </x:c>
      <x:c r="N129" t="inlineStr">
        <x:is>
          <x:t xml:space="preserve">data_business</x:t>
        </x:is>
      </x:c>
    </x:row>
    <x:row r="130">
      <x:c r="A130" t="inlineStr">
        <x:is>
          <x:t xml:space="preserve">IT_IAM</x:t>
        </x:is>
      </x:c>
      <x:c r="B130" t="inlineStr">
        <x:is>
          <x:t xml:space="preserve">ITIAM-D1-Q01</x:t>
        </x:is>
      </x:c>
      <x:c r="C130" t="inlineStr">
        <x:is>
          <x:t xml:space="preserve">Y</x:t>
        </x:is>
      </x:c>
      <x:c r="D130" t="inlineStr">
        <x:is>
          <x:t xml:space="preserve">Y</x:t>
        </x:is>
      </x:c>
      <x:c r="E130" t="inlineStr">
        <x:is>
          <x:t xml:space="preserve">Y</x:t>
        </x:is>
      </x:c>
      <x:c r="F130" t="inlineStr">
        <x:is>
          <x:t xml:space="preserve">Y</x:t>
        </x:is>
      </x:c>
      <x:c r="L130" t="n">
        <x:v>1</x:v>
      </x:c>
      <x:c r="N130" t="inlineStr">
        <x:is>
          <x:t xml:space="preserve">it_iam</x:t>
        </x:is>
      </x:c>
    </x:row>
    <x:row r="131">
      <x:c r="A131" t="inlineStr">
        <x:is>
          <x:t xml:space="preserve">IT_IAM</x:t>
        </x:is>
      </x:c>
      <x:c r="B131" t="inlineStr">
        <x:is>
          <x:t xml:space="preserve">ITIAM-D1-Q02</x:t>
        </x:is>
      </x:c>
      <x:c r="C131" t="inlineStr">
        <x:is>
          <x:t xml:space="preserve">Y</x:t>
        </x:is>
      </x:c>
      <x:c r="D131" t="inlineStr">
        <x:is>
          <x:t xml:space="preserve">N</x:t>
        </x:is>
      </x:c>
      <x:c r="E131" t="inlineStr">
        <x:is>
          <x:t xml:space="preserve">Y</x:t>
        </x:is>
      </x:c>
      <x:c r="F131" t="inlineStr">
        <x:is>
          <x:t xml:space="preserve">Y</x:t>
        </x:is>
      </x:c>
      <x:c r="L131" t="n">
        <x:v>2</x:v>
      </x:c>
      <x:c r="N131" t="inlineStr">
        <x:is>
          <x:t xml:space="preserve">it_iam</x:t>
        </x:is>
      </x:c>
    </x:row>
    <x:row r="132">
      <x:c r="A132" t="inlineStr">
        <x:is>
          <x:t xml:space="preserve">IT_IAM</x:t>
        </x:is>
      </x:c>
      <x:c r="B132" t="inlineStr">
        <x:is>
          <x:t xml:space="preserve">ITIAM-D1-Q03</x:t>
        </x:is>
      </x:c>
      <x:c r="C132" t="inlineStr">
        <x:is>
          <x:t xml:space="preserve">Y</x:t>
        </x:is>
      </x:c>
      <x:c r="D132" t="inlineStr">
        <x:is>
          <x:t xml:space="preserve">N</x:t>
        </x:is>
      </x:c>
      <x:c r="E132" t="inlineStr">
        <x:is>
          <x:t xml:space="preserve">Y</x:t>
        </x:is>
      </x:c>
      <x:c r="F132" t="inlineStr">
        <x:is>
          <x:t xml:space="preserve">Y</x:t>
        </x:is>
      </x:c>
      <x:c r="L132" t="n">
        <x:v>3</x:v>
      </x:c>
      <x:c r="N132" t="inlineStr">
        <x:is>
          <x:t xml:space="preserve">it_iam</x:t>
        </x:is>
      </x:c>
    </x:row>
    <x:row r="133">
      <x:c r="A133" t="inlineStr">
        <x:is>
          <x:t xml:space="preserve">IT_IAM</x:t>
        </x:is>
      </x:c>
      <x:c r="B133" t="inlineStr">
        <x:is>
          <x:t xml:space="preserve">ITIAM-D2-Q04</x:t>
        </x:is>
      </x:c>
      <x:c r="C133" t="inlineStr">
        <x:is>
          <x:t xml:space="preserve">Y</x:t>
        </x:is>
      </x:c>
      <x:c r="D133" t="inlineStr">
        <x:is>
          <x:t xml:space="preserve">Y</x:t>
        </x:is>
      </x:c>
      <x:c r="E133" t="inlineStr">
        <x:is>
          <x:t xml:space="preserve">Y</x:t>
        </x:is>
      </x:c>
      <x:c r="F133" t="inlineStr">
        <x:is>
          <x:t xml:space="preserve">Y</x:t>
        </x:is>
      </x:c>
      <x:c r="L133" t="n">
        <x:v>4</x:v>
      </x:c>
      <x:c r="N133" t="inlineStr">
        <x:is>
          <x:t xml:space="preserve">it_iam</x:t>
        </x:is>
      </x:c>
    </x:row>
    <x:row r="134">
      <x:c r="A134" t="inlineStr">
        <x:is>
          <x:t xml:space="preserve">IT_IAM</x:t>
        </x:is>
      </x:c>
      <x:c r="B134" t="inlineStr">
        <x:is>
          <x:t xml:space="preserve">ITIAM-D2-Q05</x:t>
        </x:is>
      </x:c>
      <x:c r="C134" t="inlineStr">
        <x:is>
          <x:t xml:space="preserve">Y</x:t>
        </x:is>
      </x:c>
      <x:c r="D134" t="inlineStr">
        <x:is>
          <x:t xml:space="preserve">N</x:t>
        </x:is>
      </x:c>
      <x:c r="E134" t="inlineStr">
        <x:is>
          <x:t xml:space="preserve">Y</x:t>
        </x:is>
      </x:c>
      <x:c r="F134" t="inlineStr">
        <x:is>
          <x:t xml:space="preserve">Y</x:t>
        </x:is>
      </x:c>
      <x:c r="L134" t="n">
        <x:v>5</x:v>
      </x:c>
      <x:c r="N134" t="inlineStr">
        <x:is>
          <x:t xml:space="preserve">it_iam</x:t>
        </x:is>
      </x:c>
    </x:row>
    <x:row r="135">
      <x:c r="A135" t="inlineStr">
        <x:is>
          <x:t xml:space="preserve">IT_IAM</x:t>
        </x:is>
      </x:c>
      <x:c r="B135" t="inlineStr">
        <x:is>
          <x:t xml:space="preserve">ITIAM-D3-Q06</x:t>
        </x:is>
      </x:c>
      <x:c r="C135" t="inlineStr">
        <x:is>
          <x:t xml:space="preserve">Y</x:t>
        </x:is>
      </x:c>
      <x:c r="D135" t="inlineStr">
        <x:is>
          <x:t xml:space="preserve">Y</x:t>
        </x:is>
      </x:c>
      <x:c r="E135" t="inlineStr">
        <x:is>
          <x:t xml:space="preserve">Y</x:t>
        </x:is>
      </x:c>
      <x:c r="F135" t="inlineStr">
        <x:is>
          <x:t xml:space="preserve">Y</x:t>
        </x:is>
      </x:c>
      <x:c r="L135" t="n">
        <x:v>6</x:v>
      </x:c>
      <x:c r="N135" t="inlineStr">
        <x:is>
          <x:t xml:space="preserve">it_iam</x:t>
        </x:is>
      </x:c>
    </x:row>
    <x:row r="136">
      <x:c r="A136" t="inlineStr">
        <x:is>
          <x:t xml:space="preserve">IT_IAM</x:t>
        </x:is>
      </x:c>
      <x:c r="B136" t="inlineStr">
        <x:is>
          <x:t xml:space="preserve">ITIAM-D3-Q07</x:t>
        </x:is>
      </x:c>
      <x:c r="C136" t="inlineStr">
        <x:is>
          <x:t xml:space="preserve">Y</x:t>
        </x:is>
      </x:c>
      <x:c r="D136" t="inlineStr">
        <x:is>
          <x:t xml:space="preserve">N</x:t>
        </x:is>
      </x:c>
      <x:c r="E136" t="inlineStr">
        <x:is>
          <x:t xml:space="preserve">Y</x:t>
        </x:is>
      </x:c>
      <x:c r="F136" t="inlineStr">
        <x:is>
          <x:t xml:space="preserve">Y</x:t>
        </x:is>
      </x:c>
      <x:c r="L136" t="n">
        <x:v>7</x:v>
      </x:c>
      <x:c r="N136" t="inlineStr">
        <x:is>
          <x:t xml:space="preserve">it_iam</x:t>
        </x:is>
      </x:c>
    </x:row>
    <x:row r="137">
      <x:c r="A137" t="inlineStr">
        <x:is>
          <x:t xml:space="preserve">IT_IAM</x:t>
        </x:is>
      </x:c>
      <x:c r="B137" t="inlineStr">
        <x:is>
          <x:t xml:space="preserve">ITIAM-D3-Q08</x:t>
        </x:is>
      </x:c>
      <x:c r="C137" t="inlineStr">
        <x:is>
          <x:t xml:space="preserve">Y</x:t>
        </x:is>
      </x:c>
      <x:c r="D137" t="inlineStr">
        <x:is>
          <x:t xml:space="preserve">N</x:t>
        </x:is>
      </x:c>
      <x:c r="E137" t="inlineStr">
        <x:is>
          <x:t xml:space="preserve">Y</x:t>
        </x:is>
      </x:c>
      <x:c r="F137" t="inlineStr">
        <x:is>
          <x:t xml:space="preserve">Y</x:t>
        </x:is>
      </x:c>
      <x:c r="L137" t="n">
        <x:v>8</x:v>
      </x:c>
      <x:c r="N137" t="inlineStr">
        <x:is>
          <x:t xml:space="preserve">it_iam</x:t>
        </x:is>
      </x:c>
    </x:row>
    <x:row r="138">
      <x:c r="A138" t="inlineStr">
        <x:is>
          <x:t xml:space="preserve">IT_IAM</x:t>
        </x:is>
      </x:c>
      <x:c r="B138" t="inlineStr">
        <x:is>
          <x:t xml:space="preserve">ITIAM-D4-Q09</x:t>
        </x:is>
      </x:c>
      <x:c r="C138" t="inlineStr">
        <x:is>
          <x:t xml:space="preserve">Y</x:t>
        </x:is>
      </x:c>
      <x:c r="D138" t="inlineStr">
        <x:is>
          <x:t xml:space="preserve">Y</x:t>
        </x:is>
      </x:c>
      <x:c r="E138" t="inlineStr">
        <x:is>
          <x:t xml:space="preserve">Y</x:t>
        </x:is>
      </x:c>
      <x:c r="F138" t="inlineStr">
        <x:is>
          <x:t xml:space="preserve">Y</x:t>
        </x:is>
      </x:c>
      <x:c r="L138" t="n">
        <x:v>9</x:v>
      </x:c>
      <x:c r="N138" t="inlineStr">
        <x:is>
          <x:t xml:space="preserve">it_iam</x:t>
        </x:is>
      </x:c>
    </x:row>
    <x:row r="139">
      <x:c r="A139" t="inlineStr">
        <x:is>
          <x:t xml:space="preserve">IT_IAM</x:t>
        </x:is>
      </x:c>
      <x:c r="B139" t="inlineStr">
        <x:is>
          <x:t xml:space="preserve">ITIAM-D4-Q10</x:t>
        </x:is>
      </x:c>
      <x:c r="C139" t="inlineStr">
        <x:is>
          <x:t xml:space="preserve">Y</x:t>
        </x:is>
      </x:c>
      <x:c r="D139" t="inlineStr">
        <x:is>
          <x:t xml:space="preserve">N</x:t>
        </x:is>
      </x:c>
      <x:c r="E139" t="inlineStr">
        <x:is>
          <x:t xml:space="preserve">Y</x:t>
        </x:is>
      </x:c>
      <x:c r="F139" t="inlineStr">
        <x:is>
          <x:t xml:space="preserve">Y</x:t>
        </x:is>
      </x:c>
      <x:c r="L139" t="n">
        <x:v>10</x:v>
      </x:c>
      <x:c r="N139" t="inlineStr">
        <x:is>
          <x:t xml:space="preserve">it_iam</x:t>
        </x:is>
      </x:c>
    </x:row>
    <x:row r="140">
      <x:c r="A140" t="inlineStr">
        <x:is>
          <x:t xml:space="preserve">IT_IAM</x:t>
        </x:is>
      </x:c>
      <x:c r="B140" t="inlineStr">
        <x:is>
          <x:t xml:space="preserve">ITIAM-D5-Q11</x:t>
        </x:is>
      </x:c>
      <x:c r="C140" t="inlineStr">
        <x:is>
          <x:t xml:space="preserve">Y</x:t>
        </x:is>
      </x:c>
      <x:c r="D140" t="inlineStr">
        <x:is>
          <x:t xml:space="preserve">Y</x:t>
        </x:is>
      </x:c>
      <x:c r="E140" t="inlineStr">
        <x:is>
          <x:t xml:space="preserve">Y</x:t>
        </x:is>
      </x:c>
      <x:c r="F140" t="inlineStr">
        <x:is>
          <x:t xml:space="preserve">Y</x:t>
        </x:is>
      </x:c>
      <x:c r="L140" t="n">
        <x:v>11</x:v>
      </x:c>
      <x:c r="N140" t="inlineStr">
        <x:is>
          <x:t xml:space="preserve">it_iam</x:t>
        </x:is>
      </x:c>
    </x:row>
    <x:row r="141">
      <x:c r="A141" t="inlineStr">
        <x:is>
          <x:t xml:space="preserve">IT_IAM</x:t>
        </x:is>
      </x:c>
      <x:c r="B141" t="inlineStr">
        <x:is>
          <x:t xml:space="preserve">ITIAM-D5-Q12</x:t>
        </x:is>
      </x:c>
      <x:c r="C141" t="inlineStr">
        <x:is>
          <x:t xml:space="preserve">Y</x:t>
        </x:is>
      </x:c>
      <x:c r="D141" t="inlineStr">
        <x:is>
          <x:t xml:space="preserve">N</x:t>
        </x:is>
      </x:c>
      <x:c r="E141" t="inlineStr">
        <x:is>
          <x:t xml:space="preserve">Y</x:t>
        </x:is>
      </x:c>
      <x:c r="F141" t="inlineStr">
        <x:is>
          <x:t xml:space="preserve">Y</x:t>
        </x:is>
      </x:c>
      <x:c r="L141" t="n">
        <x:v>12</x:v>
      </x:c>
      <x:c r="N141" t="inlineStr">
        <x:is>
          <x:t xml:space="preserve">it_iam</x:t>
        </x:is>
      </x:c>
    </x:row>
    <x:row r="142">
      <x:c r="A142" t="inlineStr">
        <x:is>
          <x:t xml:space="preserve">IT_IAM</x:t>
        </x:is>
      </x:c>
      <x:c r="B142" t="inlineStr">
        <x:is>
          <x:t xml:space="preserve">ITIAM-D6-Q13</x:t>
        </x:is>
      </x:c>
      <x:c r="C142" t="inlineStr">
        <x:is>
          <x:t xml:space="preserve">Y</x:t>
        </x:is>
      </x:c>
      <x:c r="D142" t="inlineStr">
        <x:is>
          <x:t xml:space="preserve">Y</x:t>
        </x:is>
      </x:c>
      <x:c r="E142" t="inlineStr">
        <x:is>
          <x:t xml:space="preserve">Y</x:t>
        </x:is>
      </x:c>
      <x:c r="F142" t="inlineStr">
        <x:is>
          <x:t xml:space="preserve">Y</x:t>
        </x:is>
      </x:c>
      <x:c r="L142" t="n">
        <x:v>13</x:v>
      </x:c>
      <x:c r="N142" t="inlineStr">
        <x:is>
          <x:t xml:space="preserve">it_iam</x:t>
        </x:is>
      </x:c>
    </x:row>
    <x:row r="143">
      <x:c r="A143" t="inlineStr">
        <x:is>
          <x:t xml:space="preserve">IT_IAM</x:t>
        </x:is>
      </x:c>
      <x:c r="B143" t="inlineStr">
        <x:is>
          <x:t xml:space="preserve">ITIAM-D6-Q14</x:t>
        </x:is>
      </x:c>
      <x:c r="C143" t="inlineStr">
        <x:is>
          <x:t xml:space="preserve">Y</x:t>
        </x:is>
      </x:c>
      <x:c r="D143" t="inlineStr">
        <x:is>
          <x:t xml:space="preserve">N</x:t>
        </x:is>
      </x:c>
      <x:c r="E143" t="inlineStr">
        <x:is>
          <x:t xml:space="preserve">Y</x:t>
        </x:is>
      </x:c>
      <x:c r="F143" t="inlineStr">
        <x:is>
          <x:t xml:space="preserve">Y</x:t>
        </x:is>
      </x:c>
      <x:c r="L143" t="n">
        <x:v>14</x:v>
      </x:c>
      <x:c r="N143" t="inlineStr">
        <x:is>
          <x:t xml:space="preserve">it_iam</x:t>
        </x:is>
      </x:c>
    </x:row>
    <x:row r="144">
      <x:c r="A144" t="inlineStr">
        <x:is>
          <x:t xml:space="preserve">IT_IAM</x:t>
        </x:is>
      </x:c>
      <x:c r="B144" t="inlineStr">
        <x:is>
          <x:t xml:space="preserve">ITIAM-D7-Q15</x:t>
        </x:is>
      </x:c>
      <x:c r="C144" t="inlineStr">
        <x:is>
          <x:t xml:space="preserve">Y</x:t>
        </x:is>
      </x:c>
      <x:c r="D144" t="inlineStr">
        <x:is>
          <x:t xml:space="preserve">N</x:t>
        </x:is>
      </x:c>
      <x:c r="E144" t="inlineStr">
        <x:is>
          <x:t xml:space="preserve">Y</x:t>
        </x:is>
      </x:c>
      <x:c r="F144" t="inlineStr">
        <x:is>
          <x:t xml:space="preserve">Y</x:t>
        </x:is>
      </x:c>
      <x:c r="L144" t="n">
        <x:v>15</x:v>
      </x:c>
      <x:c r="N144" t="inlineStr">
        <x:is>
          <x:t xml:space="preserve">it_iam</x:t>
        </x:is>
      </x:c>
    </x:row>
    <x:row r="145">
      <x:c r="A145" t="inlineStr">
        <x:is>
          <x:t xml:space="preserve">IT_IAM</x:t>
        </x:is>
      </x:c>
      <x:c r="B145" t="inlineStr">
        <x:is>
          <x:t xml:space="preserve">ITIAM-D8-Q16</x:t>
        </x:is>
      </x:c>
      <x:c r="C145" t="inlineStr">
        <x:is>
          <x:t xml:space="preserve">Y</x:t>
        </x:is>
      </x:c>
      <x:c r="D145" t="inlineStr">
        <x:is>
          <x:t xml:space="preserve">N</x:t>
        </x:is>
      </x:c>
      <x:c r="E145" t="inlineStr">
        <x:is>
          <x:t xml:space="preserve">Y</x:t>
        </x:is>
      </x:c>
      <x:c r="F145" t="inlineStr">
        <x:is>
          <x:t xml:space="preserve">Y</x:t>
        </x:is>
      </x:c>
      <x:c r="L145" t="n">
        <x:v>16</x:v>
      </x:c>
      <x:c r="N145" t="inlineStr">
        <x:is>
          <x:t xml:space="preserve">it_iam</x:t>
        </x:is>
      </x:c>
    </x:row>
    <x:row r="146">
      <x:c r="A146" t="inlineStr">
        <x:is>
          <x:t xml:space="preserve">IT_IAM</x:t>
        </x:is>
      </x:c>
      <x:c r="B146" t="inlineStr">
        <x:is>
          <x:t xml:space="preserve">ITIAM-D9-Q17</x:t>
        </x:is>
      </x:c>
      <x:c r="C146" t="inlineStr">
        <x:is>
          <x:t xml:space="preserve">Y</x:t>
        </x:is>
      </x:c>
      <x:c r="D146" t="inlineStr">
        <x:is>
          <x:t xml:space="preserve">N</x:t>
        </x:is>
      </x:c>
      <x:c r="E146" t="inlineStr">
        <x:is>
          <x:t xml:space="preserve">N</x:t>
        </x:is>
      </x:c>
      <x:c r="F146" t="inlineStr">
        <x:is>
          <x:t xml:space="preserve">Y</x:t>
        </x:is>
      </x:c>
      <x:c r="L146" t="n">
        <x:v>17</x:v>
      </x:c>
      <x:c r="N146" t="inlineStr">
        <x:is>
          <x:t xml:space="preserve">it_iam</x:t>
        </x:is>
      </x:c>
    </x:row>
    <x:row r="147">
      <x:c r="A147" t="inlineStr">
        <x:is>
          <x:t xml:space="preserve">IT_IAM</x:t>
        </x:is>
      </x:c>
      <x:c r="B147" t="inlineStr">
        <x:is>
          <x:t xml:space="preserve">ITIAM-D9-Q18</x:t>
        </x:is>
      </x:c>
      <x:c r="C147" t="inlineStr">
        <x:is>
          <x:t xml:space="preserve">Y</x:t>
        </x:is>
      </x:c>
      <x:c r="D147" t="inlineStr">
        <x:is>
          <x:t xml:space="preserve">N</x:t>
        </x:is>
      </x:c>
      <x:c r="E147" t="inlineStr">
        <x:is>
          <x:t xml:space="preserve">N</x:t>
        </x:is>
      </x:c>
      <x:c r="F147" t="inlineStr">
        <x:is>
          <x:t xml:space="preserve">Y</x:t>
        </x:is>
      </x:c>
      <x:c r="L147" t="n">
        <x:v>18</x:v>
      </x:c>
      <x:c r="N147" t="inlineStr">
        <x:is>
          <x:t xml:space="preserve">it_iam</x:t>
        </x:is>
      </x:c>
    </x:row>
    <x:row r="148">
      <x:c r="A148" t="inlineStr">
        <x:is>
          <x:t xml:space="preserve">RiskAudit</x:t>
        </x:is>
      </x:c>
      <x:c r="B148" t="inlineStr">
        <x:is>
          <x:t xml:space="preserve">AUD-D1-Q01</x:t>
        </x:is>
      </x:c>
      <x:c r="C148" t="inlineStr">
        <x:is>
          <x:t xml:space="preserve">N</x:t>
        </x:is>
      </x:c>
      <x:c r="D148" t="inlineStr">
        <x:is>
          <x:t xml:space="preserve">Y</x:t>
        </x:is>
      </x:c>
      <x:c r="E148" t="inlineStr">
        <x:is>
          <x:t xml:space="preserve">Y</x:t>
        </x:is>
      </x:c>
      <x:c r="F148" t="inlineStr">
        <x:is>
          <x:t xml:space="preserve">Y</x:t>
        </x:is>
      </x:c>
      <x:c r="L148" t="n">
        <x:v>1</x:v>
      </x:c>
      <x:c r="N148" t="inlineStr">
        <x:is>
          <x:t xml:space="preserve">risk_audit</x:t>
        </x:is>
      </x:c>
    </x:row>
    <x:row r="149">
      <x:c r="A149" t="inlineStr">
        <x:is>
          <x:t xml:space="preserve">RiskAudit</x:t>
        </x:is>
      </x:c>
      <x:c r="B149" t="inlineStr">
        <x:is>
          <x:t xml:space="preserve">AUD-D1-Q02</x:t>
        </x:is>
      </x:c>
      <x:c r="C149" t="inlineStr">
        <x:is>
          <x:t xml:space="preserve">N</x:t>
        </x:is>
      </x:c>
      <x:c r="D149" t="inlineStr">
        <x:is>
          <x:t xml:space="preserve">Y</x:t>
        </x:is>
      </x:c>
      <x:c r="E149" t="inlineStr">
        <x:is>
          <x:t xml:space="preserve">Y</x:t>
        </x:is>
      </x:c>
      <x:c r="F149" t="inlineStr">
        <x:is>
          <x:t xml:space="preserve">Y</x:t>
        </x:is>
      </x:c>
      <x:c r="L149" t="n">
        <x:v>2</x:v>
      </x:c>
      <x:c r="N149" t="inlineStr">
        <x:is>
          <x:t xml:space="preserve">risk_audit</x:t>
        </x:is>
      </x:c>
    </x:row>
    <x:row r="150">
      <x:c r="A150" t="inlineStr">
        <x:is>
          <x:t xml:space="preserve">RiskAudit</x:t>
        </x:is>
      </x:c>
      <x:c r="B150" t="inlineStr">
        <x:is>
          <x:t xml:space="preserve">AUD-D1-Q03</x:t>
        </x:is>
      </x:c>
      <x:c r="C150" t="inlineStr">
        <x:is>
          <x:t xml:space="preserve">N</x:t>
        </x:is>
      </x:c>
      <x:c r="D150" t="inlineStr">
        <x:is>
          <x:t xml:space="preserve">Y</x:t>
        </x:is>
      </x:c>
      <x:c r="E150" t="inlineStr">
        <x:is>
          <x:t xml:space="preserve">Y</x:t>
        </x:is>
      </x:c>
      <x:c r="F150" t="inlineStr">
        <x:is>
          <x:t xml:space="preserve">Y</x:t>
        </x:is>
      </x:c>
      <x:c r="L150" t="n">
        <x:v>3</x:v>
      </x:c>
      <x:c r="N150" t="inlineStr">
        <x:is>
          <x:t xml:space="preserve">risk_audit</x:t>
        </x:is>
      </x:c>
    </x:row>
    <x:row r="151">
      <x:c r="A151" t="inlineStr">
        <x:is>
          <x:t xml:space="preserve">RiskAudit</x:t>
        </x:is>
      </x:c>
      <x:c r="B151" t="inlineStr">
        <x:is>
          <x:t xml:space="preserve">AUD-D2-Q04</x:t>
        </x:is>
      </x:c>
      <x:c r="C151" t="inlineStr">
        <x:is>
          <x:t xml:space="preserve">N</x:t>
        </x:is>
      </x:c>
      <x:c r="D151" t="inlineStr">
        <x:is>
          <x:t xml:space="preserve">N</x:t>
        </x:is>
      </x:c>
      <x:c r="E151" t="inlineStr">
        <x:is>
          <x:t xml:space="preserve">Y</x:t>
        </x:is>
      </x:c>
      <x:c r="F151" t="inlineStr">
        <x:is>
          <x:t xml:space="preserve">Y</x:t>
        </x:is>
      </x:c>
      <x:c r="L151" t="n">
        <x:v>4</x:v>
      </x:c>
      <x:c r="N151" t="inlineStr">
        <x:is>
          <x:t xml:space="preserve">risk_audit</x:t>
        </x:is>
      </x:c>
    </x:row>
    <x:row r="152">
      <x:c r="A152" t="inlineStr">
        <x:is>
          <x:t xml:space="preserve">RiskAudit</x:t>
        </x:is>
      </x:c>
      <x:c r="B152" t="inlineStr">
        <x:is>
          <x:t xml:space="preserve">AUD-D2-Q05</x:t>
        </x:is>
      </x:c>
      <x:c r="C152" t="inlineStr">
        <x:is>
          <x:t xml:space="preserve">N</x:t>
        </x:is>
      </x:c>
      <x:c r="D152" t="inlineStr">
        <x:is>
          <x:t xml:space="preserve">N</x:t>
        </x:is>
      </x:c>
      <x:c r="E152" t="inlineStr">
        <x:is>
          <x:t xml:space="preserve">Y</x:t>
        </x:is>
      </x:c>
      <x:c r="F152" t="inlineStr">
        <x:is>
          <x:t xml:space="preserve">Y</x:t>
        </x:is>
      </x:c>
      <x:c r="L152" t="n">
        <x:v>5</x:v>
      </x:c>
      <x:c r="N152" t="inlineStr">
        <x:is>
          <x:t xml:space="preserve">risk_audit</x:t>
        </x:is>
      </x:c>
    </x:row>
    <x:row r="153">
      <x:c r="A153" t="inlineStr">
        <x:is>
          <x:t xml:space="preserve">RiskAudit</x:t>
        </x:is>
      </x:c>
      <x:c r="B153" t="inlineStr">
        <x:is>
          <x:t xml:space="preserve">AUD-D3-Q06</x:t>
        </x:is>
      </x:c>
      <x:c r="C153" t="inlineStr">
        <x:is>
          <x:t xml:space="preserve">N</x:t>
        </x:is>
      </x:c>
      <x:c r="D153" t="inlineStr">
        <x:is>
          <x:t xml:space="preserve">Y</x:t>
        </x:is>
      </x:c>
      <x:c r="E153" t="inlineStr">
        <x:is>
          <x:t xml:space="preserve">Y</x:t>
        </x:is>
      </x:c>
      <x:c r="F153" t="inlineStr">
        <x:is>
          <x:t xml:space="preserve">Y</x:t>
        </x:is>
      </x:c>
      <x:c r="L153" t="n">
        <x:v>6</x:v>
      </x:c>
      <x:c r="N153" t="inlineStr">
        <x:is>
          <x:t xml:space="preserve">risk_audit</x:t>
        </x:is>
      </x:c>
    </x:row>
    <x:row r="154">
      <x:c r="A154" t="inlineStr">
        <x:is>
          <x:t xml:space="preserve">RiskAudit</x:t>
        </x:is>
      </x:c>
      <x:c r="B154" t="inlineStr">
        <x:is>
          <x:t xml:space="preserve">AUD-D3-Q07</x:t>
        </x:is>
      </x:c>
      <x:c r="C154" t="inlineStr">
        <x:is>
          <x:t xml:space="preserve">N</x:t>
        </x:is>
      </x:c>
      <x:c r="D154" t="inlineStr">
        <x:is>
          <x:t xml:space="preserve">N</x:t>
        </x:is>
      </x:c>
      <x:c r="E154" t="inlineStr">
        <x:is>
          <x:t xml:space="preserve">Y</x:t>
        </x:is>
      </x:c>
      <x:c r="F154" t="inlineStr">
        <x:is>
          <x:t xml:space="preserve">Y</x:t>
        </x:is>
      </x:c>
      <x:c r="L154" t="n">
        <x:v>7</x:v>
      </x:c>
      <x:c r="N154" t="inlineStr">
        <x:is>
          <x:t xml:space="preserve">risk_audit</x:t>
        </x:is>
      </x:c>
    </x:row>
    <x:row r="155">
      <x:c r="A155" t="inlineStr">
        <x:is>
          <x:t xml:space="preserve">RiskAudit</x:t>
        </x:is>
      </x:c>
      <x:c r="B155" t="inlineStr">
        <x:is>
          <x:t xml:space="preserve">AUD-D4-Q08</x:t>
        </x:is>
      </x:c>
      <x:c r="C155" t="inlineStr">
        <x:is>
          <x:t xml:space="preserve">N</x:t>
        </x:is>
      </x:c>
      <x:c r="D155" t="inlineStr">
        <x:is>
          <x:t xml:space="preserve">N</x:t>
        </x:is>
      </x:c>
      <x:c r="E155" t="inlineStr">
        <x:is>
          <x:t xml:space="preserve">Y</x:t>
        </x:is>
      </x:c>
      <x:c r="F155" t="inlineStr">
        <x:is>
          <x:t xml:space="preserve">Y</x:t>
        </x:is>
      </x:c>
      <x:c r="L155" t="n">
        <x:v>8</x:v>
      </x:c>
      <x:c r="N155" t="inlineStr">
        <x:is>
          <x:t xml:space="preserve">risk_audit</x:t>
        </x:is>
      </x:c>
    </x:row>
    <x:row r="156">
      <x:c r="A156" t="inlineStr">
        <x:is>
          <x:t xml:space="preserve">RiskAudit</x:t>
        </x:is>
      </x:c>
      <x:c r="B156" t="inlineStr">
        <x:is>
          <x:t xml:space="preserve">AUD-D5-Q09</x:t>
        </x:is>
      </x:c>
      <x:c r="C156" t="inlineStr">
        <x:is>
          <x:t xml:space="preserve">N</x:t>
        </x:is>
      </x:c>
      <x:c r="D156" t="inlineStr">
        <x:is>
          <x:t xml:space="preserve">N</x:t>
        </x:is>
      </x:c>
      <x:c r="E156" t="inlineStr">
        <x:is>
          <x:t xml:space="preserve">Y</x:t>
        </x:is>
      </x:c>
      <x:c r="F156" t="inlineStr">
        <x:is>
          <x:t xml:space="preserve">Y</x:t>
        </x:is>
      </x:c>
      <x:c r="L156" t="n">
        <x:v>9</x:v>
      </x:c>
      <x:c r="N156" t="inlineStr">
        <x:is>
          <x:t xml:space="preserve">risk_audit</x:t>
        </x:is>
      </x:c>
    </x:row>
    <x:row r="157">
      <x:c r="A157" t="inlineStr">
        <x:is>
          <x:t xml:space="preserve">RiskAudit</x:t>
        </x:is>
      </x:c>
      <x:c r="B157" t="inlineStr">
        <x:is>
          <x:t xml:space="preserve">AUD-D6-Q10</x:t>
        </x:is>
      </x:c>
      <x:c r="C157" t="inlineStr">
        <x:is>
          <x:t xml:space="preserve">N</x:t>
        </x:is>
      </x:c>
      <x:c r="D157" t="inlineStr">
        <x:is>
          <x:t xml:space="preserve">N</x:t>
        </x:is>
      </x:c>
      <x:c r="E157" t="inlineStr">
        <x:is>
          <x:t xml:space="preserve">N</x:t>
        </x:is>
      </x:c>
      <x:c r="F157" t="inlineStr">
        <x:is>
          <x:t xml:space="preserve">Y</x:t>
        </x:is>
      </x:c>
      <x:c r="L157" t="n">
        <x:v>10</x:v>
      </x:c>
      <x:c r="N157" t="inlineStr">
        <x:is>
          <x:t xml:space="preserve">risk_audit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customWidth="1"/>
    <x:col min="2" max="2" width="26" customWidth="1"/>
    <x:col min="3" max="3" width="10" customWidth="1"/>
    <x:col min="4" max="4" width="48" customWidth="1"/>
    <x:col min="5" max="5" width="10" customWidth="1"/>
    <x:col min="6" max="6" width="10" customWidth="1"/>
    <x:col min="7" max="7" width="10" customWidth="1"/>
    <x:col min="8" max="8" width="10" customWidth="1"/>
    <x:col min="9" max="9" width="60" customWidth="1"/>
    <x:col min="10" max="10" width="60" customWidth="1"/>
    <x:col min="11" max="11" width="60" customWidth="1"/>
    <x:col min="12" max="12" width="18" customWidth="1"/>
    <x:col min="13" max="13" width="10" customWidth="1"/>
    <x:col min="14" max="14" width="10" customWidth="1"/>
    <x:col min="15" max="15" width="10" customWidth="1"/>
    <x:col min="16" max="16" width="13" customWidth="1"/>
    <x:col min="17" max="17" width="15" customWidth="1"/>
    <x:col min="18" max="18" width="13" customWidth="1"/>
    <x:col min="19" max="19" width="13" customWidth="1"/>
    <x:col min="20" max="20" width="13" customWidth="1"/>
    <x:col min="21" max="21" width="10" customWidth="1"/>
  </x:cols>
  <x:sheetData>
    <x:row r="1">
      <x:c r="A1" s="1" t="inlineStr">
        <x:is>
          <x:t xml:space="preserve">Q-ID</x:t>
        </x:is>
      </x:c>
      <x:c r="B1" s="1" t="inlineStr">
        <x:is>
          <x:t xml:space="preserve">PrimaryPack (Deprecated)</x:t>
        </x:is>
      </x:c>
      <x:c r="C1" s="1" t="inlineStr">
        <x:is>
          <x:t xml:space="preserve">Tier</x:t>
        </x:is>
      </x:c>
      <x:c r="D1" s="1" t="inlineStr">
        <x:is>
          <x:t xml:space="preserve">Domain</x:t>
        </x:is>
      </x:c>
      <x:c r="E1" s="1" t="inlineStr">
        <x:is>
          <x:t xml:space="preserve">Axis1</x:t>
        </x:is>
      </x:c>
      <x:c r="F1" s="1" t="inlineStr">
        <x:is>
          <x:t xml:space="preserve">W1</x:t>
        </x:is>
      </x:c>
      <x:c r="G1" s="1" t="inlineStr">
        <x:is>
          <x:t xml:space="preserve">Axis2</x:t>
        </x:is>
      </x:c>
      <x:c r="H1" s="1" t="inlineStr">
        <x:is>
          <x:t xml:space="preserve">W2</x:t>
        </x:is>
      </x:c>
      <x:c r="I1" s="1" t="inlineStr">
        <x:is>
          <x:t xml:space="preserve">Question Text</x:t>
        </x:is>
      </x:c>
      <x:c r="J1" s="1" t="inlineStr">
        <x:is>
          <x:t xml:space="preserve">Guidance</x:t>
        </x:is>
      </x:c>
      <x:c r="K1" s="1" t="inlineStr">
        <x:is>
          <x:t xml:space="preserve">Logic/Branching</x:t>
        </x:is>
      </x:c>
      <x:c r="L1" s="1" t="inlineStr">
        <x:is>
          <x:t xml:space="preserve">EvidencePolicyID</x:t>
        </x:is>
      </x:c>
      <x:c r="M1" s="1" t="inlineStr">
        <x:is>
          <x:t xml:space="preserve">CW</x:t>
        </x:is>
      </x:c>
      <x:c r="N1" s="1" t="inlineStr">
        <x:is>
          <x:t xml:space="preserve">TH</x:t>
        </x:is>
      </x:c>
      <x:c r="O1" s="1" t="inlineStr">
        <x:is>
          <x:t xml:space="preserve">Scope</x:t>
        </x:is>
      </x:c>
      <x:c r="P1" s="1" t="inlineStr">
        <x:is>
          <x:t xml:space="preserve">BranchType</x:t>
        </x:is>
      </x:c>
      <x:c r="Q1" s="1" t="inlineStr">
        <x:is>
          <x:t xml:space="preserve">GateThreshold</x:t>
        </x:is>
      </x:c>
      <x:c r="R1" s="1" t="inlineStr">
        <x:is>
          <x:t xml:space="preserve">NextIfLow</x:t>
        </x:is>
      </x:c>
      <x:c r="S1" s="1" t="inlineStr">
        <x:is>
          <x:t xml:space="preserve">NextIfHigh</x:t>
        </x:is>
      </x:c>
      <x:c r="T1" s="1" t="inlineStr">
        <x:is>
          <x:t xml:space="preserve">NextDefault</x:t>
        </x:is>
      </x:c>
      <x:c r="U1" s="1" t="inlineStr">
        <x:is>
          <x:t xml:space="preserve">EndFlag</x:t>
        </x:is>
      </x:c>
      <x:c r="V1" t="inlineStr">
        <x:is>
          <x:t xml:space="preserve">IRMMF Domain</x:t>
        </x:is>
      </x:c>
      <x:c r="W1" t="inlineStr">
        <x:is>
          <x:t xml:space="preserve">IRMMF Function</x:t>
        </x:is>
      </x:c>
      <x:c r="X1" t="inlineStr">
        <x:is>
          <x:t xml:space="preserve">IRMMF Sub-capability</x:t>
        </x:is>
      </x:c>
      <x:c r="Y1" t="inlineStr">
        <x:is>
          <x:t xml:space="preserve">MapScore</x:t>
        </x:is>
      </x:c>
      <x:c r="Z1" t="inlineStr">
        <x:is>
          <x:t xml:space="preserve">MapMethod</x:t>
        </x:is>
      </x:c>
    </x:row>
    <x:row r="2">
      <x:c r="A2" t="inlineStr">
        <x:is>
          <x:t xml:space="preserve">EXCO-D1-Q01</x:t>
        </x:is>
      </x:c>
      <x:c r="B2" t="inlineStr">
        <x:is>
          <x:t xml:space="preserve">Executive</x:t>
        </x:is>
      </x:c>
      <x:c r="C2" t="inlineStr">
        <x:is>
          <x:t xml:space="preserve">T1</x:t>
        </x:is>
      </x:c>
      <x:c r="D2" t="inlineStr">
        <x:is>
          <x:t xml:space="preserve">1. Strategy &amp; Governance</x:t>
        </x:is>
      </x:c>
      <x:c r="E2" t="inlineStr">
        <x:is>
          <x:t xml:space="preserve">G</x:t>
        </x:is>
      </x:c>
      <x:c r="F2" t="n">
        <x:v>1</x:v>
      </x:c>
      <x:c r="G2" t="inlineStr">
        <x:is>
          <x:t xml:space="preserve">-</x:t>
        </x:is>
      </x:c>
      <x:c r="I2" t="inlineStr">
        <x:is>
          <x:t xml:space="preserve">How is the insider risk program officially authorised?</x:t>
        </x:is>
      </x:c>
      <x:c r="J2" t="inlineStr">
        <x:is>
          <x:t xml:space="preserve">Think about a signed charter/decision, named sponsor, and whether funding is formally approved.</x:t>
        </x:is>
      </x:c>
      <x:c r="L2" t="inlineStr">
        <x:is>
          <x:t xml:space="preserve">GOV_STD</x:t>
        </x:is>
      </x:c>
      <x:c r="M2" t="n">
        <x:v>1</x:v>
      </x:c>
      <x:c r="P2" t="inlineStr">
        <x:is>
          <x:t xml:space="preserve">Gatekeeper</x:t>
        </x:is>
      </x:c>
      <x:c r="Q2" t="n">
        <x:v>2</x:v>
      </x:c>
      <x:c r="R2" t="inlineStr">
        <x:is>
          <x:t xml:space="preserve">EXCO-D1-Q02</x:t>
        </x:is>
      </x:c>
      <x:c r="S2" t="inlineStr">
        <x:is>
          <x:t xml:space="preserve">EXCO-D1-Q03</x:t>
        </x:is>
      </x:c>
      <x:c r="V2" t="inlineStr">
        <x:is>
          <x:t xml:space="preserve">1. Strategy &amp; Governance</x:t>
        </x:is>
      </x:c>
      <x:c r="W2" t="inlineStr">
        <x:is>
          <x:t xml:space="preserve">Program Management</x:t>
        </x:is>
      </x:c>
      <x:c r="X2" t="inlineStr">
        <x:is>
          <x:t xml:space="preserve">Charter &amp; authority model</x:t>
        </x:is>
      </x:c>
      <x:c r="Y2" t="n">
        <x:v>0.95</x:v>
      </x:c>
      <x:c r="Z2" t="inlineStr">
        <x:is>
          <x:t xml:space="preserve">override</x:t>
        </x:is>
      </x:c>
    </x:row>
    <x:row r="3">
      <x:c r="A3" t="inlineStr">
        <x:is>
          <x:t xml:space="preserve">EXCO-D1-Q02</x:t>
        </x:is>
      </x:c>
      <x:c r="B3" t="inlineStr">
        <x:is>
          <x:t xml:space="preserve">Executive</x:t>
        </x:is>
      </x:c>
      <x:c r="C3" t="inlineStr">
        <x:is>
          <x:t xml:space="preserve">T2</x:t>
        </x:is>
      </x:c>
      <x:c r="D3" t="inlineStr">
        <x:is>
          <x:t xml:space="preserve">1. Strategy &amp; Governance</x:t>
        </x:is>
      </x:c>
      <x:c r="E3" t="inlineStr">
        <x:is>
          <x:t xml:space="preserve">E</x:t>
        </x:is>
      </x:c>
      <x:c r="F3" t="n">
        <x:v>1</x:v>
      </x:c>
      <x:c r="G3" t="inlineStr">
        <x:is>
          <x:t xml:space="preserve">-</x:t>
        </x:is>
      </x:c>
      <x:c r="I3" t="inlineStr">
        <x:is>
          <x:t xml:space="preserve">(Shadow probe) Even without formal approval, are there consistent “habits” to prevent sensitive data loss?</x:t>
        </x:is>
      </x:c>
      <x:c r="J3" t="inlineStr">
        <x:is>
          <x:t xml:space="preserve">Examples: managers consistently enforce leaver checks, sensitive projects use extra approvals, privileged actions are reviewed.</x:t>
        </x:is>
      </x:c>
      <x:c r="L3" t="inlineStr">
        <x:is>
          <x:t xml:space="preserve">OPS_STD</x:t>
        </x:is>
      </x:c>
      <x:c r="M3" t="n">
        <x:v>1</x:v>
      </x:c>
      <x:c r="P3" t="inlineStr">
        <x:is>
          <x:t xml:space="preserve">ShadowProbe</x:t>
        </x:is>
      </x:c>
      <x:c r="T3" t="inlineStr">
        <x:is>
          <x:t xml:space="preserve">EXCO-D1-Q03</x:t>
        </x:is>
      </x:c>
      <x:c r="V3" t="inlineStr">
        <x:is>
          <x:t xml:space="preserve">5. Human-Centric Culture</x:t>
        </x:is>
      </x:c>
      <x:c r="W3" t="inlineStr">
        <x:is>
          <x:t xml:space="preserve">Human Lifecycle</x:t>
        </x:is>
      </x:c>
      <x:c r="X3" t="inlineStr">
        <x:is>
          <x:t xml:space="preserve">Enhanced JML Synchronization</x:t>
        </x:is>
      </x:c>
      <x:c r="Y3" t="n">
        <x:v>0.95</x:v>
      </x:c>
      <x:c r="Z3" t="inlineStr">
        <x:is>
          <x:t xml:space="preserve">override</x:t>
        </x:is>
      </x:c>
    </x:row>
    <x:row r="4">
      <x:c r="A4" t="inlineStr">
        <x:is>
          <x:t xml:space="preserve">EXCO-D1-Q03</x:t>
        </x:is>
      </x:c>
      <x:c r="B4" t="inlineStr">
        <x:is>
          <x:t xml:space="preserve">Executive</x:t>
        </x:is>
      </x:c>
      <x:c r="C4" t="inlineStr">
        <x:is>
          <x:t xml:space="preserve">T2</x:t>
        </x:is>
      </x:c>
      <x:c r="D4" t="inlineStr">
        <x:is>
          <x:t xml:space="preserve">1. Strategy &amp; Governance</x:t>
        </x:is>
      </x:c>
      <x:c r="E4" t="inlineStr">
        <x:is>
          <x:t xml:space="preserve">G</x:t>
        </x:is>
      </x:c>
      <x:c r="F4" t="n">
        <x:v>0.6</x:v>
      </x:c>
      <x:c r="G4" t="inlineStr">
        <x:is>
          <x:t xml:space="preserve">E</x:t>
        </x:is>
      </x:c>
      <x:c r="H4" t="n">
        <x:v>0.4</x:v>
      </x:c>
      <x:c r="I4" t="inlineStr">
        <x:is>
          <x:t xml:space="preserve">Who has final decision authority for insider risk actions (and who pays for them)?</x:t>
        </x:is>
      </x:c>
      <x:c r="J4" t="inlineStr">
        <x:is>
          <x:t xml:space="preserve">Look for a named owner who can make trade-offs across HR, Legal, Security and the business.</x:t>
        </x:is>
      </x:c>
      <x:c r="L4" t="inlineStr">
        <x:is>
          <x:t xml:space="preserve">GOV_STD</x:t>
        </x:is>
      </x:c>
      <x:c r="M4" t="n">
        <x:v>1</x:v>
      </x:c>
      <x:c r="P4" t="inlineStr">
        <x:is>
          <x:t xml:space="preserve">DrillDown</x:t>
        </x:is>
      </x:c>
      <x:c r="T4" t="inlineStr">
        <x:is>
          <x:t xml:space="preserve">EXCO-D1-Q04</x:t>
        </x:is>
      </x:c>
      <x:c r="V4" t="inlineStr">
        <x:is>
          <x:t xml:space="preserve">1. Strategy &amp; Governance</x:t>
        </x:is>
      </x:c>
      <x:c r="W4" t="inlineStr">
        <x:is>
          <x:t xml:space="preserve">Organization &amp; RACI</x:t>
        </x:is>
      </x:c>
      <x:c r="X4" t="inlineStr">
        <x:is>
          <x:t xml:space="preserve">RACI &amp; decision rights</x:t>
        </x:is>
      </x:c>
      <x:c r="Y4" t="n">
        <x:v>0.132</x:v>
      </x:c>
      <x:c r="Z4" t="inlineStr">
        <x:is>
          <x:t xml:space="preserve">similarity</x:t>
        </x:is>
      </x:c>
    </x:row>
    <x:row r="5">
      <x:c r="A5" t="inlineStr">
        <x:is>
          <x:t xml:space="preserve">EXCO-D1-Q04</x:t>
        </x:is>
      </x:c>
      <x:c r="B5" t="inlineStr">
        <x:is>
          <x:t xml:space="preserve">Executive</x:t>
        </x:is>
      </x:c>
      <x:c r="C5" t="inlineStr">
        <x:is>
          <x:t xml:space="preserve">T2</x:t>
        </x:is>
      </x:c>
      <x:c r="D5" t="inlineStr">
        <x:is>
          <x:t xml:space="preserve">1. Strategy &amp; Governance</x:t>
        </x:is>
      </x:c>
      <x:c r="E5" t="inlineStr">
        <x:is>
          <x:t xml:space="preserve">G</x:t>
        </x:is>
      </x:c>
      <x:c r="F5" t="n">
        <x:v>0.5</x:v>
      </x:c>
      <x:c r="G5" t="inlineStr">
        <x:is>
          <x:t xml:space="preserve">E</x:t>
        </x:is>
      </x:c>
      <x:c r="H5" t="n">
        <x:v>0.5</x:v>
      </x:c>
      <x:c r="I5" t="inlineStr">
        <x:is>
          <x:t xml:space="preserve">How does the program operate day-to-day across departments?</x:t>
        </x:is>
      </x:c>
      <x:c r="J5" t="inlineStr">
        <x:is>
          <x:t xml:space="preserve">Think about whether there is a defined cross-functional working group, how cases are triaged, and how changes are implemented.</x:t>
        </x:is>
      </x:c>
      <x:c r="L5" t="inlineStr">
        <x:is>
          <x:t xml:space="preserve">GOV_STD</x:t>
        </x:is>
      </x:c>
      <x:c r="M5" t="n">
        <x:v>1</x:v>
      </x:c>
      <x:c r="P5" t="inlineStr">
        <x:is>
          <x:t xml:space="preserve">DrillDown</x:t>
        </x:is>
      </x:c>
      <x:c r="T5" t="inlineStr">
        <x:is>
          <x:t xml:space="preserve">EXCO-D1-Q05</x:t>
        </x:is>
      </x:c>
      <x:c r="V5" t="inlineStr">
        <x:is>
          <x:t xml:space="preserve">1. Strategy &amp; Governance</x:t>
        </x:is>
      </x:c>
      <x:c r="W5" t="inlineStr">
        <x:is>
          <x:t xml:space="preserve">Organization &amp; RACI</x:t>
        </x:is>
      </x:c>
      <x:c r="X5" t="inlineStr">
        <x:is>
          <x:t xml:space="preserve">Operational working group (ITWG/triage cell)</x:t>
        </x:is>
      </x:c>
      <x:c r="Y5" t="n">
        <x:v>0.95</x:v>
      </x:c>
      <x:c r="Z5" t="inlineStr">
        <x:is>
          <x:t xml:space="preserve">override</x:t>
        </x:is>
      </x:c>
    </x:row>
    <x:row r="6">
      <x:c r="A6" t="inlineStr">
        <x:is>
          <x:t xml:space="preserve">EXCO-D1-Q05</x:t>
        </x:is>
      </x:c>
      <x:c r="B6" t="inlineStr">
        <x:is>
          <x:t xml:space="preserve">Executive</x:t>
        </x:is>
      </x:c>
      <x:c r="C6" t="inlineStr">
        <x:is>
          <x:t xml:space="preserve">T3</x:t>
        </x:is>
      </x:c>
      <x:c r="D6" t="inlineStr">
        <x:is>
          <x:t xml:space="preserve">1. Strategy &amp; Governance</x:t>
        </x:is>
      </x:c>
      <x:c r="E6" t="inlineStr">
        <x:is>
          <x:t xml:space="preserve">G</x:t>
        </x:is>
      </x:c>
      <x:c r="F6" t="n">
        <x:v>1</x:v>
      </x:c>
      <x:c r="G6" t="inlineStr">
        <x:is>
          <x:t xml:space="preserve">-</x:t>
        </x:is>
      </x:c>
      <x:c r="I6" t="inlineStr">
        <x:is>
          <x:t xml:space="preserve">Is there a dedicated budget for insider risk activities (people/process/tooling), and is it ring-fenced?</x:t>
        </x:is>
      </x:c>
      <x:c r="J6" t="inlineStr">
        <x:is>
          <x:t xml:space="preserve">Budget can be small, but should be identifiable and protected from being reallocated without review.</x:t>
        </x:is>
      </x:c>
      <x:c r="L6" t="inlineStr">
        <x:is>
          <x:t xml:space="preserve">GOV_STD</x:t>
        </x:is>
      </x:c>
      <x:c r="M6" t="n">
        <x:v>1</x:v>
      </x:c>
      <x:c r="P6" t="inlineStr">
        <x:is>
          <x:t xml:space="preserve">DrillDown</x:t>
        </x:is>
      </x:c>
      <x:c r="T6" t="inlineStr">
        <x:is>
          <x:t xml:space="preserve">EXCO-D1-Q06</x:t>
        </x:is>
      </x:c>
      <x:c r="V6" t="inlineStr">
        <x:is>
          <x:t xml:space="preserve">1. Strategy &amp; Governance</x:t>
        </x:is>
      </x:c>
      <x:c r="W6" t="inlineStr">
        <x:is>
          <x:t xml:space="preserve">Program Management</x:t>
        </x:is>
      </x:c>
      <x:c r="X6" t="inlineStr">
        <x:is>
          <x:t xml:space="preserve">Funding &amp; resourcing model (OpEx/CapEx)</x:t>
        </x:is>
      </x:c>
      <x:c r="Y6" t="n">
        <x:v>0.95</x:v>
      </x:c>
      <x:c r="Z6" t="inlineStr">
        <x:is>
          <x:t xml:space="preserve">override</x:t>
        </x:is>
      </x:c>
    </x:row>
    <x:row r="7">
      <x:c r="A7" t="inlineStr">
        <x:is>
          <x:t xml:space="preserve">EXCO-D1-Q06</x:t>
        </x:is>
      </x:c>
      <x:c r="B7" t="inlineStr">
        <x:is>
          <x:t xml:space="preserve">Executive</x:t>
        </x:is>
      </x:c>
      <x:c r="C7" t="inlineStr">
        <x:is>
          <x:t xml:space="preserve">T2</x:t>
        </x:is>
      </x:c>
      <x:c r="D7" t="inlineStr">
        <x:is>
          <x:t xml:space="preserve">1. Strategy &amp; Governance</x:t>
        </x:is>
      </x:c>
      <x:c r="E7" t="inlineStr">
        <x:is>
          <x:t xml:space="preserve">G</x:t>
        </x:is>
      </x:c>
      <x:c r="F7" t="n">
        <x:v>1</x:v>
      </x:c>
      <x:c r="G7" t="inlineStr">
        <x:is>
          <x:t xml:space="preserve">-</x:t>
        </x:is>
      </x:c>
      <x:c r="I7" t="inlineStr">
        <x:is>
          <x:t xml:space="preserve">Is there a 12–24 month improvement roadmap with owners and dates?</x:t>
        </x:is>
      </x:c>
      <x:c r="J7" t="inlineStr">
        <x:is>
          <x:t xml:space="preserve">Even a simple roadmap counts if it has owners, deadlines, and is reviewed regularly.</x:t>
        </x:is>
      </x:c>
      <x:c r="L7" t="inlineStr">
        <x:is>
          <x:t xml:space="preserve">GOV_STD</x:t>
        </x:is>
      </x:c>
      <x:c r="M7" t="n">
        <x:v>1</x:v>
      </x:c>
      <x:c r="P7" t="inlineStr">
        <x:is>
          <x:t xml:space="preserve">DrillDown</x:t>
        </x:is>
      </x:c>
      <x:c r="T7" t="inlineStr">
        <x:is>
          <x:t xml:space="preserve">EXCO-D2-Q01</x:t>
        </x:is>
      </x:c>
      <x:c r="V7" t="inlineStr">
        <x:is>
          <x:t xml:space="preserve">1. Strategy &amp; Governance</x:t>
        </x:is>
      </x:c>
      <x:c r="W7" t="inlineStr">
        <x:is>
          <x:t xml:space="preserve">Program Management</x:t>
        </x:is>
      </x:c>
      <x:c r="X7" t="inlineStr">
        <x:is>
          <x:t xml:space="preserve">Multi-year strategy &amp; roadmap</x:t>
        </x:is>
      </x:c>
      <x:c r="Y7" t="n">
        <x:v>0.95</x:v>
      </x:c>
      <x:c r="Z7" t="inlineStr">
        <x:is>
          <x:t xml:space="preserve">override</x:t>
        </x:is>
      </x:c>
    </x:row>
    <x:row r="8">
      <x:c r="A8" t="inlineStr">
        <x:is>
          <x:t xml:space="preserve">EXCO-D2-Q01</x:t>
        </x:is>
      </x:c>
      <x:c r="B8" t="inlineStr">
        <x:is>
          <x:t xml:space="preserve">Executive</x:t>
        </x:is>
      </x:c>
      <x:c r="C8" t="inlineStr">
        <x:is>
          <x:t xml:space="preserve">T1</x:t>
        </x:is>
      </x:c>
      <x:c r="D8" t="inlineStr">
        <x:is>
          <x:t xml:space="preserve">2. Targeting &amp; Risk</x:t>
        </x:is>
      </x:c>
      <x:c r="E8" t="inlineStr">
        <x:is>
          <x:t xml:space="preserve">V</x:t>
        </x:is>
      </x:c>
      <x:c r="F8" t="n">
        <x:v>1</x:v>
      </x:c>
      <x:c r="G8" t="inlineStr">
        <x:is>
          <x:t xml:space="preserve">-</x:t>
        </x:is>
      </x:c>
      <x:c r="I8" t="inlineStr">
        <x:is>
          <x:t xml:space="preserve">Do we know what our most sensitive business information and systems are (and where they live)?</x:t>
        </x:is>
      </x:c>
      <x:c r="J8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8" t="inlineStr">
        <x:is>
          <x:t xml:space="preserve">RISK_STD</x:t>
        </x:is>
      </x:c>
      <x:c r="M8" t="n">
        <x:v>1</x:v>
      </x:c>
      <x:c r="P8" t="inlineStr">
        <x:is>
          <x:t xml:space="preserve">Gatekeeper</x:t>
        </x:is>
      </x:c>
      <x:c r="Q8" t="n">
        <x:v>2</x:v>
      </x:c>
      <x:c r="R8" t="inlineStr">
        <x:is>
          <x:t xml:space="preserve">EXCO-D2-Q02</x:t>
        </x:is>
      </x:c>
      <x:c r="S8" t="inlineStr">
        <x:is>
          <x:t xml:space="preserve">EXCO-D2-Q03</x:t>
        </x:is>
      </x:c>
      <x:c r="V8" t="inlineStr">
        <x:is>
          <x:t xml:space="preserve">3. Risk Management</x:t>
        </x:is>
      </x:c>
      <x:c r="W8" t="inlineStr">
        <x:is>
          <x:t xml:space="preserve">Inventory &amp; Scope</x:t>
        </x:is>
      </x:c>
      <x:c r="X8" t="inlineStr">
        <x:is>
          <x:t xml:space="preserve">Crown jewels/HVA identification</x:t>
        </x:is>
      </x:c>
      <x:c r="Y8" t="n">
        <x:v>0.95</x:v>
      </x:c>
      <x:c r="Z8" t="inlineStr">
        <x:is>
          <x:t xml:space="preserve">override</x:t>
        </x:is>
      </x:c>
    </x:row>
    <x:row r="9">
      <x:c r="A9" t="inlineStr">
        <x:is>
          <x:t xml:space="preserve">EXCO-D2-Q02</x:t>
        </x:is>
      </x:c>
      <x:c r="B9" t="inlineStr">
        <x:is>
          <x:t xml:space="preserve">Executive</x:t>
        </x:is>
      </x:c>
      <x:c r="C9" t="inlineStr">
        <x:is>
          <x:t xml:space="preserve">T2</x:t>
        </x:is>
      </x:c>
      <x:c r="D9" t="inlineStr">
        <x:is>
          <x:t xml:space="preserve">2. Targeting &amp; Risk</x:t>
        </x:is>
      </x:c>
      <x:c r="E9" t="inlineStr">
        <x:is>
          <x:t xml:space="preserve">V</x:t>
        </x:is>
      </x:c>
      <x:c r="F9" t="n">
        <x:v>1</x:v>
      </x:c>
      <x:c r="G9" t="inlineStr">
        <x:is>
          <x:t xml:space="preserve">-</x:t>
        </x:is>
      </x:c>
      <x:c r="I9" t="inlineStr">
        <x:is>
          <x:t xml:space="preserve">(Shadow probe) Even without a formal list, could we name the top 5 things we would be most worried to lose or leak?</x:t>
        </x:is>
      </x:c>
      <x:c r="J9" t="inlineStr">
        <x:is>
          <x:t xml:space="preserve">This checks whether ‘tribal knowledge’ exists that can be formalised.</x:t>
        </x:is>
      </x:c>
      <x:c r="L9" t="inlineStr">
        <x:is>
          <x:t xml:space="preserve">RISK_STD</x:t>
        </x:is>
      </x:c>
      <x:c r="M9" t="n">
        <x:v>1</x:v>
      </x:c>
      <x:c r="P9" t="inlineStr">
        <x:is>
          <x:t xml:space="preserve">ShadowProbe</x:t>
        </x:is>
      </x:c>
      <x:c r="T9" t="inlineStr">
        <x:is>
          <x:t xml:space="preserve">EXCO-D2-Q03</x:t>
        </x:is>
      </x:c>
      <x:c r="V9" t="inlineStr">
        <x:is>
          <x:t xml:space="preserve">1. Strategy &amp; Governance</x:t>
        </x:is>
      </x:c>
      <x:c r="W9" t="inlineStr">
        <x:is>
          <x:t xml:space="preserve">Program Management</x:t>
        </x:is>
      </x:c>
      <x:c r="X9" t="inlineStr">
        <x:is>
          <x:t xml:space="preserve">Charter &amp; authority model</x:t>
        </x:is>
      </x:c>
      <x:c r="Y9" t="n">
        <x:v>0.026</x:v>
      </x:c>
      <x:c r="Z9" t="inlineStr">
        <x:is>
          <x:t xml:space="preserve">similarity</x:t>
        </x:is>
      </x:c>
    </x:row>
    <x:row r="10">
      <x:c r="A10" t="inlineStr">
        <x:is>
          <x:t xml:space="preserve">EXCO-D2-Q03</x:t>
        </x:is>
      </x:c>
      <x:c r="B10" t="inlineStr">
        <x:is>
          <x:t xml:space="preserve">Executive</x:t>
        </x:is>
      </x:c>
      <x:c r="C10" t="inlineStr">
        <x:is>
          <x:t xml:space="preserve">T2</x:t>
        </x:is>
      </x:c>
      <x:c r="D10" t="inlineStr">
        <x:is>
          <x:t xml:space="preserve">2. Targeting &amp; Risk</x:t>
        </x:is>
      </x:c>
      <x:c r="E10" t="inlineStr">
        <x:is>
          <x:t xml:space="preserve">V</x:t>
        </x:is>
      </x:c>
      <x:c r="F10" t="n">
        <x:v>0.7</x:v>
      </x:c>
      <x:c r="G10" t="inlineStr">
        <x:is>
          <x:t xml:space="preserve">E</x:t>
        </x:is>
      </x:c>
      <x:c r="H10" t="n">
        <x:v>0.3</x:v>
      </x:c>
      <x:c r="I10" t="inlineStr">
        <x:is>
          <x:t xml:space="preserve">Do we know which roles (or individuals) have unusually high access to sensitive information?</x:t>
        </x:is>
      </x:c>
      <x:c r="J10" t="inlineStr">
        <x:is>
          <x:t xml:space="preserve">Examples: admins, finance controllers, HR payroll, R&amp;D leads, M&amp;A team. The question is about *concentration of access*.</x:t>
        </x:is>
      </x:c>
      <x:c r="L10" t="inlineStr">
        <x:is>
          <x:t xml:space="preserve">RISK_STD</x:t>
        </x:is>
      </x:c>
      <x:c r="M10" t="n">
        <x:v>1</x:v>
      </x:c>
      <x:c r="P10" t="inlineStr">
        <x:is>
          <x:t xml:space="preserve">DrillDown</x:t>
        </x:is>
      </x:c>
      <x:c r="T10" t="inlineStr">
        <x:is>
          <x:t xml:space="preserve">EXCO-D2-Q04</x:t>
        </x:is>
      </x:c>
      <x:c r="V10" t="inlineStr">
        <x:is>
          <x:t xml:space="preserve">3. Risk Management</x:t>
        </x:is>
      </x:c>
      <x:c r="W10" t="inlineStr">
        <x:is>
          <x:t xml:space="preserve">Inventory &amp; Scope</x:t>
        </x:is>
      </x:c>
      <x:c r="X10" t="inlineStr">
        <x:is>
          <x:t xml:space="preserve">Crown jewels/HVA identification</x:t>
        </x:is>
      </x:c>
      <x:c r="Y10" t="n">
        <x:v>0.95</x:v>
      </x:c>
      <x:c r="Z10" t="inlineStr">
        <x:is>
          <x:t xml:space="preserve">override</x:t>
        </x:is>
      </x:c>
    </x:row>
    <x:row r="11">
      <x:c r="A11" t="inlineStr">
        <x:is>
          <x:t xml:space="preserve">EXCO-D2-Q04</x:t>
        </x:is>
      </x:c>
      <x:c r="B11" t="inlineStr">
        <x:is>
          <x:t xml:space="preserve">Executive</x:t>
        </x:is>
      </x:c>
      <x:c r="C11" t="inlineStr">
        <x:is>
          <x:t xml:space="preserve">T2</x:t>
        </x:is>
      </x:c>
      <x:c r="D11" t="inlineStr">
        <x:is>
          <x:t xml:space="preserve">2. Targeting &amp; Risk</x:t>
        </x:is>
      </x:c>
      <x:c r="E11" t="inlineStr">
        <x:is>
          <x:t xml:space="preserve">V</x:t>
        </x:is>
      </x:c>
      <x:c r="F11" t="n">
        <x:v>0.6</x:v>
      </x:c>
      <x:c r="G11" t="inlineStr">
        <x:is>
          <x:t xml:space="preserve">R</x:t>
        </x:is>
      </x:c>
      <x:c r="H11" t="n">
        <x:v>0.4</x:v>
      </x:c>
      <x:c r="I11" t="inlineStr">
        <x:is>
          <x:t xml:space="preserve">Do we have a short list of insider scenarios we care about (e.g., data theft, sabotage, fraud) and have we tested them?</x:t>
        </x:is>
      </x:c>
      <x:c r="J11" t="inlineStr">
        <x:is>
          <x:t xml:space="preserve">Plain examples: someone emailing customer list, deleting cloud backups, copying engineering files, abusing admin rights, misuse of payroll.</x:t>
        </x:is>
      </x:c>
      <x:c r="L11" t="inlineStr">
        <x:is>
          <x:t xml:space="preserve">RISK_STD</x:t>
        </x:is>
      </x:c>
      <x:c r="M11" t="n">
        <x:v>1</x:v>
      </x:c>
      <x:c r="P11" t="inlineStr">
        <x:is>
          <x:t xml:space="preserve">Gatekeeper</x:t>
        </x:is>
      </x:c>
      <x:c r="Q11" t="n">
        <x:v>2</x:v>
      </x:c>
      <x:c r="R11" t="inlineStr">
        <x:is>
          <x:t xml:space="preserve">EXCO-D2-Q05</x:t>
        </x:is>
      </x:c>
      <x:c r="S11" t="inlineStr">
        <x:is>
          <x:t xml:space="preserve">EXCO-D2-Q06</x:t>
        </x:is>
      </x:c>
      <x:c r="V11" t="inlineStr">
        <x:is>
          <x:t xml:space="preserve">3. Risk Management</x:t>
        </x:is>
      </x:c>
      <x:c r="W11" t="inlineStr">
        <x:is>
          <x:t xml:space="preserve">Inventory &amp; Scope</x:t>
        </x:is>
      </x:c>
      <x:c r="X11" t="inlineStr">
        <x:is>
          <x:t xml:space="preserve">Crown jewels/HVA identification</x:t>
        </x:is>
      </x:c>
      <x:c r="Y11" t="n">
        <x:v>0.95</x:v>
      </x:c>
      <x:c r="Z11" t="inlineStr">
        <x:is>
          <x:t xml:space="preserve">override</x:t>
        </x:is>
      </x:c>
    </x:row>
    <x:row r="12">
      <x:c r="A12" t="inlineStr">
        <x:is>
          <x:t xml:space="preserve">EXCO-D2-Q05</x:t>
        </x:is>
      </x:c>
      <x:c r="B12" t="inlineStr">
        <x:is>
          <x:t xml:space="preserve">Executive</x:t>
        </x:is>
      </x:c>
      <x:c r="C12" t="inlineStr">
        <x:is>
          <x:t xml:space="preserve">T2</x:t>
        </x:is>
      </x:c>
      <x:c r="D12" t="inlineStr">
        <x:is>
          <x:t xml:space="preserve">2. Targeting &amp; Risk</x:t>
        </x:is>
      </x:c>
      <x:c r="E12" t="inlineStr">
        <x:is>
          <x:t xml:space="preserve">V</x:t>
        </x:is>
      </x:c>
      <x:c r="F12" t="n">
        <x:v>0.5</x:v>
      </x:c>
      <x:c r="G12" t="inlineStr">
        <x:is>
          <x:t xml:space="preserve">R</x:t>
        </x:is>
      </x:c>
      <x:c r="H12" t="n">
        <x:v>0.5</x:v>
      </x:c>
      <x:c r="I12" t="inlineStr">
        <x:is>
          <x:t xml:space="preserve">(Shadow probe) If an insider incident happened tomorrow, do we have a pre-agreed view of the ‘top 3’ insider risks?</x:t>
        </x:is>
      </x:c>
      <x:c r="J12" t="inlineStr">
        <x:is>
          <x:t xml:space="preserve">This tests whether leadership alignment exists even without formal documentation.</x:t>
        </x:is>
      </x:c>
      <x:c r="L12" t="inlineStr">
        <x:is>
          <x:t xml:space="preserve">RISK_STD</x:t>
        </x:is>
      </x:c>
      <x:c r="M12" t="n">
        <x:v>1</x:v>
      </x:c>
      <x:c r="P12" t="inlineStr">
        <x:is>
          <x:t xml:space="preserve">ShadowProbe</x:t>
        </x:is>
      </x:c>
      <x:c r="T12" t="inlineStr">
        <x:is>
          <x:t xml:space="preserve">EXCO-D2-Q06</x:t>
        </x:is>
      </x:c>
      <x:c r="V12" t="inlineStr">
        <x:is>
          <x:t xml:space="preserve">8. Investigation &amp; Response</x:t>
        </x:is>
      </x:c>
      <x:c r="W12" t="inlineStr">
        <x:is>
          <x:t xml:space="preserve">Incident Action</x:t>
        </x:is>
      </x:c>
      <x:c r="X12" t="inlineStr">
        <x:is>
          <x:t xml:space="preserve">Insider response playbooks (by scenario)</x:t>
        </x:is>
      </x:c>
      <x:c r="Y12" t="n">
        <x:v>0.095</x:v>
      </x:c>
      <x:c r="Z12" t="inlineStr">
        <x:is>
          <x:t xml:space="preserve">similarity</x:t>
        </x:is>
      </x:c>
    </x:row>
    <x:row r="13">
      <x:c r="A13" t="inlineStr">
        <x:is>
          <x:t xml:space="preserve">EXCO-D2-Q06</x:t>
        </x:is>
      </x:c>
      <x:c r="B13" t="inlineStr">
        <x:is>
          <x:t xml:space="preserve">Executive</x:t>
        </x:is>
      </x:c>
      <x:c r="C13" t="inlineStr">
        <x:is>
          <x:t xml:space="preserve">T2</x:t>
        </x:is>
      </x:c>
      <x:c r="D13" t="inlineStr">
        <x:is>
          <x:t xml:space="preserve">2. Targeting &amp; Risk</x:t>
        </x:is>
      </x:c>
      <x:c r="E13" t="inlineStr">
        <x:is>
          <x:t xml:space="preserve">W</x:t>
        </x:is>
      </x:c>
      <x:c r="F13" t="n">
        <x:v>1</x:v>
      </x:c>
      <x:c r="G13" t="inlineStr">
        <x:is>
          <x:t xml:space="preserve">-</x:t>
        </x:is>
      </x:c>
      <x:c r="I13" t="inlineStr">
        <x:is>
          <x:t xml:space="preserve">During big changes (M&amp;A, layoffs, restructures), how quickly can we adjust access and monitoring to reduce risk?</x:t>
        </x:is>
      </x:c>
      <x:c r="J13" t="inlineStr">
        <x:is>
          <x:t xml:space="preserve">This is about ‘control lag’—how long it takes to tighten/adjust controls when the organisation changes.</x:t>
        </x:is>
      </x:c>
      <x:c r="L13" t="inlineStr">
        <x:is>
          <x:t xml:space="preserve">OPS_STD</x:t>
        </x:is>
      </x:c>
      <x:c r="M13" t="n">
        <x:v>1</x:v>
      </x:c>
      <x:c r="P13" t="inlineStr">
        <x:is>
          <x:t xml:space="preserve">Gatekeeper</x:t>
        </x:is>
      </x:c>
      <x:c r="Q13" t="n">
        <x:v>2</x:v>
      </x:c>
      <x:c r="R13" t="inlineStr">
        <x:is>
          <x:t xml:space="preserve">EXCO-D2-Q07</x:t>
        </x:is>
      </x:c>
      <x:c r="S13" t="inlineStr">
        <x:is>
          <x:t xml:space="preserve">EXCO-D3-Q01</x:t>
        </x:is>
      </x:c>
      <x:c r="V13" t="inlineStr">
        <x:is>
          <x:t xml:space="preserve">1. Strategy &amp; Governance</x:t>
        </x:is>
      </x:c>
      <x:c r="W13" t="inlineStr">
        <x:is>
          <x:t xml:space="preserve">Scope &amp; Boundaries</x:t>
        </x:is>
      </x:c>
      <x:c r="X13" t="inlineStr">
        <x:is>
          <x:t xml:space="preserve">Exceptions &amp; risk acceptance</x:t>
        </x:is>
      </x:c>
      <x:c r="Y13" t="n">
        <x:v>0.167</x:v>
      </x:c>
      <x:c r="Z13" t="inlineStr">
        <x:is>
          <x:t xml:space="preserve">similarity</x:t>
        </x:is>
      </x:c>
    </x:row>
    <x:row r="14">
      <x:c r="A14" t="inlineStr">
        <x:is>
          <x:t xml:space="preserve">EXCO-D2-Q07</x:t>
        </x:is>
      </x:c>
      <x:c r="B14" t="inlineStr">
        <x:is>
          <x:t xml:space="preserve">Executive</x:t>
        </x:is>
      </x:c>
      <x:c r="C14" t="inlineStr">
        <x:is>
          <x:t xml:space="preserve">T2</x:t>
        </x:is>
      </x:c>
      <x:c r="D14" t="inlineStr">
        <x:is>
          <x:t xml:space="preserve">2. Targeting &amp; Risk</x:t>
        </x:is>
      </x:c>
      <x:c r="E14" t="inlineStr">
        <x:is>
          <x:t xml:space="preserve">W</x:t>
        </x:is>
      </x:c>
      <x:c r="F14" t="n">
        <x:v>1</x:v>
      </x:c>
      <x:c r="G14" t="inlineStr">
        <x:is>
          <x:t xml:space="preserve">-</x:t>
        </x:is>
      </x:c>
      <x:c r="I14" t="inlineStr">
        <x:is>
          <x:t xml:space="preserve">(Shadow probe) In the last major change event, did we actually tighten controls (access, approvals, monitoring) in time?</x:t>
        </x:is>
      </x:c>
      <x:c r="J14" t="inlineStr">
        <x:is>
          <x:t xml:space="preserve">This asks for a real example to ‘business-proof’ the previous answer.</x:t>
        </x:is>
      </x:c>
      <x:c r="L14" t="inlineStr">
        <x:is>
          <x:t xml:space="preserve">OPS_STD</x:t>
        </x:is>
      </x:c>
      <x:c r="M14" t="n">
        <x:v>1</x:v>
      </x:c>
      <x:c r="P14" t="inlineStr">
        <x:is>
          <x:t xml:space="preserve">ShadowProbe</x:t>
        </x:is>
      </x:c>
      <x:c r="T14" t="inlineStr">
        <x:is>
          <x:t xml:space="preserve">EXCO-D3-Q01</x:t>
        </x:is>
      </x:c>
      <x:c r="V14" t="inlineStr">
        <x:is>
          <x:t xml:space="preserve">4. Legal, Privacy &amp; Ethics</x:t>
        </x:is>
      </x:c>
      <x:c r="W14" t="inlineStr">
        <x:is>
          <x:t xml:space="preserve">Oversight &amp; Safeguards</x:t>
        </x:is>
      </x:c>
      <x:c r="X14" t="inlineStr">
        <x:is>
          <x:t xml:space="preserve">Monitoring Access Governance</x:t>
        </x:is>
      </x:c>
      <x:c r="Y14" t="n">
        <x:v>0.146</x:v>
      </x:c>
      <x:c r="Z14" t="inlineStr">
        <x:is>
          <x:t xml:space="preserve">similarity</x:t>
        </x:is>
      </x:c>
    </x:row>
    <x:row r="15">
      <x:c r="A15" t="inlineStr">
        <x:is>
          <x:t xml:space="preserve">EXCO-D2-Q08</x:t>
        </x:is>
      </x:c>
      <x:c r="B15" t="inlineStr">
        <x:is>
          <x:t xml:space="preserve">Executive</x:t>
        </x:is>
      </x:c>
      <x:c r="C15" t="inlineStr">
        <x:is>
          <x:t xml:space="preserve">T2</x:t>
        </x:is>
      </x:c>
      <x:c r="D15" t="inlineStr">
        <x:is>
          <x:t xml:space="preserve">2. Targeting &amp; Risk</x:t>
        </x:is>
      </x:c>
      <x:c r="E15" t="inlineStr">
        <x:is>
          <x:t xml:space="preserve">V</x:t>
        </x:is>
      </x:c>
      <x:c r="F15" t="n">
        <x:v>0.6</x:v>
      </x:c>
      <x:c r="G15" t="inlineStr">
        <x:is>
          <x:t xml:space="preserve">G</x:t>
        </x:is>
      </x:c>
      <x:c r="H15" t="n">
        <x:v>0.4</x:v>
      </x:c>
      <x:c r="I15" t="inlineStr">
        <x:is>
          <x:t xml:space="preserve">Are contractors/third parties included in insider risk controls (access, monitoring, offboarding)?</x:t>
        </x:is>
      </x:c>
      <x:c r="J15" t="inlineStr">
        <x:is>
          <x:t xml:space="preserve">Plain examples: consultants, developers, outsourced IT, temporary staff, vendors with access to systems or data.</x:t>
        </x:is>
      </x:c>
      <x:c r="L15" t="inlineStr">
        <x:is>
          <x:t xml:space="preserve">RISK_STD</x:t>
        </x:is>
      </x:c>
      <x:c r="M15" t="n">
        <x:v>1</x:v>
      </x:c>
      <x:c r="P15" t="inlineStr">
        <x:is>
          <x:t xml:space="preserve">DrillDown</x:t>
        </x:is>
      </x:c>
      <x:c r="T15" t="inlineStr">
        <x:is>
          <x:t xml:space="preserve">EXCO-D3-Q01</x:t>
        </x:is>
      </x:c>
      <x:c r="V15" t="inlineStr">
        <x:is>
          <x:t xml:space="preserve">5. Human-Centric Culture</x:t>
        </x:is>
      </x:c>
      <x:c r="W15" t="inlineStr">
        <x:is>
          <x:t xml:space="preserve">Human Lifecycle</x:t>
        </x:is>
      </x:c>
      <x:c r="X15" t="inlineStr">
        <x:is>
          <x:t xml:space="preserve">Enhanced JML Synchronization</x:t>
        </x:is>
      </x:c>
      <x:c r="Y15" t="n">
        <x:v>0.95</x:v>
      </x:c>
      <x:c r="Z15" t="inlineStr">
        <x:is>
          <x:t xml:space="preserve">override</x:t>
        </x:is>
      </x:c>
    </x:row>
    <x:row r="16">
      <x:c r="A16" t="inlineStr">
        <x:is>
          <x:t xml:space="preserve">EXCO-D3-Q01</x:t>
        </x:is>
      </x:c>
      <x:c r="B16" t="inlineStr">
        <x:is>
          <x:t xml:space="preserve">Executive</x:t>
        </x:is>
      </x:c>
      <x:c r="C16" t="inlineStr">
        <x:is>
          <x:t xml:space="preserve">T1</x:t>
        </x:is>
      </x:c>
      <x:c r="D16" t="inlineStr">
        <x:is>
          <x:t xml:space="preserve">3. Legal &amp; Ethics</x:t>
        </x:is>
      </x:c>
      <x:c r="E16" t="inlineStr">
        <x:is>
          <x:t xml:space="preserve">L</x:t>
        </x:is>
      </x:c>
      <x:c r="F16" t="n">
        <x:v>0.8</x:v>
      </x:c>
      <x:c r="G16" t="inlineStr">
        <x:is>
          <x:t xml:space="preserve">G</x:t>
        </x:is>
      </x:c>
      <x:c r="H16" t="n">
        <x:v>0.2</x:v>
      </x:c>
      <x:c r="I16" t="inlineStr">
        <x:is>
          <x:t xml:space="preserve">Is there a clear, approved framework for monitoring employee/contractor activity (what, why, and who approves)?</x:t>
        </x:is>
      </x:c>
      <x:c r="J16" t="inlineStr">
        <x:is>
          <x:t xml:space="preserve">Aim for plain language: what data is monitored, why, legal basis, who can access it, and oversight.</x:t>
        </x:is>
      </x:c>
      <x:c r="L16" t="inlineStr">
        <x:is>
          <x:t xml:space="preserve">LEG_STRICT</x:t>
        </x:is>
      </x:c>
      <x:c r="M16" t="n">
        <x:v>1</x:v>
      </x:c>
      <x:c r="P16" t="inlineStr">
        <x:is>
          <x:t xml:space="preserve">Gatekeeper</x:t>
        </x:is>
      </x:c>
      <x:c r="Q16" t="n">
        <x:v>2</x:v>
      </x:c>
      <x:c r="R16" t="inlineStr">
        <x:is>
          <x:t xml:space="preserve">EXCO-D3-Q02</x:t>
        </x:is>
      </x:c>
      <x:c r="S16" t="inlineStr">
        <x:is>
          <x:t xml:space="preserve">EXCO-D3-Q03</x:t>
        </x:is>
      </x:c>
      <x:c r="V16" t="inlineStr">
        <x:is>
          <x:t xml:space="preserve">1. Strategy &amp; Governance</x:t>
        </x:is>
      </x:c>
      <x:c r="W16" t="inlineStr">
        <x:is>
          <x:t xml:space="preserve">Program Management</x:t>
        </x:is>
      </x:c>
      <x:c r="X16" t="inlineStr">
        <x:is>
          <x:t xml:space="preserve">Executive sponsorship &amp; oversight cadence</x:t>
        </x:is>
      </x:c>
      <x:c r="Y16" t="n">
        <x:v>0.95</x:v>
      </x:c>
      <x:c r="Z16" t="inlineStr">
        <x:is>
          <x:t xml:space="preserve">override</x:t>
        </x:is>
      </x:c>
    </x:row>
    <x:row r="17">
      <x:c r="A17" t="inlineStr">
        <x:is>
          <x:t xml:space="preserve">EXCO-D3-Q02</x:t>
        </x:is>
      </x:c>
      <x:c r="B17" t="inlineStr">
        <x:is>
          <x:t xml:space="preserve">Executive</x:t>
        </x:is>
      </x:c>
      <x:c r="C17" t="inlineStr">
        <x:is>
          <x:t xml:space="preserve">T2</x:t>
        </x:is>
      </x:c>
      <x:c r="D17" t="inlineStr">
        <x:is>
          <x:t xml:space="preserve">3. Legal &amp; Ethics</x:t>
        </x:is>
      </x:c>
      <x:c r="E17" t="inlineStr">
        <x:is>
          <x:t xml:space="preserve">L</x:t>
        </x:is>
      </x:c>
      <x:c r="F17" t="n">
        <x:v>0.5</x:v>
      </x:c>
      <x:c r="G17" t="inlineStr">
        <x:is>
          <x:t xml:space="preserve">H</x:t>
        </x:is>
      </x:c>
      <x:c r="H17" t="n">
        <x:v>0.5</x:v>
      </x:c>
      <x:c r="I17" t="inlineStr">
        <x:is>
          <x:t xml:space="preserve">(Shadow probe) Do people understand that monitoring exists and what it is used for?</x:t>
        </x:is>
      </x:c>
      <x:c r="J17" t="inlineStr">
        <x:is>
          <x:t xml:space="preserve">This checks practical transparency, not just contracts.</x:t>
        </x:is>
      </x:c>
      <x:c r="L17" t="inlineStr">
        <x:is>
          <x:t xml:space="preserve">LEG_STRICT</x:t>
        </x:is>
      </x:c>
      <x:c r="M17" t="n">
        <x:v>1</x:v>
      </x:c>
      <x:c r="P17" t="inlineStr">
        <x:is>
          <x:t xml:space="preserve">ShadowProbe</x:t>
        </x:is>
      </x:c>
      <x:c r="T17" t="inlineStr">
        <x:is>
          <x:t xml:space="preserve">EXCO-D3-Q03</x:t>
        </x:is>
      </x:c>
      <x:c r="V17" t="inlineStr">
        <x:is>
          <x:t xml:space="preserve">5. Human-Centric Culture</x:t>
        </x:is>
      </x:c>
      <x:c r="W17" t="inlineStr">
        <x:is>
          <x:t xml:space="preserve">Personnel Security</x:t>
        </x:is>
      </x:c>
      <x:c r="X17" t="inlineStr">
        <x:is>
          <x:t xml:space="preserve">People-Signal Governance</x:t>
        </x:is>
      </x:c>
      <x:c r="Y17" t="n">
        <x:v>0.132</x:v>
      </x:c>
      <x:c r="Z17" t="inlineStr">
        <x:is>
          <x:t xml:space="preserve">similarity</x:t>
        </x:is>
      </x:c>
    </x:row>
    <x:row r="18">
      <x:c r="A18" t="inlineStr">
        <x:is>
          <x:t xml:space="preserve">EXCO-D3-Q03</x:t>
        </x:is>
      </x:c>
      <x:c r="B18" t="inlineStr">
        <x:is>
          <x:t xml:space="preserve">Executive</x:t>
        </x:is>
      </x:c>
      <x:c r="C18" t="inlineStr">
        <x:is>
          <x:t xml:space="preserve">T2</x:t>
        </x:is>
      </x:c>
      <x:c r="D18" t="inlineStr">
        <x:is>
          <x:t xml:space="preserve">3. Legal &amp; Ethics</x:t>
        </x:is>
      </x:c>
      <x:c r="E18" t="inlineStr">
        <x:is>
          <x:t xml:space="preserve">L</x:t>
        </x:is>
      </x:c>
      <x:c r="F18" t="n">
        <x:v>0.5</x:v>
      </x:c>
      <x:c r="G18" t="inlineStr">
        <x:is>
          <x:t xml:space="preserve">H</x:t>
        </x:is>
      </x:c>
      <x:c r="H18" t="n">
        <x:v>0.5</x:v>
      </x:c>
      <x:c r="I18" t="inlineStr">
        <x:is>
          <x:t xml:space="preserve">How is transparency maintained in practice (not only in contracts)?</x:t>
        </x:is>
      </x:c>
      <x:c r="J18" t="inlineStr">
        <x:is>
          <x:t xml:space="preserve">Examples: onboarding training, pop-up banners, clear FAQs, where to ask questions, and what safeguards exist.</x:t>
        </x:is>
      </x:c>
      <x:c r="L18" t="inlineStr">
        <x:is>
          <x:t xml:space="preserve">LEG_STRICT</x:t>
        </x:is>
      </x:c>
      <x:c r="M18" t="n">
        <x:v>1</x:v>
      </x:c>
      <x:c r="P18" t="inlineStr">
        <x:is>
          <x:t xml:space="preserve">DrillDown</x:t>
        </x:is>
      </x:c>
      <x:c r="T18" t="inlineStr">
        <x:is>
          <x:t xml:space="preserve">EXCO-D3-Q04</x:t>
        </x:is>
      </x:c>
      <x:c r="V18" t="inlineStr">
        <x:is>
          <x:t xml:space="preserve">5. Human-Centric Culture</x:t>
        </x:is>
      </x:c>
      <x:c r="W18" t="inlineStr">
        <x:is>
          <x:t xml:space="preserve">Human Lifecycle</x:t>
        </x:is>
      </x:c>
      <x:c r="X18" t="inlineStr">
        <x:is>
          <x:t xml:space="preserve">Enhanced JML Synchronization</x:t>
        </x:is>
      </x:c>
      <x:c r="Y18" t="n">
        <x:v>0.95</x:v>
      </x:c>
      <x:c r="Z18" t="inlineStr">
        <x:is>
          <x:t xml:space="preserve">override</x:t>
        </x:is>
      </x:c>
    </x:row>
    <x:row r="19">
      <x:c r="A19" t="inlineStr">
        <x:is>
          <x:t xml:space="preserve">EXCO-D3-Q04</x:t>
        </x:is>
      </x:c>
      <x:c r="B19" t="inlineStr">
        <x:is>
          <x:t xml:space="preserve">Executive</x:t>
        </x:is>
      </x:c>
      <x:c r="C19" t="inlineStr">
        <x:is>
          <x:t xml:space="preserve">T2</x:t>
        </x:is>
      </x:c>
      <x:c r="D19" t="inlineStr">
        <x:is>
          <x:t xml:space="preserve">3. Legal &amp; Ethics</x:t>
        </x:is>
      </x:c>
      <x:c r="E19" t="inlineStr">
        <x:is>
          <x:t xml:space="preserve">L</x:t>
        </x:is>
      </x:c>
      <x:c r="F19" t="n">
        <x:v>0.7</x:v>
      </x:c>
      <x:c r="G19" t="inlineStr">
        <x:is>
          <x:t xml:space="preserve">H</x:t>
        </x:is>
      </x:c>
      <x:c r="H19" t="n">
        <x:v>0.3</x:v>
      </x:c>
      <x:c r="I19" t="inlineStr">
        <x:is>
          <x:t xml:space="preserve">Where required, how are employee representatives / works councils engaged on monitoring and privacy topics?</x:t>
        </x:is>
      </x:c>
      <x:c r="J19" t="inlineStr">
        <x:is>
          <x:t xml:space="preserve">If not applicable, answer that and explain why.</x:t>
        </x:is>
      </x:c>
      <x:c r="L19" t="inlineStr">
        <x:is>
          <x:t xml:space="preserve">LEG_STRICT</x:t>
        </x:is>
      </x:c>
      <x:c r="M19" t="n">
        <x:v>1</x:v>
      </x:c>
      <x:c r="P19" t="inlineStr">
        <x:is>
          <x:t xml:space="preserve">DrillDown</x:t>
        </x:is>
      </x:c>
      <x:c r="T19" t="inlineStr">
        <x:is>
          <x:t xml:space="preserve">EXCO-D3-Q05</x:t>
        </x:is>
      </x:c>
      <x:c r="V19" t="inlineStr">
        <x:is>
          <x:t xml:space="preserve">8. Investigation &amp; Response</x:t>
        </x:is>
      </x:c>
      <x:c r="W19" t="inlineStr">
        <x:is>
          <x:t xml:space="preserve">Operational Readiness</x:t>
        </x:is>
      </x:c>
      <x:c r="X19" t="inlineStr">
        <x:is>
          <x:t xml:space="preserve">Privacy guardrails for investigations</x:t>
        </x:is>
      </x:c>
      <x:c r="Y19" t="n">
        <x:v>0.08799999999999999</x:v>
      </x:c>
      <x:c r="Z19" t="inlineStr">
        <x:is>
          <x:t xml:space="preserve">similarity</x:t>
        </x:is>
      </x:c>
    </x:row>
    <x:row r="20">
      <x:c r="A20" t="inlineStr">
        <x:is>
          <x:t xml:space="preserve">EXCO-D3-Q05</x:t>
        </x:is>
      </x:c>
      <x:c r="B20" t="inlineStr">
        <x:is>
          <x:t xml:space="preserve">Executive</x:t>
        </x:is>
      </x:c>
      <x:c r="C20" t="inlineStr">
        <x:is>
          <x:t xml:space="preserve">T3</x:t>
        </x:is>
      </x:c>
      <x:c r="D20" t="inlineStr">
        <x:is>
          <x:t xml:space="preserve">3. Legal &amp; Ethics</x:t>
        </x:is>
      </x:c>
      <x:c r="E20" t="inlineStr">
        <x:is>
          <x:t xml:space="preserve">L</x:t>
        </x:is>
      </x:c>
      <x:c r="F20" t="n">
        <x:v>0.5</x:v>
      </x:c>
      <x:c r="G20" t="inlineStr">
        <x:is>
          <x:t xml:space="preserve">R</x:t>
        </x:is>
      </x:c>
      <x:c r="H20" t="n">
        <x:v>0.5</x:v>
      </x:c>
      <x:c r="I20" t="inlineStr">
        <x:is>
          <x:t xml:space="preserve">If we needed to use monitoring evidence in HR action or court, how strong is our evidence handling (traceability, integrity)?</x:t>
        </x:is>
      </x:c>
      <x:c r="J20" t="inlineStr">
        <x:is>
          <x:t xml:space="preserve">Plain terms: can we prove ‘who collected what, when, and that it wasn’t tampered with’?</x:t>
        </x:is>
      </x:c>
      <x:c r="L20" t="inlineStr">
        <x:is>
          <x:t xml:space="preserve">LEG_STRICT</x:t>
        </x:is>
      </x:c>
      <x:c r="M20" t="n">
        <x:v>1</x:v>
      </x:c>
      <x:c r="P20" t="inlineStr">
        <x:is>
          <x:t xml:space="preserve">DrillDown</x:t>
        </x:is>
      </x:c>
      <x:c r="T20" t="inlineStr">
        <x:is>
          <x:t xml:space="preserve">EXCO-D3-Q06</x:t>
        </x:is>
      </x:c>
      <x:c r="V20" t="inlineStr">
        <x:is>
          <x:t xml:space="preserve">8. Investigation &amp; Response</x:t>
        </x:is>
      </x:c>
      <x:c r="W20" t="inlineStr">
        <x:is>
          <x:t xml:space="preserve">Operational Readiness</x:t>
        </x:is>
      </x:c>
      <x:c r="X20" t="inlineStr">
        <x:is>
          <x:t xml:space="preserve">Forensic readiness &amp; evidence preservation</x:t>
        </x:is>
      </x:c>
      <x:c r="Y20" t="n">
        <x:v>0.116</x:v>
      </x:c>
      <x:c r="Z20" t="inlineStr">
        <x:is>
          <x:t xml:space="preserve">similarity</x:t>
        </x:is>
      </x:c>
    </x:row>
    <x:row r="21">
      <x:c r="A21" t="inlineStr">
        <x:is>
          <x:t xml:space="preserve">EXCO-D3-Q06</x:t>
        </x:is>
      </x:c>
      <x:c r="B21" t="inlineStr">
        <x:is>
          <x:t xml:space="preserve">Executive</x:t>
        </x:is>
      </x:c>
      <x:c r="C21" t="inlineStr">
        <x:is>
          <x:t xml:space="preserve">T2</x:t>
        </x:is>
      </x:c>
      <x:c r="D21" t="inlineStr">
        <x:is>
          <x:t xml:space="preserve">3. Legal &amp; Ethics</x:t>
        </x:is>
      </x:c>
      <x:c r="E21" t="inlineStr">
        <x:is>
          <x:t xml:space="preserve">L</x:t>
        </x:is>
      </x:c>
      <x:c r="F21" t="n">
        <x:v>1</x:v>
      </x:c>
      <x:c r="G21" t="inlineStr">
        <x:is>
          <x:t xml:space="preserve">-</x:t>
        </x:is>
      </x:c>
      <x:c r="I21" t="inlineStr">
        <x:is>
          <x:t xml:space="preserve">Do we control where monitoring data is stored and how long it is kept (including cross-border restrictions where relevant)?</x:t>
        </x:is>
      </x:c>
      <x:c r="J21" t="inlineStr">
        <x:is>
          <x:t xml:space="preserve">This is about data residency/sovereignty, retention schedules, and access auditing.</x:t>
        </x:is>
      </x:c>
      <x:c r="L21" t="inlineStr">
        <x:is>
          <x:t xml:space="preserve">LEG_STRICT</x:t>
        </x:is>
      </x:c>
      <x:c r="M21" t="n">
        <x:v>1</x:v>
      </x:c>
      <x:c r="P21" t="inlineStr">
        <x:is>
          <x:t xml:space="preserve">DrillDown</x:t>
        </x:is>
      </x:c>
      <x:c r="T21" t="inlineStr">
        <x:is>
          <x:t xml:space="preserve">EXCO-D4-Q01</x:t>
        </x:is>
      </x:c>
      <x:c r="V21" t="inlineStr">
        <x:is>
          <x:t xml:space="preserve">4. Legal, Privacy &amp; Ethics</x:t>
        </x:is>
      </x:c>
      <x:c r="W21" t="inlineStr">
        <x:is>
          <x:t xml:space="preserve">Privacy Engineering</x:t>
        </x:is>
      </x:c>
      <x:c r="X21" t="inlineStr">
        <x:is>
          <x:t xml:space="preserve">Retention, Purging &amp; Legal Hold</x:t>
        </x:is>
      </x:c>
      <x:c r="Y21" t="n">
        <x:v>0.95</x:v>
      </x:c>
      <x:c r="Z21" t="inlineStr">
        <x:is>
          <x:t xml:space="preserve">override</x:t>
        </x:is>
      </x:c>
    </x:row>
    <x:row r="22">
      <x:c r="A22" t="inlineStr">
        <x:is>
          <x:t xml:space="preserve">EXCO-D4-Q01</x:t>
        </x:is>
      </x:c>
      <x:c r="B22" t="inlineStr">
        <x:is>
          <x:t xml:space="preserve">Executive</x:t>
        </x:is>
      </x:c>
      <x:c r="C22" t="inlineStr">
        <x:is>
          <x:t xml:space="preserve">T1</x:t>
        </x:is>
      </x:c>
      <x:c r="D22" t="inlineStr">
        <x:is>
          <x:t xml:space="preserve">4. People &amp; Culture</x:t>
        </x:is>
      </x:c>
      <x:c r="E22" t="inlineStr">
        <x:is>
          <x:t xml:space="preserve">H</x:t>
        </x:is>
      </x:c>
      <x:c r="F22" t="n">
        <x:v>1</x:v>
      </x:c>
      <x:c r="G22" t="inlineStr">
        <x:is>
          <x:t xml:space="preserve">-</x:t>
        </x:is>
      </x:c>
      <x:c r="I22" t="inlineStr">
        <x:is>
          <x:t xml:space="preserve">How safe do people feel to raise concerns about risky behaviour (including reporting a peer or manager)?</x:t>
        </x:is>
      </x:c>
      <x:c r="J22" t="inlineStr">
        <x:is>
          <x:t xml:space="preserve">Consider retaliation risk, confidentiality, and whether reports are handled fairly and consistently.</x:t>
        </x:is>
      </x:c>
      <x:c r="L22" t="inlineStr">
        <x:is>
          <x:t xml:space="preserve">CULT_SOFT</x:t>
        </x:is>
      </x:c>
      <x:c r="M22" t="n">
        <x:v>1</x:v>
      </x:c>
      <x:c r="P22" t="inlineStr">
        <x:is>
          <x:t xml:space="preserve">Gatekeeper</x:t>
        </x:is>
      </x:c>
      <x:c r="Q22" t="n">
        <x:v>2</x:v>
      </x:c>
      <x:c r="R22" t="inlineStr">
        <x:is>
          <x:t xml:space="preserve">EXCO-D4-Q02</x:t>
        </x:is>
      </x:c>
      <x:c r="S22" t="inlineStr">
        <x:is>
          <x:t xml:space="preserve">EXCO-D4-Q03</x:t>
        </x:is>
      </x:c>
      <x:c r="V22" t="inlineStr">
        <x:is>
          <x:t xml:space="preserve">9. Performance &amp; Resilience</x:t>
        </x:is>
      </x:c>
      <x:c r="W22" t="inlineStr">
        <x:is>
          <x:t xml:space="preserve">Assurance &amp; Metrics</x:t>
        </x:is>
      </x:c>
      <x:c r="X22" t="inlineStr">
        <x:is>
          <x:t xml:space="preserve">KPI/KRI framework &amp; dashboards</x:t>
        </x:is>
      </x:c>
      <x:c r="Y22" t="n">
        <x:v>0.95</x:v>
      </x:c>
      <x:c r="Z22" t="inlineStr">
        <x:is>
          <x:t xml:space="preserve">override</x:t>
        </x:is>
      </x:c>
    </x:row>
    <x:row r="23">
      <x:c r="A23" t="inlineStr">
        <x:is>
          <x:t xml:space="preserve">EXCO-D4-Q02</x:t>
        </x:is>
      </x:c>
      <x:c r="B23" t="inlineStr">
        <x:is>
          <x:t xml:space="preserve">Executive</x:t>
        </x:is>
      </x:c>
      <x:c r="C23" t="inlineStr">
        <x:is>
          <x:t xml:space="preserve">T2</x:t>
        </x:is>
      </x:c>
      <x:c r="D23" t="inlineStr">
        <x:is>
          <x:t xml:space="preserve">4. People &amp; Culture</x:t>
        </x:is>
      </x:c>
      <x:c r="E23" t="inlineStr">
        <x:is>
          <x:t xml:space="preserve">H</x:t>
        </x:is>
      </x:c>
      <x:c r="F23" t="n">
        <x:v>0.5</x:v>
      </x:c>
      <x:c r="G23" t="inlineStr">
        <x:is>
          <x:t xml:space="preserve">L</x:t>
        </x:is>
      </x:c>
      <x:c r="H23" t="n">
        <x:v>0.5</x:v>
      </x:c>
      <x:c r="I23" t="inlineStr">
        <x:is>
          <x:t xml:space="preserve">(Shadow probe) If someone feels unfairly targeted by monitoring or investigation, is there a clear appeal/review process?</x:t>
        </x:is>
      </x:c>
      <x:c r="J23" t="inlineStr">
        <x:is>
          <x:t xml:space="preserve">This checks fairness and safeguards (important for trust and legal defensibility).</x:t>
        </x:is>
      </x:c>
      <x:c r="L23" t="inlineStr">
        <x:is>
          <x:t xml:space="preserve">CULT_SOFT</x:t>
        </x:is>
      </x:c>
      <x:c r="M23" t="n">
        <x:v>1</x:v>
      </x:c>
      <x:c r="P23" t="inlineStr">
        <x:is>
          <x:t xml:space="preserve">ShadowProbe</x:t>
        </x:is>
      </x:c>
      <x:c r="T23" t="inlineStr">
        <x:is>
          <x:t xml:space="preserve">EXCO-D4-Q03</x:t>
        </x:is>
      </x:c>
      <x:c r="V23" t="inlineStr">
        <x:is>
          <x:t xml:space="preserve">4. Legal, Privacy &amp; Ethics</x:t>
        </x:is>
      </x:c>
      <x:c r="W23" t="inlineStr">
        <x:is>
          <x:t xml:space="preserve">Oversight &amp; Safeguards</x:t>
        </x:is>
      </x:c>
      <x:c r="X23" t="inlineStr">
        <x:is>
          <x:t xml:space="preserve">Review, Redress &amp; Assurance</x:t>
        </x:is>
      </x:c>
      <x:c r="Y23" t="n">
        <x:v>0.95</x:v>
      </x:c>
      <x:c r="Z23" t="inlineStr">
        <x:is>
          <x:t xml:space="preserve">override</x:t>
        </x:is>
      </x:c>
    </x:row>
    <x:row r="24">
      <x:c r="A24" t="inlineStr">
        <x:is>
          <x:t xml:space="preserve">EXCO-D4-Q03</x:t>
        </x:is>
      </x:c>
      <x:c r="B24" t="inlineStr">
        <x:is>
          <x:t xml:space="preserve">Executive</x:t>
        </x:is>
      </x:c>
      <x:c r="C24" t="inlineStr">
        <x:is>
          <x:t xml:space="preserve">T2</x:t>
        </x:is>
      </x:c>
      <x:c r="D24" t="inlineStr">
        <x:is>
          <x:t xml:space="preserve">4. People &amp; Culture</x:t>
        </x:is>
      </x:c>
      <x:c r="E24" t="inlineStr">
        <x:is>
          <x:t xml:space="preserve">H</x:t>
        </x:is>
      </x:c>
      <x:c r="F24" t="n">
        <x:v>0.5</x:v>
      </x:c>
      <x:c r="G24" t="inlineStr">
        <x:is>
          <x:t xml:space="preserve">E</x:t>
        </x:is>
      </x:c>
      <x:c r="H24" t="n">
        <x:v>0.5</x:v>
      </x:c>
      <x:c r="I24" t="inlineStr">
        <x:is>
          <x:t xml:space="preserve">How do managers handle early signs of disgruntlement or policy-bending before it becomes an incident?</x:t>
        </x:is>
      </x:c>
      <x:c r="J24" t="inlineStr">
        <x:is>
          <x:t xml:space="preserve">Plain examples: performance issues, conflicts, rule-bending, sudden disengagement. Focus on early intervention, not punishment.</x:t>
        </x:is>
      </x:c>
      <x:c r="L24" t="inlineStr">
        <x:is>
          <x:t xml:space="preserve">CULT_SOFT</x:t>
        </x:is>
      </x:c>
      <x:c r="M24" t="n">
        <x:v>1</x:v>
      </x:c>
      <x:c r="P24" t="inlineStr">
        <x:is>
          <x:t xml:space="preserve">DrillDown</x:t>
        </x:is>
      </x:c>
      <x:c r="T24" t="inlineStr">
        <x:is>
          <x:t xml:space="preserve">EXCO-D4-Q04</x:t>
        </x:is>
      </x:c>
      <x:c r="V24" t="inlineStr">
        <x:is>
          <x:t xml:space="preserve">4. Legal, Privacy &amp; Ethics</x:t>
        </x:is>
      </x:c>
      <x:c r="W24" t="inlineStr">
        <x:is>
          <x:t xml:space="preserve">Compliance &amp; Policy</x:t>
        </x:is>
      </x:c>
      <x:c r="X24" t="inlineStr">
        <x:is>
          <x:t xml:space="preserve">Policy &amp; Standards Suite</x:t>
        </x:is>
      </x:c>
      <x:c r="Y24" t="n">
        <x:v>0.091</x:v>
      </x:c>
      <x:c r="Z24" t="inlineStr">
        <x:is>
          <x:t xml:space="preserve">similarity</x:t>
        </x:is>
      </x:c>
    </x:row>
    <x:row r="25">
      <x:c r="A25" t="inlineStr">
        <x:is>
          <x:t xml:space="preserve">EXCO-D4-Q04</x:t>
        </x:is>
      </x:c>
      <x:c r="B25" t="inlineStr">
        <x:is>
          <x:t xml:space="preserve">Executive</x:t>
        </x:is>
      </x:c>
      <x:c r="C25" t="inlineStr">
        <x:is>
          <x:t xml:space="preserve">T2</x:t>
        </x:is>
      </x:c>
      <x:c r="D25" t="inlineStr">
        <x:is>
          <x:t xml:space="preserve">4. People &amp; Culture</x:t>
        </x:is>
      </x:c>
      <x:c r="E25" t="inlineStr">
        <x:is>
          <x:t xml:space="preserve">H</x:t>
        </x:is>
      </x:c>
      <x:c r="F25" t="n">
        <x:v>1</x:v>
      </x:c>
      <x:c r="G25" t="inlineStr">
        <x:is>
          <x:t xml:space="preserve">-</x:t>
        </x:is>
      </x:c>
      <x:c r="I25" t="inlineStr">
        <x:is>
          <x:t xml:space="preserve">How is positive security behaviour encouraged (not just punishment for mistakes)?</x:t>
        </x:is>
      </x:c>
      <x:c r="J25" t="inlineStr">
        <x:is>
          <x:t xml:space="preserve">Examples: recognising good reporting, simplifying secure ways of working, feedback after ‘near misses’.</x:t>
        </x:is>
      </x:c>
      <x:c r="L25" t="inlineStr">
        <x:is>
          <x:t xml:space="preserve">CULT_SOFT</x:t>
        </x:is>
      </x:c>
      <x:c r="M25" t="n">
        <x:v>1</x:v>
      </x:c>
      <x:c r="P25" t="inlineStr">
        <x:is>
          <x:t xml:space="preserve">DrillDown</x:t>
        </x:is>
      </x:c>
      <x:c r="T25" t="inlineStr">
        <x:is>
          <x:t xml:space="preserve">EXCO-D5-Q01</x:t>
        </x:is>
      </x:c>
      <x:c r="V25" t="inlineStr">
        <x:is>
          <x:t xml:space="preserve">9. Performance &amp; Resilience</x:t>
        </x:is>
      </x:c>
      <x:c r="W25" t="inlineStr">
        <x:is>
          <x:t xml:space="preserve">Assurance &amp; Metrics</x:t>
        </x:is>
      </x:c>
      <x:c r="X25" t="inlineStr">
        <x:is>
          <x:t xml:space="preserve">KPI/KRI framework &amp; dashboards</x:t>
        </x:is>
      </x:c>
      <x:c r="Y25" t="n">
        <x:v>0.95</x:v>
      </x:c>
      <x:c r="Z25" t="inlineStr">
        <x:is>
          <x:t xml:space="preserve">override</x:t>
        </x:is>
      </x:c>
    </x:row>
    <x:row r="26">
      <x:c r="A26" t="inlineStr">
        <x:is>
          <x:t xml:space="preserve">EXCO-D5-Q01</x:t>
        </x:is>
      </x:c>
      <x:c r="B26" t="inlineStr">
        <x:is>
          <x:t xml:space="preserve">Executive</x:t>
        </x:is>
      </x:c>
      <x:c r="C26" t="inlineStr">
        <x:is>
          <x:t xml:space="preserve">T1</x:t>
        </x:is>
      </x:c>
      <x:c r="D26" t="inlineStr">
        <x:is>
          <x:t xml:space="preserve">5. Friction &amp; Productivity</x:t>
        </x:is>
      </x:c>
      <x:c r="E26" t="inlineStr">
        <x:is>
          <x:t xml:space="preserve">F</x:t>
        </x:is>
      </x:c>
      <x:c r="F26" t="n">
        <x:v>0.7</x:v>
      </x:c>
      <x:c r="G26" t="inlineStr">
        <x:is>
          <x:t xml:space="preserve">E</x:t>
        </x:is>
      </x:c>
      <x:c r="H26" t="n">
        <x:v>0.3</x:v>
      </x:c>
      <x:c r="I26" t="inlineStr">
        <x:is>
          <x:t xml:space="preserve">Do security controls make it hard for people to do their job, leading to workarounds (e.g., personal email/SaaS)?</x:t>
        </x:is>
      </x:c>
      <x:c r="J26" t="inlineStr">
        <x:is>
          <x:t xml:space="preserve">This is about bypass pressure: the gap between secure ways of working and what people need to do.</x:t>
        </x:is>
      </x:c>
      <x:c r="L26" t="inlineStr">
        <x:is>
          <x:t xml:space="preserve">OPS_STD</x:t>
        </x:is>
      </x:c>
      <x:c r="M26" t="n">
        <x:v>1</x:v>
      </x:c>
      <x:c r="P26" t="inlineStr">
        <x:is>
          <x:t xml:space="preserve">Gatekeeper</x:t>
        </x:is>
      </x:c>
      <x:c r="Q26" t="n">
        <x:v>2</x:v>
      </x:c>
      <x:c r="R26" t="inlineStr">
        <x:is>
          <x:t xml:space="preserve">EXCO-D5-Q02</x:t>
        </x:is>
      </x:c>
      <x:c r="S26" t="inlineStr">
        <x:is>
          <x:t xml:space="preserve">EXCO-D5-Q03</x:t>
        </x:is>
      </x:c>
      <x:c r="V26" t="inlineStr">
        <x:is>
          <x:t xml:space="preserve">6. Technical Controls</x:t>
        </x:is>
      </x:c>
      <x:c r="W26" t="inlineStr">
        <x:is>
          <x:t xml:space="preserve">Data, Endpoint &amp; Cloud Controls</x:t>
        </x:is>
      </x:c>
      <x:c r="X26" t="inlineStr">
        <x:is>
          <x:t xml:space="preserve">Collaboration/SaaS sharing controls</x:t>
        </x:is>
      </x:c>
      <x:c r="Y26" t="n">
        <x:v>0.13</x:v>
      </x:c>
      <x:c r="Z26" t="inlineStr">
        <x:is>
          <x:t xml:space="preserve">similarity</x:t>
        </x:is>
      </x:c>
    </x:row>
    <x:row r="27">
      <x:c r="A27" t="inlineStr">
        <x:is>
          <x:t xml:space="preserve">EXCO-D5-Q02</x:t>
        </x:is>
      </x:c>
      <x:c r="B27" t="inlineStr">
        <x:is>
          <x:t xml:space="preserve">Executive</x:t>
        </x:is>
      </x:c>
      <x:c r="C27" t="inlineStr">
        <x:is>
          <x:t xml:space="preserve">T2</x:t>
        </x:is>
      </x:c>
      <x:c r="D27" t="inlineStr">
        <x:is>
          <x:t xml:space="preserve">5. Friction &amp; Productivity</x:t>
        </x:is>
      </x:c>
      <x:c r="E27" t="inlineStr">
        <x:is>
          <x:t xml:space="preserve">F</x:t>
        </x:is>
      </x:c>
      <x:c r="F27" t="n">
        <x:v>0.6</x:v>
      </x:c>
      <x:c r="G27" t="inlineStr">
        <x:is>
          <x:t xml:space="preserve">V</x:t>
        </x:is>
      </x:c>
      <x:c r="H27" t="n">
        <x:v>0.4</x:v>
      </x:c>
      <x:c r="I27" t="inlineStr">
        <x:is>
          <x:t xml:space="preserve">(Shadow probe) Do we have visibility into common workarounds (shadow IT) and why they happen?</x:t>
        </x:is>
      </x:c>
      <x:c r="J27" t="inlineStr">
        <x:is>
          <x:t xml:space="preserve">Examples: unapproved file sharing, personal accounts, unsanctioned AI tools, external USB devices.</x:t>
        </x:is>
      </x:c>
      <x:c r="L27" t="inlineStr">
        <x:is>
          <x:t xml:space="preserve">OPS_STD</x:t>
        </x:is>
      </x:c>
      <x:c r="M27" t="n">
        <x:v>1</x:v>
      </x:c>
      <x:c r="P27" t="inlineStr">
        <x:is>
          <x:t xml:space="preserve">ShadowProbe</x:t>
        </x:is>
      </x:c>
      <x:c r="T27" t="inlineStr">
        <x:is>
          <x:t xml:space="preserve">EXCO-D5-Q03</x:t>
        </x:is>
      </x:c>
      <x:c r="V27" t="inlineStr">
        <x:is>
          <x:t xml:space="preserve">3. Risk Management</x:t>
        </x:is>
      </x:c>
      <x:c r="W27" t="inlineStr">
        <x:is>
          <x:t xml:space="preserve">Inventory &amp; Scope</x:t>
        </x:is>
      </x:c>
      <x:c r="X27" t="inlineStr">
        <x:is>
          <x:t xml:space="preserve">Critical process mapping</x:t>
        </x:is>
      </x:c>
      <x:c r="Y27" t="n">
        <x:v>0.95</x:v>
      </x:c>
      <x:c r="Z27" t="inlineStr">
        <x:is>
          <x:t xml:space="preserve">override</x:t>
        </x:is>
      </x:c>
    </x:row>
    <x:row r="28">
      <x:c r="A28" t="inlineStr">
        <x:is>
          <x:t xml:space="preserve">EXCO-D5-Q03</x:t>
        </x:is>
      </x:c>
      <x:c r="B28" t="inlineStr">
        <x:is>
          <x:t xml:space="preserve">Executive</x:t>
        </x:is>
      </x:c>
      <x:c r="C28" t="inlineStr">
        <x:is>
          <x:t xml:space="preserve">T2</x:t>
        </x:is>
      </x:c>
      <x:c r="D28" t="inlineStr">
        <x:is>
          <x:t xml:space="preserve">5. Friction &amp; Productivity</x:t>
        </x:is>
      </x:c>
      <x:c r="E28" t="inlineStr">
        <x:is>
          <x:t xml:space="preserve">F</x:t>
        </x:is>
      </x:c>
      <x:c r="F28" t="n">
        <x:v>0.5</x:v>
      </x:c>
      <x:c r="G28" t="inlineStr">
        <x:is>
          <x:t xml:space="preserve">V</x:t>
        </x:is>
      </x:c>
      <x:c r="H28" t="n">
        <x:v>0.5</x:v>
      </x:c>
      <x:c r="I28" t="inlineStr">
        <x:is>
          <x:t xml:space="preserve">When shadow IT is found, do we provide safe alternatives quickly (so people don’t revert)?</x:t>
        </x:is>
      </x:c>
      <x:c r="J28" t="inlineStr">
        <x:is>
          <x:t xml:space="preserve">This checks whether the business can move from ‘no’ to ‘safe yes’ quickly.</x:t>
        </x:is>
      </x:c>
      <x:c r="L28" t="inlineStr">
        <x:is>
          <x:t xml:space="preserve">OPS_STD</x:t>
        </x:is>
      </x:c>
      <x:c r="M28" t="n">
        <x:v>1</x:v>
      </x:c>
      <x:c r="P28" t="inlineStr">
        <x:is>
          <x:t xml:space="preserve">DrillDown</x:t>
        </x:is>
      </x:c>
      <x:c r="T28" t="inlineStr">
        <x:is>
          <x:t xml:space="preserve">EXCO-D6-Q01</x:t>
        </x:is>
      </x:c>
      <x:c r="V28" t="inlineStr">
        <x:is>
          <x:t xml:space="preserve">5. Human-Centric Culture</x:t>
        </x:is>
      </x:c>
      <x:c r="W28" t="inlineStr">
        <x:is>
          <x:t xml:space="preserve">Personnel Security</x:t>
        </x:is>
      </x:c>
      <x:c r="X28" t="inlineStr">
        <x:is>
          <x:t xml:space="preserve">People-Signal Governance</x:t>
        </x:is>
      </x:c>
      <x:c r="Y28" t="n">
        <x:v>0.093</x:v>
      </x:c>
      <x:c r="Z28" t="inlineStr">
        <x:is>
          <x:t xml:space="preserve">similarity</x:t>
        </x:is>
      </x:c>
    </x:row>
    <x:row r="29">
      <x:c r="A29" t="inlineStr">
        <x:is>
          <x:t xml:space="preserve">EXCO-D6-Q01</x:t>
        </x:is>
      </x:c>
      <x:c r="B29" t="inlineStr">
        <x:is>
          <x:t xml:space="preserve">Executive</x:t>
        </x:is>
      </x:c>
      <x:c r="C29" t="inlineStr">
        <x:is>
          <x:t xml:space="preserve">T1</x:t>
        </x:is>
      </x:c>
      <x:c r="D29" t="inlineStr">
        <x:is>
          <x:t xml:space="preserve">6. Detection &amp; Analytics</x:t>
        </x:is>
      </x:c>
      <x:c r="E29" t="inlineStr">
        <x:is>
          <x:t xml:space="preserve">T</x:t>
        </x:is>
      </x:c>
      <x:c r="F29" t="n">
        <x:v>0.6</x:v>
      </x:c>
      <x:c r="G29" t="inlineStr">
        <x:is>
          <x:t xml:space="preserve">V</x:t>
        </x:is>
      </x:c>
      <x:c r="H29" t="n">
        <x:v>0.4</x:v>
      </x:c>
      <x:c r="I29" t="inlineStr">
        <x:is>
          <x:t xml:space="preserve">What is the current focus of monitoring/detection for insider risk?</x:t>
        </x:is>
      </x:c>
      <x:c r="J29" t="inlineStr">
        <x:is>
          <x:t xml:space="preserve">Plain terms: do we only investigate after a loss, or do we proactively look for risky behaviour around sensitive assets?</x:t>
        </x:is>
      </x:c>
      <x:c r="L29" t="inlineStr">
        <x:is>
          <x:t xml:space="preserve">OPS_STD</x:t>
        </x:is>
      </x:c>
      <x:c r="M29" t="n">
        <x:v>1</x:v>
      </x:c>
      <x:c r="P29" t="inlineStr">
        <x:is>
          <x:t xml:space="preserve">Gatekeeper</x:t>
        </x:is>
      </x:c>
      <x:c r="Q29" t="n">
        <x:v>2</x:v>
      </x:c>
      <x:c r="R29" t="inlineStr">
        <x:is>
          <x:t xml:space="preserve">EXCO-D6-Q02</x:t>
        </x:is>
      </x:c>
      <x:c r="S29" t="inlineStr">
        <x:is>
          <x:t xml:space="preserve">EXCO-D6-Q03</x:t>
        </x:is>
      </x:c>
      <x:c r="V29" t="inlineStr">
        <x:is>
          <x:t xml:space="preserve">2. Threat Model &amp; Operations</x:t>
        </x:is>
      </x:c>
      <x:c r="W29" t="inlineStr">
        <x:is>
          <x:t xml:space="preserve">Deterrence &amp; Disruption</x:t>
        </x:is>
      </x:c>
      <x:c r="X29" t="inlineStr">
        <x:is>
          <x:t xml:space="preserve">Sensitive transition workflow (flight-risk)</x:t>
        </x:is>
      </x:c>
      <x:c r="Y29" t="n">
        <x:v>0.125</x:v>
      </x:c>
      <x:c r="Z29" t="inlineStr">
        <x:is>
          <x:t xml:space="preserve">similarity</x:t>
        </x:is>
      </x:c>
    </x:row>
    <x:row r="30">
      <x:c r="A30" t="inlineStr">
        <x:is>
          <x:t xml:space="preserve">EXCO-D6-Q02</x:t>
        </x:is>
      </x:c>
      <x:c r="B30" t="inlineStr">
        <x:is>
          <x:t xml:space="preserve">Executive</x:t>
        </x:is>
      </x:c>
      <x:c r="C30" t="inlineStr">
        <x:is>
          <x:t xml:space="preserve">T2</x:t>
        </x:is>
      </x:c>
      <x:c r="D30" t="inlineStr">
        <x:is>
          <x:t xml:space="preserve">6. Detection &amp; Analytics</x:t>
        </x:is>
      </x:c>
      <x:c r="E30" t="inlineStr">
        <x:is>
          <x:t xml:space="preserve">E</x:t>
        </x:is>
      </x:c>
      <x:c r="F30" t="n">
        <x:v>1</x:v>
      </x:c>
      <x:c r="G30" t="inlineStr">
        <x:is>
          <x:t xml:space="preserve">-</x:t>
        </x:is>
      </x:c>
      <x:c r="I30" t="inlineStr">
        <x:is>
          <x:t xml:space="preserve">(Shadow probe) Even if tools are limited, do teams consistently escalate ‘concerning behaviour’ to the right place?</x:t>
        </x:is>
      </x:c>
      <x:c r="J30" t="inlineStr">
        <x:is>
          <x:t xml:space="preserve">This checks consistent escalation habits as a substitute signal for detection maturity.</x:t>
        </x:is>
      </x:c>
      <x:c r="L30" t="inlineStr">
        <x:is>
          <x:t xml:space="preserve">OPS_STD</x:t>
        </x:is>
      </x:c>
      <x:c r="M30" t="n">
        <x:v>1</x:v>
      </x:c>
      <x:c r="P30" t="inlineStr">
        <x:is>
          <x:t xml:space="preserve">ShadowProbe</x:t>
        </x:is>
      </x:c>
      <x:c r="T30" t="inlineStr">
        <x:is>
          <x:t xml:space="preserve">EXCO-D6-Q03</x:t>
        </x:is>
      </x:c>
      <x:c r="V30" t="inlineStr">
        <x:is>
          <x:t xml:space="preserve">6. Technical Controls</x:t>
        </x:is>
      </x:c>
      <x:c r="W30" t="inlineStr">
        <x:is>
          <x:t xml:space="preserve">Data, Endpoint &amp; Cloud Controls</x:t>
        </x:is>
      </x:c>
      <x:c r="X30" t="inlineStr">
        <x:is>
          <x:t xml:space="preserve">Collaboration/SaaS sharing controls</x:t>
        </x:is>
      </x:c>
      <x:c r="Y30" t="n">
        <x:v>0.95</x:v>
      </x:c>
      <x:c r="Z30" t="inlineStr">
        <x:is>
          <x:t xml:space="preserve">override</x:t>
        </x:is>
      </x:c>
    </x:row>
    <x:row r="31">
      <x:c r="A31" t="inlineStr">
        <x:is>
          <x:t xml:space="preserve">EXCO-D6-Q03</x:t>
        </x:is>
      </x:c>
      <x:c r="B31" t="inlineStr">
        <x:is>
          <x:t xml:space="preserve">Executive</x:t>
        </x:is>
      </x:c>
      <x:c r="C31" t="inlineStr">
        <x:is>
          <x:t xml:space="preserve">T2</x:t>
        </x:is>
      </x:c>
      <x:c r="D31" t="inlineStr">
        <x:is>
          <x:t xml:space="preserve">6. Detection &amp; Analytics</x:t>
        </x:is>
      </x:c>
      <x:c r="E31" t="inlineStr">
        <x:is>
          <x:t xml:space="preserve">L</x:t>
        </x:is>
      </x:c>
      <x:c r="F31" t="n">
        <x:v>0.5</x:v>
      </x:c>
      <x:c r="G31" t="inlineStr">
        <x:is>
          <x:t xml:space="preserve">G</x:t>
        </x:is>
      </x:c>
      <x:c r="H31" t="n">
        <x:v>0.5</x:v>
      </x:c>
      <x:c r="I31" t="inlineStr">
        <x:is>
          <x:t xml:space="preserve">If HR or people-related signals are used (e.g., leavers, disputes), is there clear governance on what is shared and why?</x:t>
        </x:is>
      </x:c>
      <x:c r="J31" t="inlineStr">
        <x:is>
          <x:t xml:space="preserve">This does not mean ‘watch everyone’; it means legal basis, proportionality, approvals, and safeguards.</x:t>
        </x:is>
      </x:c>
      <x:c r="L31" t="inlineStr">
        <x:is>
          <x:t xml:space="preserve">LEG_STRICT</x:t>
        </x:is>
      </x:c>
      <x:c r="M31" t="n">
        <x:v>1</x:v>
      </x:c>
      <x:c r="P31" t="inlineStr">
        <x:is>
          <x:t xml:space="preserve">DrillDown</x:t>
        </x:is>
      </x:c>
      <x:c r="T31" t="inlineStr">
        <x:is>
          <x:t xml:space="preserve">EXCO-D7-Q01</x:t>
        </x:is>
      </x:c>
      <x:c r="V31" t="inlineStr">
        <x:is>
          <x:t xml:space="preserve">5. Human-Centric Culture</x:t>
        </x:is>
      </x:c>
      <x:c r="W31" t="inlineStr">
        <x:is>
          <x:t xml:space="preserve">Personnel Security</x:t>
        </x:is>
      </x:c>
      <x:c r="X31" t="inlineStr">
        <x:is>
          <x:t xml:space="preserve">People-Signal Governance</x:t>
        </x:is>
      </x:c>
      <x:c r="Y31" t="n">
        <x:v>0.204</x:v>
      </x:c>
      <x:c r="Z31" t="inlineStr">
        <x:is>
          <x:t xml:space="preserve">similarity</x:t>
        </x:is>
      </x:c>
    </x:row>
    <x:row r="32">
      <x:c r="A32" t="inlineStr">
        <x:is>
          <x:t xml:space="preserve">EXCO-D7-Q01</x:t>
        </x:is>
      </x:c>
      <x:c r="B32" t="inlineStr">
        <x:is>
          <x:t xml:space="preserve">Executive</x:t>
        </x:is>
      </x:c>
      <x:c r="C32" t="inlineStr">
        <x:is>
          <x:t xml:space="preserve">T1</x:t>
        </x:is>
      </x:c>
      <x:c r="D32" t="inlineStr">
        <x:is>
          <x:t xml:space="preserve">7. Response &amp; Resilience</x:t>
        </x:is>
      </x:c>
      <x:c r="E32" t="inlineStr">
        <x:is>
          <x:t xml:space="preserve">R</x:t>
        </x:is>
      </x:c>
      <x:c r="F32" t="n">
        <x:v>0.6</x:v>
      </x:c>
      <x:c r="G32" t="inlineStr">
        <x:is>
          <x:t xml:space="preserve">G</x:t>
        </x:is>
      </x:c>
      <x:c r="H32" t="n">
        <x:v>0.4</x:v>
      </x:c>
      <x:c r="I32" t="inlineStr">
        <x:is>
          <x:t xml:space="preserve">When an insider concern arises, how are Security, HR, Legal and the business coordinated?</x:t>
        </x:is>
      </x:c>
      <x:c r="J32" t="inlineStr">
        <x:is>
          <x:t xml:space="preserve">Think about a predefined taskforce, clear roles, and whether cases are handled consistently.</x:t>
        </x:is>
      </x:c>
      <x:c r="L32" t="inlineStr">
        <x:is>
          <x:t xml:space="preserve">OPS_STD</x:t>
        </x:is>
      </x:c>
      <x:c r="M32" t="n">
        <x:v>1</x:v>
      </x:c>
      <x:c r="P32" t="inlineStr">
        <x:is>
          <x:t xml:space="preserve">Gatekeeper</x:t>
        </x:is>
      </x:c>
      <x:c r="Q32" t="n">
        <x:v>2</x:v>
      </x:c>
      <x:c r="R32" t="inlineStr">
        <x:is>
          <x:t xml:space="preserve">EXCO-D7-Q02</x:t>
        </x:is>
      </x:c>
      <x:c r="S32" t="inlineStr">
        <x:is>
          <x:t xml:space="preserve">EXCO-D7-Q03</x:t>
        </x:is>
      </x:c>
      <x:c r="V32" t="inlineStr">
        <x:is>
          <x:t xml:space="preserve">6. Technical Controls</x:t>
        </x:is>
      </x:c>
      <x:c r="W32" t="inlineStr">
        <x:is>
          <x:t xml:space="preserve">Data, Endpoint &amp; Cloud Controls</x:t>
        </x:is>
      </x:c>
      <x:c r="X32" t="inlineStr">
        <x:is>
          <x:t xml:space="preserve">EDR for insider use-cases</x:t>
        </x:is>
      </x:c>
      <x:c r="Y32" t="n">
        <x:v>0.136</x:v>
      </x:c>
      <x:c r="Z32" t="inlineStr">
        <x:is>
          <x:t xml:space="preserve">similarity</x:t>
        </x:is>
      </x:c>
    </x:row>
    <x:row r="33">
      <x:c r="A33" t="inlineStr">
        <x:is>
          <x:t xml:space="preserve">EXCO-D7-Q02</x:t>
        </x:is>
      </x:c>
      <x:c r="B33" t="inlineStr">
        <x:is>
          <x:t xml:space="preserve">Executive</x:t>
        </x:is>
      </x:c>
      <x:c r="C33" t="inlineStr">
        <x:is>
          <x:t xml:space="preserve">T2</x:t>
        </x:is>
      </x:c>
      <x:c r="D33" t="inlineStr">
        <x:is>
          <x:t xml:space="preserve">7. Response &amp; Resilience</x:t>
        </x:is>
      </x:c>
      <x:c r="E33" t="inlineStr">
        <x:is>
          <x:t xml:space="preserve">E</x:t>
        </x:is>
      </x:c>
      <x:c r="F33" t="n">
        <x:v>1</x:v>
      </x:c>
      <x:c r="G33" t="inlineStr">
        <x:is>
          <x:t xml:space="preserve">-</x:t>
        </x:is>
      </x:c>
      <x:c r="I33" t="inlineStr">
        <x:is>
          <x:t xml:space="preserve">(Shadow probe) Even without a formal process, do teams coordinate effectively in practice?</x:t>
        </x:is>
      </x:c>
      <x:c r="J33" t="inlineStr">
        <x:is>
          <x:t xml:space="preserve">This checks whether informal ‘muscle memory’ exists.</x:t>
        </x:is>
      </x:c>
      <x:c r="L33" t="inlineStr">
        <x:is>
          <x:t xml:space="preserve">OPS_STD</x:t>
        </x:is>
      </x:c>
      <x:c r="M33" t="n">
        <x:v>1</x:v>
      </x:c>
      <x:c r="P33" t="inlineStr">
        <x:is>
          <x:t xml:space="preserve">ShadowProbe</x:t>
        </x:is>
      </x:c>
      <x:c r="T33" t="inlineStr">
        <x:is>
          <x:t xml:space="preserve">EXCO-D7-Q03</x:t>
        </x:is>
      </x:c>
      <x:c r="V33" t="inlineStr">
        <x:is>
          <x:t xml:space="preserve">6. Technical Controls</x:t>
        </x:is>
      </x:c>
      <x:c r="W33" t="inlineStr">
        <x:is>
          <x:t xml:space="preserve">Data, Endpoint &amp; Cloud Controls</x:t>
        </x:is>
      </x:c>
      <x:c r="X33" t="inlineStr">
        <x:is>
          <x:t xml:space="preserve">Collaboration/SaaS sharing controls</x:t>
        </x:is>
      </x:c>
      <x:c r="Y33" t="n">
        <x:v>0.95</x:v>
      </x:c>
      <x:c r="Z33" t="inlineStr">
        <x:is>
          <x:t xml:space="preserve">override</x:t>
        </x:is>
      </x:c>
    </x:row>
    <x:row r="34">
      <x:c r="A34" t="inlineStr">
        <x:is>
          <x:t xml:space="preserve">EXCO-D7-Q03</x:t>
        </x:is>
      </x:c>
      <x:c r="B34" t="inlineStr">
        <x:is>
          <x:t xml:space="preserve">Executive</x:t>
        </x:is>
      </x:c>
      <x:c r="C34" t="inlineStr">
        <x:is>
          <x:t xml:space="preserve">T2</x:t>
        </x:is>
      </x:c>
      <x:c r="D34" t="inlineStr">
        <x:is>
          <x:t xml:space="preserve">7. Response &amp; Resilience</x:t>
        </x:is>
      </x:c>
      <x:c r="E34" t="inlineStr">
        <x:is>
          <x:t xml:space="preserve">R</x:t>
        </x:is>
      </x:c>
      <x:c r="F34" t="n">
        <x:v>0.7</x:v>
      </x:c>
      <x:c r="G34" t="inlineStr">
        <x:is>
          <x:t xml:space="preserve">E</x:t>
        </x:is>
      </x:c>
      <x:c r="H34" t="n">
        <x:v>0.3</x:v>
      </x:c>
      <x:c r="I34" t="inlineStr">
        <x:is>
          <x:t xml:space="preserve">Do we practise insider incident response (tabletop or drills) and track lessons learned?</x:t>
        </x:is>
      </x:c>
      <x:c r="J34" t="inlineStr">
        <x:is>
          <x:t xml:space="preserve">Practise can be short; the key is that improvements are captured and implemented.</x:t>
        </x:is>
      </x:c>
      <x:c r="L34" t="inlineStr">
        <x:is>
          <x:t xml:space="preserve">OPS_STD</x:t>
        </x:is>
      </x:c>
      <x:c r="M34" t="n">
        <x:v>1</x:v>
      </x:c>
      <x:c r="P34" t="inlineStr">
        <x:is>
          <x:t xml:space="preserve">DrillDown</x:t>
        </x:is>
      </x:c>
      <x:c r="T34" t="inlineStr">
        <x:is>
          <x:t xml:space="preserve">EXCO-D7-Q04</x:t>
        </x:is>
      </x:c>
      <x:c r="V34" t="inlineStr">
        <x:is>
          <x:t xml:space="preserve">9. Performance &amp; Resilience</x:t>
        </x:is>
      </x:c>
      <x:c r="W34" t="inlineStr">
        <x:is>
          <x:t xml:space="preserve">Testing &amp; Exercising</x:t>
        </x:is>
      </x:c>
      <x:c r="X34" t="inlineStr">
        <x:is>
          <x:t xml:space="preserve">Tabletop exercise (TTX) program</x:t>
        </x:is>
      </x:c>
      <x:c r="Y34" t="n">
        <x:v>0.95</x:v>
      </x:c>
      <x:c r="Z34" t="inlineStr">
        <x:is>
          <x:t xml:space="preserve">override</x:t>
        </x:is>
      </x:c>
    </x:row>
    <x:row r="35">
      <x:c r="A35" t="inlineStr">
        <x:is>
          <x:t xml:space="preserve">EXCO-D7-Q04</x:t>
        </x:is>
      </x:c>
      <x:c r="B35" t="inlineStr">
        <x:is>
          <x:t xml:space="preserve">Executive</x:t>
        </x:is>
      </x:c>
      <x:c r="C35" t="inlineStr">
        <x:is>
          <x:t xml:space="preserve">T2</x:t>
        </x:is>
      </x:c>
      <x:c r="D35" t="inlineStr">
        <x:is>
          <x:t xml:space="preserve">7. Response &amp; Resilience</x:t>
        </x:is>
      </x:c>
      <x:c r="E35" t="inlineStr">
        <x:is>
          <x:t xml:space="preserve">L</x:t>
        </x:is>
      </x:c>
      <x:c r="F35" t="n">
        <x:v>0.5</x:v>
      </x:c>
      <x:c r="G35" t="inlineStr">
        <x:is>
          <x:t xml:space="preserve">R</x:t>
        </x:is>
      </x:c>
      <x:c r="H35" t="n">
        <x:v>0.5</x:v>
      </x:c>
      <x:c r="I35" t="inlineStr">
        <x:is>
          <x:t xml:space="preserve">Is there a plan for when to engage law enforcement or regulators (criteria, approvals, and communications)?</x:t>
        </x:is>
      </x:c>
      <x:c r="J35" t="inlineStr">
        <x:is>
          <x:t xml:space="preserve">This reduces chaos during high-stakes events.</x:t>
        </x:is>
      </x:c>
      <x:c r="L35" t="inlineStr">
        <x:is>
          <x:t xml:space="preserve">LEG_STRICT</x:t>
        </x:is>
      </x:c>
      <x:c r="M35" t="n">
        <x:v>1</x:v>
      </x:c>
      <x:c r="P35" t="inlineStr">
        <x:is>
          <x:t xml:space="preserve">DrillDown</x:t>
        </x:is>
      </x:c>
      <x:c r="T35" t="inlineStr">
        <x:is>
          <x:t xml:space="preserve">EXCO-D7-Q05</x:t>
        </x:is>
      </x:c>
      <x:c r="V35" t="inlineStr">
        <x:is>
          <x:t xml:space="preserve">8. Investigation &amp; Response</x:t>
        </x:is>
      </x:c>
      <x:c r="W35" t="inlineStr">
        <x:is>
          <x:t xml:space="preserve">Incident Action</x:t>
        </x:is>
      </x:c>
      <x:c r="X35" t="inlineStr">
        <x:is>
          <x:t xml:space="preserve">Law enforcement &amp; external liaison</x:t>
        </x:is>
      </x:c>
      <x:c r="Y35" t="n">
        <x:v>0.95</x:v>
      </x:c>
      <x:c r="Z35" t="inlineStr">
        <x:is>
          <x:t xml:space="preserve">override</x:t>
        </x:is>
      </x:c>
    </x:row>
    <x:row r="36">
      <x:c r="A36" t="inlineStr">
        <x:is>
          <x:t xml:space="preserve">EXCO-D7-Q05</x:t>
        </x:is>
      </x:c>
      <x:c r="B36" t="inlineStr">
        <x:is>
          <x:t xml:space="preserve">Executive</x:t>
        </x:is>
      </x:c>
      <x:c r="C36" t="inlineStr">
        <x:is>
          <x:t xml:space="preserve">T2</x:t>
        </x:is>
      </x:c>
      <x:c r="D36" t="inlineStr">
        <x:is>
          <x:t xml:space="preserve">7. Response &amp; Resilience</x:t>
        </x:is>
      </x:c>
      <x:c r="E36" t="inlineStr">
        <x:is>
          <x:t xml:space="preserve">H</x:t>
        </x:is>
      </x:c>
      <x:c r="F36" t="n">
        <x:v>0.5</x:v>
      </x:c>
      <x:c r="G36" t="inlineStr">
        <x:is>
          <x:t xml:space="preserve">R</x:t>
        </x:is>
      </x:c>
      <x:c r="H36" t="n">
        <x:v>0.5</x:v>
      </x:c>
      <x:c r="I36" t="inlineStr">
        <x:is>
          <x:t xml:space="preserve">After an insider incident, do we have a plan to restore trust (team health, communications, fairness, control changes)?</x:t>
        </x:is>
      </x:c>
      <x:c r="J36" t="inlineStr">
        <x:is>
          <x:t xml:space="preserve">Trust recovery is about avoiding long-term fear, blame, and productivity loss.</x:t>
        </x:is>
      </x:c>
      <x:c r="L36" t="inlineStr">
        <x:is>
          <x:t xml:space="preserve">CULT_SOFT</x:t>
        </x:is>
      </x:c>
      <x:c r="M36" t="n">
        <x:v>1</x:v>
      </x:c>
      <x:c r="P36" t="inlineStr">
        <x:is>
          <x:t xml:space="preserve">DrillDown</x:t>
        </x:is>
      </x:c>
      <x:c r="T36" t="inlineStr">
        <x:is>
          <x:t xml:space="preserve">EXCO-D8-Q01</x:t>
        </x:is>
      </x:c>
      <x:c r="V36" t="inlineStr">
        <x:is>
          <x:t xml:space="preserve">9. Performance &amp; Resilience</x:t>
        </x:is>
      </x:c>
      <x:c r="W36" t="inlineStr">
        <x:is>
          <x:t xml:space="preserve">Resilience &amp; Continuity</x:t>
        </x:is>
      </x:c>
      <x:c r="X36" t="inlineStr">
        <x:is>
          <x:t xml:space="preserve">Recovery playbooks &amp; trust restoration</x:t>
        </x:is>
      </x:c>
      <x:c r="Y36" t="n">
        <x:v>0.95</x:v>
      </x:c>
      <x:c r="Z36" t="inlineStr">
        <x:is>
          <x:t xml:space="preserve">override</x:t>
        </x:is>
      </x:c>
    </x:row>
    <x:row r="37">
      <x:c r="A37" t="inlineStr">
        <x:is>
          <x:t xml:space="preserve">EXCO-D8-Q01</x:t>
        </x:is>
      </x:c>
      <x:c r="B37" t="inlineStr">
        <x:is>
          <x:t xml:space="preserve">Executive</x:t>
        </x:is>
      </x:c>
      <x:c r="C37" t="inlineStr">
        <x:is>
          <x:t xml:space="preserve">T1</x:t>
        </x:is>
      </x:c>
      <x:c r="D37" t="inlineStr">
        <x:is>
          <x:t xml:space="preserve">8. Performance &amp; Assurance</x:t>
        </x:is>
      </x:c>
      <x:c r="E37" t="inlineStr">
        <x:is>
          <x:t xml:space="preserve">G</x:t>
        </x:is>
      </x:c>
      <x:c r="F37" t="n">
        <x:v>0.6</x:v>
      </x:c>
      <x:c r="G37" t="inlineStr">
        <x:is>
          <x:t xml:space="preserve">R</x:t>
        </x:is>
      </x:c>
      <x:c r="H37" t="n">
        <x:v>0.4</x:v>
      </x:c>
      <x:c r="I37" t="inlineStr">
        <x:is>
          <x:t xml:space="preserve">How is insider risk performance reported to executives/board (what metrics, how often, and what decisions follow)?</x:t>
        </x:is>
      </x:c>
      <x:c r="J37" t="inlineStr">
        <x:is>
          <x:t xml:space="preserve">Look for useful metrics: time to triage, high-risk clusters reduced, coverage of sensitive assets, fairness indicators, and learning actions.</x:t>
        </x:is>
      </x:c>
      <x:c r="L37" t="inlineStr">
        <x:is>
          <x:t xml:space="preserve">GOV_STD</x:t>
        </x:is>
      </x:c>
      <x:c r="M37" t="n">
        <x:v>1</x:v>
      </x:c>
      <x:c r="P37" t="inlineStr">
        <x:is>
          <x:t xml:space="preserve">Gatekeeper</x:t>
        </x:is>
      </x:c>
      <x:c r="Q37" t="n">
        <x:v>2</x:v>
      </x:c>
      <x:c r="R37" t="inlineStr">
        <x:is>
          <x:t xml:space="preserve">EXCO-D8-Q02</x:t>
        </x:is>
      </x:c>
      <x:c r="S37" t="inlineStr">
        <x:is>
          <x:t xml:space="preserve">EXCO-D8-Q03</x:t>
        </x:is>
      </x:c>
      <x:c r="V37" t="inlineStr">
        <x:is>
          <x:t xml:space="preserve">2. Threat Model &amp; Operations</x:t>
        </x:is>
      </x:c>
      <x:c r="W37" t="inlineStr">
        <x:is>
          <x:t xml:space="preserve">Deterrence &amp; Disruption</x:t>
        </x:is>
      </x:c>
      <x:c r="X37" t="inlineStr">
        <x:is>
          <x:t xml:space="preserve">Sensitive transition workflow (flight-risk)</x:t>
        </x:is>
      </x:c>
      <x:c r="Y37" t="n">
        <x:v>0.13</x:v>
      </x:c>
      <x:c r="Z37" t="inlineStr">
        <x:is>
          <x:t xml:space="preserve">similarity</x:t>
        </x:is>
      </x:c>
    </x:row>
    <x:row r="38">
      <x:c r="A38" t="inlineStr">
        <x:is>
          <x:t xml:space="preserve">EXCO-D8-Q02</x:t>
        </x:is>
      </x:c>
      <x:c r="B38" t="inlineStr">
        <x:is>
          <x:t xml:space="preserve">Executive</x:t>
        </x:is>
      </x:c>
      <x:c r="C38" t="inlineStr">
        <x:is>
          <x:t xml:space="preserve">T2</x:t>
        </x:is>
      </x:c>
      <x:c r="D38" t="inlineStr">
        <x:is>
          <x:t xml:space="preserve">8. Performance &amp; Assurance</x:t>
        </x:is>
      </x:c>
      <x:c r="E38" t="inlineStr">
        <x:is>
          <x:t xml:space="preserve">E</x:t>
        </x:is>
      </x:c>
      <x:c r="F38" t="n">
        <x:v>1</x:v>
      </x:c>
      <x:c r="G38" t="inlineStr">
        <x:is>
          <x:t xml:space="preserve">-</x:t>
        </x:is>
      </x:c>
      <x:c r="I38" t="inlineStr">
        <x:is>
          <x:t xml:space="preserve">(Shadow probe) Do we review ‘near misses’ (things that almost became incidents) and use them to improve?</x:t>
        </x:is>
      </x:c>
      <x:c r="J38" t="inlineStr">
        <x:is>
          <x:t xml:space="preserve">Near misses are a strong indicator of learning culture and operational maturity.</x:t>
        </x:is>
      </x:c>
      <x:c r="L38" t="inlineStr">
        <x:is>
          <x:t xml:space="preserve">OPS_STD</x:t>
        </x:is>
      </x:c>
      <x:c r="M38" t="n">
        <x:v>1</x:v>
      </x:c>
      <x:c r="P38" t="inlineStr">
        <x:is>
          <x:t xml:space="preserve">ShadowProbe</x:t>
        </x:is>
      </x:c>
      <x:c r="T38" t="inlineStr">
        <x:is>
          <x:t xml:space="preserve">EXCO-D8-Q03</x:t>
        </x:is>
      </x:c>
      <x:c r="V38" t="inlineStr">
        <x:is>
          <x:t xml:space="preserve">4. Legal, Privacy &amp; Ethics</x:t>
        </x:is>
      </x:c>
      <x:c r="W38" t="inlineStr">
        <x:is>
          <x:t xml:space="preserve">Oversight &amp; Safeguards</x:t>
        </x:is>
      </x:c>
      <x:c r="X38" t="inlineStr">
        <x:is>
          <x:t xml:space="preserve">Review, Redress &amp; Assurance</x:t>
        </x:is>
      </x:c>
      <x:c r="Y38" t="n">
        <x:v>0.08799999999999999</x:v>
      </x:c>
      <x:c r="Z38" t="inlineStr">
        <x:is>
          <x:t xml:space="preserve">similarity</x:t>
        </x:is>
      </x:c>
    </x:row>
    <x:row r="39">
      <x:c r="A39" t="inlineStr">
        <x:is>
          <x:t xml:space="preserve">EXCO-D8-Q03</x:t>
        </x:is>
      </x:c>
      <x:c r="B39" t="inlineStr">
        <x:is>
          <x:t xml:space="preserve">Executive</x:t>
        </x:is>
      </x:c>
      <x:c r="C39" t="inlineStr">
        <x:is>
          <x:t xml:space="preserve">T2</x:t>
        </x:is>
      </x:c>
      <x:c r="D39" t="inlineStr">
        <x:is>
          <x:t xml:space="preserve">8. Performance &amp; Assurance</x:t>
        </x:is>
      </x:c>
      <x:c r="E39" t="inlineStr">
        <x:is>
          <x:t xml:space="preserve">G</x:t>
        </x:is>
      </x:c>
      <x:c r="F39" t="n">
        <x:v>0.5</x:v>
      </x:c>
      <x:c r="G39" t="inlineStr">
        <x:is>
          <x:t xml:space="preserve">R</x:t>
        </x:is>
      </x:c>
      <x:c r="H39" t="n">
        <x:v>0.5</x:v>
      </x:c>
      <x:c r="I39" t="inlineStr">
        <x:is>
          <x:t xml:space="preserve">How often is insider risk reviewed at executive/board level with clear decisions or actions?</x:t>
        </x:is>
      </x:c>
      <x:c r="J39" t="inlineStr">
        <x:is>
          <x:t xml:space="preserve">This is about cadence and accountability, not just presentations.</x:t>
        </x:is>
      </x:c>
      <x:c r="L39" t="inlineStr">
        <x:is>
          <x:t xml:space="preserve">GOV_STD</x:t>
        </x:is>
      </x:c>
      <x:c r="M39" t="n">
        <x:v>1</x:v>
      </x:c>
      <x:c r="P39" t="inlineStr">
        <x:is>
          <x:t xml:space="preserve">DrillDown</x:t>
        </x:is>
      </x:c>
      <x:c r="T39" t="inlineStr">
        <x:is>
          <x:t xml:space="preserve">EXCO-D8-Q04</x:t>
        </x:is>
      </x:c>
      <x:c r="V39" t="inlineStr">
        <x:is>
          <x:t xml:space="preserve">1. Strategy &amp; Governance</x:t>
        </x:is>
      </x:c>
      <x:c r="W39" t="inlineStr">
        <x:is>
          <x:t xml:space="preserve">Program Management</x:t>
        </x:is>
      </x:c>
      <x:c r="X39" t="inlineStr">
        <x:is>
          <x:t xml:space="preserve">Executive sponsorship &amp; oversight cadence</x:t>
        </x:is>
      </x:c>
      <x:c r="Y39" t="n">
        <x:v>0.237</x:v>
      </x:c>
      <x:c r="Z39" t="inlineStr">
        <x:is>
          <x:t xml:space="preserve">similarity</x:t>
        </x:is>
      </x:c>
    </x:row>
    <x:row r="40">
      <x:c r="A40" t="inlineStr">
        <x:is>
          <x:t xml:space="preserve">EXCO-D8-Q04</x:t>
        </x:is>
      </x:c>
      <x:c r="B40" t="inlineStr">
        <x:is>
          <x:t xml:space="preserve">Executive</x:t>
        </x:is>
      </x:c>
      <x:c r="C40" t="inlineStr">
        <x:is>
          <x:t xml:space="preserve">T3</x:t>
        </x:is>
      </x:c>
      <x:c r="D40" t="inlineStr">
        <x:is>
          <x:t xml:space="preserve">8. Performance &amp; Assurance</x:t>
        </x:is>
      </x:c>
      <x:c r="E40" t="inlineStr">
        <x:is>
          <x:t xml:space="preserve">G</x:t>
        </x:is>
      </x:c>
      <x:c r="F40" t="n">
        <x:v>0.5</x:v>
      </x:c>
      <x:c r="G40" t="inlineStr">
        <x:is>
          <x:t xml:space="preserve">R</x:t>
        </x:is>
      </x:c>
      <x:c r="H40" t="n">
        <x:v>0.5</x:v>
      </x:c>
      <x:c r="I40" t="inlineStr">
        <x:is>
          <x:t xml:space="preserve">Is there any independent assurance (internal audit, external review) that confirms reality matches what we report?</x:t>
        </x:is>
      </x:c>
      <x:c r="J40" t="inlineStr">
        <x:is>
          <x:t xml:space="preserve">This directly supports the Structural Integrity goal (avoid ‘paper dragon’).</x:t>
        </x:is>
      </x:c>
      <x:c r="L40" t="inlineStr">
        <x:is>
          <x:t xml:space="preserve">GOV_STD</x:t>
        </x:is>
      </x:c>
      <x:c r="M40" t="n">
        <x:v>1</x:v>
      </x:c>
      <x:c r="P40" t="inlineStr">
        <x:is>
          <x:t xml:space="preserve">End</x:t>
        </x:is>
      </x:c>
      <x:c r="U40" t="inlineStr">
        <x:is>
          <x:t xml:space="preserve">Y</x:t>
        </x:is>
      </x:c>
      <x:c r="V40" t="inlineStr">
        <x:is>
          <x:t xml:space="preserve">4. Legal, Privacy &amp; Ethics</x:t>
        </x:is>
      </x:c>
      <x:c r="W40" t="inlineStr">
        <x:is>
          <x:t xml:space="preserve">Oversight &amp; Safeguards</x:t>
        </x:is>
      </x:c>
      <x:c r="X40" t="inlineStr">
        <x:is>
          <x:t xml:space="preserve">Review, Redress &amp; Assurance</x:t>
        </x:is>
      </x:c>
      <x:c r="Y40" t="n">
        <x:v>0.162</x:v>
      </x:c>
      <x:c r="Z40" t="inlineStr">
        <x:is>
          <x:t xml:space="preserve">similarity</x:t>
        </x:is>
      </x:c>
    </x:row>
    <x:row r="41">
      <x:c r="A41" t="inlineStr">
        <x:is>
          <x:t xml:space="preserve">HR-D1-Q01</x:t>
        </x:is>
      </x:c>
      <x:c r="B41" t="inlineStr">
        <x:is>
          <x:t xml:space="preserve">HR</x:t>
        </x:is>
      </x:c>
      <x:c r="C41" t="inlineStr">
        <x:is>
          <x:t xml:space="preserve">T1</x:t>
        </x:is>
      </x:c>
      <x:c r="D41" t="inlineStr">
        <x:is>
          <x:t xml:space="preserve">1. HR Operating Model</x:t>
        </x:is>
      </x:c>
      <x:c r="E41" t="inlineStr">
        <x:is>
          <x:t xml:space="preserve">G</x:t>
        </x:is>
      </x:c>
      <x:c r="F41" t="n">
        <x:v>0.5</x:v>
      </x:c>
      <x:c r="G41" t="inlineStr">
        <x:is>
          <x:t xml:space="preserve">E</x:t>
        </x:is>
      </x:c>
      <x:c r="H41" t="n">
        <x:v>0.5</x:v>
      </x:c>
      <x:c r="I41" t="inlineStr">
        <x:is>
          <x:t xml:space="preserve">Is there a clear HR-facing mandate for insider risk (misuse, data theft, sabotage) and coordination with Security and Legal?</x:t>
        </x:is>
      </x:c>
      <x:c r="J41" t="inlineStr">
        <x:is>
          <x:t xml:space="preserve">Insider risk includes intentional or negligent harm by employees/contractors (e.g., data leakage, sabotage, fraud).</x:t>
        </x:is>
      </x:c>
      <x:c r="L41" t="inlineStr">
        <x:is>
          <x:t xml:space="preserve">GOV_STD</x:t>
        </x:is>
      </x:c>
      <x:c r="M41" t="n">
        <x:v>1</x:v>
      </x:c>
      <x:c r="P41" t="inlineStr">
        <x:is>
          <x:t xml:space="preserve">Gatekeeper</x:t>
        </x:is>
      </x:c>
      <x:c r="Q41" t="n">
        <x:v>2</x:v>
      </x:c>
      <x:c r="R41" t="inlineStr">
        <x:is>
          <x:t xml:space="preserve">HR-D1-Q02</x:t>
        </x:is>
      </x:c>
      <x:c r="S41" t="inlineStr">
        <x:is>
          <x:t xml:space="preserve">HR-D1-Q03</x:t>
        </x:is>
      </x:c>
      <x:c r="V41" t="inlineStr">
        <x:is>
          <x:t xml:space="preserve">1. Strategy &amp; Governance</x:t>
        </x:is>
      </x:c>
      <x:c r="W41" t="inlineStr">
        <x:is>
          <x:t xml:space="preserve">Program Management</x:t>
        </x:is>
      </x:c>
      <x:c r="X41" t="inlineStr">
        <x:is>
          <x:t xml:space="preserve">Charter &amp; authority model</x:t>
        </x:is>
      </x:c>
      <x:c r="Y41" t="n">
        <x:v>0.95</x:v>
      </x:c>
      <x:c r="Z41" t="inlineStr">
        <x:is>
          <x:t xml:space="preserve">override</x:t>
        </x:is>
      </x:c>
    </x:row>
    <x:row r="42">
      <x:c r="A42" t="inlineStr">
        <x:is>
          <x:t xml:space="preserve">HR-D1-Q02</x:t>
        </x:is>
      </x:c>
      <x:c r="B42" t="inlineStr">
        <x:is>
          <x:t xml:space="preserve">HR</x:t>
        </x:is>
      </x:c>
      <x:c r="C42" t="inlineStr">
        <x:is>
          <x:t xml:space="preserve">T2</x:t>
        </x:is>
      </x:c>
      <x:c r="D42" t="inlineStr">
        <x:is>
          <x:t xml:space="preserve">1. HR Operating Model</x:t>
        </x:is>
      </x:c>
      <x:c r="E42" t="inlineStr">
        <x:is>
          <x:t xml:space="preserve">E</x:t>
        </x:is>
      </x:c>
      <x:c r="F42" t="n">
        <x:v>1</x:v>
      </x:c>
      <x:c r="G42" t="inlineStr">
        <x:is>
          <x:t xml:space="preserve">-</x:t>
        </x:is>
      </x:c>
      <x:c r="I42" t="inlineStr">
        <x:is>
          <x:t xml:space="preserve">(Shadow probe) Even without formal governance, do HR and Security coordinate quickly when a concern is raised?</x:t>
        </x:is>
      </x:c>
      <x:c r="J42" t="inlineStr">
        <x:is>
          <x:t xml:space="preserve">Checks real habits vs formal structure.</x:t>
        </x:is>
      </x:c>
      <x:c r="L42" t="inlineStr">
        <x:is>
          <x:t xml:space="preserve">OPS_STD</x:t>
        </x:is>
      </x:c>
      <x:c r="M42" t="n">
        <x:v>1</x:v>
      </x:c>
      <x:c r="P42" t="inlineStr">
        <x:is>
          <x:t xml:space="preserve">ShadowProbe</x:t>
        </x:is>
      </x:c>
      <x:c r="T42" t="inlineStr">
        <x:is>
          <x:t xml:space="preserve">HR-D2-Q05</x:t>
        </x:is>
      </x:c>
      <x:c r="V42" t="inlineStr">
        <x:is>
          <x:t xml:space="preserve">5. Human-Centric Culture</x:t>
        </x:is>
      </x:c>
      <x:c r="W42" t="inlineStr">
        <x:is>
          <x:t xml:space="preserve">Personnel Security</x:t>
        </x:is>
      </x:c>
      <x:c r="X42" t="inlineStr">
        <x:is>
          <x:t xml:space="preserve">People-Signal Governance</x:t>
        </x:is>
      </x:c>
      <x:c r="Y42" t="n">
        <x:v>0.122</x:v>
      </x:c>
      <x:c r="Z42" t="inlineStr">
        <x:is>
          <x:t xml:space="preserve">similarity</x:t>
        </x:is>
      </x:c>
    </x:row>
    <x:row r="43">
      <x:c r="A43" t="inlineStr">
        <x:is>
          <x:t xml:space="preserve">HR-D1-Q03</x:t>
        </x:is>
      </x:c>
      <x:c r="B43" t="inlineStr">
        <x:is>
          <x:t xml:space="preserve">HR</x:t>
        </x:is>
      </x:c>
      <x:c r="C43" t="inlineStr">
        <x:is>
          <x:t xml:space="preserve">T2</x:t>
        </x:is>
      </x:c>
      <x:c r="D43" t="inlineStr">
        <x:is>
          <x:t xml:space="preserve">1. HR Operating Model</x:t>
        </x:is>
      </x:c>
      <x:c r="E43" t="inlineStr">
        <x:is>
          <x:t xml:space="preserve">G</x:t>
        </x:is>
      </x:c>
      <x:c r="F43" t="n">
        <x:v>1</x:v>
      </x:c>
      <x:c r="G43" t="inlineStr">
        <x:is>
          <x:t xml:space="preserve">-</x:t>
        </x:is>
      </x:c>
      <x:c r="I43" t="inlineStr">
        <x:is>
          <x:t xml:space="preserve">Who in HR is accountable for coordinating insider-risk prevention and people-side investigations?</x:t>
        </x:is>
      </x:c>
      <x:c r="J43" t="inlineStr">
        <x:is>
          <x:t xml:space="preserve">Accountable = ultimately responsible for ensuring the process happens.</x:t>
        </x:is>
      </x:c>
      <x:c r="L43" t="inlineStr">
        <x:is>
          <x:t xml:space="preserve">GOV_STD</x:t>
        </x:is>
      </x:c>
      <x:c r="M43" t="n">
        <x:v>1</x:v>
      </x:c>
      <x:c r="P43" t="inlineStr">
        <x:is>
          <x:t xml:space="preserve">DrillDown</x:t>
        </x:is>
      </x:c>
      <x:c r="V43" t="inlineStr">
        <x:is>
          <x:t xml:space="preserve">1. Strategy &amp; Governance</x:t>
        </x:is>
      </x:c>
      <x:c r="W43" t="inlineStr">
        <x:is>
          <x:t xml:space="preserve">Organization &amp; RACI</x:t>
        </x:is>
      </x:c>
      <x:c r="X43" t="inlineStr">
        <x:is>
          <x:t xml:space="preserve">RACI &amp; decision rights</x:t>
        </x:is>
      </x:c>
      <x:c r="Y43" t="n">
        <x:v>0.95</x:v>
      </x:c>
      <x:c r="Z43" t="inlineStr">
        <x:is>
          <x:t xml:space="preserve">override</x:t>
        </x:is>
      </x:c>
    </x:row>
    <x:row r="44">
      <x:c r="A44" t="inlineStr">
        <x:is>
          <x:t xml:space="preserve">HR-D1-Q04</x:t>
        </x:is>
      </x:c>
      <x:c r="B44" t="inlineStr">
        <x:is>
          <x:t xml:space="preserve">HR</x:t>
        </x:is>
      </x:c>
      <x:c r="C44" t="inlineStr">
        <x:is>
          <x:t xml:space="preserve">T3</x:t>
        </x:is>
      </x:c>
      <x:c r="D44" t="inlineStr">
        <x:is>
          <x:t xml:space="preserve">1. HR Operating Model</x:t>
        </x:is>
      </x:c>
      <x:c r="E44" t="inlineStr">
        <x:is>
          <x:t xml:space="preserve">R</x:t>
        </x:is>
      </x:c>
      <x:c r="F44" t="n">
        <x:v>0.5</x:v>
      </x:c>
      <x:c r="G44" t="inlineStr">
        <x:is>
          <x:t xml:space="preserve">L</x:t>
        </x:is>
      </x:c>
      <x:c r="H44" t="n">
        <x:v>0.5</x:v>
      </x:c>
      <x:c r="I44" t="inlineStr">
        <x:is>
          <x:t xml:space="preserve">Is there a documented, fair cross-functional case workflow (HR + Legal/Privacy + Security) with clear decision rights and timelines?</x:t>
        </x:is>
      </x:c>
      <x:c r="J44" t="inlineStr">
        <x:is>
          <x:t xml:space="preserve">Focus on fairness, confidentiality, proportionality, and approvals for sensitive data use.</x:t>
        </x:is>
      </x:c>
      <x:c r="L44" t="inlineStr">
        <x:is>
          <x:t xml:space="preserve">LEG_STRICT</x:t>
        </x:is>
      </x:c>
      <x:c r="M44" t="n">
        <x:v>1</x:v>
      </x:c>
      <x:c r="P44" t="inlineStr">
        <x:is>
          <x:t xml:space="preserve">Linear</x:t>
        </x:is>
      </x:c>
      <x:c r="V44" t="inlineStr">
        <x:is>
          <x:t xml:space="preserve">1. Strategy &amp; Governance</x:t>
        </x:is>
      </x:c>
      <x:c r="W44" t="inlineStr">
        <x:is>
          <x:t xml:space="preserve">Organization &amp; RACI</x:t>
        </x:is>
      </x:c>
      <x:c r="X44" t="inlineStr">
        <x:is>
          <x:t xml:space="preserve">RACI &amp; decision rights</x:t>
        </x:is>
      </x:c>
      <x:c r="Y44" t="n">
        <x:v>0.95</x:v>
      </x:c>
      <x:c r="Z44" t="inlineStr">
        <x:is>
          <x:t xml:space="preserve">override</x:t>
        </x:is>
      </x:c>
    </x:row>
    <x:row r="45">
      <x:c r="A45" t="inlineStr">
        <x:is>
          <x:t xml:space="preserve">HR-D2-Q05</x:t>
        </x:is>
      </x:c>
      <x:c r="B45" t="inlineStr">
        <x:is>
          <x:t xml:space="preserve">HR</x:t>
        </x:is>
      </x:c>
      <x:c r="C45" t="inlineStr">
        <x:is>
          <x:t xml:space="preserve">T1</x:t>
        </x:is>
      </x:c>
      <x:c r="D45" t="inlineStr">
        <x:is>
          <x:t xml:space="preserve">2. Protected Reporting</x:t>
        </x:is>
      </x:c>
      <x:c r="E45" t="inlineStr">
        <x:is>
          <x:t xml:space="preserve">H</x:t>
        </x:is>
      </x:c>
      <x:c r="F45" t="n">
        <x:v>0.6</x:v>
      </x:c>
      <x:c r="G45" t="inlineStr">
        <x:is>
          <x:t xml:space="preserve">L</x:t>
        </x:is>
      </x:c>
      <x:c r="H45" t="n">
        <x:v>0.4</x:v>
      </x:c>
      <x:c r="I45" t="inlineStr">
        <x:is>
          <x:t xml:space="preserve">Do employees and contractors have safe ways to raise concerns (including about peers or managers) and are they protected from retaliation?</x:t>
        </x:is>
      </x:c>
      <x:c r="J45" t="inlineStr">
        <x:is>
          <x:t xml:space="preserve">Include hotline/ombuds/HR channels. Protected = non-retaliation rules + process.</x:t>
        </x:is>
      </x:c>
      <x:c r="L45" t="inlineStr">
        <x:is>
          <x:t xml:space="preserve">LEG_STRICT</x:t>
        </x:is>
      </x:c>
      <x:c r="M45" t="n">
        <x:v>1</x:v>
      </x:c>
      <x:c r="P45" t="inlineStr">
        <x:is>
          <x:t xml:space="preserve">Gatekeeper</x:t>
        </x:is>
      </x:c>
      <x:c r="Q45" t="n">
        <x:v>2</x:v>
      </x:c>
      <x:c r="R45" t="inlineStr">
        <x:is>
          <x:t xml:space="preserve">HR-D2-Q06</x:t>
        </x:is>
      </x:c>
      <x:c r="S45" t="inlineStr">
        <x:is>
          <x:t xml:space="preserve">HR-D2-Q07</x:t>
        </x:is>
      </x:c>
      <x:c r="V45" t="inlineStr">
        <x:is>
          <x:t xml:space="preserve">4. Legal, Privacy &amp; Ethics</x:t>
        </x:is>
      </x:c>
      <x:c r="W45" t="inlineStr">
        <x:is>
          <x:t xml:space="preserve">Oversight &amp; Safeguards</x:t>
        </x:is>
      </x:c>
      <x:c r="X45" t="inlineStr">
        <x:is>
          <x:t xml:space="preserve">Review, Redress &amp; Assurance</x:t>
        </x:is>
      </x:c>
      <x:c r="Y45" t="n">
        <x:v>0.95</x:v>
      </x:c>
      <x:c r="Z45" t="inlineStr">
        <x:is>
          <x:t xml:space="preserve">override</x:t>
        </x:is>
      </x:c>
    </x:row>
    <x:row r="46">
      <x:c r="A46" t="inlineStr">
        <x:is>
          <x:t xml:space="preserve">HR-D2-Q06</x:t>
        </x:is>
      </x:c>
      <x:c r="B46" t="inlineStr">
        <x:is>
          <x:t xml:space="preserve">HR</x:t>
        </x:is>
      </x:c>
      <x:c r="C46" t="inlineStr">
        <x:is>
          <x:t xml:space="preserve">T2</x:t>
        </x:is>
      </x:c>
      <x:c r="D46" t="inlineStr">
        <x:is>
          <x:t xml:space="preserve">2. Protected Reporting</x:t>
        </x:is>
      </x:c>
      <x:c r="E46" t="inlineStr">
        <x:is>
          <x:t xml:space="preserve">H</x:t>
        </x:is>
      </x:c>
      <x:c r="F46" t="n">
        <x:v>1</x:v>
      </x:c>
      <x:c r="G46" t="inlineStr">
        <x:is>
          <x:t xml:space="preserve">-</x:t>
        </x:is>
      </x:c>
      <x:c r="I46" t="inlineStr">
        <x:is>
          <x:t xml:space="preserve">(Shadow probe) If there is no formal channel, how do concerns actually get raised today?</x:t>
        </x:is>
      </x:c>
      <x:c r="J46" t="inlineStr">
        <x:is>
          <x:t xml:space="preserve">Captures practical reality in low-maturity settings.</x:t>
        </x:is>
      </x:c>
      <x:c r="L46" t="inlineStr">
        <x:is>
          <x:t xml:space="preserve">CULT_SOFT</x:t>
        </x:is>
      </x:c>
      <x:c r="M46" t="n">
        <x:v>1.5</x:v>
      </x:c>
      <x:c r="N46" t="n">
        <x:v>0.5</x:v>
      </x:c>
      <x:c r="P46" t="inlineStr">
        <x:is>
          <x:t xml:space="preserve">ShadowProbe</x:t>
        </x:is>
      </x:c>
      <x:c r="T46" t="inlineStr">
        <x:is>
          <x:t xml:space="preserve">HR-D3-Q09</x:t>
        </x:is>
      </x:c>
      <x:c r="V46" t="inlineStr">
        <x:is>
          <x:t xml:space="preserve">9. Performance &amp; Resilience</x:t>
        </x:is>
      </x:c>
      <x:c r="W46" t="inlineStr">
        <x:is>
          <x:t xml:space="preserve">Assurance &amp; Metrics</x:t>
        </x:is>
      </x:c>
      <x:c r="X46" t="inlineStr">
        <x:is>
          <x:t xml:space="preserve">Maturity benchmarking &amp; audit readiness</x:t>
        </x:is>
      </x:c>
      <x:c r="Y46" t="n">
        <x:v>0.081</x:v>
      </x:c>
      <x:c r="Z46" t="inlineStr">
        <x:is>
          <x:t xml:space="preserve">similarity</x:t>
        </x:is>
      </x:c>
    </x:row>
    <x:row r="47">
      <x:c r="A47" t="inlineStr">
        <x:is>
          <x:t xml:space="preserve">HR-D2-Q07</x:t>
        </x:is>
      </x:c>
      <x:c r="B47" t="inlineStr">
        <x:is>
          <x:t xml:space="preserve">HR</x:t>
        </x:is>
      </x:c>
      <x:c r="C47" t="inlineStr">
        <x:is>
          <x:t xml:space="preserve">T2</x:t>
        </x:is>
      </x:c>
      <x:c r="D47" t="inlineStr">
        <x:is>
          <x:t xml:space="preserve">2. Protected Reporting</x:t>
        </x:is>
      </x:c>
      <x:c r="E47" t="inlineStr">
        <x:is>
          <x:t xml:space="preserve">L</x:t>
        </x:is>
      </x:c>
      <x:c r="F47" t="n">
        <x:v>0.5</x:v>
      </x:c>
      <x:c r="G47" t="inlineStr">
        <x:is>
          <x:t xml:space="preserve">H</x:t>
        </x:is>
      </x:c>
      <x:c r="H47" t="n">
        <x:v>0.5</x:v>
      </x:c>
      <x:c r="I47" t="inlineStr">
        <x:is>
          <x:t xml:space="preserve">How do you prevent and respond to retaliation against reporters (or witnesses)?</x:t>
        </x:is>
      </x:c>
      <x:c r="J47" t="inlineStr">
        <x:is>
          <x:t xml:space="preserve">Include policy, manager training, investigation steps, and consequences.</x:t>
        </x:is>
      </x:c>
      <x:c r="L47" t="inlineStr">
        <x:is>
          <x:t xml:space="preserve">LEG_STRICT</x:t>
        </x:is>
      </x:c>
      <x:c r="M47" t="n">
        <x:v>1.5</x:v>
      </x:c>
      <x:c r="N47" t="n">
        <x:v>0.5</x:v>
      </x:c>
      <x:c r="P47" t="inlineStr">
        <x:is>
          <x:t xml:space="preserve">DrillDown</x:t>
        </x:is>
      </x:c>
      <x:c r="V47" t="inlineStr">
        <x:is>
          <x:t xml:space="preserve">5. Human-Centric Culture</x:t>
        </x:is>
      </x:c>
      <x:c r="W47" t="inlineStr">
        <x:is>
          <x:t xml:space="preserve">Awareness &amp; Wellbeing</x:t>
        </x:is>
      </x:c>
      <x:c r="X47" t="inlineStr">
        <x:is>
          <x:t xml:space="preserve">Manager Behavioral Signal Training</x:t>
        </x:is>
      </x:c>
      <x:c r="Y47" t="n">
        <x:v>0.162</x:v>
      </x:c>
      <x:c r="Z47" t="inlineStr">
        <x:is>
          <x:t xml:space="preserve">similarity</x:t>
        </x:is>
      </x:c>
    </x:row>
    <x:row r="48">
      <x:c r="A48" t="inlineStr">
        <x:is>
          <x:t xml:space="preserve">HR-D2-Q08</x:t>
        </x:is>
      </x:c>
      <x:c r="B48" t="inlineStr">
        <x:is>
          <x:t xml:space="preserve">HR</x:t>
        </x:is>
      </x:c>
      <x:c r="C48" t="inlineStr">
        <x:is>
          <x:t xml:space="preserve">T3</x:t>
        </x:is>
      </x:c>
      <x:c r="D48" t="inlineStr">
        <x:is>
          <x:t xml:space="preserve">2. Protected Reporting</x:t>
        </x:is>
      </x:c>
      <x:c r="E48" t="inlineStr">
        <x:is>
          <x:t xml:space="preserve">E</x:t>
        </x:is>
      </x:c>
      <x:c r="F48" t="n">
        <x:v>1</x:v>
      </x:c>
      <x:c r="G48" t="inlineStr">
        <x:is>
          <x:t xml:space="preserve">-</x:t>
        </x:is>
      </x:c>
      <x:c r="I48" t="inlineStr">
        <x:is>
          <x:t xml:space="preserve">When a report is made, how quickly is it acknowledged, triaged, and progressed (with appropriate confidentiality)?</x:t>
        </x:is>
      </x:c>
      <x:c r="J48" t="inlineStr">
        <x:is>
          <x:t xml:space="preserve">Focus on typical timelines; aggregated evidence is sufficient.</x:t>
        </x:is>
      </x:c>
      <x:c r="L48" t="inlineStr">
        <x:is>
          <x:t xml:space="preserve">OPS_STD</x:t>
        </x:is>
      </x:c>
      <x:c r="M48" t="n">
        <x:v>1</x:v>
      </x:c>
      <x:c r="P48" t="inlineStr">
        <x:is>
          <x:t xml:space="preserve">Linear</x:t>
        </x:is>
      </x:c>
      <x:c r="V48" t="inlineStr">
        <x:is>
          <x:t xml:space="preserve">8. Investigation &amp; Response</x:t>
        </x:is>
      </x:c>
      <x:c r="W48" t="inlineStr">
        <x:is>
          <x:t xml:space="preserve">Operational Readiness</x:t>
        </x:is>
      </x:c>
      <x:c r="X48" t="inlineStr">
        <x:is>
          <x:t xml:space="preserve">Forensic readiness &amp; evidence preservation</x:t>
        </x:is>
      </x:c>
      <x:c r="Y48" t="n">
        <x:v>0.083</x:v>
      </x:c>
      <x:c r="Z48" t="inlineStr">
        <x:is>
          <x:t xml:space="preserve">similarity</x:t>
        </x:is>
      </x:c>
    </x:row>
    <x:row r="49">
      <x:c r="A49" t="inlineStr">
        <x:is>
          <x:t xml:space="preserve">HR-D3-Q09</x:t>
        </x:is>
      </x:c>
      <x:c r="B49" t="inlineStr">
        <x:is>
          <x:t xml:space="preserve">HR</x:t>
        </x:is>
      </x:c>
      <x:c r="C49" t="inlineStr">
        <x:is>
          <x:t xml:space="preserve">T1</x:t>
        </x:is>
      </x:c>
      <x:c r="D49" t="inlineStr">
        <x:is>
          <x:t xml:space="preserve">3. Manager Capability &amp; Culture</x:t>
        </x:is>
      </x:c>
      <x:c r="E49" t="inlineStr">
        <x:is>
          <x:t xml:space="preserve">H</x:t>
        </x:is>
      </x:c>
      <x:c r="F49" t="n">
        <x:v>0.5</x:v>
      </x:c>
      <x:c r="G49" t="inlineStr">
        <x:is>
          <x:t xml:space="preserve">E</x:t>
        </x:is>
      </x:c>
      <x:c r="H49" t="n">
        <x:v>0.5</x:v>
      </x:c>
      <x:c r="I49" t="inlineStr">
        <x:is>
          <x:t xml:space="preserve">Are managers trained and expected to escalate people-related risk signals (conflict, distress, policy breaches) in a consistent way?</x:t>
        </x:is>
      </x:c>
      <x:c r="J49" t="inlineStr">
        <x:is>
          <x:t xml:space="preserve">Early intervention + knowing who to contact; avoid clinical labels.</x:t>
        </x:is>
      </x:c>
      <x:c r="L49" t="inlineStr">
        <x:is>
          <x:t xml:space="preserve">CULT_SOFT</x:t>
        </x:is>
      </x:c>
      <x:c r="M49" t="n">
        <x:v>1</x:v>
      </x:c>
      <x:c r="P49" t="inlineStr">
        <x:is>
          <x:t xml:space="preserve">Gatekeeper</x:t>
        </x:is>
      </x:c>
      <x:c r="Q49" t="n">
        <x:v>2</x:v>
      </x:c>
      <x:c r="R49" t="inlineStr">
        <x:is>
          <x:t xml:space="preserve">HR-D3-Q10</x:t>
        </x:is>
      </x:c>
      <x:c r="S49" t="inlineStr">
        <x:is>
          <x:t xml:space="preserve">HR-D3-Q11</x:t>
        </x:is>
      </x:c>
      <x:c r="V49" t="inlineStr">
        <x:is>
          <x:t xml:space="preserve">3. Risk Management</x:t>
        </x:is>
      </x:c>
      <x:c r="W49" t="inlineStr">
        <x:is>
          <x:t xml:space="preserve">Assessment &amp; Analysis</x:t>
        </x:is>
      </x:c>
      <x:c r="X49" t="inlineStr">
        <x:is>
          <x:t xml:space="preserve">Risk appetite &amp; tolerance</x:t>
        </x:is>
      </x:c>
      <x:c r="Y49" t="n">
        <x:v>0.077</x:v>
      </x:c>
      <x:c r="Z49" t="inlineStr">
        <x:is>
          <x:t xml:space="preserve">similarity</x:t>
        </x:is>
      </x:c>
    </x:row>
    <x:row r="50">
      <x:c r="A50" t="inlineStr">
        <x:is>
          <x:t xml:space="preserve">HR-D3-Q10</x:t>
        </x:is>
      </x:c>
      <x:c r="B50" t="inlineStr">
        <x:is>
          <x:t xml:space="preserve">HR</x:t>
        </x:is>
      </x:c>
      <x:c r="C50" t="inlineStr">
        <x:is>
          <x:t xml:space="preserve">T2</x:t>
        </x:is>
      </x:c>
      <x:c r="D50" t="inlineStr">
        <x:is>
          <x:t xml:space="preserve">3. Manager Capability &amp; Culture</x:t>
        </x:is>
      </x:c>
      <x:c r="E50" t="inlineStr">
        <x:is>
          <x:t xml:space="preserve">E</x:t>
        </x:is>
      </x:c>
      <x:c r="F50" t="n">
        <x:v>1</x:v>
      </x:c>
      <x:c r="G50" t="inlineStr">
        <x:is>
          <x:t xml:space="preserve">-</x:t>
        </x:is>
      </x:c>
      <x:c r="I50" t="inlineStr">
        <x:is>
          <x:t xml:space="preserve">(Shadow probe) In practice, do managers know who to contact and do they use that path when something is 'off'?</x:t>
        </x:is>
      </x:c>
      <x:c r="J50" t="inlineStr">
        <x:is>
          <x:t xml:space="preserve">Checks whether escalation works in real life.</x:t>
        </x:is>
      </x:c>
      <x:c r="L50" t="inlineStr">
        <x:is>
          <x:t xml:space="preserve">OPS_STD</x:t>
        </x:is>
      </x:c>
      <x:c r="M50" t="n">
        <x:v>1</x:v>
      </x:c>
      <x:c r="P50" t="inlineStr">
        <x:is>
          <x:t xml:space="preserve">ShadowProbe</x:t>
        </x:is>
      </x:c>
      <x:c r="T50" t="inlineStr">
        <x:is>
          <x:t xml:space="preserve">HR-D4-Q13</x:t>
        </x:is>
      </x:c>
      <x:c r="V50" t="inlineStr">
        <x:is>
          <x:t xml:space="preserve">4. Legal, Privacy &amp; Ethics</x:t>
        </x:is>
      </x:c>
      <x:c r="W50" t="inlineStr">
        <x:is>
          <x:t xml:space="preserve">Compliance &amp; Policy</x:t>
        </x:is>
      </x:c>
      <x:c r="X50" t="inlineStr">
        <x:is>
          <x:t xml:space="preserve">Works Council / Labor Alignment</x:t>
        </x:is>
      </x:c>
      <x:c r="Y50" t="n">
        <x:v>0.075</x:v>
      </x:c>
      <x:c r="Z50" t="inlineStr">
        <x:is>
          <x:t xml:space="preserve">similarity</x:t>
        </x:is>
      </x:c>
    </x:row>
    <x:row r="51">
      <x:c r="A51" t="inlineStr">
        <x:is>
          <x:t xml:space="preserve">HR-D3-Q11</x:t>
        </x:is>
      </x:c>
      <x:c r="B51" t="inlineStr">
        <x:is>
          <x:t xml:space="preserve">HR</x:t>
        </x:is>
      </x:c>
      <x:c r="C51" t="inlineStr">
        <x:is>
          <x:t xml:space="preserve">T2</x:t>
        </x:is>
      </x:c>
      <x:c r="D51" t="inlineStr">
        <x:is>
          <x:t xml:space="preserve">3. Manager Capability &amp; Culture</x:t>
        </x:is>
      </x:c>
      <x:c r="E51" t="inlineStr">
        <x:is>
          <x:t xml:space="preserve">H</x:t>
        </x:is>
      </x:c>
      <x:c r="F51" t="n">
        <x:v>1</x:v>
      </x:c>
      <x:c r="G51" t="inlineStr">
        <x:is>
          <x:t xml:space="preserve">-</x:t>
        </x:is>
      </x:c>
      <x:c r="I51" t="inlineStr">
        <x:is>
          <x:t xml:space="preserve">Do you measure speak-up / trust / psychological safety and act on results?</x:t>
        </x:is>
      </x:c>
      <x:c r="J51" t="inlineStr">
        <x:is>
          <x:t xml:space="preserve">Measurement without action is not mature.</x:t>
        </x:is>
      </x:c>
      <x:c r="L51" t="inlineStr">
        <x:is>
          <x:t xml:space="preserve">CULT_SOFT</x:t>
        </x:is>
      </x:c>
      <x:c r="M51" t="n">
        <x:v>1.5</x:v>
      </x:c>
      <x:c r="N51" t="n">
        <x:v>0.5</x:v>
      </x:c>
      <x:c r="P51" t="inlineStr">
        <x:is>
          <x:t xml:space="preserve">DrillDown</x:t>
        </x:is>
      </x:c>
      <x:c r="V51" t="inlineStr">
        <x:is>
          <x:t xml:space="preserve">5. Human-Centric Culture</x:t>
        </x:is>
      </x:c>
      <x:c r="W51" t="inlineStr">
        <x:is>
          <x:t xml:space="preserve">Awareness &amp; Wellbeing</x:t>
        </x:is>
      </x:c>
      <x:c r="X51" t="inlineStr">
        <x:is>
          <x:t xml:space="preserve">Speak-Up Culture &amp; Psychological Safety</x:t>
        </x:is>
      </x:c>
      <x:c r="Y51" t="n">
        <x:v>0.95</x:v>
      </x:c>
      <x:c r="Z51" t="inlineStr">
        <x:is>
          <x:t xml:space="preserve">override</x:t>
        </x:is>
      </x:c>
    </x:row>
    <x:row r="52">
      <x:c r="A52" t="inlineStr">
        <x:is>
          <x:t xml:space="preserve">HR-D3-Q12</x:t>
        </x:is>
      </x:c>
      <x:c r="B52" t="inlineStr">
        <x:is>
          <x:t xml:space="preserve">HR</x:t>
        </x:is>
      </x:c>
      <x:c r="C52" t="inlineStr">
        <x:is>
          <x:t xml:space="preserve">T3</x:t>
        </x:is>
      </x:c>
      <x:c r="D52" t="inlineStr">
        <x:is>
          <x:t xml:space="preserve">3. Manager Capability &amp; Culture</x:t>
        </x:is>
      </x:c>
      <x:c r="E52" t="inlineStr">
        <x:is>
          <x:t xml:space="preserve">H</x:t>
        </x:is>
      </x:c>
      <x:c r="F52" t="n">
        <x:v>0.7</x:v>
      </x:c>
      <x:c r="G52" t="inlineStr">
        <x:is>
          <x:t xml:space="preserve">F</x:t>
        </x:is>
      </x:c>
      <x:c r="H52" t="n">
        <x:v>0.3</x:v>
      </x:c>
      <x:c r="I52" t="inlineStr">
        <x:is>
          <x:t xml:space="preserve">How is positive, risk-reducing behavior reinforced (e.g., reporting near-misses, using approved tools) without creating fear or blame?</x:t>
        </x:is>
      </x:c>
      <x:c r="J52" t="inlineStr">
        <x:is>
          <x:t xml:space="preserve">Recognition + learning loops; avoid name-and-shame.</x:t>
        </x:is>
      </x:c>
      <x:c r="L52" t="inlineStr">
        <x:is>
          <x:t xml:space="preserve">CULT_SOFT</x:t>
        </x:is>
      </x:c>
      <x:c r="M52" t="n">
        <x:v>1</x:v>
      </x:c>
      <x:c r="P52" t="inlineStr">
        <x:is>
          <x:t xml:space="preserve">Linear</x:t>
        </x:is>
      </x:c>
      <x:c r="V52" t="inlineStr">
        <x:is>
          <x:t xml:space="preserve">9. Performance &amp; Resilience</x:t>
        </x:is>
      </x:c>
      <x:c r="W52" t="inlineStr">
        <x:is>
          <x:t xml:space="preserve">Assurance &amp; Metrics</x:t>
        </x:is>
      </x:c>
      <x:c r="X52" t="inlineStr">
        <x:is>
          <x:t xml:space="preserve">KPI/KRI framework &amp; dashboards</x:t>
        </x:is>
      </x:c>
      <x:c r="Y52" t="n">
        <x:v>0.95</x:v>
      </x:c>
      <x:c r="Z52" t="inlineStr">
        <x:is>
          <x:t xml:space="preserve">override</x:t>
        </x:is>
      </x:c>
    </x:row>
    <x:row r="53">
      <x:c r="A53" t="inlineStr">
        <x:is>
          <x:t xml:space="preserve">HR-D4-Q13</x:t>
        </x:is>
      </x:c>
      <x:c r="B53" t="inlineStr">
        <x:is>
          <x:t xml:space="preserve">HR</x:t>
        </x:is>
      </x:c>
      <x:c r="C53" t="inlineStr">
        <x:is>
          <x:t xml:space="preserve">T1</x:t>
        </x:is>
      </x:c>
      <x:c r="D53" t="inlineStr">
        <x:is>
          <x:t xml:space="preserve">4. Joiner-Mover-Leaver</x:t>
        </x:is>
      </x:c>
      <x:c r="E53" t="inlineStr">
        <x:is>
          <x:t xml:space="preserve">E</x:t>
        </x:is>
      </x:c>
      <x:c r="F53" t="n">
        <x:v>0.8</x:v>
      </x:c>
      <x:c r="G53" t="inlineStr">
        <x:is>
          <x:t xml:space="preserve">R</x:t>
        </x:is>
      </x:c>
      <x:c r="H53" t="n">
        <x:v>0.2</x:v>
      </x:c>
      <x:c r="I53" t="inlineStr">
        <x:is>
          <x:t xml:space="preserve">How reliably are joiner/mover/leaver changes coordinated with IT/IAM so access is granted/changed/removed on time?</x:t>
        </x:is>
      </x:c>
      <x:c r="J53" t="inlineStr">
        <x:is>
          <x:t xml:space="preserve">Includes employees and contractors.</x:t>
        </x:is>
      </x:c>
      <x:c r="L53" t="inlineStr">
        <x:is>
          <x:t xml:space="preserve">OPS_STD</x:t>
        </x:is>
      </x:c>
      <x:c r="M53" t="n">
        <x:v>1</x:v>
      </x:c>
      <x:c r="P53" t="inlineStr">
        <x:is>
          <x:t xml:space="preserve">Gatekeeper</x:t>
        </x:is>
      </x:c>
      <x:c r="Q53" t="n">
        <x:v>2</x:v>
      </x:c>
      <x:c r="R53" t="inlineStr">
        <x:is>
          <x:t xml:space="preserve">HR-D4-Q14</x:t>
        </x:is>
      </x:c>
      <x:c r="S53" t="inlineStr">
        <x:is>
          <x:t xml:space="preserve">HR-D4-Q15</x:t>
        </x:is>
      </x:c>
      <x:c r="V53" t="inlineStr">
        <x:is>
          <x:t xml:space="preserve">5. Human-Centric Culture</x:t>
        </x:is>
      </x:c>
      <x:c r="W53" t="inlineStr">
        <x:is>
          <x:t xml:space="preserve">Human Lifecycle</x:t>
        </x:is>
      </x:c>
      <x:c r="X53" t="inlineStr">
        <x:is>
          <x:t xml:space="preserve">Enhanced JML Synchronization</x:t>
        </x:is>
      </x:c>
      <x:c r="Y53" t="n">
        <x:v>0.95</x:v>
      </x:c>
      <x:c r="Z53" t="inlineStr">
        <x:is>
          <x:t xml:space="preserve">override</x:t>
        </x:is>
      </x:c>
    </x:row>
    <x:row r="54">
      <x:c r="A54" t="inlineStr">
        <x:is>
          <x:t xml:space="preserve">HR-D4-Q14</x:t>
        </x:is>
      </x:c>
      <x:c r="B54" t="inlineStr">
        <x:is>
          <x:t xml:space="preserve">HR</x:t>
        </x:is>
      </x:c>
      <x:c r="C54" t="inlineStr">
        <x:is>
          <x:t xml:space="preserve">T2</x:t>
        </x:is>
      </x:c>
      <x:c r="D54" t="inlineStr">
        <x:is>
          <x:t xml:space="preserve">4. Joiner-Mover-Leaver</x:t>
        </x:is>
      </x:c>
      <x:c r="E54" t="inlineStr">
        <x:is>
          <x:t xml:space="preserve">E</x:t>
        </x:is>
      </x:c>
      <x:c r="F54" t="n">
        <x:v>1</x:v>
      </x:c>
      <x:c r="G54" t="inlineStr">
        <x:is>
          <x:t xml:space="preserve">-</x:t>
        </x:is>
      </x:c>
      <x:c r="I54" t="inlineStr">
        <x:is>
          <x:t xml:space="preserve">(Shadow probe) If the process is informal, how do you ensure leaver/role-change access is removed quickly in practice?</x:t>
        </x:is>
      </x:c>
      <x:c r="J54" t="inlineStr">
        <x:is>
          <x:t xml:space="preserve">Captures reality: who calls whom and typical time to remove access.</x:t>
        </x:is>
      </x:c>
      <x:c r="L54" t="inlineStr">
        <x:is>
          <x:t xml:space="preserve">OPS_STD</x:t>
        </x:is>
      </x:c>
      <x:c r="M54" t="n">
        <x:v>1</x:v>
      </x:c>
      <x:c r="P54" t="inlineStr">
        <x:is>
          <x:t xml:space="preserve">ShadowProbe</x:t>
        </x:is>
      </x:c>
      <x:c r="T54" t="inlineStr">
        <x:is>
          <x:t xml:space="preserve">HR-D5-Q17</x:t>
        </x:is>
      </x:c>
      <x:c r="V54" t="inlineStr">
        <x:is>
          <x:t xml:space="preserve">5. Human-Centric Culture</x:t>
        </x:is>
      </x:c>
      <x:c r="W54" t="inlineStr">
        <x:is>
          <x:t xml:space="preserve">Human Lifecycle</x:t>
        </x:is>
      </x:c>
      <x:c r="X54" t="inlineStr">
        <x:is>
          <x:t xml:space="preserve">Enhanced JML Synchronization</x:t>
        </x:is>
      </x:c>
      <x:c r="Y54" t="n">
        <x:v>0.95</x:v>
      </x:c>
      <x:c r="Z54" t="inlineStr">
        <x:is>
          <x:t xml:space="preserve">override</x:t>
        </x:is>
      </x:c>
    </x:row>
    <x:row r="55">
      <x:c r="A55" t="inlineStr">
        <x:is>
          <x:t xml:space="preserve">HR-D4-Q15</x:t>
        </x:is>
      </x:c>
      <x:c r="B55" t="inlineStr">
        <x:is>
          <x:t xml:space="preserve">HR</x:t>
        </x:is>
      </x:c>
      <x:c r="C55" t="inlineStr">
        <x:is>
          <x:t xml:space="preserve">T2</x:t>
        </x:is>
      </x:c>
      <x:c r="D55" t="inlineStr">
        <x:is>
          <x:t xml:space="preserve">4. Joiner-Mover-Leaver</x:t>
        </x:is>
      </x:c>
      <x:c r="E55" t="inlineStr">
        <x:is>
          <x:t xml:space="preserve">W</x:t>
        </x:is>
      </x:c>
      <x:c r="F55" t="n">
        <x:v>0.6</x:v>
      </x:c>
      <x:c r="G55" t="inlineStr">
        <x:is>
          <x:t xml:space="preserve">L</x:t>
        </x:is>
      </x:c>
      <x:c r="H55" t="n">
        <x:v>0.4</x:v>
      </x:c>
      <x:c r="I55" t="inlineStr">
        <x:is>
          <x:t xml:space="preserve">Do you have a defined process for higher-risk departures or role changes (e.g., privileged users, finance, R&amp;D, disputes)?</x:t>
        </x:is>
      </x:c>
      <x:c r="J55" t="inlineStr">
        <x:is>
          <x:t xml:space="preserve">Higher-risk = access to sensitive systems/data or elevated conflict. Keep proportionality and fairness.</x:t>
        </x:is>
      </x:c>
      <x:c r="L55" t="inlineStr">
        <x:is>
          <x:t xml:space="preserve">RISK_STD</x:t>
        </x:is>
      </x:c>
      <x:c r="M55" t="n">
        <x:v>1.5</x:v>
      </x:c>
      <x:c r="N55" t="n">
        <x:v>0.5</x:v>
      </x:c>
      <x:c r="P55" t="inlineStr">
        <x:is>
          <x:t xml:space="preserve">DrillDown</x:t>
        </x:is>
      </x:c>
      <x:c r="V55" t="inlineStr">
        <x:is>
          <x:t xml:space="preserve">6. Technical Controls</x:t>
        </x:is>
      </x:c>
      <x:c r="W55" t="inlineStr">
        <x:is>
          <x:t xml:space="preserve">Identity &amp; Access</x:t>
        </x:is>
      </x:c>
      <x:c r="X55" t="inlineStr">
        <x:is>
          <x:t xml:space="preserve">PAM &amp; privileged session governance</x:t>
        </x:is>
      </x:c>
      <x:c r="Y55" t="n">
        <x:v>0.95</x:v>
      </x:c>
      <x:c r="Z55" t="inlineStr">
        <x:is>
          <x:t xml:space="preserve">override</x:t>
        </x:is>
      </x:c>
    </x:row>
    <x:row r="56">
      <x:c r="A56" t="inlineStr">
        <x:is>
          <x:t xml:space="preserve">HR-D4-Q16</x:t>
        </x:is>
      </x:c>
      <x:c r="B56" t="inlineStr">
        <x:is>
          <x:t xml:space="preserve">HR</x:t>
        </x:is>
      </x:c>
      <x:c r="C56" t="inlineStr">
        <x:is>
          <x:t xml:space="preserve">T3</x:t>
        </x:is>
      </x:c>
      <x:c r="D56" t="inlineStr">
        <x:is>
          <x:t xml:space="preserve">4. Joiner-Mover-Leaver</x:t>
        </x:is>
      </x:c>
      <x:c r="E56" t="inlineStr">
        <x:is>
          <x:t xml:space="preserve">L</x:t>
        </x:is>
      </x:c>
      <x:c r="F56" t="n">
        <x:v>0.6</x:v>
      </x:c>
      <x:c r="G56" t="inlineStr">
        <x:is>
          <x:t xml:space="preserve">H</x:t>
        </x:is>
      </x:c>
      <x:c r="H56" t="n">
        <x:v>0.4</x:v>
      </x:c>
      <x:c r="I56" t="inlineStr">
        <x:is>
          <x:t xml:space="preserve">How do you confirm departing staff understand ongoing obligations (confidentiality, data return) in clear, plain language?</x:t>
        </x:is>
      </x:c>
      <x:c r="J56" t="inlineStr">
        <x:is>
          <x:t xml:space="preserve">Not legalese: clarity + fairness + return verification.</x:t>
        </x:is>
      </x:c>
      <x:c r="L56" t="inlineStr">
        <x:is>
          <x:t xml:space="preserve">LEG_STRICT</x:t>
        </x:is>
      </x:c>
      <x:c r="M56" t="n">
        <x:v>1.5</x:v>
      </x:c>
      <x:c r="N56" t="n">
        <x:v>0.5</x:v>
      </x:c>
      <x:c r="P56" t="inlineStr">
        <x:is>
          <x:t xml:space="preserve">Linear</x:t>
        </x:is>
      </x:c>
      <x:c r="V56" t="inlineStr">
        <x:is>
          <x:t xml:space="preserve">4. Legal, Privacy &amp; Ethics</x:t>
        </x:is>
      </x:c>
      <x:c r="W56" t="inlineStr">
        <x:is>
          <x:t xml:space="preserve">Privacy Engineering</x:t>
        </x:is>
      </x:c>
      <x:c r="X56" t="inlineStr">
        <x:is>
          <x:t xml:space="preserve">Data Minimization &amp; Purpose Limitation</x:t>
        </x:is>
      </x:c>
      <x:c r="Y56" t="n">
        <x:v>0.067</x:v>
      </x:c>
      <x:c r="Z56" t="inlineStr">
        <x:is>
          <x:t xml:space="preserve">similarity</x:t>
        </x:is>
      </x:c>
    </x:row>
    <x:row r="57">
      <x:c r="A57" t="inlineStr">
        <x:is>
          <x:t xml:space="preserve">HR-D5-Q17</x:t>
        </x:is>
      </x:c>
      <x:c r="B57" t="inlineStr">
        <x:is>
          <x:t xml:space="preserve">HR</x:t>
        </x:is>
      </x:c>
      <x:c r="C57" t="inlineStr">
        <x:is>
          <x:t xml:space="preserve">T1</x:t>
        </x:is>
      </x:c>
      <x:c r="D57" t="inlineStr">
        <x:is>
          <x:t xml:space="preserve">5. Friction &amp; Workarounds</x:t>
        </x:is>
      </x:c>
      <x:c r="E57" t="inlineStr">
        <x:is>
          <x:t xml:space="preserve">F</x:t>
        </x:is>
      </x:c>
      <x:c r="F57" t="n">
        <x:v>1</x:v>
      </x:c>
      <x:c r="G57" t="inlineStr">
        <x:is>
          <x:t xml:space="preserve">-</x:t>
        </x:is>
      </x:c>
      <x:c r="I57" t="inlineStr">
        <x:is>
          <x:t xml:space="preserve">Do security controls create productivity issues that lead to workarounds, and is there a way to fix root causes quickly?</x:t>
        </x:is>
      </x:c>
      <x:c r="J57" t="inlineStr">
        <x:is>
          <x:t xml:space="preserve">Friction management = listen, prioritise fixes, reduce bypass pressure.</x:t>
        </x:is>
      </x:c>
      <x:c r="L57" t="inlineStr">
        <x:is>
          <x:t xml:space="preserve">OPS_STD</x:t>
        </x:is>
      </x:c>
      <x:c r="M57" t="n">
        <x:v>1</x:v>
      </x:c>
      <x:c r="P57" t="inlineStr">
        <x:is>
          <x:t xml:space="preserve">Gatekeeper</x:t>
        </x:is>
      </x:c>
      <x:c r="Q57" t="n">
        <x:v>2</x:v>
      </x:c>
      <x:c r="R57" t="inlineStr">
        <x:is>
          <x:t xml:space="preserve">HR-D5-Q18</x:t>
        </x:is>
      </x:c>
      <x:c r="S57" t="inlineStr">
        <x:is>
          <x:t xml:space="preserve">HR-D5-Q19</x:t>
        </x:is>
      </x:c>
      <x:c r="V57" t="inlineStr">
        <x:is>
          <x:t xml:space="preserve">8. Investigation &amp; Response</x:t>
        </x:is>
      </x:c>
      <x:c r="W57" t="inlineStr">
        <x:is>
          <x:t xml:space="preserve">Incident Action</x:t>
        </x:is>
      </x:c>
      <x:c r="X57" t="inlineStr">
        <x:is>
          <x:t xml:space="preserve">Crisis management &amp; communications</x:t>
        </x:is>
      </x:c>
      <x:c r="Y57" t="n">
        <x:v>0.079</x:v>
      </x:c>
      <x:c r="Z57" t="inlineStr">
        <x:is>
          <x:t xml:space="preserve">similarity</x:t>
        </x:is>
      </x:c>
    </x:row>
    <x:row r="58">
      <x:c r="A58" t="inlineStr">
        <x:is>
          <x:t xml:space="preserve">HR-D5-Q18</x:t>
        </x:is>
      </x:c>
      <x:c r="B58" t="inlineStr">
        <x:is>
          <x:t xml:space="preserve">HR</x:t>
        </x:is>
      </x:c>
      <x:c r="C58" t="inlineStr">
        <x:is>
          <x:t xml:space="preserve">T2</x:t>
        </x:is>
      </x:c>
      <x:c r="D58" t="inlineStr">
        <x:is>
          <x:t xml:space="preserve">5. Friction &amp; Workarounds</x:t>
        </x:is>
      </x:c>
      <x:c r="E58" t="inlineStr">
        <x:is>
          <x:t xml:space="preserve">F</x:t>
        </x:is>
      </x:c>
      <x:c r="F58" t="n">
        <x:v>0.5</x:v>
      </x:c>
      <x:c r="G58" t="inlineStr">
        <x:is>
          <x:t xml:space="preserve">E</x:t>
        </x:is>
      </x:c>
      <x:c r="H58" t="n">
        <x:v>0.5</x:v>
      </x:c>
      <x:c r="I58" t="inlineStr">
        <x:is>
          <x:t xml:space="preserve">(Shadow probe) If workarounds happen, do you learn about them and fix root causes (not just punish people)?</x:t>
        </x:is>
      </x:c>
      <x:c r="J58" t="inlineStr">
        <x:is>
          <x:t xml:space="preserve">Learning loops reduce bypass pressure.</x:t>
        </x:is>
      </x:c>
      <x:c r="L58" t="inlineStr">
        <x:is>
          <x:t xml:space="preserve">OPS_STD</x:t>
        </x:is>
      </x:c>
      <x:c r="M58" t="n">
        <x:v>1</x:v>
      </x:c>
      <x:c r="P58" t="inlineStr">
        <x:is>
          <x:t xml:space="preserve">ShadowProbe</x:t>
        </x:is>
      </x:c>
      <x:c r="T58" t="inlineStr">
        <x:is>
          <x:t xml:space="preserve">HR-D6-Q20</x:t>
        </x:is>
      </x:c>
      <x:c r="V58" t="inlineStr">
        <x:is>
          <x:t xml:space="preserve">8. Investigation &amp; Response</x:t>
        </x:is>
      </x:c>
      <x:c r="W58" t="inlineStr">
        <x:is>
          <x:t xml:space="preserve">Remediation &amp; Follow-up</x:t>
        </x:is>
      </x:c>
      <x:c r="X58" t="inlineStr">
        <x:is>
          <x:t xml:space="preserve">Root cause analysis &amp; corrective actions</x:t>
        </x:is>
      </x:c>
      <x:c r="Y58" t="n">
        <x:v>0.073</x:v>
      </x:c>
      <x:c r="Z58" t="inlineStr">
        <x:is>
          <x:t xml:space="preserve">similarity</x:t>
        </x:is>
      </x:c>
    </x:row>
    <x:row r="59">
      <x:c r="A59" t="inlineStr">
        <x:is>
          <x:t xml:space="preserve">HR-D5-Q19</x:t>
        </x:is>
      </x:c>
      <x:c r="B59" t="inlineStr">
        <x:is>
          <x:t xml:space="preserve">HR</x:t>
        </x:is>
      </x:c>
      <x:c r="C59" t="inlineStr">
        <x:is>
          <x:t xml:space="preserve">T2</x:t>
        </x:is>
      </x:c>
      <x:c r="D59" t="inlineStr">
        <x:is>
          <x:t xml:space="preserve">5. Friction &amp; Workarounds</x:t>
        </x:is>
      </x:c>
      <x:c r="E59" t="inlineStr">
        <x:is>
          <x:t xml:space="preserve">G</x:t>
        </x:is>
      </x:c>
      <x:c r="F59" t="n">
        <x:v>0.5</x:v>
      </x:c>
      <x:c r="G59" t="inlineStr">
        <x:is>
          <x:t xml:space="preserve">F</x:t>
        </x:is>
      </x:c>
      <x:c r="H59" t="n">
        <x:v>0.5</x:v>
      </x:c>
      <x:c r="I59" t="inlineStr">
        <x:is>
          <x:t xml:space="preserve">Are policy exceptions tracked, time-bound, and reviewed so bypass doesn't become permanent?</x:t>
        </x:is>
      </x:c>
      <x:c r="J59" t="inlineStr">
        <x:is>
          <x:t xml:space="preserve">Exception governance is a key insider-risk control.</x:t>
        </x:is>
      </x:c>
      <x:c r="L59" t="inlineStr">
        <x:is>
          <x:t xml:space="preserve">GOV_STD</x:t>
        </x:is>
      </x:c>
      <x:c r="M59" t="n">
        <x:v>1</x:v>
      </x:c>
      <x:c r="P59" t="inlineStr">
        <x:is>
          <x:t xml:space="preserve">DrillDown</x:t>
        </x:is>
      </x:c>
      <x:c r="V59" t="inlineStr">
        <x:is>
          <x:t xml:space="preserve">1. Strategy &amp; Governance</x:t>
        </x:is>
      </x:c>
      <x:c r="W59" t="inlineStr">
        <x:is>
          <x:t xml:space="preserve">Scope &amp; Boundaries</x:t>
        </x:is>
      </x:c>
      <x:c r="X59" t="inlineStr">
        <x:is>
          <x:t xml:space="preserve">Exceptions &amp; risk acceptance</x:t>
        </x:is>
      </x:c>
      <x:c r="Y59" t="n">
        <x:v>0.95</x:v>
      </x:c>
      <x:c r="Z59" t="inlineStr">
        <x:is>
          <x:t xml:space="preserve">override</x:t>
        </x:is>
      </x:c>
    </x:row>
    <x:row r="60">
      <x:c r="A60" t="inlineStr">
        <x:is>
          <x:t xml:space="preserve">HR-D6-Q20</x:t>
        </x:is>
      </x:c>
      <x:c r="B60" t="inlineStr">
        <x:is>
          <x:t xml:space="preserve">HR</x:t>
        </x:is>
      </x:c>
      <x:c r="C60" t="inlineStr">
        <x:is>
          <x:t xml:space="preserve">T1</x:t>
        </x:is>
      </x:c>
      <x:c r="D60" t="inlineStr">
        <x:is>
          <x:t xml:space="preserve">6. Change Events (Layoffs/M&amp;A/Re-org)</x:t>
        </x:is>
      </x:c>
      <x:c r="E60" t="inlineStr">
        <x:is>
          <x:t xml:space="preserve">W</x:t>
        </x:is>
      </x:c>
      <x:c r="F60" t="n">
        <x:v>1</x:v>
      </x:c>
      <x:c r="G60" t="inlineStr">
        <x:is>
          <x:t xml:space="preserve">-</x:t>
        </x:is>
      </x:c>
      <x:c r="I60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60" t="inlineStr">
        <x:is>
          <x:t xml:space="preserve">Control lag = how fast controls adapt to change.</x:t>
        </x:is>
      </x:c>
      <x:c r="L60" t="inlineStr">
        <x:is>
          <x:t xml:space="preserve">RISK_STD</x:t>
        </x:is>
      </x:c>
      <x:c r="M60" t="n">
        <x:v>1</x:v>
      </x:c>
      <x:c r="P60" t="inlineStr">
        <x:is>
          <x:t xml:space="preserve">Gatekeeper</x:t>
        </x:is>
      </x:c>
      <x:c r="Q60" t="n">
        <x:v>2</x:v>
      </x:c>
      <x:c r="R60" t="inlineStr">
        <x:is>
          <x:t xml:space="preserve">HR-D6-Q21</x:t>
        </x:is>
      </x:c>
      <x:c r="S60" t="inlineStr">
        <x:is>
          <x:t xml:space="preserve">HR-D6-Q22</x:t>
        </x:is>
      </x:c>
      <x:c r="V60" t="inlineStr">
        <x:is>
          <x:t xml:space="preserve">5. Human-Centric Culture</x:t>
        </x:is>
      </x:c>
      <x:c r="W60" t="inlineStr">
        <x:is>
          <x:t xml:space="preserve">Personnel Security</x:t>
        </x:is>
      </x:c>
      <x:c r="X60" t="inlineStr">
        <x:is>
          <x:t xml:space="preserve">High-Risk Role Identification &amp; Control Tiers</x:t>
        </x:is>
      </x:c>
      <x:c r="Y60" t="n">
        <x:v>0.154</x:v>
      </x:c>
      <x:c r="Z60" t="inlineStr">
        <x:is>
          <x:t xml:space="preserve">similarity</x:t>
        </x:is>
      </x:c>
    </x:row>
    <x:row r="61">
      <x:c r="A61" t="inlineStr">
        <x:is>
          <x:t xml:space="preserve">HR-D6-Q21</x:t>
        </x:is>
      </x:c>
      <x:c r="B61" t="inlineStr">
        <x:is>
          <x:t xml:space="preserve">HR</x:t>
        </x:is>
      </x:c>
      <x:c r="C61" t="inlineStr">
        <x:is>
          <x:t xml:space="preserve">T2</x:t>
        </x:is>
      </x:c>
      <x:c r="D61" t="inlineStr">
        <x:is>
          <x:t xml:space="preserve">6. Change Events (Layoffs/M&amp;A/Re-org)</x:t>
        </x:is>
      </x:c>
      <x:c r="E61" t="inlineStr">
        <x:is>
          <x:t xml:space="preserve">E</x:t>
        </x:is>
      </x:c>
      <x:c r="F61" t="n">
        <x:v>1</x:v>
      </x:c>
      <x:c r="G61" t="inlineStr">
        <x:is>
          <x:t xml:space="preserve">-</x:t>
        </x:is>
      </x:c>
      <x:c r="I61" t="inlineStr">
        <x:is>
          <x:t xml:space="preserve">(Shadow probe) How are change events communicated to IT/Security today, and how timely is the information?</x:t>
        </x:is>
      </x:c>
      <x:c r="J61" t="inlineStr">
        <x:is>
          <x:t xml:space="preserve">Think: leaver lists, role changes, org changes, contractor changes.</x:t>
        </x:is>
      </x:c>
      <x:c r="L61" t="inlineStr">
        <x:is>
          <x:t xml:space="preserve">OPS_STD</x:t>
        </x:is>
      </x:c>
      <x:c r="M61" t="n">
        <x:v>1</x:v>
      </x:c>
      <x:c r="P61" t="inlineStr">
        <x:is>
          <x:t xml:space="preserve">ShadowProbe</x:t>
        </x:is>
      </x:c>
      <x:c r="T61" t="inlineStr">
        <x:is>
          <x:t xml:space="preserve">HR-D7-Q23</x:t>
        </x:is>
      </x:c>
      <x:c r="V61" t="inlineStr">
        <x:is>
          <x:t xml:space="preserve">3. Risk Management</x:t>
        </x:is>
      </x:c>
      <x:c r="W61" t="inlineStr">
        <x:is>
          <x:t xml:space="preserve">Inventory &amp; Scope</x:t>
        </x:is>
      </x:c>
      <x:c r="X61" t="inlineStr">
        <x:is>
          <x:t xml:space="preserve">Third-party/contractor scoping</x:t>
        </x:is>
      </x:c>
      <x:c r="Y61" t="n">
        <x:v>0.95</x:v>
      </x:c>
      <x:c r="Z61" t="inlineStr">
        <x:is>
          <x:t xml:space="preserve">override</x:t>
        </x:is>
      </x:c>
    </x:row>
    <x:row r="62">
      <x:c r="A62" t="inlineStr">
        <x:is>
          <x:t xml:space="preserve">HR-D6-Q22</x:t>
        </x:is>
      </x:c>
      <x:c r="B62" t="inlineStr">
        <x:is>
          <x:t xml:space="preserve">HR</x:t>
        </x:is>
      </x:c>
      <x:c r="C62" t="inlineStr">
        <x:is>
          <x:t xml:space="preserve">T2</x:t>
        </x:is>
      </x:c>
      <x:c r="D62" t="inlineStr">
        <x:is>
          <x:t xml:space="preserve">6. Change Events (Layoffs/M&amp;A/Re-org)</x:t>
        </x:is>
      </x:c>
      <x:c r="E62" t="inlineStr">
        <x:is>
          <x:t xml:space="preserve">G</x:t>
        </x:is>
      </x:c>
      <x:c r="F62" t="n">
        <x:v>0.5</x:v>
      </x:c>
      <x:c r="G62" t="inlineStr">
        <x:is>
          <x:t xml:space="preserve">W</x:t>
        </x:is>
      </x:c>
      <x:c r="H62" t="n">
        <x:v>0.5</x:v>
      </x:c>
      <x:c r="I62" t="inlineStr">
        <x:is>
          <x:t xml:space="preserve">Do you have a 'change event checklist' for people-risk controls (communications, access, monitoring approvals, support mechanisms)?</x:t>
        </x:is>
      </x:c>
      <x:c r="J62" t="inlineStr">
        <x:is>
          <x:t xml:space="preserve">Checklist should include legal/privacy review steps where required.</x:t>
        </x:is>
      </x:c>
      <x:c r="L62" t="inlineStr">
        <x:is>
          <x:t xml:space="preserve">GOV_STD</x:t>
        </x:is>
      </x:c>
      <x:c r="M62" t="n">
        <x:v>1</x:v>
      </x:c>
      <x:c r="P62" t="inlineStr">
        <x:is>
          <x:t xml:space="preserve">DrillDown</x:t>
        </x:is>
      </x:c>
      <x:c r="V62" t="inlineStr">
        <x:is>
          <x:t xml:space="preserve">1. Strategy &amp; Governance</x:t>
        </x:is>
      </x:c>
      <x:c r="W62" t="inlineStr">
        <x:is>
          <x:t xml:space="preserve">Scope &amp; Boundaries</x:t>
        </x:is>
      </x:c>
      <x:c r="X62" t="inlineStr">
        <x:is>
          <x:t xml:space="preserve">Exceptions &amp; risk acceptance</x:t>
        </x:is>
      </x:c>
      <x:c r="Y62" t="n">
        <x:v>0.125</x:v>
      </x:c>
      <x:c r="Z62" t="inlineStr">
        <x:is>
          <x:t xml:space="preserve">similarity</x:t>
        </x:is>
      </x:c>
    </x:row>
    <x:row r="63">
      <x:c r="A63" t="inlineStr">
        <x:is>
          <x:t xml:space="preserve">HR-D7-Q23</x:t>
        </x:is>
      </x:c>
      <x:c r="B63" t="inlineStr">
        <x:is>
          <x:t xml:space="preserve">HR</x:t>
        </x:is>
      </x:c>
      <x:c r="C63" t="inlineStr">
        <x:is>
          <x:t xml:space="preserve">T1</x:t>
        </x:is>
      </x:c>
      <x:c r="D63" t="inlineStr">
        <x:is>
          <x:t xml:space="preserve">7. Investigations &amp; Fairness</x:t>
        </x:is>
      </x:c>
      <x:c r="E63" t="inlineStr">
        <x:is>
          <x:t xml:space="preserve">R</x:t>
        </x:is>
      </x:c>
      <x:c r="F63" t="n">
        <x:v>0.6</x:v>
      </x:c>
      <x:c r="G63" t="inlineStr">
        <x:is>
          <x:t xml:space="preserve">L</x:t>
        </x:is>
      </x:c>
      <x:c r="H63" t="n">
        <x:v>0.4</x:v>
      </x:c>
      <x:c r="I63" t="inlineStr">
        <x:is>
          <x:t xml:space="preserve">When a concern is raised, is there a fair, documented investigation process with HR, Legal/Privacy, and Security, including confidentiality boundaries?</x:t>
        </x:is>
      </x:c>
      <x:c r="J63" t="inlineStr">
        <x:is>
          <x:t xml:space="preserve">Fair = proportionate, consistent, documented, with privacy safeguards.</x:t>
        </x:is>
      </x:c>
      <x:c r="L63" t="inlineStr">
        <x:is>
          <x:t xml:space="preserve">LEG_STRICT</x:t>
        </x:is>
      </x:c>
      <x:c r="M63" t="n">
        <x:v>1</x:v>
      </x:c>
      <x:c r="P63" t="inlineStr">
        <x:is>
          <x:t xml:space="preserve">Gatekeeper</x:t>
        </x:is>
      </x:c>
      <x:c r="Q63" t="n">
        <x:v>2</x:v>
      </x:c>
      <x:c r="R63" t="inlineStr">
        <x:is>
          <x:t xml:space="preserve">HR-D7-Q24</x:t>
        </x:is>
      </x:c>
      <x:c r="S63" t="inlineStr">
        <x:is>
          <x:t xml:space="preserve">HR-D7-Q25</x:t>
        </x:is>
      </x:c>
      <x:c r="V63" t="inlineStr">
        <x:is>
          <x:t xml:space="preserve">8. Investigation &amp; Response</x:t>
        </x:is>
      </x:c>
      <x:c r="W63" t="inlineStr">
        <x:is>
          <x:t xml:space="preserve">Operational Readiness</x:t>
        </x:is>
      </x:c>
      <x:c r="X63" t="inlineStr">
        <x:is>
          <x:t xml:space="preserve">Case management (process + tooling)</x:t>
        </x:is>
      </x:c>
      <x:c r="Y63" t="n">
        <x:v>0.103</x:v>
      </x:c>
      <x:c r="Z63" t="inlineStr">
        <x:is>
          <x:t xml:space="preserve">similarity</x:t>
        </x:is>
      </x:c>
    </x:row>
    <x:row r="64">
      <x:c r="A64" t="inlineStr">
        <x:is>
          <x:t xml:space="preserve">HR-D7-Q24</x:t>
        </x:is>
      </x:c>
      <x:c r="B64" t="inlineStr">
        <x:is>
          <x:t xml:space="preserve">HR</x:t>
        </x:is>
      </x:c>
      <x:c r="C64" t="inlineStr">
        <x:is>
          <x:t xml:space="preserve">T2</x:t>
        </x:is>
      </x:c>
      <x:c r="D64" t="inlineStr">
        <x:is>
          <x:t xml:space="preserve">7. Investigations &amp; Fairness</x:t>
        </x:is>
      </x:c>
      <x:c r="E64" t="inlineStr">
        <x:is>
          <x:t xml:space="preserve">L</x:t>
        </x:is>
      </x:c>
      <x:c r="F64" t="n">
        <x:v>0.5</x:v>
      </x:c>
      <x:c r="G64" t="inlineStr">
        <x:is>
          <x:t xml:space="preserve">R</x:t>
        </x:is>
      </x:c>
      <x:c r="H64" t="n">
        <x:v>0.5</x:v>
      </x:c>
      <x:c r="I64" t="inlineStr">
        <x:is>
          <x:t xml:space="preserve">(Shadow probe) If the process is ad-hoc, who decides what information is used and how confidentiality is protected?</x:t>
        </x:is>
      </x:c>
      <x:c r="J64" t="inlineStr">
        <x:is>
          <x:t xml:space="preserve">Checks for inconsistent decision-making and privacy fractures.</x:t>
        </x:is>
      </x:c>
      <x:c r="L64" t="inlineStr">
        <x:is>
          <x:t xml:space="preserve">LEG_STRICT</x:t>
        </x:is>
      </x:c>
      <x:c r="M64" t="n">
        <x:v>1</x:v>
      </x:c>
      <x:c r="P64" t="inlineStr">
        <x:is>
          <x:t xml:space="preserve">ShadowProbe</x:t>
        </x:is>
      </x:c>
      <x:c r="T64" t="inlineStr">
        <x:is>
          <x:t xml:space="preserve">HR-D8-Q27</x:t>
        </x:is>
      </x:c>
      <x:c r="V64" t="inlineStr">
        <x:is>
          <x:t xml:space="preserve">1. Strategy &amp; Governance</x:t>
        </x:is>
      </x:c>
      <x:c r="W64" t="inlineStr">
        <x:is>
          <x:t xml:space="preserve">Organization &amp; RACI</x:t>
        </x:is>
      </x:c>
      <x:c r="X64" t="inlineStr">
        <x:is>
          <x:t xml:space="preserve">RACI &amp; decision rights</x:t>
        </x:is>
      </x:c>
      <x:c r="Y64" t="n">
        <x:v>0.135</x:v>
      </x:c>
      <x:c r="Z64" t="inlineStr">
        <x:is>
          <x:t xml:space="preserve">similarity</x:t>
        </x:is>
      </x:c>
    </x:row>
    <x:row r="65">
      <x:c r="A65" t="inlineStr">
        <x:is>
          <x:t xml:space="preserve">HR-D7-Q25</x:t>
        </x:is>
      </x:c>
      <x:c r="B65" t="inlineStr">
        <x:is>
          <x:t xml:space="preserve">HR</x:t>
        </x:is>
      </x:c>
      <x:c r="C65" t="inlineStr">
        <x:is>
          <x:t xml:space="preserve">T2</x:t>
        </x:is>
      </x:c>
      <x:c r="D65" t="inlineStr">
        <x:is>
          <x:t xml:space="preserve">7. Investigations &amp; Fairness</x:t>
        </x:is>
      </x:c>
      <x:c r="E65" t="inlineStr">
        <x:is>
          <x:t xml:space="preserve">H</x:t>
        </x:is>
      </x:c>
      <x:c r="F65" t="n">
        <x:v>0.5</x:v>
      </x:c>
      <x:c r="G65" t="inlineStr">
        <x:is>
          <x:t xml:space="preserve">L</x:t>
        </x:is>
      </x:c>
      <x:c r="H65" t="n">
        <x:v>0.5</x:v>
      </x:c>
      <x:c r="I65" t="inlineStr">
        <x:is>
          <x:t xml:space="preserve">If someone feels unfairly targeted, is there an independent review or appeal route (e.g., ombuds, privacy review, works council input where applicable)?</x:t>
        </x:is>
      </x:c>
      <x:c r="J65" t="inlineStr">
        <x:is>
          <x:t xml:space="preserve">Reduces toxic-enforcer risk and increases trust.</x:t>
        </x:is>
      </x:c>
      <x:c r="L65" t="inlineStr">
        <x:is>
          <x:t xml:space="preserve">LEG_STRICT</x:t>
        </x:is>
      </x:c>
      <x:c r="M65" t="n">
        <x:v>1.5</x:v>
      </x:c>
      <x:c r="N65" t="n">
        <x:v>0.5</x:v>
      </x:c>
      <x:c r="P65" t="inlineStr">
        <x:is>
          <x:t xml:space="preserve">DrillDown</x:t>
        </x:is>
      </x:c>
      <x:c r="V65" t="inlineStr">
        <x:is>
          <x:t xml:space="preserve">4. Legal, Privacy &amp; Ethics</x:t>
        </x:is>
      </x:c>
      <x:c r="W65" t="inlineStr">
        <x:is>
          <x:t xml:space="preserve">Compliance &amp; Policy</x:t>
        </x:is>
      </x:c>
      <x:c r="X65" t="inlineStr">
        <x:is>
          <x:t xml:space="preserve">Works Council / Labor Alignment</x:t>
        </x:is>
      </x:c>
      <x:c r="Y65" t="n">
        <x:v>0.95</x:v>
      </x:c>
      <x:c r="Z65" t="inlineStr">
        <x:is>
          <x:t xml:space="preserve">override</x:t>
        </x:is>
      </x:c>
    </x:row>
    <x:row r="66">
      <x:c r="A66" t="inlineStr">
        <x:is>
          <x:t xml:space="preserve">HR-D7-Q26</x:t>
        </x:is>
      </x:c>
      <x:c r="B66" t="inlineStr">
        <x:is>
          <x:t xml:space="preserve">HR</x:t>
        </x:is>
      </x:c>
      <x:c r="C66" t="inlineStr">
        <x:is>
          <x:t xml:space="preserve">T3</x:t>
        </x:is>
      </x:c>
      <x:c r="D66" t="inlineStr">
        <x:is>
          <x:t xml:space="preserve">7. Investigations &amp; Fairness</x:t>
        </x:is>
      </x:c>
      <x:c r="E66" t="inlineStr">
        <x:is>
          <x:t xml:space="preserve">R</x:t>
        </x:is>
      </x:c>
      <x:c r="F66" t="n">
        <x:v>0.6</x:v>
      </x:c>
      <x:c r="G66" t="inlineStr">
        <x:is>
          <x:t xml:space="preserve">H</x:t>
        </x:is>
      </x:c>
      <x:c r="H66" t="n">
        <x:v>0.4</x:v>
      </x:c>
      <x:c r="I66" t="inlineStr">
        <x:is>
          <x:t xml:space="preserve">After cases, do you translate outcomes into improvements (training, process, tooling) without creating blame or fear?</x:t>
        </x:is>
      </x:c>
      <x:c r="J66" t="inlineStr">
        <x:is>
          <x:t xml:space="preserve">Learning loop: reduce repeats while maintaining psychological safety.</x:t>
        </x:is>
      </x:c>
      <x:c r="L66" t="inlineStr">
        <x:is>
          <x:t xml:space="preserve">OPS_STD</x:t>
        </x:is>
      </x:c>
      <x:c r="M66" t="n">
        <x:v>1.5</x:v>
      </x:c>
      <x:c r="N66" t="n">
        <x:v>0.5</x:v>
      </x:c>
      <x:c r="P66" t="inlineStr">
        <x:is>
          <x:t xml:space="preserve">Linear</x:t>
        </x:is>
      </x:c>
      <x:c r="V66" t="inlineStr">
        <x:is>
          <x:t xml:space="preserve">8. Investigation &amp; Response</x:t>
        </x:is>
      </x:c>
      <x:c r="W66" t="inlineStr">
        <x:is>
          <x:t xml:space="preserve">Operational Readiness</x:t>
        </x:is>
      </x:c>
      <x:c r="X66" t="inlineStr">
        <x:is>
          <x:t xml:space="preserve">Case management (process + tooling)</x:t>
        </x:is>
      </x:c>
      <x:c r="Y66" t="n">
        <x:v>0.175</x:v>
      </x:c>
      <x:c r="Z66" t="inlineStr">
        <x:is>
          <x:t xml:space="preserve">similarity</x:t>
        </x:is>
      </x:c>
    </x:row>
    <x:row r="67">
      <x:c r="A67" t="inlineStr">
        <x:is>
          <x:t xml:space="preserve">HR-D8-Q27</x:t>
        </x:is>
      </x:c>
      <x:c r="B67" t="inlineStr">
        <x:is>
          <x:t xml:space="preserve">HR</x:t>
        </x:is>
      </x:c>
      <x:c r="C67" t="inlineStr">
        <x:is>
          <x:t xml:space="preserve">T1</x:t>
        </x:is>
      </x:c>
      <x:c r="D67" t="inlineStr">
        <x:is>
          <x:t xml:space="preserve">8. Reporting &amp; Metrics</x:t>
        </x:is>
      </x:c>
      <x:c r="E67" t="inlineStr">
        <x:is>
          <x:t xml:space="preserve">G</x:t>
        </x:is>
      </x:c>
      <x:c r="F67" t="n">
        <x:v>0.5</x:v>
      </x:c>
      <x:c r="G67" t="inlineStr">
        <x:is>
          <x:t xml:space="preserve">H</x:t>
        </x:is>
      </x:c>
      <x:c r="H67" t="n">
        <x:v>0.5</x:v>
      </x:c>
      <x:c r="I67" t="inlineStr">
        <x:is>
          <x:t xml:space="preserve">What does HR report to leadership about the people-side of insider risk (themes, training, reporting culture) in a way that supports trust?</x:t>
        </x:is>
      </x:c>
      <x:c r="J67" t="inlineStr">
        <x:is>
          <x:t xml:space="preserve">Aggregated and privacy-safe: focus on themes + improvement actions.</x:t>
        </x:is>
      </x:c>
      <x:c r="L67" t="inlineStr">
        <x:is>
          <x:t xml:space="preserve">GOV_STD</x:t>
        </x:is>
      </x:c>
      <x:c r="M67" t="n">
        <x:v>1</x:v>
      </x:c>
      <x:c r="P67" t="inlineStr">
        <x:is>
          <x:t xml:space="preserve">Gatekeeper</x:t>
        </x:is>
      </x:c>
      <x:c r="Q67" t="n">
        <x:v>2</x:v>
      </x:c>
      <x:c r="R67" t="inlineStr">
        <x:is>
          <x:t xml:space="preserve">HR-D8-Q28</x:t>
        </x:is>
      </x:c>
      <x:c r="S67" t="inlineStr">
        <x:is>
          <x:t xml:space="preserve">HR-D8-Q29</x:t>
        </x:is>
      </x:c>
      <x:c r="V67" t="inlineStr">
        <x:is>
          <x:t xml:space="preserve">9. Performance &amp; Resilience</x:t>
        </x:is>
      </x:c>
      <x:c r="W67" t="inlineStr">
        <x:is>
          <x:t xml:space="preserve">Assurance &amp; Metrics</x:t>
        </x:is>
      </x:c>
      <x:c r="X67" t="inlineStr">
        <x:is>
          <x:t xml:space="preserve">KPI/KRI framework &amp; dashboards</x:t>
        </x:is>
      </x:c>
      <x:c r="Y67" t="n">
        <x:v>0.95</x:v>
      </x:c>
      <x:c r="Z67" t="inlineStr">
        <x:is>
          <x:t xml:space="preserve">override</x:t>
        </x:is>
      </x:c>
    </x:row>
    <x:row r="68">
      <x:c r="A68" t="inlineStr">
        <x:is>
          <x:t xml:space="preserve">HR-D8-Q28</x:t>
        </x:is>
      </x:c>
      <x:c r="B68" t="inlineStr">
        <x:is>
          <x:t xml:space="preserve">HR</x:t>
        </x:is>
      </x:c>
      <x:c r="C68" t="inlineStr">
        <x:is>
          <x:t xml:space="preserve">T2</x:t>
        </x:is>
      </x:c>
      <x:c r="D68" t="inlineStr">
        <x:is>
          <x:t xml:space="preserve">8. Reporting &amp; Metrics</x:t>
        </x:is>
      </x:c>
      <x:c r="E68" t="inlineStr">
        <x:is>
          <x:t xml:space="preserve">H</x:t>
        </x:is>
      </x:c>
      <x:c r="F68" t="n">
        <x:v>1</x:v>
      </x:c>
      <x:c r="G68" t="inlineStr">
        <x:is>
          <x:t xml:space="preserve">-</x:t>
        </x:is>
      </x:c>
      <x:c r="I68" t="inlineStr">
        <x:is>
          <x:t xml:space="preserve">(Shadow probe) Do you recognise and track 'near-misses' or early interventions as positive signals (without naming/shaming)?</x:t>
        </x:is>
      </x:c>
      <x:c r="J68" t="inlineStr">
        <x:is>
          <x:t xml:space="preserve">Near-miss = prevented escalation (e.g., someone flagged risky sharing).</x:t>
        </x:is>
      </x:c>
      <x:c r="L68" t="inlineStr">
        <x:is>
          <x:t xml:space="preserve">CULT_SOFT</x:t>
        </x:is>
      </x:c>
      <x:c r="M68" t="n">
        <x:v>1</x:v>
      </x:c>
      <x:c r="P68" t="inlineStr">
        <x:is>
          <x:t xml:space="preserve">End</x:t>
        </x:is>
      </x:c>
      <x:c r="U68" t="inlineStr">
        <x:is>
          <x:t xml:space="preserve">Y</x:t>
        </x:is>
      </x:c>
      <x:c r="V68" t="inlineStr">
        <x:is>
          <x:t xml:space="preserve">3. Risk Management</x:t>
        </x:is>
      </x:c>
      <x:c r="W68" t="inlineStr">
        <x:is>
          <x:t xml:space="preserve">Inventory &amp; Scope</x:t>
        </x:is>
      </x:c>
      <x:c r="X68" t="inlineStr">
        <x:is>
          <x:t xml:space="preserve">Critical process mapping</x:t>
        </x:is>
      </x:c>
      <x:c r="Y68" t="n">
        <x:v>0.95</x:v>
      </x:c>
      <x:c r="Z68" t="inlineStr">
        <x:is>
          <x:t xml:space="preserve">override</x:t>
        </x:is>
      </x:c>
    </x:row>
    <x:row r="69">
      <x:c r="A69" t="inlineStr">
        <x:is>
          <x:t xml:space="preserve">HR-D8-Q29</x:t>
        </x:is>
      </x:c>
      <x:c r="B69" t="inlineStr">
        <x:is>
          <x:t xml:space="preserve">HR</x:t>
        </x:is>
      </x:c>
      <x:c r="C69" t="inlineStr">
        <x:is>
          <x:t xml:space="preserve">T3</x:t>
        </x:is>
      </x:c>
      <x:c r="D69" t="inlineStr">
        <x:is>
          <x:t xml:space="preserve">8. Reporting &amp; Metrics</x:t>
        </x:is>
      </x:c>
      <x:c r="E69" t="inlineStr">
        <x:is>
          <x:t xml:space="preserve">E</x:t>
        </x:is>
      </x:c>
      <x:c r="F69" t="n">
        <x:v>1</x:v>
      </x:c>
      <x:c r="G69" t="inlineStr">
        <x:is>
          <x:t xml:space="preserve">-</x:t>
        </x:is>
      </x:c>
      <x:c r="I69" t="inlineStr">
        <x:is>
          <x:t xml:space="preserve">Do you track timeliness and quality metrics for reports/cases and use them to improve?</x:t>
        </x:is>
      </x:c>
      <x:c r="J69" t="inlineStr">
        <x:is>
          <x:t xml:space="preserve">Use aggregated metrics only (no personal data).</x:t>
        </x:is>
      </x:c>
      <x:c r="L69" t="inlineStr">
        <x:is>
          <x:t xml:space="preserve">OPS_STD</x:t>
        </x:is>
      </x:c>
      <x:c r="M69" t="n">
        <x:v>1</x:v>
      </x:c>
      <x:c r="P69" t="inlineStr">
        <x:is>
          <x:t xml:space="preserve">Linear</x:t>
        </x:is>
      </x:c>
      <x:c r="V69" t="inlineStr">
        <x:is>
          <x:t xml:space="preserve">6. Technical Controls</x:t>
        </x:is>
      </x:c>
      <x:c r="W69" t="inlineStr">
        <x:is>
          <x:t xml:space="preserve">Data, Endpoint &amp; Cloud Controls</x:t>
        </x:is>
      </x:c>
      <x:c r="X69" t="inlineStr">
        <x:is>
          <x:t xml:space="preserve">EDR for insider use-cases</x:t>
        </x:is>
      </x:c>
      <x:c r="Y69" t="n">
        <x:v>0.179</x:v>
      </x:c>
      <x:c r="Z69" t="inlineStr">
        <x:is>
          <x:t xml:space="preserve">similarity</x:t>
        </x:is>
      </x:c>
    </x:row>
    <x:row r="70">
      <x:c r="A70" t="inlineStr">
        <x:is>
          <x:t xml:space="preserve">SEC-D1-Q01</x:t>
        </x:is>
      </x:c>
      <x:c r="B70" t="inlineStr">
        <x:is>
          <x:t xml:space="preserve">Security</x:t>
        </x:is>
      </x:c>
      <x:c r="C70" t="inlineStr">
        <x:is>
          <x:t xml:space="preserve">T1</x:t>
        </x:is>
      </x:c>
      <x:c r="D70" t="inlineStr">
        <x:is>
          <x:t xml:space="preserve">1. Security Operating Model</x:t>
        </x:is>
      </x:c>
      <x:c r="E70" t="inlineStr">
        <x:is>
          <x:t xml:space="preserve">E</x:t>
        </x:is>
      </x:c>
      <x:c r="F70" t="n">
        <x:v>0.6</x:v>
      </x:c>
      <x:c r="G70" t="inlineStr">
        <x:is>
          <x:t xml:space="preserve">T</x:t>
        </x:is>
      </x:c>
      <x:c r="H70" t="n">
        <x:v>0.4</x:v>
      </x:c>
      <x:c r="I70" t="inlineStr">
        <x:is>
          <x:t xml:space="preserve">Who runs day‑to‑day monitoring for internal misuse (e.g., unusual downloads, emailing data out) and triage of alerts?</x:t>
        </x:is>
      </x:c>
      <x:c r="J70" t="inlineStr">
        <x:is>
          <x:t xml:space="preserve">Internal misuse can be accidental or malicious. If you outsource monitoring, answer based on how it works in practice (coverage, cadence, ownership).</x:t>
        </x:is>
      </x:c>
      <x:c r="L70" t="inlineStr">
        <x:is>
          <x:t xml:space="preserve">OPS_STD</x:t>
        </x:is>
      </x:c>
      <x:c r="M70" t="n">
        <x:v>1.2</x:v>
      </x:c>
      <x:c r="N70" t="n">
        <x:v>0.5</x:v>
      </x:c>
      <x:c r="P70" t="inlineStr">
        <x:is>
          <x:t xml:space="preserve">Gatekeeper</x:t>
        </x:is>
      </x:c>
      <x:c r="Q70" t="n">
        <x:v>2</x:v>
      </x:c>
      <x:c r="R70" t="inlineStr">
        <x:is>
          <x:t xml:space="preserve">SEC-D1-Q02</x:t>
        </x:is>
      </x:c>
      <x:c r="S70" t="inlineStr">
        <x:is>
          <x:t xml:space="preserve">SEC-D1-Q03</x:t>
        </x:is>
      </x:c>
      <x:c r="V70" t="inlineStr">
        <x:is>
          <x:t xml:space="preserve">8. Investigation &amp; Response</x:t>
        </x:is>
      </x:c>
      <x:c r="W70" t="inlineStr">
        <x:is>
          <x:t xml:space="preserve">Operational Readiness</x:t>
        </x:is>
      </x:c>
      <x:c r="X70" t="inlineStr">
        <x:is>
          <x:t xml:space="preserve">Multidisciplinary triage (ITWG) operations</x:t>
        </x:is>
      </x:c>
      <x:c r="Y70" t="n">
        <x:v>0.08699999999999999</x:v>
      </x:c>
      <x:c r="Z70" t="inlineStr">
        <x:is>
          <x:t xml:space="preserve">similarity</x:t>
        </x:is>
      </x:c>
    </x:row>
    <x:row r="71">
      <x:c r="A71" t="inlineStr">
        <x:is>
          <x:t xml:space="preserve">SEC-D1-Q02</x:t>
        </x:is>
      </x:c>
      <x:c r="B71" t="inlineStr">
        <x:is>
          <x:t xml:space="preserve">Security</x:t>
        </x:is>
      </x:c>
      <x:c r="C71" t="inlineStr">
        <x:is>
          <x:t xml:space="preserve">T2</x:t>
        </x:is>
      </x:c>
      <x:c r="D71" t="inlineStr">
        <x:is>
          <x:t xml:space="preserve">1. Security Operating Model</x:t>
        </x:is>
      </x:c>
      <x:c r="E71" t="inlineStr">
        <x:is>
          <x:t xml:space="preserve">E</x:t>
        </x:is>
      </x:c>
      <x:c r="F71" t="n">
        <x:v>1</x:v>
      </x:c>
      <x:c r="I71" t="inlineStr">
        <x:is>
          <x:t xml:space="preserve">(Shadow probe) Even without a formal insider program, do people routinely look for unusual internal behavior in practice?</x:t>
        </x:is>
      </x:c>
      <x:c r="J71" t="inlineStr">
        <x:is>
          <x:t xml:space="preserve">Examples: sudden large downloads, unusual access to sensitive folders, repeated use of admin accounts, or data emailed to personal accounts.</x:t>
        </x:is>
      </x:c>
      <x:c r="L71" t="inlineStr">
        <x:is>
          <x:t xml:space="preserve">OPS_STD</x:t>
        </x:is>
      </x:c>
      <x:c r="M71" t="n">
        <x:v>1</x:v>
      </x:c>
      <x:c r="P71" t="inlineStr">
        <x:is>
          <x:t xml:space="preserve">ShadowProbe</x:t>
        </x:is>
      </x:c>
      <x:c r="T71" t="inlineStr">
        <x:is>
          <x:t xml:space="preserve">SEC-D2-Q04</x:t>
        </x:is>
      </x:c>
      <x:c r="V71" t="inlineStr">
        <x:is>
          <x:t xml:space="preserve">6. Technical Controls</x:t>
        </x:is>
      </x:c>
      <x:c r="W71" t="inlineStr">
        <x:is>
          <x:t xml:space="preserve">Data, Endpoint &amp; Cloud Controls</x:t>
        </x:is>
      </x:c>
      <x:c r="X71" t="inlineStr">
        <x:is>
          <x:t xml:space="preserve">EDR for insider use-cases</x:t>
        </x:is>
      </x:c>
      <x:c r="Y71" t="n">
        <x:v>0.154</x:v>
      </x:c>
      <x:c r="Z71" t="inlineStr">
        <x:is>
          <x:t xml:space="preserve">similarity</x:t>
        </x:is>
      </x:c>
    </x:row>
    <x:row r="72">
      <x:c r="A72" t="inlineStr">
        <x:is>
          <x:t xml:space="preserve">SEC-D1-Q03</x:t>
        </x:is>
      </x:c>
      <x:c r="B72" t="inlineStr">
        <x:is>
          <x:t xml:space="preserve">Security</x:t>
        </x:is>
      </x:c>
      <x:c r="C72" t="inlineStr">
        <x:is>
          <x:t xml:space="preserve">T2</x:t>
        </x:is>
      </x:c>
      <x:c r="D72" t="inlineStr">
        <x:is>
          <x:t xml:space="preserve">1. Security Operating Model</x:t>
        </x:is>
      </x:c>
      <x:c r="E72" t="inlineStr">
        <x:is>
          <x:t xml:space="preserve">E</x:t>
        </x:is>
      </x:c>
      <x:c r="F72" t="n">
        <x:v>0.6</x:v>
      </x:c>
      <x:c r="G72" t="inlineStr">
        <x:is>
          <x:t xml:space="preserve">R</x:t>
        </x:is>
      </x:c>
      <x:c r="H72" t="n">
        <x:v>0.4</x:v>
      </x:c>
      <x:c r="I72" t="inlineStr">
        <x:is>
          <x:t xml:space="preserve">Do you have a documented triage workflow for potential insider cases (from alert → decision → escalation)?</x:t>
        </x:is>
      </x:c>
      <x:c r="J72" t="inlineStr">
        <x:is>
          <x:t xml:space="preserve">A workflow can be a runbook/playbook/SOP. It should clarify who reviews, what evidence is needed, and when to involve HR/Legal/Privacy.</x:t>
        </x:is>
      </x:c>
      <x:c r="L72" t="inlineStr">
        <x:is>
          <x:t xml:space="preserve">OPS_STD</x:t>
        </x:is>
      </x:c>
      <x:c r="M72" t="n">
        <x:v>1.2</x:v>
      </x:c>
      <x:c r="N72" t="n">
        <x:v>0.5</x:v>
      </x:c>
      <x:c r="P72" t="inlineStr">
        <x:is>
          <x:t xml:space="preserve">DrillDown</x:t>
        </x:is>
      </x:c>
      <x:c r="V72" t="inlineStr">
        <x:is>
          <x:t xml:space="preserve">7. Behavioral Analytics &amp; Detection</x:t>
        </x:is>
      </x:c>
      <x:c r="W72" t="inlineStr">
        <x:is>
          <x:t xml:space="preserve">Detection Engineering</x:t>
        </x:is>
      </x:c>
      <x:c r="X72" t="inlineStr">
        <x:is>
          <x:t xml:space="preserve">Alert triage workflow &amp; quality management</x:t>
        </x:is>
      </x:c>
      <x:c r="Y72" t="n">
        <x:v>0.187</x:v>
      </x:c>
      <x:c r="Z72" t="inlineStr">
        <x:is>
          <x:t xml:space="preserve">similarity</x:t>
        </x:is>
      </x:c>
    </x:row>
    <x:row r="73">
      <x:c r="A73" t="inlineStr">
        <x:is>
          <x:t xml:space="preserve">SEC-D2-Q04</x:t>
        </x:is>
      </x:c>
      <x:c r="B73" t="inlineStr">
        <x:is>
          <x:t xml:space="preserve">Security</x:t>
        </x:is>
      </x:c>
      <x:c r="C73" t="inlineStr">
        <x:is>
          <x:t xml:space="preserve">T1</x:t>
        </x:is>
      </x:c>
      <x:c r="D73" t="inlineStr">
        <x:is>
          <x:t xml:space="preserve">2. Monitoring Coverage &amp; Logging</x:t>
        </x:is>
      </x:c>
      <x:c r="E73" t="inlineStr">
        <x:is>
          <x:t xml:space="preserve">T</x:t>
        </x:is>
      </x:c>
      <x:c r="F73" t="n">
        <x:v>0.6</x:v>
      </x:c>
      <x:c r="G73" t="inlineStr">
        <x:is>
          <x:t xml:space="preserve">V</x:t>
        </x:is>
      </x:c>
      <x:c r="H73" t="n">
        <x:v>0.4</x:v>
      </x:c>
      <x:c r="I73" t="inlineStr">
        <x:is>
          <x:t xml:space="preserve">Do you collect and retain logs for the systems where the most sensitive data is stored/shared (e.g., email, file shares, cloud storage)?</x:t>
        </x:is>
      </x:c>
      <x:c r="J73" t="inlineStr">
        <x:is>
          <x:t xml:space="preserve">You don't need perfect coverage. We are checking whether you can reconstruct what happened on the systems that matter most.</x:t>
        </x:is>
      </x:c>
      <x:c r="L73" t="inlineStr">
        <x:is>
          <x:t xml:space="preserve">RISK_STD</x:t>
        </x:is>
      </x:c>
      <x:c r="M73" t="n">
        <x:v>1.5</x:v>
      </x:c>
      <x:c r="N73" t="n">
        <x:v>0.5</x:v>
      </x:c>
      <x:c r="P73" t="inlineStr">
        <x:is>
          <x:t xml:space="preserve">Gatekeeper</x:t>
        </x:is>
      </x:c>
      <x:c r="Q73" t="n">
        <x:v>2</x:v>
      </x:c>
      <x:c r="R73" t="inlineStr">
        <x:is>
          <x:t xml:space="preserve">SEC-D2-Q05</x:t>
        </x:is>
      </x:c>
      <x:c r="S73" t="inlineStr">
        <x:is>
          <x:t xml:space="preserve">SEC-D2-Q06</x:t>
        </x:is>
      </x:c>
      <x:c r="V73" t="inlineStr">
        <x:is>
          <x:t xml:space="preserve">3. Risk Management</x:t>
        </x:is>
      </x:c>
      <x:c r="W73" t="inlineStr">
        <x:is>
          <x:t xml:space="preserve">Inventory &amp; Scope</x:t>
        </x:is>
      </x:c>
      <x:c r="X73" t="inlineStr">
        <x:is>
          <x:t xml:space="preserve">Crown jewels/HVA identification</x:t>
        </x:is>
      </x:c>
      <x:c r="Y73" t="n">
        <x:v>0.95</x:v>
      </x:c>
      <x:c r="Z73" t="inlineStr">
        <x:is>
          <x:t xml:space="preserve">override</x:t>
        </x:is>
      </x:c>
    </x:row>
    <x:row r="74">
      <x:c r="A74" t="inlineStr">
        <x:is>
          <x:t xml:space="preserve">SEC-D2-Q05</x:t>
        </x:is>
      </x:c>
      <x:c r="B74" t="inlineStr">
        <x:is>
          <x:t xml:space="preserve">Security</x:t>
        </x:is>
      </x:c>
      <x:c r="C74" t="inlineStr">
        <x:is>
          <x:t xml:space="preserve">T2</x:t>
        </x:is>
      </x:c>
      <x:c r="D74" t="inlineStr">
        <x:is>
          <x:t xml:space="preserve">2. Monitoring Coverage &amp; Logging</x:t>
        </x:is>
      </x:c>
      <x:c r="E74" t="inlineStr">
        <x:is>
          <x:t xml:space="preserve">V</x:t>
        </x:is>
      </x:c>
      <x:c r="F74" t="n">
        <x:v>1</x:v>
      </x:c>
      <x:c r="I74" t="inlineStr">
        <x:is>
          <x:t xml:space="preserve">(Shadow probe) Even without a formal 'crown jewels' list, can you name the top 3 places where sensitive business data lives today?</x:t>
        </x:is>
      </x:c>
      <x:c r="J74" t="inlineStr">
        <x:is>
          <x:t xml:space="preserve">Examples: SharePoint/OneDrive, shared drives, email, Git repos, CRM/ERP, finance systems, design tools. This checks practical awareness.</x:t>
        </x:is>
      </x:c>
      <x:c r="L74" t="inlineStr">
        <x:is>
          <x:t xml:space="preserve">RISK_STD</x:t>
        </x:is>
      </x:c>
      <x:c r="M74" t="n">
        <x:v>1</x:v>
      </x:c>
      <x:c r="P74" t="inlineStr">
        <x:is>
          <x:t xml:space="preserve">ShadowProbe</x:t>
        </x:is>
      </x:c>
      <x:c r="T74" t="inlineStr">
        <x:is>
          <x:t xml:space="preserve">SEC-D3-Q07</x:t>
        </x:is>
      </x:c>
      <x:c r="V74" t="inlineStr">
        <x:is>
          <x:t xml:space="preserve">3. Risk Management</x:t>
        </x:is>
      </x:c>
      <x:c r="W74" t="inlineStr">
        <x:is>
          <x:t xml:space="preserve">Inventory &amp; Scope</x:t>
        </x:is>
      </x:c>
      <x:c r="X74" t="inlineStr">
        <x:is>
          <x:t xml:space="preserve">Crown jewels/HVA identification</x:t>
        </x:is>
      </x:c>
      <x:c r="Y74" t="n">
        <x:v>0.95</x:v>
      </x:c>
      <x:c r="Z74" t="inlineStr">
        <x:is>
          <x:t xml:space="preserve">override</x:t>
        </x:is>
      </x:c>
    </x:row>
    <x:row r="75">
      <x:c r="A75" t="inlineStr">
        <x:is>
          <x:t xml:space="preserve">SEC-D2-Q06</x:t>
        </x:is>
      </x:c>
      <x:c r="B75" t="inlineStr">
        <x:is>
          <x:t xml:space="preserve">Security</x:t>
        </x:is>
      </x:c>
      <x:c r="C75" t="inlineStr">
        <x:is>
          <x:t xml:space="preserve">T2</x:t>
        </x:is>
      </x:c>
      <x:c r="D75" t="inlineStr">
        <x:is>
          <x:t xml:space="preserve">2. Monitoring Coverage &amp; Logging</x:t>
        </x:is>
      </x:c>
      <x:c r="E75" t="inlineStr">
        <x:is>
          <x:t xml:space="preserve">T</x:t>
        </x:is>
      </x:c>
      <x:c r="F75" t="n">
        <x:v>1</x:v>
      </x:c>
      <x:c r="I75" t="inlineStr">
        <x:is>
          <x:t xml:space="preserve">Is log collection centralized enough that you can investigate across systems without manual log pulling from many tools?</x:t>
        </x:is>
      </x:c>
      <x:c r="J75" t="inlineStr">
        <x:is>
          <x:t xml:space="preserve">Centralization could be a SIEM/log platform or consistent API exports. Key test: can you correlate user + device + data activity efficiently.</x:t>
        </x:is>
      </x:c>
      <x:c r="L75" t="inlineStr">
        <x:is>
          <x:t xml:space="preserve">OPS_STD</x:t>
        </x:is>
      </x:c>
      <x:c r="M75" t="n">
        <x:v>1.3</x:v>
      </x:c>
      <x:c r="N75" t="n">
        <x:v>0.5</x:v>
      </x:c>
      <x:c r="P75" t="inlineStr">
        <x:is>
          <x:t xml:space="preserve">DrillDown</x:t>
        </x:is>
      </x:c>
      <x:c r="V75" t="inlineStr">
        <x:is>
          <x:t xml:space="preserve">4. Legal, Privacy &amp; Ethics</x:t>
        </x:is>
      </x:c>
      <x:c r="W75" t="inlineStr">
        <x:is>
          <x:t xml:space="preserve">Privacy Engineering</x:t>
        </x:is>
      </x:c>
      <x:c r="X75" t="inlineStr">
        <x:is>
          <x:t xml:space="preserve">Data Minimization &amp; Purpose Limitation</x:t>
        </x:is>
      </x:c>
      <x:c r="Y75" t="n">
        <x:v>0.075</x:v>
      </x:c>
      <x:c r="Z75" t="inlineStr">
        <x:is>
          <x:t xml:space="preserve">similarity</x:t>
        </x:is>
      </x:c>
    </x:row>
    <x:row r="76">
      <x:c r="A76" t="inlineStr">
        <x:is>
          <x:t xml:space="preserve">SEC-D3-Q07</x:t>
        </x:is>
      </x:c>
      <x:c r="B76" t="inlineStr">
        <x:is>
          <x:t xml:space="preserve">Security</x:t>
        </x:is>
      </x:c>
      <x:c r="C76" t="inlineStr">
        <x:is>
          <x:t xml:space="preserve">T1</x:t>
        </x:is>
      </x:c>
      <x:c r="D76" t="inlineStr">
        <x:is>
          <x:t xml:space="preserve">3. Detection Use Cases &amp; Tuning</x:t>
        </x:is>
      </x:c>
      <x:c r="E76" t="inlineStr">
        <x:is>
          <x:t xml:space="preserve">T</x:t>
        </x:is>
      </x:c>
      <x:c r="F76" t="n">
        <x:v>0.6</x:v>
      </x:c>
      <x:c r="G76" t="inlineStr">
        <x:is>
          <x:t xml:space="preserve">E</x:t>
        </x:is>
      </x:c>
      <x:c r="H76" t="n">
        <x:v>0.4</x:v>
      </x:c>
      <x:c r="I76" t="inlineStr">
        <x:is>
          <x:t xml:space="preserve">Do you have a small set of high‑value internal misuse detections that are actively monitored (not just enabled)?</x:t>
        </x:is>
      </x:c>
      <x:c r="J76" t="inlineStr">
        <x:is>
          <x:t xml:space="preserve">Examples: large downloads from sensitive repositories, mass deletions, exports of customer lists, unusual admin actions, unusual access to HR/finance folders.</x:t>
        </x:is>
      </x:c>
      <x:c r="L76" t="inlineStr">
        <x:is>
          <x:t xml:space="preserve">OPS_STD</x:t>
        </x:is>
      </x:c>
      <x:c r="M76" t="n">
        <x:v>1.4</x:v>
      </x:c>
      <x:c r="N76" t="n">
        <x:v>0.5</x:v>
      </x:c>
      <x:c r="P76" t="inlineStr">
        <x:is>
          <x:t xml:space="preserve">Gatekeeper</x:t>
        </x:is>
      </x:c>
      <x:c r="Q76" t="n">
        <x:v>2</x:v>
      </x:c>
      <x:c r="R76" t="inlineStr">
        <x:is>
          <x:t xml:space="preserve">SEC-D3-Q08</x:t>
        </x:is>
      </x:c>
      <x:c r="S76" t="inlineStr">
        <x:is>
          <x:t xml:space="preserve">SEC-D3-Q09</x:t>
        </x:is>
      </x:c>
      <x:c r="V76" t="inlineStr">
        <x:is>
          <x:t xml:space="preserve">8. Investigation &amp; Response</x:t>
        </x:is>
      </x:c>
      <x:c r="W76" t="inlineStr">
        <x:is>
          <x:t xml:space="preserve">Incident Action</x:t>
        </x:is>
      </x:c>
      <x:c r="X76" t="inlineStr">
        <x:is>
          <x:t xml:space="preserve">Containment &amp; eradication actions</x:t>
        </x:is>
      </x:c>
      <x:c r="Y76" t="n">
        <x:v>0.08699999999999999</x:v>
      </x:c>
      <x:c r="Z76" t="inlineStr">
        <x:is>
          <x:t xml:space="preserve">similarity</x:t>
        </x:is>
      </x:c>
    </x:row>
    <x:row r="77">
      <x:c r="A77" t="inlineStr">
        <x:is>
          <x:t xml:space="preserve">SEC-D3-Q08</x:t>
        </x:is>
      </x:c>
      <x:c r="B77" t="inlineStr">
        <x:is>
          <x:t xml:space="preserve">Security</x:t>
        </x:is>
      </x:c>
      <x:c r="C77" t="inlineStr">
        <x:is>
          <x:t xml:space="preserve">T2</x:t>
        </x:is>
      </x:c>
      <x:c r="D77" t="inlineStr">
        <x:is>
          <x:t xml:space="preserve">3. Detection Use Cases &amp; Tuning</x:t>
        </x:is>
      </x:c>
      <x:c r="E77" t="inlineStr">
        <x:is>
          <x:t xml:space="preserve">E</x:t>
        </x:is>
      </x:c>
      <x:c r="F77" t="n">
        <x:v>1</x:v>
      </x:c>
      <x:c r="I77" t="inlineStr">
        <x:is>
          <x:t xml:space="preserve">(Shadow probe) When an alert fires, do analysts have time and guidance to investigate, or do alerts pile up?</x:t>
        </x:is>
      </x:c>
      <x:c r="J77" t="inlineStr">
        <x:is>
          <x:t xml:space="preserve">We are checking operational reality: backlog and whether the team can act on signals.</x:t>
        </x:is>
      </x:c>
      <x:c r="L77" t="inlineStr">
        <x:is>
          <x:t xml:space="preserve">OPS_STD</x:t>
        </x:is>
      </x:c>
      <x:c r="M77" t="n">
        <x:v>1</x:v>
      </x:c>
      <x:c r="P77" t="inlineStr">
        <x:is>
          <x:t xml:space="preserve">ShadowProbe</x:t>
        </x:is>
      </x:c>
      <x:c r="T77" t="inlineStr">
        <x:is>
          <x:t xml:space="preserve">SEC-D4-Q10</x:t>
        </x:is>
      </x:c>
      <x:c r="V77" t="inlineStr">
        <x:is>
          <x:t xml:space="preserve">1. Strategy &amp; Governance</x:t>
        </x:is>
      </x:c>
      <x:c r="W77" t="inlineStr">
        <x:is>
          <x:t xml:space="preserve">Organization &amp; RACI</x:t>
        </x:is>
      </x:c>
      <x:c r="X77" t="inlineStr">
        <x:is>
          <x:t xml:space="preserve">Operational working group (ITWG/triage cell)</x:t>
        </x:is>
      </x:c>
      <x:c r="Y77" t="n">
        <x:v>0.106</x:v>
      </x:c>
      <x:c r="Z77" t="inlineStr">
        <x:is>
          <x:t xml:space="preserve">similarity</x:t>
        </x:is>
      </x:c>
    </x:row>
    <x:row r="78">
      <x:c r="A78" t="inlineStr">
        <x:is>
          <x:t xml:space="preserve">SEC-D3-Q09</x:t>
        </x:is>
      </x:c>
      <x:c r="B78" t="inlineStr">
        <x:is>
          <x:t xml:space="preserve">Security</x:t>
        </x:is>
      </x:c>
      <x:c r="C78" t="inlineStr">
        <x:is>
          <x:t xml:space="preserve">T2</x:t>
        </x:is>
      </x:c>
      <x:c r="D78" t="inlineStr">
        <x:is>
          <x:t xml:space="preserve">3. Detection Use Cases &amp; Tuning</x:t>
        </x:is>
      </x:c>
      <x:c r="E78" t="inlineStr">
        <x:is>
          <x:t xml:space="preserve">T</x:t>
        </x:is>
      </x:c>
      <x:c r="F78" t="n">
        <x:v>0.7</x:v>
      </x:c>
      <x:c r="G78" t="inlineStr">
        <x:is>
          <x:t xml:space="preserve">F</x:t>
        </x:is>
      </x:c>
      <x:c r="H78" t="n">
        <x:v>0.3</x:v>
      </x:c>
      <x:c r="I78" t="inlineStr">
        <x:is>
          <x:t xml:space="preserve">How do you manage false positives and business disruption caused by monitoring controls (so teams don’t create workarounds)?</x:t>
        </x:is>
      </x:c>
      <x:c r="J78" t="inlineStr">
        <x:is>
          <x:t xml:space="preserve">This is 'friction management': tuning, exception paths, and measuring bypass behavior.</x:t>
        </x:is>
      </x:c>
      <x:c r="L78" t="inlineStr">
        <x:is>
          <x:t xml:space="preserve">OPS_STD</x:t>
        </x:is>
      </x:c>
      <x:c r="M78" t="n">
        <x:v>1</x:v>
      </x:c>
      <x:c r="P78" t="inlineStr">
        <x:is>
          <x:t xml:space="preserve">DrillDown</x:t>
        </x:is>
      </x:c>
      <x:c r="V78" t="inlineStr">
        <x:is>
          <x:t xml:space="preserve">1. Strategy &amp; Governance</x:t>
        </x:is>
      </x:c>
      <x:c r="W78" t="inlineStr">
        <x:is>
          <x:t xml:space="preserve">Scope &amp; Boundaries</x:t>
        </x:is>
      </x:c>
      <x:c r="X78" t="inlineStr">
        <x:is>
          <x:t xml:space="preserve">Exceptions &amp; risk acceptance</x:t>
        </x:is>
      </x:c>
      <x:c r="Y78" t="n">
        <x:v>0.95</x:v>
      </x:c>
      <x:c r="Z78" t="inlineStr">
        <x:is>
          <x:t xml:space="preserve">override</x:t>
        </x:is>
      </x:c>
    </x:row>
    <x:row r="79">
      <x:c r="A79" t="inlineStr">
        <x:is>
          <x:t xml:space="preserve">SEC-D4-Q10</x:t>
        </x:is>
      </x:c>
      <x:c r="B79" t="inlineStr">
        <x:is>
          <x:t xml:space="preserve">Security</x:t>
        </x:is>
      </x:c>
      <x:c r="C79" t="inlineStr">
        <x:is>
          <x:t xml:space="preserve">T1</x:t>
        </x:is>
      </x:c>
      <x:c r="D79" t="inlineStr">
        <x:is>
          <x:t xml:space="preserve">4. High‑Risk Roles &amp; Privileged Monitoring</x:t>
        </x:is>
      </x:c>
      <x:c r="E79" t="inlineStr">
        <x:is>
          <x:t xml:space="preserve">V</x:t>
        </x:is>
      </x:c>
      <x:c r="F79" t="n">
        <x:v>0.6</x:v>
      </x:c>
      <x:c r="G79" t="inlineStr">
        <x:is>
          <x:t xml:space="preserve">T</x:t>
        </x:is>
      </x:c>
      <x:c r="H79" t="n">
        <x:v>0.4</x:v>
      </x:c>
      <x:c r="I79" t="inlineStr">
        <x:is>
          <x:t xml:space="preserve">Do you know which roles/accounts have the highest ability to cause harm (admins, finance approvers, HR admins), and are they monitored differently?</x:t>
        </x:is>
      </x:c>
      <x:c r="J79" t="inlineStr">
        <x:is>
          <x:t xml:space="preserve">Includes privileged IT accounts and business roles with high-impact actions (approve payments, change payroll, export customer lists).</x:t>
        </x:is>
      </x:c>
      <x:c r="L79" t="inlineStr">
        <x:is>
          <x:t xml:space="preserve">RISK_STD</x:t>
        </x:is>
      </x:c>
      <x:c r="M79" t="n">
        <x:v>1.5</x:v>
      </x:c>
      <x:c r="N79" t="n">
        <x:v>0.5</x:v>
      </x:c>
      <x:c r="P79" t="inlineStr">
        <x:is>
          <x:t xml:space="preserve">Gatekeeper</x:t>
        </x:is>
      </x:c>
      <x:c r="Q79" t="n">
        <x:v>2</x:v>
      </x:c>
      <x:c r="R79" t="inlineStr">
        <x:is>
          <x:t xml:space="preserve">SEC-D4-Q11</x:t>
        </x:is>
      </x:c>
      <x:c r="S79" t="inlineStr">
        <x:is>
          <x:t xml:space="preserve">SEC-D4-Q12</x:t>
        </x:is>
      </x:c>
      <x:c r="V79" t="inlineStr">
        <x:is>
          <x:t xml:space="preserve">6. Technical Controls</x:t>
        </x:is>
      </x:c>
      <x:c r="W79" t="inlineStr">
        <x:is>
          <x:t xml:space="preserve">Identity &amp; Access</x:t>
        </x:is>
      </x:c>
      <x:c r="X79" t="inlineStr">
        <x:is>
          <x:t xml:space="preserve">PAM &amp; privileged session governance</x:t>
        </x:is>
      </x:c>
      <x:c r="Y79" t="n">
        <x:v>0.95</x:v>
      </x:c>
      <x:c r="Z79" t="inlineStr">
        <x:is>
          <x:t xml:space="preserve">override</x:t>
        </x:is>
      </x:c>
    </x:row>
    <x:row r="80">
      <x:c r="A80" t="inlineStr">
        <x:is>
          <x:t xml:space="preserve">SEC-D4-Q11</x:t>
        </x:is>
      </x:c>
      <x:c r="B80" t="inlineStr">
        <x:is>
          <x:t xml:space="preserve">Security</x:t>
        </x:is>
      </x:c>
      <x:c r="C80" t="inlineStr">
        <x:is>
          <x:t xml:space="preserve">T2</x:t>
        </x:is>
      </x:c>
      <x:c r="D80" t="inlineStr">
        <x:is>
          <x:t xml:space="preserve">4. High‑Risk Roles &amp; Privileged Monitoring</x:t>
        </x:is>
      </x:c>
      <x:c r="E80" t="inlineStr">
        <x:is>
          <x:t xml:space="preserve">E</x:t>
        </x:is>
      </x:c>
      <x:c r="F80" t="n">
        <x:v>0.5</x:v>
      </x:c>
      <x:c r="G80" t="inlineStr">
        <x:is>
          <x:t xml:space="preserve">V</x:t>
        </x:is>
      </x:c>
      <x:c r="H80" t="n">
        <x:v>0.5</x:v>
      </x:c>
      <x:c r="I80" t="inlineStr">
        <x:is>
          <x:t xml:space="preserve">(Shadow probe) If asked today, could you quickly identify the top 10 people with broad access to sensitive systems?</x:t>
        </x:is>
      </x:c>
      <x:c r="J80" t="inlineStr">
        <x:is>
          <x:t xml:space="preserve">Checks whether 'key holders' can be found quickly (even if the process is informal).</x:t>
        </x:is>
      </x:c>
      <x:c r="L80" t="inlineStr">
        <x:is>
          <x:t xml:space="preserve">RISK_STD</x:t>
        </x:is>
      </x:c>
      <x:c r="M80" t="n">
        <x:v>1</x:v>
      </x:c>
      <x:c r="P80" t="inlineStr">
        <x:is>
          <x:t xml:space="preserve">ShadowProbe</x:t>
        </x:is>
      </x:c>
      <x:c r="T80" t="inlineStr">
        <x:is>
          <x:t xml:space="preserve">SEC-D5-Q13</x:t>
        </x:is>
      </x:c>
      <x:c r="V80" t="inlineStr">
        <x:is>
          <x:t xml:space="preserve">6. Technical Controls</x:t>
        </x:is>
      </x:c>
      <x:c r="W80" t="inlineStr">
        <x:is>
          <x:t xml:space="preserve">Physical/OT Overlay</x:t>
        </x:is>
      </x:c>
      <x:c r="X80" t="inlineStr">
        <x:is>
          <x:t xml:space="preserve">Physical access governance (critical areas)</x:t>
        </x:is>
      </x:c>
      <x:c r="Y80" t="n">
        <x:v>0.08500000000000001</x:v>
      </x:c>
      <x:c r="Z80" t="inlineStr">
        <x:is>
          <x:t xml:space="preserve">similarity</x:t>
        </x:is>
      </x:c>
    </x:row>
    <x:row r="81">
      <x:c r="A81" t="inlineStr">
        <x:is>
          <x:t xml:space="preserve">SEC-D4-Q12</x:t>
        </x:is>
      </x:c>
      <x:c r="B81" t="inlineStr">
        <x:is>
          <x:t xml:space="preserve">Security</x:t>
        </x:is>
      </x:c>
      <x:c r="C81" t="inlineStr">
        <x:is>
          <x:t xml:space="preserve">T2</x:t>
        </x:is>
      </x:c>
      <x:c r="D81" t="inlineStr">
        <x:is>
          <x:t xml:space="preserve">4. High‑Risk Roles &amp; Privileged Monitoring</x:t>
        </x:is>
      </x:c>
      <x:c r="E81" t="inlineStr">
        <x:is>
          <x:t xml:space="preserve">T</x:t>
        </x:is>
      </x:c>
      <x:c r="F81" t="n">
        <x:v>1</x:v>
      </x:c>
      <x:c r="I81" t="inlineStr">
        <x:is>
          <x:t xml:space="preserve">How are privileged/admin actions monitored and reviewed (e.g., creating accounts, changing permissions, exporting data)?</x:t>
        </x:is>
      </x:c>
      <x:c r="J81" t="inlineStr">
        <x:is>
          <x:t xml:space="preserve">We’re looking for coverage and independent review for the highest‑risk actions.</x:t>
        </x:is>
      </x:c>
      <x:c r="L81" t="inlineStr">
        <x:is>
          <x:t xml:space="preserve">OPS_STD</x:t>
        </x:is>
      </x:c>
      <x:c r="M81" t="n">
        <x:v>1.4</x:v>
      </x:c>
      <x:c r="N81" t="n">
        <x:v>0.5</x:v>
      </x:c>
      <x:c r="P81" t="inlineStr">
        <x:is>
          <x:t xml:space="preserve">DrillDown</x:t>
        </x:is>
      </x:c>
      <x:c r="V81" t="inlineStr">
        <x:is>
          <x:t xml:space="preserve">6. Technical Controls</x:t>
        </x:is>
      </x:c>
      <x:c r="W81" t="inlineStr">
        <x:is>
          <x:t xml:space="preserve">Identity &amp; Access</x:t>
        </x:is>
      </x:c>
      <x:c r="X81" t="inlineStr">
        <x:is>
          <x:t xml:space="preserve">PAM &amp; privileged session governance</x:t>
        </x:is>
      </x:c>
      <x:c r="Y81" t="n">
        <x:v>0.95</x:v>
      </x:c>
      <x:c r="Z81" t="inlineStr">
        <x:is>
          <x:t xml:space="preserve">override</x:t>
        </x:is>
      </x:c>
    </x:row>
    <x:row r="82">
      <x:c r="A82" t="inlineStr">
        <x:is>
          <x:t xml:space="preserve">SEC-D5-Q13</x:t>
        </x:is>
      </x:c>
      <x:c r="B82" t="inlineStr">
        <x:is>
          <x:t xml:space="preserve">Security</x:t>
        </x:is>
      </x:c>
      <x:c r="C82" t="inlineStr">
        <x:is>
          <x:t xml:space="preserve">T1</x:t>
        </x:is>
      </x:c>
      <x:c r="D82" t="inlineStr">
        <x:is>
          <x:t xml:space="preserve">5. Investigations &amp; Case Management</x:t>
        </x:is>
      </x:c>
      <x:c r="E82" t="inlineStr">
        <x:is>
          <x:t xml:space="preserve">R</x:t>
        </x:is>
      </x:c>
      <x:c r="F82" t="n">
        <x:v>0.6</x:v>
      </x:c>
      <x:c r="G82" t="inlineStr">
        <x:is>
          <x:t xml:space="preserve">E</x:t>
        </x:is>
      </x:c>
      <x:c r="H82" t="n">
        <x:v>0.4</x:v>
      </x:c>
      <x:c r="I82" t="inlineStr">
        <x:is>
          <x:t xml:space="preserve">When an internal misuse concern is raised, do you have a consistent cross‑functional investigation process (Security + HR + Legal/Privacy)?</x:t>
        </x:is>
      </x:c>
      <x:c r="J82" t="inlineStr">
        <x:is>
          <x:t xml:space="preserve">We mean a repeatable process with clear steps, not necessarily a separate insider threat team.</x:t>
        </x:is>
      </x:c>
      <x:c r="L82" t="inlineStr">
        <x:is>
          <x:t xml:space="preserve">OPS_STD</x:t>
        </x:is>
      </x:c>
      <x:c r="M82" t="n">
        <x:v>1.5</x:v>
      </x:c>
      <x:c r="N82" t="n">
        <x:v>0.5</x:v>
      </x:c>
      <x:c r="P82" t="inlineStr">
        <x:is>
          <x:t xml:space="preserve">Gatekeeper</x:t>
        </x:is>
      </x:c>
      <x:c r="Q82" t="n">
        <x:v>2</x:v>
      </x:c>
      <x:c r="R82" t="inlineStr">
        <x:is>
          <x:t xml:space="preserve">SEC-D5-Q14</x:t>
        </x:is>
      </x:c>
      <x:c r="S82" t="inlineStr">
        <x:is>
          <x:t xml:space="preserve">SEC-D5-Q15</x:t>
        </x:is>
      </x:c>
      <x:c r="V82" t="inlineStr">
        <x:is>
          <x:t xml:space="preserve">1. Strategy &amp; Governance</x:t>
        </x:is>
      </x:c>
      <x:c r="W82" t="inlineStr">
        <x:is>
          <x:t xml:space="preserve">Organization &amp; RACI</x:t>
        </x:is>
      </x:c>
      <x:c r="X82" t="inlineStr">
        <x:is>
          <x:t xml:space="preserve">Cross-functional steering committee</x:t>
        </x:is>
      </x:c>
      <x:c r="Y82" t="n">
        <x:v>0.191</x:v>
      </x:c>
      <x:c r="Z82" t="inlineStr">
        <x:is>
          <x:t xml:space="preserve">similarity</x:t>
        </x:is>
      </x:c>
    </x:row>
    <x:row r="83">
      <x:c r="A83" t="inlineStr">
        <x:is>
          <x:t xml:space="preserve">SEC-D5-Q14</x:t>
        </x:is>
      </x:c>
      <x:c r="B83" t="inlineStr">
        <x:is>
          <x:t xml:space="preserve">Security</x:t>
        </x:is>
      </x:c>
      <x:c r="C83" t="inlineStr">
        <x:is>
          <x:t xml:space="preserve">T2</x:t>
        </x:is>
      </x:c>
      <x:c r="D83" t="inlineStr">
        <x:is>
          <x:t xml:space="preserve">5. Investigations &amp; Case Management</x:t>
        </x:is>
      </x:c>
      <x:c r="E83" t="inlineStr">
        <x:is>
          <x:t xml:space="preserve">E</x:t>
        </x:is>
      </x:c>
      <x:c r="F83" t="n">
        <x:v>1</x:v>
      </x:c>
      <x:c r="I83" t="inlineStr">
        <x:is>
          <x:t xml:space="preserve">(Shadow probe) Even without a formal process, do Security/HR/Legal know who to call and respond quickly when a serious concern arises?</x:t>
        </x:is>
      </x:c>
      <x:c r="J83" t="inlineStr">
        <x:is>
          <x:t xml:space="preserve">Checks response speed and clarity: 'who is on point' for internal cases.</x:t>
        </x:is>
      </x:c>
      <x:c r="L83" t="inlineStr">
        <x:is>
          <x:t xml:space="preserve">OPS_STD</x:t>
        </x:is>
      </x:c>
      <x:c r="M83" t="n">
        <x:v>1</x:v>
      </x:c>
      <x:c r="P83" t="inlineStr">
        <x:is>
          <x:t xml:space="preserve">ShadowProbe</x:t>
        </x:is>
      </x:c>
      <x:c r="T83" t="inlineStr">
        <x:is>
          <x:t xml:space="preserve">SEC-D6-Q16</x:t>
        </x:is>
      </x:c>
      <x:c r="V83" t="inlineStr">
        <x:is>
          <x:t xml:space="preserve">1. Strategy &amp; Governance</x:t>
        </x:is>
      </x:c>
      <x:c r="W83" t="inlineStr">
        <x:is>
          <x:t xml:space="preserve">Scope &amp; Boundaries</x:t>
        </x:is>
      </x:c>
      <x:c r="X83" t="inlineStr">
        <x:is>
          <x:t xml:space="preserve">Exceptions &amp; risk acceptance</x:t>
        </x:is>
      </x:c>
      <x:c r="Y83" t="n">
        <x:v>0.068</x:v>
      </x:c>
      <x:c r="Z83" t="inlineStr">
        <x:is>
          <x:t xml:space="preserve">similarity</x:t>
        </x:is>
      </x:c>
    </x:row>
    <x:row r="84">
      <x:c r="A84" t="inlineStr">
        <x:is>
          <x:t xml:space="preserve">SEC-D5-Q15</x:t>
        </x:is>
      </x:c>
      <x:c r="B84" t="inlineStr">
        <x:is>
          <x:t xml:space="preserve">Security</x:t>
        </x:is>
      </x:c>
      <x:c r="C84" t="inlineStr">
        <x:is>
          <x:t xml:space="preserve">T2</x:t>
        </x:is>
      </x:c>
      <x:c r="D84" t="inlineStr">
        <x:is>
          <x:t xml:space="preserve">5. Investigations &amp; Case Management</x:t>
        </x:is>
      </x:c>
      <x:c r="E84" t="inlineStr">
        <x:is>
          <x:t xml:space="preserve">R</x:t>
        </x:is>
      </x:c>
      <x:c r="F84" t="n">
        <x:v>1</x:v>
      </x:c>
      <x:c r="I84" t="inlineStr">
        <x:is>
          <x:t xml:space="preserve">How do you ensure investigation decisions are consistent and defensible (not based on rumors or personal conflicts)?</x:t>
        </x:is>
      </x:c>
      <x:c r="J84" t="inlineStr">
        <x:is>
          <x:t xml:space="preserve">Procedural fairness: documented decisions, separation of duties, and review/appeal paths for higher‑impact actions.</x:t>
        </x:is>
      </x:c>
      <x:c r="L84" t="inlineStr">
        <x:is>
          <x:t xml:space="preserve">LEG_STRICT</x:t>
        </x:is>
      </x:c>
      <x:c r="M84" t="n">
        <x:v>1.3</x:v>
      </x:c>
      <x:c r="N84" t="n">
        <x:v>0.5</x:v>
      </x:c>
      <x:c r="P84" t="inlineStr">
        <x:is>
          <x:t xml:space="preserve">DrillDown</x:t>
        </x:is>
      </x:c>
      <x:c r="V84" t="inlineStr">
        <x:is>
          <x:t xml:space="preserve">4. Legal, Privacy &amp; Ethics</x:t>
        </x:is>
      </x:c>
      <x:c r="W84" t="inlineStr">
        <x:is>
          <x:t xml:space="preserve">Oversight &amp; Safeguards</x:t>
        </x:is>
      </x:c>
      <x:c r="X84" t="inlineStr">
        <x:is>
          <x:t xml:space="preserve">Review, Redress &amp; Assurance</x:t>
        </x:is>
      </x:c>
      <x:c r="Y84" t="n">
        <x:v>0.95</x:v>
      </x:c>
      <x:c r="Z84" t="inlineStr">
        <x:is>
          <x:t xml:space="preserve">override</x:t>
        </x:is>
      </x:c>
    </x:row>
    <x:row r="85">
      <x:c r="A85" t="inlineStr">
        <x:is>
          <x:t xml:space="preserve">SEC-D6-Q16</x:t>
        </x:is>
      </x:c>
      <x:c r="B85" t="inlineStr">
        <x:is>
          <x:t xml:space="preserve">Security</x:t>
        </x:is>
      </x:c>
      <x:c r="C85" t="inlineStr">
        <x:is>
          <x:t xml:space="preserve">T1</x:t>
        </x:is>
      </x:c>
      <x:c r="D85" t="inlineStr">
        <x:is>
          <x:t xml:space="preserve">6. Containment &amp; Response Automation</x:t>
        </x:is>
      </x:c>
      <x:c r="E85" t="inlineStr">
        <x:is>
          <x:t xml:space="preserve">T</x:t>
        </x:is>
      </x:c>
      <x:c r="F85" t="n">
        <x:v>0.6</x:v>
      </x:c>
      <x:c r="G85" t="inlineStr">
        <x:is>
          <x:t xml:space="preserve">R</x:t>
        </x:is>
      </x:c>
      <x:c r="H85" t="n">
        <x:v>0.4</x:v>
      </x:c>
      <x:c r="I85" t="inlineStr">
        <x:is>
          <x:t xml:space="preserve">If you see a credible insider risk, can you quickly reduce risk (revoke access, block sharing, isolate a device) in a controlled way?</x:t>
        </x:is>
      </x:c>
      <x:c r="J85" t="inlineStr">
        <x:is>
          <x:t xml:space="preserve">'Controlled' means approvals, logging, and minimizing unnecessary business disruption.</x:t>
        </x:is>
      </x:c>
      <x:c r="L85" t="inlineStr">
        <x:is>
          <x:t xml:space="preserve">OPS_STD</x:t>
        </x:is>
      </x:c>
      <x:c r="M85" t="n">
        <x:v>1.5</x:v>
      </x:c>
      <x:c r="N85" t="n">
        <x:v>0.5</x:v>
      </x:c>
      <x:c r="P85" t="inlineStr">
        <x:is>
          <x:t xml:space="preserve">Gatekeeper</x:t>
        </x:is>
      </x:c>
      <x:c r="Q85" t="n">
        <x:v>2</x:v>
      </x:c>
      <x:c r="R85" t="inlineStr">
        <x:is>
          <x:t xml:space="preserve">SEC-D6-Q17</x:t>
        </x:is>
      </x:c>
      <x:c r="S85" t="inlineStr">
        <x:is>
          <x:t xml:space="preserve">SEC-D6-Q18</x:t>
        </x:is>
      </x:c>
      <x:c r="V85" t="inlineStr">
        <x:is>
          <x:t xml:space="preserve">3. Risk Management</x:t>
        </x:is>
      </x:c>
      <x:c r="W85" t="inlineStr">
        <x:is>
          <x:t xml:space="preserve">Inventory &amp; Scope</x:t>
        </x:is>
      </x:c>
      <x:c r="X85" t="inlineStr">
        <x:is>
          <x:t xml:space="preserve">Critical process mapping</x:t>
        </x:is>
      </x:c>
      <x:c r="Y85" t="n">
        <x:v>0.95</x:v>
      </x:c>
      <x:c r="Z85" t="inlineStr">
        <x:is>
          <x:t xml:space="preserve">override</x:t>
        </x:is>
      </x:c>
    </x:row>
    <x:row r="86">
      <x:c r="A86" t="inlineStr">
        <x:is>
          <x:t xml:space="preserve">SEC-D6-Q17</x:t>
        </x:is>
      </x:c>
      <x:c r="B86" t="inlineStr">
        <x:is>
          <x:t xml:space="preserve">Security</x:t>
        </x:is>
      </x:c>
      <x:c r="C86" t="inlineStr">
        <x:is>
          <x:t xml:space="preserve">T2</x:t>
        </x:is>
      </x:c>
      <x:c r="D86" t="inlineStr">
        <x:is>
          <x:t xml:space="preserve">6. Containment &amp; Response Automation</x:t>
        </x:is>
      </x:c>
      <x:c r="E86" t="inlineStr">
        <x:is>
          <x:t xml:space="preserve">E</x:t>
        </x:is>
      </x:c>
      <x:c r="F86" t="n">
        <x:v>1</x:v>
      </x:c>
      <x:c r="I86" t="inlineStr">
        <x:is>
          <x:t xml:space="preserve">(Shadow probe) In practice, can you get quick business approval for containment without creating chaos or outages?</x:t>
        </x:is>
      </x:c>
      <x:c r="J86" t="inlineStr">
        <x:is>
          <x:t xml:space="preserve">Checks whether the organization can act fast without breaking critical operations.</x:t>
        </x:is>
      </x:c>
      <x:c r="L86" t="inlineStr">
        <x:is>
          <x:t xml:space="preserve">OPS_STD</x:t>
        </x:is>
      </x:c>
      <x:c r="M86" t="n">
        <x:v>1</x:v>
      </x:c>
      <x:c r="P86" t="inlineStr">
        <x:is>
          <x:t xml:space="preserve">ShadowProbe</x:t>
        </x:is>
      </x:c>
      <x:c r="T86" t="inlineStr">
        <x:is>
          <x:t xml:space="preserve">SEC-D7-Q19</x:t>
        </x:is>
      </x:c>
      <x:c r="V86" t="inlineStr">
        <x:is>
          <x:t xml:space="preserve">8. Investigation &amp; Response</x:t>
        </x:is>
      </x:c>
      <x:c r="W86" t="inlineStr">
        <x:is>
          <x:t xml:space="preserve">Incident Action</x:t>
        </x:is>
      </x:c>
      <x:c r="X86" t="inlineStr">
        <x:is>
          <x:t xml:space="preserve">Containment &amp; eradication actions</x:t>
        </x:is>
      </x:c>
      <x:c r="Y86" t="n">
        <x:v>0.95</x:v>
      </x:c>
      <x:c r="Z86" t="inlineStr">
        <x:is>
          <x:t xml:space="preserve">override</x:t>
        </x:is>
      </x:c>
    </x:row>
    <x:row r="87">
      <x:c r="A87" t="inlineStr">
        <x:is>
          <x:t xml:space="preserve">SEC-D6-Q18</x:t>
        </x:is>
      </x:c>
      <x:c r="B87" t="inlineStr">
        <x:is>
          <x:t xml:space="preserve">Security</x:t>
        </x:is>
      </x:c>
      <x:c r="C87" t="inlineStr">
        <x:is>
          <x:t xml:space="preserve">T2</x:t>
        </x:is>
      </x:c>
      <x:c r="D87" t="inlineStr">
        <x:is>
          <x:t xml:space="preserve">6. Containment &amp; Response Automation</x:t>
        </x:is>
      </x:c>
      <x:c r="E87" t="inlineStr">
        <x:is>
          <x:t xml:space="preserve">T</x:t>
        </x:is>
      </x:c>
      <x:c r="F87" t="n">
        <x:v>0.7</x:v>
      </x:c>
      <x:c r="G87" t="inlineStr">
        <x:is>
          <x:t xml:space="preserve">F</x:t>
        </x:is>
      </x:c>
      <x:c r="H87" t="n">
        <x:v>0.3</x:v>
      </x:c>
      <x:c r="I87" t="inlineStr">
        <x:is>
          <x:t xml:space="preserve">Do containment actions minimize unnecessary disruption (so teams don’t shift to shadow IT/workarounds)?</x:t>
        </x:is>
      </x:c>
      <x:c r="J87" t="inlineStr">
        <x:is>
          <x:t xml:space="preserve">Proportionate controls: strong where needed, tuned so legitimate work continues.</x:t>
        </x:is>
      </x:c>
      <x:c r="L87" t="inlineStr">
        <x:is>
          <x:t xml:space="preserve">OPS_STD</x:t>
        </x:is>
      </x:c>
      <x:c r="M87" t="n">
        <x:v>1</x:v>
      </x:c>
      <x:c r="P87" t="inlineStr">
        <x:is>
          <x:t xml:space="preserve">DrillDown</x:t>
        </x:is>
      </x:c>
      <x:c r="V87" t="inlineStr">
        <x:is>
          <x:t xml:space="preserve">8. Investigation &amp; Response</x:t>
        </x:is>
      </x:c>
      <x:c r="W87" t="inlineStr">
        <x:is>
          <x:t xml:space="preserve">Incident Action</x:t>
        </x:is>
      </x:c>
      <x:c r="X87" t="inlineStr">
        <x:is>
          <x:t xml:space="preserve">Containment &amp; eradication actions</x:t>
        </x:is>
      </x:c>
      <x:c r="Y87" t="n">
        <x:v>0.95</x:v>
      </x:c>
      <x:c r="Z87" t="inlineStr">
        <x:is>
          <x:t xml:space="preserve">override</x:t>
        </x:is>
      </x:c>
    </x:row>
    <x:row r="88">
      <x:c r="A88" t="inlineStr">
        <x:is>
          <x:t xml:space="preserve">SEC-D7-Q19</x:t>
        </x:is>
      </x:c>
      <x:c r="B88" t="inlineStr">
        <x:is>
          <x:t xml:space="preserve">Security</x:t>
        </x:is>
      </x:c>
      <x:c r="C88" t="inlineStr">
        <x:is>
          <x:t xml:space="preserve">T1</x:t>
        </x:is>
      </x:c>
      <x:c r="D88" t="inlineStr">
        <x:is>
          <x:t xml:space="preserve">7. Evidence &amp; Forensics Readiness</x:t>
        </x:is>
      </x:c>
      <x:c r="E88" t="inlineStr">
        <x:is>
          <x:t xml:space="preserve">R</x:t>
        </x:is>
      </x:c>
      <x:c r="F88" t="n">
        <x:v>0.5</x:v>
      </x:c>
      <x:c r="G88" t="inlineStr">
        <x:is>
          <x:t xml:space="preserve">L</x:t>
        </x:is>
      </x:c>
      <x:c r="H88" t="n">
        <x:v>0.5</x:v>
      </x:c>
      <x:c r="I88" t="inlineStr">
        <x:is>
          <x:t xml:space="preserve">Can you preserve and present evidence from internal cases so HR/Legal can rely on it (chain of custody, tamper resistance)?</x:t>
        </x:is>
      </x:c>
      <x:c r="J88" t="inlineStr">
        <x:is>
          <x:t xml:space="preserve">This affects HR actions and legal disputes. Evidence should be traceable: who collected what, when, and whether it was altered.</x:t>
        </x:is>
      </x:c>
      <x:c r="L88" t="inlineStr">
        <x:is>
          <x:t xml:space="preserve">LEG_STRICT</x:t>
        </x:is>
      </x:c>
      <x:c r="M88" t="n">
        <x:v>1.5</x:v>
      </x:c>
      <x:c r="N88" t="n">
        <x:v>0.5</x:v>
      </x:c>
      <x:c r="P88" t="inlineStr">
        <x:is>
          <x:t xml:space="preserve">Gatekeeper</x:t>
        </x:is>
      </x:c>
      <x:c r="Q88" t="n">
        <x:v>2</x:v>
      </x:c>
      <x:c r="R88" t="inlineStr">
        <x:is>
          <x:t xml:space="preserve">SEC-D7-Q20</x:t>
        </x:is>
      </x:c>
      <x:c r="S88" t="inlineStr">
        <x:is>
          <x:t xml:space="preserve">SEC-D7-Q21</x:t>
        </x:is>
      </x:c>
      <x:c r="V88" t="inlineStr">
        <x:is>
          <x:t xml:space="preserve">8. Investigation &amp; Response</x:t>
        </x:is>
      </x:c>
      <x:c r="W88" t="inlineStr">
        <x:is>
          <x:t xml:space="preserve">Operational Readiness</x:t>
        </x:is>
      </x:c>
      <x:c r="X88" t="inlineStr">
        <x:is>
          <x:t xml:space="preserve">Forensic readiness &amp; evidence preservation</x:t>
        </x:is>
      </x:c>
      <x:c r="Y88" t="n">
        <x:v>0.95</x:v>
      </x:c>
      <x:c r="Z88" t="inlineStr">
        <x:is>
          <x:t xml:space="preserve">override</x:t>
        </x:is>
      </x:c>
    </x:row>
    <x:row r="89">
      <x:c r="A89" t="inlineStr">
        <x:is>
          <x:t xml:space="preserve">SEC-D7-Q20</x:t>
        </x:is>
      </x:c>
      <x:c r="B89" t="inlineStr">
        <x:is>
          <x:t xml:space="preserve">Security</x:t>
        </x:is>
      </x:c>
      <x:c r="C89" t="inlineStr">
        <x:is>
          <x:t xml:space="preserve">T2</x:t>
        </x:is>
      </x:c>
      <x:c r="D89" t="inlineStr">
        <x:is>
          <x:t xml:space="preserve">7. Evidence &amp; Forensics Readiness</x:t>
        </x:is>
      </x:c>
      <x:c r="E89" t="inlineStr">
        <x:is>
          <x:t xml:space="preserve">E</x:t>
        </x:is>
      </x:c>
      <x:c r="F89" t="n">
        <x:v>1</x:v>
      </x:c>
      <x:c r="I89" t="inlineStr">
        <x:is>
          <x:t xml:space="preserve">(Shadow probe) When HR/Legal ask for proof, can you retrieve it quickly and consistently (without best guesses)?</x:t>
        </x:is>
      </x:c>
      <x:c r="J89" t="inlineStr">
        <x:is>
          <x:t xml:space="preserve">Checks speed and repeatability of evidence retrieval for common case types.</x:t>
        </x:is>
      </x:c>
      <x:c r="L89" t="inlineStr">
        <x:is>
          <x:t xml:space="preserve">OPS_STD</x:t>
        </x:is>
      </x:c>
      <x:c r="M89" t="n">
        <x:v>1</x:v>
      </x:c>
      <x:c r="P89" t="inlineStr">
        <x:is>
          <x:t xml:space="preserve">ShadowProbe</x:t>
        </x:is>
      </x:c>
      <x:c r="T89" t="inlineStr">
        <x:is>
          <x:t xml:space="preserve">SEC-D8-Q22</x:t>
        </x:is>
      </x:c>
      <x:c r="V89" t="inlineStr">
        <x:is>
          <x:t xml:space="preserve">8. Investigation &amp; Response</x:t>
        </x:is>
      </x:c>
      <x:c r="W89" t="inlineStr">
        <x:is>
          <x:t xml:space="preserve">Operational Readiness</x:t>
        </x:is>
      </x:c>
      <x:c r="X89" t="inlineStr">
        <x:is>
          <x:t xml:space="preserve">Forensic readiness &amp; evidence preservation</x:t>
        </x:is>
      </x:c>
      <x:c r="Y89" t="n">
        <x:v>0.098</x:v>
      </x:c>
      <x:c r="Z89" t="inlineStr">
        <x:is>
          <x:t xml:space="preserve">similarity</x:t>
        </x:is>
      </x:c>
    </x:row>
    <x:row r="90">
      <x:c r="A90" t="inlineStr">
        <x:is>
          <x:t xml:space="preserve">SEC-D7-Q21</x:t>
        </x:is>
      </x:c>
      <x:c r="B90" t="inlineStr">
        <x:is>
          <x:t xml:space="preserve">Security</x:t>
        </x:is>
      </x:c>
      <x:c r="C90" t="inlineStr">
        <x:is>
          <x:t xml:space="preserve">T3</x:t>
        </x:is>
      </x:c>
      <x:c r="D90" t="inlineStr">
        <x:is>
          <x:t xml:space="preserve">7. Evidence &amp; Forensics Readiness</x:t>
        </x:is>
      </x:c>
      <x:c r="E90" t="inlineStr">
        <x:is>
          <x:t xml:space="preserve">T</x:t>
        </x:is>
      </x:c>
      <x:c r="F90" t="n">
        <x:v>0.5</x:v>
      </x:c>
      <x:c r="G90" t="inlineStr">
        <x:is>
          <x:t xml:space="preserve">L</x:t>
        </x:is>
      </x:c>
      <x:c r="H90" t="n">
        <x:v>0.5</x:v>
      </x:c>
      <x:c r="I90" t="inlineStr">
        <x:is>
          <x:t xml:space="preserve">Are monitoring logs protected (restricted access + audits) and retained long enough for investigations and legal requirements?</x:t>
        </x:is>
      </x:c>
      <x:c r="J90" t="inlineStr">
        <x:is>
          <x:t xml:space="preserve">Checks governance of monitoring data itself to prevent misuse and support defensibility.</x:t>
        </x:is>
      </x:c>
      <x:c r="L90" t="inlineStr">
        <x:is>
          <x:t xml:space="preserve">LEG_STRICT</x:t>
        </x:is>
      </x:c>
      <x:c r="M90" t="n">
        <x:v>1.3</x:v>
      </x:c>
      <x:c r="N90" t="n">
        <x:v>0.5</x:v>
      </x:c>
      <x:c r="P90" t="inlineStr">
        <x:is>
          <x:t xml:space="preserve">Linear</x:t>
        </x:is>
      </x:c>
      <x:c r="V90" t="inlineStr">
        <x:is>
          <x:t xml:space="preserve">6. Technical Controls</x:t>
        </x:is>
      </x:c>
      <x:c r="W90" t="inlineStr">
        <x:is>
          <x:t xml:space="preserve">Physical/OT Overlay</x:t>
        </x:is>
      </x:c>
      <x:c r="X90" t="inlineStr">
        <x:is>
          <x:t xml:space="preserve">OT privileged access &amp; engineering workstation governance</x:t>
        </x:is>
      </x:c>
      <x:c r="Y90" t="n">
        <x:v>0.136</x:v>
      </x:c>
      <x:c r="Z90" t="inlineStr">
        <x:is>
          <x:t xml:space="preserve">similarity</x:t>
        </x:is>
      </x:c>
    </x:row>
    <x:row r="91">
      <x:c r="A91" t="inlineStr">
        <x:is>
          <x:t xml:space="preserve">SEC-D8-Q22</x:t>
        </x:is>
      </x:c>
      <x:c r="B91" t="inlineStr">
        <x:is>
          <x:t xml:space="preserve">Security</x:t>
        </x:is>
      </x:c>
      <x:c r="C91" t="inlineStr">
        <x:is>
          <x:t xml:space="preserve">T1</x:t>
        </x:is>
      </x:c>
      <x:c r="D91" t="inlineStr">
        <x:is>
          <x:t xml:space="preserve">8. Third Parties &amp; Contractors</x:t>
        </x:is>
      </x:c>
      <x:c r="E91" t="inlineStr">
        <x:is>
          <x:t xml:space="preserve">V</x:t>
        </x:is>
      </x:c>
      <x:c r="F91" t="n">
        <x:v>0.6</x:v>
      </x:c>
      <x:c r="G91" t="inlineStr">
        <x:is>
          <x:t xml:space="preserve">T</x:t>
        </x:is>
      </x:c>
      <x:c r="H91" t="n">
        <x:v>0.4</x:v>
      </x:c>
      <x:c r="I91" t="inlineStr">
        <x:is>
          <x:t xml:space="preserve">Are contractors, vendors, and outsourced admins monitored with similar attention as employees when they access sensitive systems?</x:t>
        </x:is>
      </x:c>
      <x:c r="J91" t="inlineStr">
        <x:is>
          <x:t xml:space="preserve">Includes MSP/MSSP engineers, vendor developers, temporary staff, and BPOs with system access.</x:t>
        </x:is>
      </x:c>
      <x:c r="L91" t="inlineStr">
        <x:is>
          <x:t xml:space="preserve">RISK_STD</x:t>
        </x:is>
      </x:c>
      <x:c r="M91" t="n">
        <x:v>1.3</x:v>
      </x:c>
      <x:c r="N91" t="n">
        <x:v>0.5</x:v>
      </x:c>
      <x:c r="P91" t="inlineStr">
        <x:is>
          <x:t xml:space="preserve">Gatekeeper</x:t>
        </x:is>
      </x:c>
      <x:c r="Q91" t="n">
        <x:v>2</x:v>
      </x:c>
      <x:c r="R91" t="inlineStr">
        <x:is>
          <x:t xml:space="preserve">SEC-D8-Q23</x:t>
        </x:is>
      </x:c>
      <x:c r="S91" t="inlineStr">
        <x:is>
          <x:t xml:space="preserve">SEC-D8-Q24</x:t>
        </x:is>
      </x:c>
      <x:c r="V91" t="inlineStr">
        <x:is>
          <x:t xml:space="preserve">6. Technical Controls</x:t>
        </x:is>
      </x:c>
      <x:c r="W91" t="inlineStr">
        <x:is>
          <x:t xml:space="preserve">Physical/OT Overlay</x:t>
        </x:is>
      </x:c>
      <x:c r="X91" t="inlineStr">
        <x:is>
          <x:t xml:space="preserve">Physical access governance (critical areas)</x:t>
        </x:is>
      </x:c>
      <x:c r="Y91" t="n">
        <x:v>0.08500000000000001</x:v>
      </x:c>
      <x:c r="Z91" t="inlineStr">
        <x:is>
          <x:t xml:space="preserve">similarity</x:t>
        </x:is>
      </x:c>
    </x:row>
    <x:row r="92">
      <x:c r="A92" t="inlineStr">
        <x:is>
          <x:t xml:space="preserve">SEC-D8-Q23</x:t>
        </x:is>
      </x:c>
      <x:c r="B92" t="inlineStr">
        <x:is>
          <x:t xml:space="preserve">Security</x:t>
        </x:is>
      </x:c>
      <x:c r="C92" t="inlineStr">
        <x:is>
          <x:t xml:space="preserve">T2</x:t>
        </x:is>
      </x:c>
      <x:c r="D92" t="inlineStr">
        <x:is>
          <x:t xml:space="preserve">8. Third Parties &amp; Contractors</x:t>
        </x:is>
      </x:c>
      <x:c r="E92" t="inlineStr">
        <x:is>
          <x:t xml:space="preserve">E</x:t>
        </x:is>
      </x:c>
      <x:c r="F92" t="n">
        <x:v>1</x:v>
      </x:c>
      <x:c r="I92" t="inlineStr">
        <x:is>
          <x:t xml:space="preserve">(Shadow probe) When a contractor/vendor engagement ends, is access reliably removed quickly across systems?</x:t>
        </x:is>
      </x:c>
      <x:c r="J92" t="inlineStr">
        <x:is>
          <x:t xml:space="preserve">Checks offboarding reality for non‑employees.</x:t>
        </x:is>
      </x:c>
      <x:c r="L92" t="inlineStr">
        <x:is>
          <x:t xml:space="preserve">OPS_STD</x:t>
        </x:is>
      </x:c>
      <x:c r="M92" t="n">
        <x:v>1.2</x:v>
      </x:c>
      <x:c r="N92" t="n">
        <x:v>0.5</x:v>
      </x:c>
      <x:c r="P92" t="inlineStr">
        <x:is>
          <x:t xml:space="preserve">ShadowProbe</x:t>
        </x:is>
      </x:c>
      <x:c r="T92" t="inlineStr">
        <x:is>
          <x:t xml:space="preserve">SEC-D9-Q25</x:t>
        </x:is>
      </x:c>
      <x:c r="V92" t="inlineStr">
        <x:is>
          <x:t xml:space="preserve">3. Risk Management</x:t>
        </x:is>
      </x:c>
      <x:c r="W92" t="inlineStr">
        <x:is>
          <x:t xml:space="preserve">Inventory &amp; Scope</x:t>
        </x:is>
      </x:c>
      <x:c r="X92" t="inlineStr">
        <x:is>
          <x:t xml:space="preserve">Third-party/contractor scoping</x:t>
        </x:is>
      </x:c>
      <x:c r="Y92" t="n">
        <x:v>0.95</x:v>
      </x:c>
      <x:c r="Z92" t="inlineStr">
        <x:is>
          <x:t xml:space="preserve">override</x:t>
        </x:is>
      </x:c>
    </x:row>
    <x:row r="93">
      <x:c r="A93" t="inlineStr">
        <x:is>
          <x:t xml:space="preserve">SEC-D8-Q24</x:t>
        </x:is>
      </x:c>
      <x:c r="B93" t="inlineStr">
        <x:is>
          <x:t xml:space="preserve">Security</x:t>
        </x:is>
      </x:c>
      <x:c r="C93" t="inlineStr">
        <x:is>
          <x:t xml:space="preserve">T3</x:t>
        </x:is>
      </x:c>
      <x:c r="D93" t="inlineStr">
        <x:is>
          <x:t xml:space="preserve">8. Third Parties &amp; Contractors</x:t>
        </x:is>
      </x:c>
      <x:c r="E93" t="inlineStr">
        <x:is>
          <x:t xml:space="preserve">T</x:t>
        </x:is>
      </x:c>
      <x:c r="F93" t="n">
        <x:v>0.5</x:v>
      </x:c>
      <x:c r="G93" t="inlineStr">
        <x:is>
          <x:t xml:space="preserve">R</x:t>
        </x:is>
      </x:c>
      <x:c r="H93" t="n">
        <x:v>0.5</x:v>
      </x:c>
      <x:c r="I93" t="inlineStr">
        <x:is>
          <x:t xml:space="preserve">Do you have a defined process for investigating third‑party misuse (evidence requests, contractual steps, escalation)?</x:t>
        </x:is>
      </x:c>
      <x:c r="J93" t="inlineStr">
        <x:is>
          <x:t xml:space="preserve">Checks readiness: who leads, what evidence can be requested, and how quickly you can escalate.</x:t>
        </x:is>
      </x:c>
      <x:c r="L93" t="inlineStr">
        <x:is>
          <x:t xml:space="preserve">OPS_STD</x:t>
        </x:is>
      </x:c>
      <x:c r="M93" t="n">
        <x:v>1</x:v>
      </x:c>
      <x:c r="P93" t="inlineStr">
        <x:is>
          <x:t xml:space="preserve">Linear</x:t>
        </x:is>
      </x:c>
      <x:c r="V93" t="inlineStr">
        <x:is>
          <x:t xml:space="preserve">8. Investigation &amp; Response</x:t>
        </x:is>
      </x:c>
      <x:c r="W93" t="inlineStr">
        <x:is>
          <x:t xml:space="preserve">Operational Readiness</x:t>
        </x:is>
      </x:c>
      <x:c r="X93" t="inlineStr">
        <x:is>
          <x:t xml:space="preserve">Forensic readiness &amp; evidence preservation</x:t>
        </x:is>
      </x:c>
      <x:c r="Y93" t="n">
        <x:v>0.171</x:v>
      </x:c>
      <x:c r="Z93" t="inlineStr">
        <x:is>
          <x:t xml:space="preserve">similarity</x:t>
        </x:is>
      </x:c>
    </x:row>
    <x:row r="94">
      <x:c r="A94" t="inlineStr">
        <x:is>
          <x:t xml:space="preserve">SEC-D9-Q25</x:t>
        </x:is>
      </x:c>
      <x:c r="B94" t="inlineStr">
        <x:is>
          <x:t xml:space="preserve">Security</x:t>
        </x:is>
      </x:c>
      <x:c r="C94" t="inlineStr">
        <x:is>
          <x:t xml:space="preserve">T1</x:t>
        </x:is>
      </x:c>
      <x:c r="D94" t="inlineStr">
        <x:is>
          <x:t xml:space="preserve">9. Metrics &amp; Continuous Improvement</x:t>
        </x:is>
      </x:c>
      <x:c r="E94" t="inlineStr">
        <x:is>
          <x:t xml:space="preserve">E</x:t>
        </x:is>
      </x:c>
      <x:c r="F94" t="n">
        <x:v>0.5</x:v>
      </x:c>
      <x:c r="G94" t="inlineStr">
        <x:is>
          <x:t xml:space="preserve">R</x:t>
        </x:is>
      </x:c>
      <x:c r="H94" t="n">
        <x:v>0.5</x:v>
      </x:c>
      <x:c r="I94" t="inlineStr">
        <x:is>
          <x:t xml:space="preserve">Do you measure whether internal misuse monitoring is effective (not just how many alerts exist)?</x:t>
        </x:is>
      </x:c>
      <x:c r="J94" t="inlineStr">
        <x:is>
          <x:t xml:space="preserve">Examples: time to triage, investigation outcomes, false-positive rate, coverage of sensitive systems, and lessons learned.</x:t>
        </x:is>
      </x:c>
      <x:c r="L94" t="inlineStr">
        <x:is>
          <x:t xml:space="preserve">OPS_STD</x:t>
        </x:is>
      </x:c>
      <x:c r="M94" t="n">
        <x:v>1</x:v>
      </x:c>
      <x:c r="P94" t="inlineStr">
        <x:is>
          <x:t xml:space="preserve">Gatekeeper</x:t>
        </x:is>
      </x:c>
      <x:c r="Q94" t="n">
        <x:v>2</x:v>
      </x:c>
      <x:c r="R94" t="inlineStr">
        <x:is>
          <x:t xml:space="preserve">SEC-D9-Q26</x:t>
        </x:is>
      </x:c>
      <x:c r="S94" t="inlineStr">
        <x:is>
          <x:t xml:space="preserve">SEC-D9-Q27</x:t>
        </x:is>
      </x:c>
      <x:c r="V94" t="inlineStr">
        <x:is>
          <x:t xml:space="preserve">7. Behavioral Analytics &amp; Detection</x:t>
        </x:is>
      </x:c>
      <x:c r="W94" t="inlineStr">
        <x:is>
          <x:t xml:space="preserve">Detection Engineering</x:t>
        </x:is>
      </x:c>
      <x:c r="X94" t="inlineStr">
        <x:is>
          <x:t xml:space="preserve">Alert triage workflow &amp; quality management</x:t>
        </x:is>
      </x:c>
      <x:c r="Y94" t="n">
        <x:v>0.083</x:v>
      </x:c>
      <x:c r="Z94" t="inlineStr">
        <x:is>
          <x:t xml:space="preserve">similarity</x:t>
        </x:is>
      </x:c>
    </x:row>
    <x:row r="95">
      <x:c r="A95" t="inlineStr">
        <x:is>
          <x:t xml:space="preserve">SEC-D9-Q26</x:t>
        </x:is>
      </x:c>
      <x:c r="B95" t="inlineStr">
        <x:is>
          <x:t xml:space="preserve">Security</x:t>
        </x:is>
      </x:c>
      <x:c r="C95" t="inlineStr">
        <x:is>
          <x:t xml:space="preserve">T2</x:t>
        </x:is>
      </x:c>
      <x:c r="D95" t="inlineStr">
        <x:is>
          <x:t xml:space="preserve">9. Metrics &amp; Continuous Improvement</x:t>
        </x:is>
      </x:c>
      <x:c r="E95" t="inlineStr">
        <x:is>
          <x:t xml:space="preserve">E</x:t>
        </x:is>
      </x:c>
      <x:c r="F95" t="n">
        <x:v>1</x:v>
      </x:c>
      <x:c r="I95" t="inlineStr">
        <x:is>
          <x:t xml:space="preserve">(Shadow probe) Do you review 'near misses' (suspicious behavior caught early) to improve controls, even if nothing was lost?</x:t>
        </x:is>
      </x:c>
      <x:c r="J95" t="inlineStr">
        <x:is>
          <x:t xml:space="preserve">Near-miss reviews show learning without waiting for a breach.</x:t>
        </x:is>
      </x:c>
      <x:c r="L95" t="inlineStr">
        <x:is>
          <x:t xml:space="preserve">OPS_STD</x:t>
        </x:is>
      </x:c>
      <x:c r="M95" t="n">
        <x:v>1</x:v>
      </x:c>
      <x:c r="P95" t="inlineStr">
        <x:is>
          <x:t xml:space="preserve">End</x:t>
        </x:is>
      </x:c>
      <x:c r="U95" t="inlineStr">
        <x:is>
          <x:t xml:space="preserve">Y</x:t>
        </x:is>
      </x:c>
      <x:c r="V95" t="inlineStr">
        <x:is>
          <x:t xml:space="preserve">4. Legal, Privacy &amp; Ethics</x:t>
        </x:is>
      </x:c>
      <x:c r="W95" t="inlineStr">
        <x:is>
          <x:t xml:space="preserve">Oversight &amp; Safeguards</x:t>
        </x:is>
      </x:c>
      <x:c r="X95" t="inlineStr">
        <x:is>
          <x:t xml:space="preserve">Review, Redress &amp; Assurance</x:t>
        </x:is>
      </x:c>
      <x:c r="Y95" t="n">
        <x:v>0.083</x:v>
      </x:c>
      <x:c r="Z95" t="inlineStr">
        <x:is>
          <x:t xml:space="preserve">similarity</x:t>
        </x:is>
      </x:c>
    </x:row>
    <x:row r="96">
      <x:c r="A96" t="inlineStr">
        <x:is>
          <x:t xml:space="preserve">SEC-D9-Q27</x:t>
        </x:is>
      </x:c>
      <x:c r="B96" t="inlineStr">
        <x:is>
          <x:t xml:space="preserve">Security</x:t>
        </x:is>
      </x:c>
      <x:c r="C96" t="inlineStr">
        <x:is>
          <x:t xml:space="preserve">T3</x:t>
        </x:is>
      </x:c>
      <x:c r="D96" t="inlineStr">
        <x:is>
          <x:t xml:space="preserve">9. Metrics &amp; Continuous Improvement</x:t>
        </x:is>
      </x:c>
      <x:c r="E96" t="inlineStr">
        <x:is>
          <x:t xml:space="preserve">T</x:t>
        </x:is>
      </x:c>
      <x:c r="F96" t="n">
        <x:v>0.5</x:v>
      </x:c>
      <x:c r="G96" t="inlineStr">
        <x:is>
          <x:t xml:space="preserve">E</x:t>
        </x:is>
      </x:c>
      <x:c r="H96" t="n">
        <x:v>0.5</x:v>
      </x:c>
      <x:c r="I96" t="inlineStr">
        <x:is>
          <x:t xml:space="preserve">Is detection quality periodically tested (simulations, controlled tests, red/purple exercises) to reduce blind spots?</x:t>
        </x:is>
      </x:c>
      <x:c r="J96" t="inlineStr">
        <x:is>
          <x:t xml:space="preserve">This can be lightweight: test a few scenarios, verify alerts fire, and verify investigation time is within expectations.</x:t>
        </x:is>
      </x:c>
      <x:c r="L96" t="inlineStr">
        <x:is>
          <x:t xml:space="preserve">OPS_STD</x:t>
        </x:is>
      </x:c>
      <x:c r="M96" t="n">
        <x:v>1.2</x:v>
      </x:c>
      <x:c r="P96" t="inlineStr">
        <x:is>
          <x:t xml:space="preserve">Linear</x:t>
        </x:is>
      </x:c>
      <x:c r="V96" t="inlineStr">
        <x:is>
          <x:t xml:space="preserve">9. Performance &amp; Resilience</x:t>
        </x:is>
      </x:c>
      <x:c r="W96" t="inlineStr">
        <x:is>
          <x:t xml:space="preserve">Testing &amp; Exercising</x:t>
        </x:is>
      </x:c>
      <x:c r="X96" t="inlineStr">
        <x:is>
          <x:t xml:space="preserve">Purple-team / simulation of insider paths</x:t>
        </x:is>
      </x:c>
      <x:c r="Y96" t="n">
        <x:v>0.95</x:v>
      </x:c>
      <x:c r="Z96" t="inlineStr">
        <x:is>
          <x:t xml:space="preserve">override</x:t>
        </x:is>
      </x:c>
    </x:row>
    <x:row r="97">
      <x:c r="A97" t="inlineStr">
        <x:is>
          <x:t xml:space="preserve">SEC-D10-Q28</x:t>
        </x:is>
      </x:c>
      <x:c r="B97" t="inlineStr">
        <x:is>
          <x:t xml:space="preserve">Security</x:t>
        </x:is>
      </x:c>
      <x:c r="C97" t="inlineStr">
        <x:is>
          <x:t xml:space="preserve">T3</x:t>
        </x:is>
      </x:c>
      <x:c r="D97" t="inlineStr">
        <x:is>
          <x:t xml:space="preserve">10. Deep Technical Drill‑down (Optional Annex)</x:t>
        </x:is>
      </x:c>
      <x:c r="E97" t="inlineStr">
        <x:is>
          <x:t xml:space="preserve">T</x:t>
        </x:is>
      </x:c>
      <x:c r="F97" t="n">
        <x:v>0.6</x:v>
      </x:c>
      <x:c r="G97" t="inlineStr">
        <x:is>
          <x:t xml:space="preserve">V</x:t>
        </x:is>
      </x:c>
      <x:c r="H97" t="n">
        <x:v>0.4</x:v>
      </x:c>
      <x:c r="I97" t="inlineStr">
        <x:is>
          <x:t xml:space="preserve">For the systems that matter most (email, file sharing, finance/ERP, source code, key databases), how complete is your log collection for insider investigations?</x:t>
        </x:is>
      </x:c>
      <x:c r="J97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L97" t="inlineStr">
        <x:is>
          <x:t xml:space="preserve">OPS_STD</x:t>
        </x:is>
      </x:c>
      <x:c r="M97" t="n">
        <x:v>1.5</x:v>
      </x:c>
      <x:c r="N97" t="n">
        <x:v>0.5</x:v>
      </x:c>
      <x:c r="P97" t="inlineStr">
        <x:is>
          <x:t xml:space="preserve">Annex</x:t>
        </x:is>
      </x:c>
      <x:c r="V97" t="inlineStr">
        <x:is>
          <x:t xml:space="preserve">3. Risk Management</x:t>
        </x:is>
      </x:c>
      <x:c r="W97" t="inlineStr">
        <x:is>
          <x:t xml:space="preserve">Inventory &amp; Scope</x:t>
        </x:is>
      </x:c>
      <x:c r="X97" t="inlineStr">
        <x:is>
          <x:t xml:space="preserve">Critical process mapping</x:t>
        </x:is>
      </x:c>
      <x:c r="Y97" t="n">
        <x:v>0.95</x:v>
      </x:c>
      <x:c r="Z97" t="inlineStr">
        <x:is>
          <x:t xml:space="preserve">override</x:t>
        </x:is>
      </x:c>
    </x:row>
    <x:row r="98">
      <x:c r="A98" t="inlineStr">
        <x:is>
          <x:t xml:space="preserve">SEC-D10-Q29</x:t>
        </x:is>
      </x:c>
      <x:c r="B98" t="inlineStr">
        <x:is>
          <x:t xml:space="preserve">Security</x:t>
        </x:is>
      </x:c>
      <x:c r="C98" t="inlineStr">
        <x:is>
          <x:t xml:space="preserve">T4</x:t>
        </x:is>
      </x:c>
      <x:c r="D98" t="inlineStr">
        <x:is>
          <x:t xml:space="preserve">10. Deep Technical Drill‑down (Optional Annex)</x:t>
        </x:is>
      </x:c>
      <x:c r="E98" t="inlineStr">
        <x:is>
          <x:t xml:space="preserve">L</x:t>
        </x:is>
      </x:c>
      <x:c r="F98" t="n">
        <x:v>0.5</x:v>
      </x:c>
      <x:c r="G98" t="inlineStr">
        <x:is>
          <x:t xml:space="preserve">T</x:t>
        </x:is>
      </x:c>
      <x:c r="H98" t="n">
        <x:v>0.5</x:v>
      </x:c>
      <x:c r="I98" t="inlineStr">
        <x:is>
          <x:t xml:space="preserve">How are monitoring logs protected against tampering and time issues (so they can be used for HR/legal decisions)?</x:t>
        </x:is>
      </x:c>
      <x:c r="J98" t="inlineStr">
        <x:is>
          <x:t xml:space="preserve">Think integrity: time synchronization, restricted access, immutability (WORM), audit trails of who accessed logs, and retention that matches investigation needs.</x:t>
        </x:is>
      </x:c>
      <x:c r="L98" t="inlineStr">
        <x:is>
          <x:t xml:space="preserve">LEG_STRICT</x:t>
        </x:is>
      </x:c>
      <x:c r="M98" t="n">
        <x:v>1.5</x:v>
      </x:c>
      <x:c r="N98" t="n">
        <x:v>0.5</x:v>
      </x:c>
      <x:c r="P98" t="inlineStr">
        <x:is>
          <x:t xml:space="preserve">Annex</x:t>
        </x:is>
      </x:c>
      <x:c r="V98" t="inlineStr">
        <x:is>
          <x:t xml:space="preserve">4. Legal, Privacy &amp; Ethics</x:t>
        </x:is>
      </x:c>
      <x:c r="W98" t="inlineStr">
        <x:is>
          <x:t xml:space="preserve">Privacy Engineering</x:t>
        </x:is>
      </x:c>
      <x:c r="X98" t="inlineStr">
        <x:is>
          <x:t xml:space="preserve">Retention, Purging &amp; Legal Hold</x:t>
        </x:is>
      </x:c>
      <x:c r="Y98" t="n">
        <x:v>0.95</x:v>
      </x:c>
      <x:c r="Z98" t="inlineStr">
        <x:is>
          <x:t xml:space="preserve">override</x:t>
        </x:is>
      </x:c>
    </x:row>
    <x:row r="99">
      <x:c r="A99" t="inlineStr">
        <x:is>
          <x:t xml:space="preserve">SEC-D10-Q30</x:t>
        </x:is>
      </x:c>
      <x:c r="B99" t="inlineStr">
        <x:is>
          <x:t xml:space="preserve">Security</x:t>
        </x:is>
      </x:c>
      <x:c r="C99" t="inlineStr">
        <x:is>
          <x:t xml:space="preserve">T3</x:t>
        </x:is>
      </x:c>
      <x:c r="D99" t="inlineStr">
        <x:is>
          <x:t xml:space="preserve">10. Deep Technical Drill‑down (Optional Annex)</x:t>
        </x:is>
      </x:c>
      <x:c r="E99" t="inlineStr">
        <x:is>
          <x:t xml:space="preserve">E</x:t>
        </x:is>
      </x:c>
      <x:c r="F99" t="n">
        <x:v>0.6</x:v>
      </x:c>
      <x:c r="G99" t="inlineStr">
        <x:is>
          <x:t xml:space="preserve">T</x:t>
        </x:is>
      </x:c>
      <x:c r="H99" t="n">
        <x:v>0.4</x:v>
      </x:c>
      <x:c r="I99" t="inlineStr">
        <x:is>
          <x:t xml:space="preserve">If an investigation starts today, how quickly can you retrieve the last 30 days of relevant activity for a user across key systems?</x:t>
        </x:is>
      </x:c>
      <x:c r="J99" t="inlineStr">
        <x:is>
          <x:t xml:space="preserve">Consider the end‑to‑end time: identifying sources, requesting access, exporting data, and handing it to investigators in a usable format.</x:t>
        </x:is>
      </x:c>
      <x:c r="L99" t="inlineStr">
        <x:is>
          <x:t xml:space="preserve">OPS_STD</x:t>
        </x:is>
      </x:c>
      <x:c r="M99" t="n">
        <x:v>1</x:v>
      </x:c>
      <x:c r="P99" t="inlineStr">
        <x:is>
          <x:t xml:space="preserve">Annex</x:t>
        </x:is>
      </x:c>
      <x:c r="V99" t="inlineStr">
        <x:is>
          <x:t xml:space="preserve">4. Legal, Privacy &amp; Ethics</x:t>
        </x:is>
      </x:c>
      <x:c r="W99" t="inlineStr">
        <x:is>
          <x:t xml:space="preserve">Oversight &amp; Safeguards</x:t>
        </x:is>
      </x:c>
      <x:c r="X99" t="inlineStr">
        <x:is>
          <x:t xml:space="preserve">Monitoring Access Governance</x:t>
        </x:is>
      </x:c>
      <x:c r="Y99" t="n">
        <x:v>0.104</x:v>
      </x:c>
      <x:c r="Z99" t="inlineStr">
        <x:is>
          <x:t xml:space="preserve">similarity</x:t>
        </x:is>
      </x:c>
    </x:row>
    <x:row r="100">
      <x:c r="A100" t="inlineStr">
        <x:is>
          <x:t xml:space="preserve">SEC-D11-Q31</x:t>
        </x:is>
      </x:c>
      <x:c r="B100" t="inlineStr">
        <x:is>
          <x:t xml:space="preserve">Security</x:t>
        </x:is>
      </x:c>
      <x:c r="C100" t="inlineStr">
        <x:is>
          <x:t xml:space="preserve">T3</x:t>
        </x:is>
      </x:c>
      <x:c r="D100" t="inlineStr">
        <x:is>
          <x:t xml:space="preserve">11. Identity &amp; Privilege Correlation (Deep)</x:t>
        </x:is>
      </x:c>
      <x:c r="E100" t="inlineStr">
        <x:is>
          <x:t xml:space="preserve">V</x:t>
        </x:is>
      </x:c>
      <x:c r="F100" t="n">
        <x:v>0.6</x:v>
      </x:c>
      <x:c r="G100" t="inlineStr">
        <x:is>
          <x:t xml:space="preserve">T</x:t>
        </x:is>
      </x:c>
      <x:c r="H100" t="n">
        <x:v>0.4</x:v>
      </x:c>
      <x:c r="I100" t="inlineStr">
        <x:is>
          <x:t xml:space="preserve">Can you reliably link activity in logs to an individual person (not just shared accounts or generic admin IDs)?</x:t>
        </x:is>
      </x:c>
      <x:c r="J100" t="inlineStr">
        <x:is>
          <x:t xml:space="preserve">Look for consistent identity across systems: SSO/MFA, unique admin accounts, and the ability to resolve ‘who was behind’ an action quickly.</x:t>
        </x:is>
      </x:c>
      <x:c r="L100" t="inlineStr">
        <x:is>
          <x:t xml:space="preserve">OPS_STD</x:t>
        </x:is>
      </x:c>
      <x:c r="M100" t="n">
        <x:v>1.5</x:v>
      </x:c>
      <x:c r="N100" t="n">
        <x:v>0.5</x:v>
      </x:c>
      <x:c r="P100" t="inlineStr">
        <x:is>
          <x:t xml:space="preserve">Annex</x:t>
        </x:is>
      </x:c>
      <x:c r="V100" t="inlineStr">
        <x:is>
          <x:t xml:space="preserve">6. Technical Controls</x:t>
        </x:is>
      </x:c>
      <x:c r="W100" t="inlineStr">
        <x:is>
          <x:t xml:space="preserve">Identity &amp; Access</x:t>
        </x:is>
      </x:c>
      <x:c r="X100" t="inlineStr">
        <x:is>
          <x:t xml:space="preserve">MFA/adaptive access &amp; device posture</x:t>
        </x:is>
      </x:c>
      <x:c r="Y100" t="n">
        <x:v>0.082</x:v>
      </x:c>
      <x:c r="Z100" t="inlineStr">
        <x:is>
          <x:t xml:space="preserve">similarity</x:t>
        </x:is>
      </x:c>
    </x:row>
    <x:row r="101">
      <x:c r="A101" t="inlineStr">
        <x:is>
          <x:t xml:space="preserve">SEC-D11-Q32</x:t>
        </x:is>
      </x:c>
      <x:c r="B101" t="inlineStr">
        <x:is>
          <x:t xml:space="preserve">Security</x:t>
        </x:is>
      </x:c>
      <x:c r="C101" t="inlineStr">
        <x:is>
          <x:t xml:space="preserve">T4</x:t>
        </x:is>
      </x:c>
      <x:c r="D101" t="inlineStr">
        <x:is>
          <x:t xml:space="preserve">11. Identity &amp; Privilege Correlation (Deep)</x:t>
        </x:is>
      </x:c>
      <x:c r="E101" t="inlineStr">
        <x:is>
          <x:t xml:space="preserve">T</x:t>
        </x:is>
      </x:c>
      <x:c r="F101" t="n">
        <x:v>0.6</x:v>
      </x:c>
      <x:c r="G101" t="inlineStr">
        <x:is>
          <x:t xml:space="preserve">V</x:t>
        </x:is>
      </x:c>
      <x:c r="H101" t="n">
        <x:v>0.4</x:v>
      </x:c>
      <x:c r="I101" t="inlineStr">
        <x:is>
          <x:t xml:space="preserve">How is privileged/admin access granted and recorded for high‑risk systems?</x:t>
        </x:is>
      </x:c>
      <x:c r="J101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L101" t="inlineStr">
        <x:is>
          <x:t xml:space="preserve">OPS_STD</x:t>
        </x:is>
      </x:c>
      <x:c r="M101" t="n">
        <x:v>1</x:v>
      </x:c>
      <x:c r="P101" t="inlineStr">
        <x:is>
          <x:t xml:space="preserve">Annex</x:t>
        </x:is>
      </x:c>
      <x:c r="V101" t="inlineStr">
        <x:is>
          <x:t xml:space="preserve">6. Technical Controls</x:t>
        </x:is>
      </x:c>
      <x:c r="W101" t="inlineStr">
        <x:is>
          <x:t xml:space="preserve">Identity &amp; Access</x:t>
        </x:is>
      </x:c>
      <x:c r="X101" t="inlineStr">
        <x:is>
          <x:t xml:space="preserve">PAM &amp; privileged session governance</x:t>
        </x:is>
      </x:c>
      <x:c r="Y101" t="n">
        <x:v>0.95</x:v>
      </x:c>
      <x:c r="Z101" t="inlineStr">
        <x:is>
          <x:t xml:space="preserve">override</x:t>
        </x:is>
      </x:c>
    </x:row>
    <x:row r="102">
      <x:c r="A102" t="inlineStr">
        <x:is>
          <x:t xml:space="preserve">SEC-D11-Q33</x:t>
        </x:is>
      </x:c>
      <x:c r="B102" t="inlineStr">
        <x:is>
          <x:t xml:space="preserve">Security</x:t>
        </x:is>
      </x:c>
      <x:c r="C102" t="inlineStr">
        <x:is>
          <x:t xml:space="preserve">T3</x:t>
        </x:is>
      </x:c>
      <x:c r="D102" t="inlineStr">
        <x:is>
          <x:t xml:space="preserve">11. Identity &amp; Privilege Correlation (Deep)</x:t>
        </x:is>
      </x:c>
      <x:c r="E102" t="inlineStr">
        <x:is>
          <x:t xml:space="preserve">E</x:t>
        </x:is>
      </x:c>
      <x:c r="F102" t="n">
        <x:v>0.6</x:v>
      </x:c>
      <x:c r="G102" t="inlineStr">
        <x:is>
          <x:t xml:space="preserve">W</x:t>
        </x:is>
      </x:c>
      <x:c r="H102" t="n">
        <x:v>0.4</x:v>
      </x:c>
      <x:c r="I102" t="inlineStr">
        <x:is>
          <x:t xml:space="preserve">How well do security controls adapt to joiner/mover/leaver changes and sensitive HR events (role changes, resignations, terminations)?</x:t>
        </x:is>
      </x:c>
      <x:c r="J102" t="inlineStr">
        <x:is>
          <x:t xml:space="preserve">This is about control lag: how fast access changes and monitoring adjustments happen when risk changes. Focus on speed and consistency, not intent.</x:t>
        </x:is>
      </x:c>
      <x:c r="L102" t="inlineStr">
        <x:is>
          <x:t xml:space="preserve">OPS_STD</x:t>
        </x:is>
      </x:c>
      <x:c r="M102" t="n">
        <x:v>1</x:v>
      </x:c>
      <x:c r="P102" t="inlineStr">
        <x:is>
          <x:t xml:space="preserve">Annex</x:t>
        </x:is>
      </x:c>
      <x:c r="V102" t="inlineStr">
        <x:is>
          <x:t xml:space="preserve">5. Human-Centric Culture</x:t>
        </x:is>
      </x:c>
      <x:c r="W102" t="inlineStr">
        <x:is>
          <x:t xml:space="preserve">Human Lifecycle</x:t>
        </x:is>
      </x:c>
      <x:c r="X102" t="inlineStr">
        <x:is>
          <x:t xml:space="preserve">Enhanced JML Synchronization</x:t>
        </x:is>
      </x:c>
      <x:c r="Y102" t="n">
        <x:v>0.95</x:v>
      </x:c>
      <x:c r="Z102" t="inlineStr">
        <x:is>
          <x:t xml:space="preserve">override</x:t>
        </x:is>
      </x:c>
    </x:row>
    <x:row r="103">
      <x:c r="A103" t="inlineStr">
        <x:is>
          <x:t xml:space="preserve">SEC-D12-Q34</x:t>
        </x:is>
      </x:c>
      <x:c r="B103" t="inlineStr">
        <x:is>
          <x:t xml:space="preserve">Security</x:t>
        </x:is>
      </x:c>
      <x:c r="C103" t="inlineStr">
        <x:is>
          <x:t xml:space="preserve">T3</x:t>
        </x:is>
      </x:c>
      <x:c r="D103" t="inlineStr">
        <x:is>
          <x:t xml:space="preserve">12. Containment &amp; Response Automation (Deep)</x:t>
        </x:is>
      </x:c>
      <x:c r="E103" t="inlineStr">
        <x:is>
          <x:t xml:space="preserve">R</x:t>
        </x:is>
      </x:c>
      <x:c r="F103" t="n">
        <x:v>0.6</x:v>
      </x:c>
      <x:c r="G103" t="inlineStr">
        <x:is>
          <x:t xml:space="preserve">T</x:t>
        </x:is>
      </x:c>
      <x:c r="H103" t="n">
        <x:v>0.4</x:v>
      </x:c>
      <x:c r="I10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10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L103" t="inlineStr">
        <x:is>
          <x:t xml:space="preserve">OPS_STD</x:t>
        </x:is>
      </x:c>
      <x:c r="M103" t="n">
        <x:v>1.5</x:v>
      </x:c>
      <x:c r="N103" t="n">
        <x:v>0.5</x:v>
      </x:c>
      <x:c r="P103" t="inlineStr">
        <x:is>
          <x:t xml:space="preserve">Annex</x:t>
        </x:is>
      </x:c>
      <x:c r="V103" t="inlineStr">
        <x:is>
          <x:t xml:space="preserve">8. Investigation &amp; Response</x:t>
        </x:is>
      </x:c>
      <x:c r="W103" t="inlineStr">
        <x:is>
          <x:t xml:space="preserve">Incident Action</x:t>
        </x:is>
      </x:c>
      <x:c r="X103" t="inlineStr">
        <x:is>
          <x:t xml:space="preserve">Containment &amp; eradication actions</x:t>
        </x:is>
      </x:c>
      <x:c r="Y103" t="n">
        <x:v>0.95</x:v>
      </x:c>
      <x:c r="Z103" t="inlineStr">
        <x:is>
          <x:t xml:space="preserve">override</x:t>
        </x:is>
      </x:c>
    </x:row>
    <x:row r="104">
      <x:c r="A104" t="inlineStr">
        <x:is>
          <x:t xml:space="preserve">SEC-D12-Q35</x:t>
        </x:is>
      </x:c>
      <x:c r="B104" t="inlineStr">
        <x:is>
          <x:t xml:space="preserve">Security</x:t>
        </x:is>
      </x:c>
      <x:c r="C104" t="inlineStr">
        <x:is>
          <x:t xml:space="preserve">T4</x:t>
        </x:is>
      </x:c>
      <x:c r="D104" t="inlineStr">
        <x:is>
          <x:t xml:space="preserve">12. Containment &amp; Response Automation (Deep)</x:t>
        </x:is>
      </x:c>
      <x:c r="E104" t="inlineStr">
        <x:is>
          <x:t xml:space="preserve">L</x:t>
        </x:is>
      </x:c>
      <x:c r="F104" t="n">
        <x:v>0.6</x:v>
      </x:c>
      <x:c r="G104" t="inlineStr">
        <x:is>
          <x:t xml:space="preserve">R</x:t>
        </x:is>
      </x:c>
      <x:c r="H104" t="n">
        <x:v>0.4</x:v>
      </x:c>
      <x:c r="I104" t="inlineStr">
        <x:is>
          <x:t xml:space="preserve">Do you have predefined, legally reviewed criteria for more intrusive investigation actions (e.g., mailbox review, device seizure, extended monitoring)?</x:t>
        </x:is>
      </x:c>
      <x:c r="J104" t="inlineStr">
        <x:is>
          <x:t xml:space="preserve">Aim: proportionality and defensibility. Who approves, what triggers the action, how privacy/labor requirements are met, and how actions are documented.</x:t>
        </x:is>
      </x:c>
      <x:c r="L104" t="inlineStr">
        <x:is>
          <x:t xml:space="preserve">LEG_STRICT</x:t>
        </x:is>
      </x:c>
      <x:c r="M104" t="n">
        <x:v>1</x:v>
      </x:c>
      <x:c r="P104" t="inlineStr">
        <x:is>
          <x:t xml:space="preserve">Annex</x:t>
        </x:is>
      </x:c>
      <x:c r="V104" t="inlineStr">
        <x:is>
          <x:t xml:space="preserve">4. Legal, Privacy &amp; Ethics</x:t>
        </x:is>
      </x:c>
      <x:c r="W104" t="inlineStr">
        <x:is>
          <x:t xml:space="preserve">Compliance &amp; Policy</x:t>
        </x:is>
      </x:c>
      <x:c r="X104" t="inlineStr">
        <x:is>
          <x:t xml:space="preserve">Works Council / Labor Alignment</x:t>
        </x:is>
      </x:c>
      <x:c r="Y104" t="n">
        <x:v>0.95</x:v>
      </x:c>
      <x:c r="Z104" t="inlineStr">
        <x:is>
          <x:t xml:space="preserve">override</x:t>
        </x:is>
      </x:c>
    </x:row>
    <x:row r="105">
      <x:c r="A105" t="inlineStr">
        <x:is>
          <x:t xml:space="preserve">SEC-D12-Q36</x:t>
        </x:is>
      </x:c>
      <x:c r="B105" t="inlineStr">
        <x:is>
          <x:t xml:space="preserve">Security</x:t>
        </x:is>
      </x:c>
      <x:c r="C105" t="inlineStr">
        <x:is>
          <x:t xml:space="preserve">T3</x:t>
        </x:is>
      </x:c>
      <x:c r="D105" t="inlineStr">
        <x:is>
          <x:t xml:space="preserve">12. Containment &amp; Response Automation (Deep)</x:t>
        </x:is>
      </x:c>
      <x:c r="E105" t="inlineStr">
        <x:is>
          <x:t xml:space="preserve">F</x:t>
        </x:is>
      </x:c>
      <x:c r="F105" t="n">
        <x:v>0.5</x:v>
      </x:c>
      <x:c r="G105" t="inlineStr">
        <x:is>
          <x:t xml:space="preserve">R</x:t>
        </x:is>
      </x:c>
      <x:c r="H105" t="n">
        <x:v>0.5</x:v>
      </x:c>
      <x:c r="I105" t="inlineStr">
        <x:is>
          <x:t xml:space="preserve">When you contain a suspected insider, how do you minimize business disruption and ensure safe rollback (without losing evidence)?</x:t>
        </x:is>
      </x:c>
      <x:c r="J105" t="inlineStr">
        <x:is>
          <x:t xml:space="preserve">Examples: break‑glass controls, staged containment, documented rollback, business owner approvals, and metrics on disruption caused by containment actions.</x:t>
        </x:is>
      </x:c>
      <x:c r="L105" t="inlineStr">
        <x:is>
          <x:t xml:space="preserve">OPS_STD</x:t>
        </x:is>
      </x:c>
      <x:c r="M105" t="n">
        <x:v>1</x:v>
      </x:c>
      <x:c r="P105" t="inlineStr">
        <x:is>
          <x:t xml:space="preserve">Annex</x:t>
        </x:is>
      </x:c>
      <x:c r="V105" t="inlineStr">
        <x:is>
          <x:t xml:space="preserve">8. Investigation &amp; Response</x:t>
        </x:is>
      </x:c>
      <x:c r="W105" t="inlineStr">
        <x:is>
          <x:t xml:space="preserve">Incident Action</x:t>
        </x:is>
      </x:c>
      <x:c r="X105" t="inlineStr">
        <x:is>
          <x:t xml:space="preserve">Containment &amp; eradication actions</x:t>
        </x:is>
      </x:c>
      <x:c r="Y105" t="n">
        <x:v>0.95</x:v>
      </x:c>
      <x:c r="Z105" t="inlineStr">
        <x:is>
          <x:t xml:space="preserve">override</x:t>
        </x:is>
      </x:c>
    </x:row>
    <x:row r="106">
      <x:c r="A106" t="inlineStr">
        <x:is>
          <x:t xml:space="preserve">SEC-D13-Q37</x:t>
        </x:is>
      </x:c>
      <x:c r="B106" t="inlineStr">
        <x:is>
          <x:t xml:space="preserve">Security</x:t>
        </x:is>
      </x:c>
      <x:c r="C106" t="inlineStr">
        <x:is>
          <x:t xml:space="preserve">T3</x:t>
        </x:is>
      </x:c>
      <x:c r="D106" t="inlineStr">
        <x:is>
          <x:t xml:space="preserve">13. Detection Quality &amp; Testing (Deep)</x:t>
        </x:is>
      </x:c>
      <x:c r="E106" t="inlineStr">
        <x:is>
          <x:t xml:space="preserve">E</x:t>
        </x:is>
      </x:c>
      <x:c r="F106" t="n">
        <x:v>0.5</x:v>
      </x:c>
      <x:c r="G106" t="inlineStr">
        <x:is>
          <x:t xml:space="preserve">T</x:t>
        </x:is>
      </x:c>
      <x:c r="H106" t="n">
        <x:v>0.5</x:v>
      </x:c>
      <x:c r="I106" t="inlineStr">
        <x:is>
          <x:t xml:space="preserve">How do you test that insider detections actually work (and still work after changes)?</x:t>
        </x:is>
      </x:c>
      <x:c r="J106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L106" t="inlineStr">
        <x:is>
          <x:t xml:space="preserve">OPS_STD</x:t>
        </x:is>
      </x:c>
      <x:c r="M106" t="n">
        <x:v>1.5</x:v>
      </x:c>
      <x:c r="N106" t="n">
        <x:v>0.5</x:v>
      </x:c>
      <x:c r="P106" t="inlineStr">
        <x:is>
          <x:t xml:space="preserve">Annex</x:t>
        </x:is>
      </x:c>
      <x:c r="V106" t="inlineStr">
        <x:is>
          <x:t xml:space="preserve">9. Performance &amp; Resilience</x:t>
        </x:is>
      </x:c>
      <x:c r="W106" t="inlineStr">
        <x:is>
          <x:t xml:space="preserve">Testing &amp; Exercising</x:t>
        </x:is>
      </x:c>
      <x:c r="X106" t="inlineStr">
        <x:is>
          <x:t xml:space="preserve">Tabletop exercise (TTX) program</x:t>
        </x:is>
      </x:c>
      <x:c r="Y106" t="n">
        <x:v>0.95</x:v>
      </x:c>
      <x:c r="Z106" t="inlineStr">
        <x:is>
          <x:t xml:space="preserve">override</x:t>
        </x:is>
      </x:c>
    </x:row>
    <x:row r="107">
      <x:c r="A107" t="inlineStr">
        <x:is>
          <x:t xml:space="preserve">SEC-D13-Q38</x:t>
        </x:is>
      </x:c>
      <x:c r="B107" t="inlineStr">
        <x:is>
          <x:t xml:space="preserve">Security</x:t>
        </x:is>
      </x:c>
      <x:c r="C107" t="inlineStr">
        <x:is>
          <x:t xml:space="preserve">T4</x:t>
        </x:is>
      </x:c>
      <x:c r="D107" t="inlineStr">
        <x:is>
          <x:t xml:space="preserve">13. Detection Quality &amp; Testing (Deep)</x:t>
        </x:is>
      </x:c>
      <x:c r="E107" t="inlineStr">
        <x:is>
          <x:t xml:space="preserve">E</x:t>
        </x:is>
      </x:c>
      <x:c r="F107" t="n">
        <x:v>0.7</x:v>
      </x:c>
      <x:c r="G107" t="inlineStr">
        <x:is>
          <x:t xml:space="preserve">R</x:t>
        </x:is>
      </x:c>
      <x:c r="H107" t="n">
        <x:v>0.3</x:v>
      </x:c>
      <x:c r="I107" t="inlineStr">
        <x:is>
          <x:t xml:space="preserve">How do you measure and improve triage quality (accuracy, consistency, bias reduction) for insider-related alerts?</x:t>
        </x:is>
      </x:c>
      <x:c r="J107" t="inlineStr">
        <x:is>
          <x:t xml:space="preserve">Think: sampling of closed cases, second‑pair review, blind reviews, clear escalation criteria, and coaching based on measured error patterns.</x:t>
        </x:is>
      </x:c>
      <x:c r="L107" t="inlineStr">
        <x:is>
          <x:t xml:space="preserve">OPS_STD</x:t>
        </x:is>
      </x:c>
      <x:c r="M107" t="n">
        <x:v>1</x:v>
      </x:c>
      <x:c r="P107" t="inlineStr">
        <x:is>
          <x:t xml:space="preserve">Annex</x:t>
        </x:is>
      </x:c>
      <x:c r="V107" t="inlineStr">
        <x:is>
          <x:t xml:space="preserve">7. Behavioral Analytics &amp; Detection</x:t>
        </x:is>
      </x:c>
      <x:c r="W107" t="inlineStr">
        <x:is>
          <x:t xml:space="preserve">Detection Engineering</x:t>
        </x:is>
      </x:c>
      <x:c r="X107" t="inlineStr">
        <x:is>
          <x:t xml:space="preserve">Alert triage workflow &amp; quality management</x:t>
        </x:is>
      </x:c>
      <x:c r="Y107" t="n">
        <x:v>0.135</x:v>
      </x:c>
      <x:c r="Z107" t="inlineStr">
        <x:is>
          <x:t xml:space="preserve">similarity</x:t>
        </x:is>
      </x:c>
    </x:row>
    <x:row r="108">
      <x:c r="A108" t="inlineStr">
        <x:is>
          <x:t xml:space="preserve">SEC-D13-Q39</x:t>
        </x:is>
      </x:c>
      <x:c r="B108" t="inlineStr">
        <x:is>
          <x:t xml:space="preserve">Security</x:t>
        </x:is>
      </x:c>
      <x:c r="C108" t="inlineStr">
        <x:is>
          <x:t xml:space="preserve">T3</x:t>
        </x:is>
      </x:c>
      <x:c r="D108" t="inlineStr">
        <x:is>
          <x:t xml:space="preserve">13. Detection Quality &amp; Testing (Deep)</x:t>
        </x:is>
      </x:c>
      <x:c r="E108" t="inlineStr">
        <x:is>
          <x:t xml:space="preserve">F</x:t>
        </x:is>
      </x:c>
      <x:c r="F108" t="n">
        <x:v>0.5</x:v>
      </x:c>
      <x:c r="G108" t="inlineStr">
        <x:is>
          <x:t xml:space="preserve">T</x:t>
        </x:is>
      </x:c>
      <x:c r="H108" t="n">
        <x:v>0.5</x:v>
      </x:c>
      <x:c r="I108" t="inlineStr">
        <x:is>
          <x:t xml:space="preserve">How do you reduce false positives and ‘alert fatigue’ without losing coverage for high‑value data and high‑risk roles?</x:t>
        </x:is>
      </x:c>
      <x:c r="J108" t="inlineStr">
        <x:is>
          <x:t xml:space="preserve">A mature approach measures business impact, tunes thresholds, uses risk‑based targeting (crown jewels, privileged roles), and documents trade‑offs.</x:t>
        </x:is>
      </x:c>
      <x:c r="L108" t="inlineStr">
        <x:is>
          <x:t xml:space="preserve">OPS_STD</x:t>
        </x:is>
      </x:c>
      <x:c r="M108" t="n">
        <x:v>1</x:v>
      </x:c>
      <x:c r="P108" t="inlineStr">
        <x:is>
          <x:t xml:space="preserve">Annex</x:t>
        </x:is>
      </x:c>
      <x:c r="V108" t="inlineStr">
        <x:is>
          <x:t xml:space="preserve">3. Risk Management</x:t>
        </x:is>
      </x:c>
      <x:c r="W108" t="inlineStr">
        <x:is>
          <x:t xml:space="preserve">Inventory &amp; Scope</x:t>
        </x:is>
      </x:c>
      <x:c r="X108" t="inlineStr">
        <x:is>
          <x:t xml:space="preserve">Crown jewels/HVA identification</x:t>
        </x:is>
      </x:c>
      <x:c r="Y108" t="n">
        <x:v>0.95</x:v>
      </x:c>
      <x:c r="Z108" t="inlineStr">
        <x:is>
          <x:t xml:space="preserve">override</x:t>
        </x:is>
      </x:c>
    </x:row>
    <x:row r="109">
      <x:c r="A109" t="inlineStr">
        <x:is>
          <x:t xml:space="preserve">SEC-D14-Q40</x:t>
        </x:is>
      </x:c>
      <x:c r="B109" t="inlineStr">
        <x:is>
          <x:t xml:space="preserve">Security</x:t>
        </x:is>
      </x:c>
      <x:c r="C109" t="inlineStr">
        <x:is>
          <x:t xml:space="preserve">T3</x:t>
        </x:is>
      </x:c>
      <x:c r="D109" t="inlineStr">
        <x:is>
          <x:t xml:space="preserve">14. Cloud &amp; SaaS Monitoring (Deep)</x:t>
        </x:is>
      </x:c>
      <x:c r="E109" t="inlineStr">
        <x:is>
          <x:t xml:space="preserve">V</x:t>
        </x:is>
      </x:c>
      <x:c r="F109" t="n">
        <x:v>0.5</x:v>
      </x:c>
      <x:c r="G109" t="inlineStr">
        <x:is>
          <x:t xml:space="preserve">T</x:t>
        </x:is>
      </x:c>
      <x:c r="H109" t="n">
        <x:v>0.5</x:v>
      </x:c>
      <x:c r="I109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109" t="inlineStr">
        <x:is>
          <x:t xml:space="preserve">Focus on whether you can see risky sharing (external links, mass downloads, unusual access), and whether those logs are centralized and retained.</x:t>
        </x:is>
      </x:c>
      <x:c r="L109" t="inlineStr">
        <x:is>
          <x:t xml:space="preserve">OPS_STD</x:t>
        </x:is>
      </x:c>
      <x:c r="M109" t="n">
        <x:v>1</x:v>
      </x:c>
      <x:c r="P109" t="inlineStr">
        <x:is>
          <x:t xml:space="preserve">Annex</x:t>
        </x:is>
      </x:c>
      <x:c r="V109" t="inlineStr">
        <x:is>
          <x:t xml:space="preserve">3. Risk Management</x:t>
        </x:is>
      </x:c>
      <x:c r="W109" t="inlineStr">
        <x:is>
          <x:t xml:space="preserve">Inventory &amp; Scope</x:t>
        </x:is>
      </x:c>
      <x:c r="X109" t="inlineStr">
        <x:is>
          <x:t xml:space="preserve">Crown jewels/HVA identification</x:t>
        </x:is>
      </x:c>
      <x:c r="Y109" t="n">
        <x:v>0.95</x:v>
      </x:c>
      <x:c r="Z109" t="inlineStr">
        <x:is>
          <x:t xml:space="preserve">override</x:t>
        </x:is>
      </x:c>
    </x:row>
    <x:row r="110">
      <x:c r="A110" t="inlineStr">
        <x:is>
          <x:t xml:space="preserve">SEC-D14-Q41</x:t>
        </x:is>
      </x:c>
      <x:c r="B110" t="inlineStr">
        <x:is>
          <x:t xml:space="preserve">Security</x:t>
        </x:is>
      </x:c>
      <x:c r="C110" t="inlineStr">
        <x:is>
          <x:t xml:space="preserve">T4</x:t>
        </x:is>
      </x:c>
      <x:c r="D110" t="inlineStr">
        <x:is>
          <x:t xml:space="preserve">14. Cloud &amp; SaaS Monitoring (Deep)</x:t>
        </x:is>
      </x:c>
      <x:c r="E110" t="inlineStr">
        <x:is>
          <x:t xml:space="preserve">V</x:t>
        </x:is>
      </x:c>
      <x:c r="F110" t="n">
        <x:v>0.6</x:v>
      </x:c>
      <x:c r="G110" t="inlineStr">
        <x:is>
          <x:t xml:space="preserve">F</x:t>
        </x:is>
      </x:c>
      <x:c r="H110" t="n">
        <x:v>0.4</x:v>
      </x:c>
      <x:c r="I110" t="inlineStr">
        <x:is>
          <x:t xml:space="preserve">Are data-loss / risky-sharing controls tuned to ‘what matters most’ (crown jewels) rather than blanket blocking that drives workarounds?</x:t>
        </x:is>
      </x:c>
      <x:c r="J110" t="inlineStr">
        <x:is>
          <x:t xml:space="preserve">Look for risk-based policies: stronger controls for sensitive repositories and high‑risk roles, measured business impact, and documented exceptions.</x:t>
        </x:is>
      </x:c>
      <x:c r="L110" t="inlineStr">
        <x:is>
          <x:t xml:space="preserve">OPS_STD</x:t>
        </x:is>
      </x:c>
      <x:c r="M110" t="n">
        <x:v>1</x:v>
      </x:c>
      <x:c r="P110" t="inlineStr">
        <x:is>
          <x:t xml:space="preserve">Annex</x:t>
        </x:is>
      </x:c>
      <x:c r="V110" t="inlineStr">
        <x:is>
          <x:t xml:space="preserve">3. Risk Management</x:t>
        </x:is>
      </x:c>
      <x:c r="W110" t="inlineStr">
        <x:is>
          <x:t xml:space="preserve">Inventory &amp; Scope</x:t>
        </x:is>
      </x:c>
      <x:c r="X110" t="inlineStr">
        <x:is>
          <x:t xml:space="preserve">Crown jewels/HVA identification</x:t>
        </x:is>
      </x:c>
      <x:c r="Y110" t="n">
        <x:v>0.95</x:v>
      </x:c>
      <x:c r="Z110" t="inlineStr">
        <x:is>
          <x:t xml:space="preserve">override</x:t>
        </x:is>
      </x:c>
    </x:row>
    <x:row r="111">
      <x:c r="A111" t="inlineStr">
        <x:is>
          <x:t xml:space="preserve">LEG-D1-Q01</x:t>
        </x:is>
      </x:c>
      <x:c r="C111" t="inlineStr">
        <x:is>
          <x:t xml:space="preserve">T1</x:t>
        </x:is>
      </x:c>
      <x:c r="D111" t="inlineStr">
        <x:is>
          <x:t xml:space="preserve">4. Legal &amp; Privacy</x:t>
        </x:is>
      </x:c>
      <x:c r="E111" t="inlineStr">
        <x:is>
          <x:t xml:space="preserve">L</x:t>
        </x:is>
      </x:c>
      <x:c r="F111" t="n">
        <x:v>0.8</x:v>
      </x:c>
      <x:c r="G111" t="inlineStr">
        <x:is>
          <x:t xml:space="preserve">G</x:t>
        </x:is>
      </x:c>
      <x:c r="H111" t="n">
        <x:v>0.2</x:v>
      </x:c>
      <x:c r="I111" t="inlineStr">
        <x:is>
          <x:t xml:space="preserve">Do we have a clear, written basis for monitoring staff activity on company systems (what we monitor, why, and who approves it)?</x:t>
        </x:is>
      </x:c>
      <x:c r="J111" t="inlineStr">
        <x:is>
          <x:t xml:space="preserve">Think: written policy/notice, lawful basis, purpose limits, and a named approval owner (not just ‘we can because IT can’).</x:t>
        </x:is>
      </x:c>
      <x:c r="L111" t="inlineStr">
        <x:is>
          <x:t xml:space="preserve">LEG_STRICT</x:t>
        </x:is>
      </x:c>
      <x:c r="M111" t="n">
        <x:v>1.5</x:v>
      </x:c>
      <x:c r="N111" t="n">
        <x:v>0.5</x:v>
      </x:c>
      <x:c r="P111" t="inlineStr">
        <x:is>
          <x:t xml:space="preserve">Gatekeeper</x:t>
        </x:is>
      </x:c>
      <x:c r="Q111" t="n">
        <x:v>2</x:v>
      </x:c>
      <x:c r="R111" t="inlineStr">
        <x:is>
          <x:t xml:space="preserve">LEG-D1-Q02</x:t>
        </x:is>
      </x:c>
      <x:c r="S111" t="inlineStr">
        <x:is>
          <x:t xml:space="preserve">LEG-D1-Q03</x:t>
        </x:is>
      </x:c>
      <x:c r="V111" t="inlineStr">
        <x:is>
          <x:t xml:space="preserve">4. Legal, Privacy &amp; Ethics</x:t>
        </x:is>
      </x:c>
      <x:c r="W111" t="inlineStr">
        <x:is>
          <x:t xml:space="preserve">Oversight &amp; Safeguards</x:t>
        </x:is>
      </x:c>
      <x:c r="X111" t="inlineStr">
        <x:is>
          <x:t xml:space="preserve">Monitoring Access Governance</x:t>
        </x:is>
      </x:c>
      <x:c r="Y111" t="n">
        <x:v>0.106</x:v>
      </x:c>
      <x:c r="Z111" t="inlineStr">
        <x:is>
          <x:t xml:space="preserve">similarity</x:t>
        </x:is>
      </x:c>
    </x:row>
    <x:row r="112">
      <x:c r="A112" t="inlineStr">
        <x:is>
          <x:t xml:space="preserve">LEG-D1-Q02</x:t>
        </x:is>
      </x:c>
      <x:c r="C112" t="inlineStr">
        <x:is>
          <x:t xml:space="preserve">T2</x:t>
        </x:is>
      </x:c>
      <x:c r="D112" t="inlineStr">
        <x:is>
          <x:t xml:space="preserve">4. Legal &amp; Privacy</x:t>
        </x:is>
      </x:c>
      <x:c r="E112" t="inlineStr">
        <x:is>
          <x:t xml:space="preserve">L</x:t>
        </x:is>
      </x:c>
      <x:c r="F112" t="n">
        <x:v>0.5</x:v>
      </x:c>
      <x:c r="G112" t="inlineStr">
        <x:is>
          <x:t xml:space="preserve">H</x:t>
        </x:is>
      </x:c>
      <x:c r="H112" t="n">
        <x:v>0.5</x:v>
      </x:c>
      <x:c r="I112" t="inlineStr">
        <x:is>
          <x:t xml:space="preserve">(Shadow probe) Even without a formal policy, do managers/IT ever “check” email, messages, files, or logs when something feels wrong?</x:t>
        </x:is>
      </x:c>
      <x:c r="J112" t="inlineStr">
        <x:is>
          <x:t xml:space="preserve">This is about real practice. If it happens, the key question is whether it’s controlled and fair.</x:t>
        </x:is>
      </x:c>
      <x:c r="L112" t="inlineStr">
        <x:is>
          <x:t xml:space="preserve">LEG_STRICT</x:t>
        </x:is>
      </x:c>
      <x:c r="M112" t="n">
        <x:v>1</x:v>
      </x:c>
      <x:c r="P112" t="inlineStr">
        <x:is>
          <x:t xml:space="preserve">ShadowProbe</x:t>
        </x:is>
      </x:c>
      <x:c r="T112" t="inlineStr">
        <x:is>
          <x:t xml:space="preserve">LEG-D1-Q03</x:t>
        </x:is>
      </x:c>
      <x:c r="V112" t="inlineStr">
        <x:is>
          <x:t xml:space="preserve">4. Legal, Privacy &amp; Ethics</x:t>
        </x:is>
      </x:c>
      <x:c r="W112" t="inlineStr">
        <x:is>
          <x:t xml:space="preserve">Compliance &amp; Policy</x:t>
        </x:is>
      </x:c>
      <x:c r="X112" t="inlineStr">
        <x:is>
          <x:t xml:space="preserve">Policy &amp; Standards Suite</x:t>
        </x:is>
      </x:c>
      <x:c r="Y112" t="n">
        <x:v>0.065</x:v>
      </x:c>
      <x:c r="Z112" t="inlineStr">
        <x:is>
          <x:t xml:space="preserve">similarity</x:t>
        </x:is>
      </x:c>
    </x:row>
    <x:row r="113">
      <x:c r="A113" t="inlineStr">
        <x:is>
          <x:t xml:space="preserve">LEG-D1-Q03</x:t>
        </x:is>
      </x:c>
      <x:c r="C113" t="inlineStr">
        <x:is>
          <x:t xml:space="preserve">T2</x:t>
        </x:is>
      </x:c>
      <x:c r="D113" t="inlineStr">
        <x:is>
          <x:t xml:space="preserve">4. Legal &amp; Privacy</x:t>
        </x:is>
      </x:c>
      <x:c r="E113" t="inlineStr">
        <x:is>
          <x:t xml:space="preserve">L</x:t>
        </x:is>
      </x:c>
      <x:c r="F113" t="n">
        <x:v>1</x:v>
      </x:c>
      <x:c r="G113" t="inlineStr">
        <x:is>
          <x:t xml:space="preserve">-</x:t>
        </x:is>
      </x:c>
      <x:c r="I113" t="inlineStr">
        <x:is>
          <x:t xml:space="preserve">When monitoring is used, is it designed to be proportionate (least intrusive) and tiered based on risk and access level?</x:t>
        </x:is>
      </x:c>
      <x:c r="J113" t="inlineStr">
        <x:is>
          <x:t xml:space="preserve">Example: higher scrutiny for privileged admins/high-value access; lower for standard staff. Avoid “one-size-fits-all”.</x:t>
        </x:is>
      </x:c>
      <x:c r="L113" t="inlineStr">
        <x:is>
          <x:t xml:space="preserve">LEG_STRICT</x:t>
        </x:is>
      </x:c>
      <x:c r="M113" t="n">
        <x:v>1.3</x:v>
      </x:c>
      <x:c r="N113" t="n">
        <x:v>0.5</x:v>
      </x:c>
      <x:c r="P113" t="inlineStr">
        <x:is>
          <x:t xml:space="preserve">Drilldown</x:t>
        </x:is>
      </x:c>
      <x:c r="T113" t="inlineStr">
        <x:is>
          <x:t xml:space="preserve">LEG-D1-Q04</x:t>
        </x:is>
      </x:c>
      <x:c r="V113" t="inlineStr">
        <x:is>
          <x:t xml:space="preserve">3. Risk Management</x:t>
        </x:is>
      </x:c>
      <x:c r="W113" t="inlineStr">
        <x:is>
          <x:t xml:space="preserve">Inventory &amp; Scope</x:t>
        </x:is>
      </x:c>
      <x:c r="X113" t="inlineStr">
        <x:is>
          <x:t xml:space="preserve">Crown jewels/HVA identification</x:t>
        </x:is>
      </x:c>
      <x:c r="Y113" t="n">
        <x:v>0.95</x:v>
      </x:c>
      <x:c r="Z113" t="inlineStr">
        <x:is>
          <x:t xml:space="preserve">override</x:t>
        </x:is>
      </x:c>
    </x:row>
    <x:row r="114">
      <x:c r="A114" t="inlineStr">
        <x:is>
          <x:t xml:space="preserve">LEG-D1-Q04</x:t>
        </x:is>
      </x:c>
      <x:c r="C114" t="inlineStr">
        <x:is>
          <x:t xml:space="preserve">T1</x:t>
        </x:is>
      </x:c>
      <x:c r="D114" t="inlineStr">
        <x:is>
          <x:t xml:space="preserve">4. Legal &amp; Privacy</x:t>
        </x:is>
      </x:c>
      <x:c r="E114" t="inlineStr">
        <x:is>
          <x:t xml:space="preserve">L</x:t>
        </x:is>
      </x:c>
      <x:c r="F114" t="n">
        <x:v>0.6</x:v>
      </x:c>
      <x:c r="G114" t="inlineStr">
        <x:is>
          <x:t xml:space="preserve">H</x:t>
        </x:is>
      </x:c>
      <x:c r="H114" t="n">
        <x:v>0.4</x:v>
      </x:c>
      <x:c r="I114" t="inlineStr">
        <x:is>
          <x:t xml:space="preserve">Are employees told in plain language what monitoring exists and how monitoring data may be used (HR, investigations, legal)?</x:t>
        </x:is>
      </x:c>
      <x:c r="J114" t="inlineStr">
        <x:is>
          <x:t xml:space="preserve">Look for simple notices/training, not just legal text buried in contracts.</x:t>
        </x:is>
      </x:c>
      <x:c r="L114" t="inlineStr">
        <x:is>
          <x:t xml:space="preserve">LEG_STRICT</x:t>
        </x:is>
      </x:c>
      <x:c r="M114" t="n">
        <x:v>1.2</x:v>
      </x:c>
      <x:c r="N114" t="n">
        <x:v>0.5</x:v>
      </x:c>
      <x:c r="P114" t="inlineStr">
        <x:is>
          <x:t xml:space="preserve">Gatekeeper</x:t>
        </x:is>
      </x:c>
      <x:c r="Q114" t="n">
        <x:v>2</x:v>
      </x:c>
      <x:c r="R114" t="inlineStr">
        <x:is>
          <x:t xml:space="preserve">LEG-D1-Q05</x:t>
        </x:is>
      </x:c>
      <x:c r="S114" t="inlineStr">
        <x:is>
          <x:t xml:space="preserve">LEG-D1-Q06</x:t>
        </x:is>
      </x:c>
      <x:c r="V114" t="inlineStr">
        <x:is>
          <x:t xml:space="preserve">8. Investigation &amp; Response</x:t>
        </x:is>
      </x:c>
      <x:c r="W114" t="inlineStr">
        <x:is>
          <x:t xml:space="preserve">Operational Readiness</x:t>
        </x:is>
      </x:c>
      <x:c r="X114" t="inlineStr">
        <x:is>
          <x:t xml:space="preserve">Privacy guardrails for investigations</x:t>
        </x:is>
      </x:c>
      <x:c r="Y114" t="n">
        <x:v>0.098</x:v>
      </x:c>
      <x:c r="Z114" t="inlineStr">
        <x:is>
          <x:t xml:space="preserve">similarity</x:t>
        </x:is>
      </x:c>
    </x:row>
    <x:row r="115">
      <x:c r="A115" t="inlineStr">
        <x:is>
          <x:t xml:space="preserve">LEG-D1-Q05</x:t>
        </x:is>
      </x:c>
      <x:c r="C115" t="inlineStr">
        <x:is>
          <x:t xml:space="preserve">T2</x:t>
        </x:is>
      </x:c>
      <x:c r="D115" t="inlineStr">
        <x:is>
          <x:t xml:space="preserve">4. Legal &amp; Privacy</x:t>
        </x:is>
      </x:c>
      <x:c r="E115" t="inlineStr">
        <x:is>
          <x:t xml:space="preserve">L</x:t>
        </x:is>
      </x:c>
      <x:c r="F115" t="n">
        <x:v>0.5</x:v>
      </x:c>
      <x:c r="G115" t="inlineStr">
        <x:is>
          <x:t xml:space="preserve">H</x:t>
        </x:is>
      </x:c>
      <x:c r="H115" t="n">
        <x:v>0.5</x:v>
      </x:c>
      <x:c r="I115" t="inlineStr">
        <x:is>
          <x:t xml:space="preserve">Where required, do we engage employee representatives/works council before launching or changing monitoring?</x:t>
        </x:is>
      </x:c>
      <x:c r="J115" t="inlineStr">
        <x:is>
          <x:t xml:space="preserve">If you don’t have a works council, answer based on equivalent employee/union engagement expectations in your jurisdictions.</x:t>
        </x:is>
      </x:c>
      <x:c r="L115" t="inlineStr">
        <x:is>
          <x:t xml:space="preserve">LEG_STRICT</x:t>
        </x:is>
      </x:c>
      <x:c r="M115" t="n">
        <x:v>1</x:v>
      </x:c>
      <x:c r="P115" t="inlineStr">
        <x:is>
          <x:t xml:space="preserve">Drilldown</x:t>
        </x:is>
      </x:c>
      <x:c r="T115" t="inlineStr">
        <x:is>
          <x:t xml:space="preserve">LEG-D1-Q06</x:t>
        </x:is>
      </x:c>
      <x:c r="V115" t="inlineStr">
        <x:is>
          <x:t xml:space="preserve">4. Legal, Privacy &amp; Ethics</x:t>
        </x:is>
      </x:c>
      <x:c r="W115" t="inlineStr">
        <x:is>
          <x:t xml:space="preserve">Compliance &amp; Policy</x:t>
        </x:is>
      </x:c>
      <x:c r="X115" t="inlineStr">
        <x:is>
          <x:t xml:space="preserve">Works Council / Labor Alignment</x:t>
        </x:is>
      </x:c>
      <x:c r="Y115" t="n">
        <x:v>0.95</x:v>
      </x:c>
      <x:c r="Z115" t="inlineStr">
        <x:is>
          <x:t xml:space="preserve">override</x:t>
        </x:is>
      </x:c>
    </x:row>
    <x:row r="116">
      <x:c r="A116" t="inlineStr">
        <x:is>
          <x:t xml:space="preserve">LEG-D1-Q06</x:t>
        </x:is>
      </x:c>
      <x:c r="C116" t="inlineStr">
        <x:is>
          <x:t xml:space="preserve">T2</x:t>
        </x:is>
      </x:c>
      <x:c r="D116" t="inlineStr">
        <x:is>
          <x:t xml:space="preserve">4. Legal &amp; Privacy</x:t>
        </x:is>
      </x:c>
      <x:c r="E116" t="inlineStr">
        <x:is>
          <x:t xml:space="preserve">L</x:t>
        </x:is>
      </x:c>
      <x:c r="F116" t="n">
        <x:v>1</x:v>
      </x:c>
      <x:c r="G116" t="inlineStr">
        <x:is>
          <x:t xml:space="preserve">-</x:t>
        </x:is>
      </x:c>
      <x:c r="I116" t="inlineStr">
        <x:is>
          <x:t xml:space="preserve">Do we perform a privacy/impact assessment (e.g., DPIA/LIA) for employee monitoring and keep it updated?</x:t>
        </x:is>
      </x:c>
      <x:c r="J116" t="inlineStr">
        <x:is>
          <x:t xml:space="preserve">If you’re not in GDPR regions, think equivalent: documented assessment of necessity, proportionality, and safeguards.</x:t>
        </x:is>
      </x:c>
      <x:c r="L116" t="inlineStr">
        <x:is>
          <x:t xml:space="preserve">LEG_STRICT</x:t>
        </x:is>
      </x:c>
      <x:c r="M116" t="n">
        <x:v>1.2</x:v>
      </x:c>
      <x:c r="N116" t="n">
        <x:v>0.5</x:v>
      </x:c>
      <x:c r="P116" t="inlineStr">
        <x:is>
          <x:t xml:space="preserve">Drilldown</x:t>
        </x:is>
      </x:c>
      <x:c r="T116" t="inlineStr">
        <x:is>
          <x:t xml:space="preserve">LEG-D2-Q07</x:t>
        </x:is>
      </x:c>
      <x:c r="V116" t="inlineStr">
        <x:is>
          <x:t xml:space="preserve">4. Legal, Privacy &amp; Ethics</x:t>
        </x:is>
      </x:c>
      <x:c r="W116" t="inlineStr">
        <x:is>
          <x:t xml:space="preserve">Privacy Engineering</x:t>
        </x:is>
      </x:c>
      <x:c r="X116" t="inlineStr">
        <x:is>
          <x:t xml:space="preserve">DPIA/PIA per Use-Case</x:t>
        </x:is>
      </x:c>
      <x:c r="Y116" t="n">
        <x:v>0.95</x:v>
      </x:c>
      <x:c r="Z116" t="inlineStr">
        <x:is>
          <x:t xml:space="preserve">override</x:t>
        </x:is>
      </x:c>
    </x:row>
    <x:row r="117">
      <x:c r="A117" t="inlineStr">
        <x:is>
          <x:t xml:space="preserve">LEG-D2-Q07</x:t>
        </x:is>
      </x:c>
      <x:c r="C117" t="inlineStr">
        <x:is>
          <x:t xml:space="preserve">T1</x:t>
        </x:is>
      </x:c>
      <x:c r="D117" t="inlineStr">
        <x:is>
          <x:t xml:space="preserve">4. Legal &amp; Privacy</x:t>
        </x:is>
      </x:c>
      <x:c r="E117" t="inlineStr">
        <x:is>
          <x:t xml:space="preserve">L</x:t>
        </x:is>
      </x:c>
      <x:c r="F117" t="n">
        <x:v>0.7</x:v>
      </x:c>
      <x:c r="G117" t="inlineStr">
        <x:is>
          <x:t xml:space="preserve">T</x:t>
        </x:is>
      </x:c>
      <x:c r="H117" t="n">
        <x:v>0.3</x:v>
      </x:c>
      <x:c r="I117" t="inlineStr">
        <x:is>
          <x:t xml:space="preserve">Is access to monitoring data restricted (need-to-know), logged, and separated from day-to-day IT admin access?</x:t>
        </x:is>
      </x:c>
      <x:c r="J117" t="inlineStr">
        <x:is>
          <x:t xml:space="preserve">Example: separate case team access; access logs reviewed; no shared accounts; approvals required for searches.</x:t>
        </x:is>
      </x:c>
      <x:c r="L117" t="inlineStr">
        <x:is>
          <x:t xml:space="preserve">LEG_STRICT</x:t>
        </x:is>
      </x:c>
      <x:c r="M117" t="n">
        <x:v>1.4</x:v>
      </x:c>
      <x:c r="N117" t="n">
        <x:v>0.5</x:v>
      </x:c>
      <x:c r="P117" t="inlineStr">
        <x:is>
          <x:t xml:space="preserve">Gatekeeper</x:t>
        </x:is>
      </x:c>
      <x:c r="Q117" t="n">
        <x:v>2</x:v>
      </x:c>
      <x:c r="R117" t="inlineStr">
        <x:is>
          <x:t xml:space="preserve">LEG-D2-Q08</x:t>
        </x:is>
      </x:c>
      <x:c r="S117" t="inlineStr">
        <x:is>
          <x:t xml:space="preserve">LEG-D2-Q09</x:t>
        </x:is>
      </x:c>
      <x:c r="T117" t="inlineStr">
        <x:is>
          <x:t xml:space="preserve">LEG-D2-Q08</x:t>
        </x:is>
      </x:c>
      <x:c r="V117" t="inlineStr">
        <x:is>
          <x:t xml:space="preserve">4. Legal, Privacy &amp; Ethics</x:t>
        </x:is>
      </x:c>
      <x:c r="W117" t="inlineStr">
        <x:is>
          <x:t xml:space="preserve">Oversight &amp; Safeguards</x:t>
        </x:is>
      </x:c>
      <x:c r="X117" t="inlineStr">
        <x:is>
          <x:t xml:space="preserve">Monitoring Access Governance</x:t>
        </x:is>
      </x:c>
      <x:c r="Y117" t="n">
        <x:v>0.95</x:v>
      </x:c>
      <x:c r="Z117" t="inlineStr">
        <x:is>
          <x:t xml:space="preserve">override</x:t>
        </x:is>
      </x:c>
    </x:row>
    <x:row r="118">
      <x:c r="A118" t="inlineStr">
        <x:is>
          <x:t xml:space="preserve">LEG-D2-Q08</x:t>
        </x:is>
      </x:c>
      <x:c r="C118" t="inlineStr">
        <x:is>
          <x:t xml:space="preserve">T2</x:t>
        </x:is>
      </x:c>
      <x:c r="D118" t="inlineStr">
        <x:is>
          <x:t xml:space="preserve">4. Legal &amp; Privacy</x:t>
        </x:is>
      </x:c>
      <x:c r="E118" t="inlineStr">
        <x:is>
          <x:t xml:space="preserve">L</x:t>
        </x:is>
      </x:c>
      <x:c r="F118" t="n">
        <x:v>1</x:v>
      </x:c>
      <x:c r="G118" t="inlineStr">
        <x:is>
          <x:t xml:space="preserve">-</x:t>
        </x:is>
      </x:c>
      <x:c r="I118" t="inlineStr">
        <x:is>
          <x:t xml:space="preserve">Do we have clear retention limits for monitoring data (and a way to delete it) while preserving evidence for active cases?</x:t>
        </x:is>
      </x:c>
      <x:c r="J118" t="inlineStr">
        <x:is>
          <x:t xml:space="preserve">Look for: retention schedule + case hold process.</x:t>
        </x:is>
      </x:c>
      <x:c r="L118" t="inlineStr">
        <x:is>
          <x:t xml:space="preserve">LEG_STRICT</x:t>
        </x:is>
      </x:c>
      <x:c r="M118" t="n">
        <x:v>1.2</x:v>
      </x:c>
      <x:c r="P118" t="inlineStr">
        <x:is>
          <x:t xml:space="preserve">Drilldown</x:t>
        </x:is>
      </x:c>
      <x:c r="T118" t="inlineStr">
        <x:is>
          <x:t xml:space="preserve">LEG-D2-Q09</x:t>
        </x:is>
      </x:c>
      <x:c r="V118" t="inlineStr">
        <x:is>
          <x:t xml:space="preserve">4. Legal, Privacy &amp; Ethics</x:t>
        </x:is>
      </x:c>
      <x:c r="W118" t="inlineStr">
        <x:is>
          <x:t xml:space="preserve">Privacy Engineering</x:t>
        </x:is>
      </x:c>
      <x:c r="X118" t="inlineStr">
        <x:is>
          <x:t xml:space="preserve">Retention, Purging &amp; Legal Hold</x:t>
        </x:is>
      </x:c>
      <x:c r="Y118" t="n">
        <x:v>0.95</x:v>
      </x:c>
      <x:c r="Z118" t="inlineStr">
        <x:is>
          <x:t xml:space="preserve">override</x:t>
        </x:is>
      </x:c>
    </x:row>
    <x:row r="119">
      <x:c r="A119" t="inlineStr">
        <x:is>
          <x:t xml:space="preserve">LEG-D2-Q09</x:t>
        </x:is>
      </x:c>
      <x:c r="C119" t="inlineStr">
        <x:is>
          <x:t xml:space="preserve">T1</x:t>
        </x:is>
      </x:c>
      <x:c r="D119" t="inlineStr">
        <x:is>
          <x:t xml:space="preserve">4. Legal &amp; Privacy</x:t>
        </x:is>
      </x:c>
      <x:c r="E119" t="inlineStr">
        <x:is>
          <x:t xml:space="preserve">L</x:t>
        </x:is>
      </x:c>
      <x:c r="F119" t="n">
        <x:v>0.8</x:v>
      </x:c>
      <x:c r="G119" t="inlineStr">
        <x:is>
          <x:t xml:space="preserve">V</x:t>
        </x:is>
      </x:c>
      <x:c r="H119" t="n">
        <x:v>0.2</x:v>
      </x:c>
      <x:c r="I119" t="inlineStr">
        <x:is>
          <x:t xml:space="preserve">Do we know where monitoring data/logs are stored (countries/cloud regions) and control cross-border transfers?</x:t>
        </x:is>
      </x:c>
      <x:c r="J119" t="inlineStr">
        <x:is>
          <x:t xml:space="preserve">This includes SaaS logs, SIEM, case management, and any outsourced SOC tooling.</x:t>
        </x:is>
      </x:c>
      <x:c r="L119" t="inlineStr">
        <x:is>
          <x:t xml:space="preserve">LEG_STRICT</x:t>
        </x:is>
      </x:c>
      <x:c r="M119" t="n">
        <x:v>1.2</x:v>
      </x:c>
      <x:c r="P119" t="inlineStr">
        <x:is>
          <x:t xml:space="preserve">Gatekeeper</x:t>
        </x:is>
      </x:c>
      <x:c r="Q119" t="n">
        <x:v>2</x:v>
      </x:c>
      <x:c r="R119" t="inlineStr">
        <x:is>
          <x:t xml:space="preserve">LEG-D2-Q10</x:t>
        </x:is>
      </x:c>
      <x:c r="S119" t="inlineStr">
        <x:is>
          <x:t xml:space="preserve">LEG-D3-Q11</x:t>
        </x:is>
      </x:c>
      <x:c r="T119" t="inlineStr">
        <x:is>
          <x:t xml:space="preserve">LEG-D2-Q10</x:t>
        </x:is>
      </x:c>
      <x:c r="V119" t="inlineStr">
        <x:is>
          <x:t xml:space="preserve">8. Investigation &amp; Response</x:t>
        </x:is>
      </x:c>
      <x:c r="W119" t="inlineStr">
        <x:is>
          <x:t xml:space="preserve">Operational Readiness</x:t>
        </x:is>
      </x:c>
      <x:c r="X119" t="inlineStr">
        <x:is>
          <x:t xml:space="preserve">Case management (process + tooling)</x:t>
        </x:is>
      </x:c>
      <x:c r="Y119" t="n">
        <x:v>0.95</x:v>
      </x:c>
      <x:c r="Z119" t="inlineStr">
        <x:is>
          <x:t xml:space="preserve">override</x:t>
        </x:is>
      </x:c>
    </x:row>
    <x:row r="120">
      <x:c r="A120" t="inlineStr">
        <x:is>
          <x:t xml:space="preserve">LEG-D2-Q10</x:t>
        </x:is>
      </x:c>
      <x:c r="C120" t="inlineStr">
        <x:is>
          <x:t xml:space="preserve">T2</x:t>
        </x:is>
      </x:c>
      <x:c r="D120" t="inlineStr">
        <x:is>
          <x:t xml:space="preserve">4. Legal &amp; Privacy</x:t>
        </x:is>
      </x:c>
      <x:c r="E120" t="inlineStr">
        <x:is>
          <x:t xml:space="preserve">L</x:t>
        </x:is>
      </x:c>
      <x:c r="F120" t="n">
        <x:v>1</x:v>
      </x:c>
      <x:c r="G120" t="inlineStr">
        <x:is>
          <x:t xml:space="preserve">-</x:t>
        </x:is>
      </x:c>
      <x:c r="I120" t="inlineStr">
        <x:is>
          <x:t xml:space="preserve">Can we handle employee requests/complaints about monitoring (e.g., access requests) without breaking investigations or trust?</x:t>
        </x:is>
      </x:c>
      <x:c r="J120" t="inlineStr">
        <x:is>
          <x:t xml:space="preserve">Think: defined process, separation of duties, and clear communications.</x:t>
        </x:is>
      </x:c>
      <x:c r="L120" t="inlineStr">
        <x:is>
          <x:t xml:space="preserve">LEG_STRICT</x:t>
        </x:is>
      </x:c>
      <x:c r="M120" t="n">
        <x:v>1</x:v>
      </x:c>
      <x:c r="P120" t="inlineStr">
        <x:is>
          <x:t xml:space="preserve">Drilldown</x:t>
        </x:is>
      </x:c>
      <x:c r="T120" t="inlineStr">
        <x:is>
          <x:t xml:space="preserve">LEG-D3-Q11</x:t>
        </x:is>
      </x:c>
      <x:c r="V120" t="inlineStr">
        <x:is>
          <x:t xml:space="preserve">4. Legal, Privacy &amp; Ethics</x:t>
        </x:is>
      </x:c>
      <x:c r="W120" t="inlineStr">
        <x:is>
          <x:t xml:space="preserve">Oversight &amp; Safeguards</x:t>
        </x:is>
      </x:c>
      <x:c r="X120" t="inlineStr">
        <x:is>
          <x:t xml:space="preserve">Monitoring Access Governance</x:t>
        </x:is>
      </x:c>
      <x:c r="Y120" t="n">
        <x:v>0.175</x:v>
      </x:c>
      <x:c r="Z120" t="inlineStr">
        <x:is>
          <x:t xml:space="preserve">similarity</x:t>
        </x:is>
      </x:c>
    </x:row>
    <x:row r="121">
      <x:c r="A121" t="inlineStr">
        <x:is>
          <x:t xml:space="preserve">LEG-D3-Q11</x:t>
        </x:is>
      </x:c>
      <x:c r="C121" t="inlineStr">
        <x:is>
          <x:t xml:space="preserve">T1</x:t>
        </x:is>
      </x:c>
      <x:c r="D121" t="inlineStr">
        <x:is>
          <x:t xml:space="preserve">8. Response &amp; Investigations</x:t>
        </x:is>
      </x:c>
      <x:c r="E121" t="inlineStr">
        <x:is>
          <x:t xml:space="preserve">L</x:t>
        </x:is>
      </x:c>
      <x:c r="F121" t="n">
        <x:v>0.5</x:v>
      </x:c>
      <x:c r="G121" t="inlineStr">
        <x:is>
          <x:t xml:space="preserve">R</x:t>
        </x:is>
      </x:c>
      <x:c r="H121" t="n">
        <x:v>0.5</x:v>
      </x:c>
      <x:c r="I121" t="inlineStr">
        <x:is>
          <x:t xml:space="preserve">Do we have a documented chain-of-custody process for insider investigations evidence (logs, devices, files)?</x:t>
        </x:is>
      </x:c>
      <x:c r="J121" t="inlineStr">
        <x:is>
          <x:t xml:space="preserve">Evidence should stand up in HR hearings/court: what was collected, by whom, when, how stored, who accessed.</x:t>
        </x:is>
      </x:c>
      <x:c r="L121" t="inlineStr">
        <x:is>
          <x:t xml:space="preserve">LEG_STRICT</x:t>
        </x:is>
      </x:c>
      <x:c r="M121" t="n">
        <x:v>1.4</x:v>
      </x:c>
      <x:c r="N121" t="n">
        <x:v>0.5</x:v>
      </x:c>
      <x:c r="P121" t="inlineStr">
        <x:is>
          <x:t xml:space="preserve">Gatekeeper</x:t>
        </x:is>
      </x:c>
      <x:c r="Q121" t="n">
        <x:v>2</x:v>
      </x:c>
      <x:c r="R121" t="inlineStr">
        <x:is>
          <x:t xml:space="preserve">LEG-D3-Q12</x:t>
        </x:is>
      </x:c>
      <x:c r="S121" t="inlineStr">
        <x:is>
          <x:t xml:space="preserve">LEG-D4-Q13</x:t>
        </x:is>
      </x:c>
      <x:c r="T121" t="inlineStr">
        <x:is>
          <x:t xml:space="preserve">LEG-D3-Q12</x:t>
        </x:is>
      </x:c>
      <x:c r="V121" t="inlineStr">
        <x:is>
          <x:t xml:space="preserve">8. Investigation &amp; Response</x:t>
        </x:is>
      </x:c>
      <x:c r="W121" t="inlineStr">
        <x:is>
          <x:t xml:space="preserve">Operational Readiness</x:t>
        </x:is>
      </x:c>
      <x:c r="X121" t="inlineStr">
        <x:is>
          <x:t xml:space="preserve">Forensic readiness &amp; evidence preservation</x:t>
        </x:is>
      </x:c>
      <x:c r="Y121" t="n">
        <x:v>0.091</x:v>
      </x:c>
      <x:c r="Z121" t="inlineStr">
        <x:is>
          <x:t xml:space="preserve">similarity</x:t>
        </x:is>
      </x:c>
    </x:row>
    <x:row r="122">
      <x:c r="A122" t="inlineStr">
        <x:is>
          <x:t xml:space="preserve">LEG-D3-Q12</x:t>
        </x:is>
      </x:c>
      <x:c r="C122" t="inlineStr">
        <x:is>
          <x:t xml:space="preserve">T2</x:t>
        </x:is>
      </x:c>
      <x:c r="D122" t="inlineStr">
        <x:is>
          <x:t xml:space="preserve">8. Response &amp; Investigations</x:t>
        </x:is>
      </x:c>
      <x:c r="E122" t="inlineStr">
        <x:is>
          <x:t xml:space="preserve">R</x:t>
        </x:is>
      </x:c>
      <x:c r="F122" t="n">
        <x:v>0.5</x:v>
      </x:c>
      <x:c r="G122" t="inlineStr">
        <x:is>
          <x:t xml:space="preserve">T</x:t>
        </x:is>
      </x:c>
      <x:c r="H122" t="n">
        <x:v>0.5</x:v>
      </x:c>
      <x:c r="I122" t="inlineStr">
        <x:is>
          <x:t xml:space="preserve">For serious cases, do we have forensic-ready tooling/processes (e.g., preserved logs, secure collection, specialist support)?</x:t>
        </x:is>
      </x:c>
      <x:c r="J122" t="inlineStr">
        <x:is>
          <x:t xml:space="preserve">This is about being able to investigate quickly without contaminating evidence.</x:t>
        </x:is>
      </x:c>
      <x:c r="L122" t="inlineStr">
        <x:is>
          <x:t xml:space="preserve">OPS_STD</x:t>
        </x:is>
      </x:c>
      <x:c r="M122" t="n">
        <x:v>1.2</x:v>
      </x:c>
      <x:c r="P122" t="inlineStr">
        <x:is>
          <x:t xml:space="preserve">Drilldown</x:t>
        </x:is>
      </x:c>
      <x:c r="T122" t="inlineStr">
        <x:is>
          <x:t xml:space="preserve">LEG-D4-Q13</x:t>
        </x:is>
      </x:c>
      <x:c r="V122" t="inlineStr">
        <x:is>
          <x:t xml:space="preserve">8. Investigation &amp; Response</x:t>
        </x:is>
      </x:c>
      <x:c r="W122" t="inlineStr">
        <x:is>
          <x:t xml:space="preserve">Operational Readiness</x:t>
        </x:is>
      </x:c>
      <x:c r="X122" t="inlineStr">
        <x:is>
          <x:t xml:space="preserve">Forensic readiness &amp; evidence preservation</x:t>
        </x:is>
      </x:c>
      <x:c r="Y122" t="n">
        <x:v>0.95</x:v>
      </x:c>
      <x:c r="Z122" t="inlineStr">
        <x:is>
          <x:t xml:space="preserve">override</x:t>
        </x:is>
      </x:c>
    </x:row>
    <x:row r="123">
      <x:c r="A123" t="inlineStr">
        <x:is>
          <x:t xml:space="preserve">LEG-D4-Q13</x:t>
        </x:is>
      </x:c>
      <x:c r="C123" t="inlineStr">
        <x:is>
          <x:t xml:space="preserve">T1</x:t>
        </x:is>
      </x:c>
      <x:c r="D123" t="inlineStr">
        <x:is>
          <x:t xml:space="preserve">5. Culture &amp; Speak-Up</x:t>
        </x:is>
      </x:c>
      <x:c r="E123" t="inlineStr">
        <x:is>
          <x:t xml:space="preserve">H</x:t>
        </x:is>
      </x:c>
      <x:c r="F123" t="n">
        <x:v>0.5</x:v>
      </x:c>
      <x:c r="G123" t="inlineStr">
        <x:is>
          <x:t xml:space="preserve">L</x:t>
        </x:is>
      </x:c>
      <x:c r="H123" t="n">
        <x:v>0.5</x:v>
      </x:c>
      <x:c r="I123" t="inlineStr">
        <x:is>
          <x:t xml:space="preserve">Do we have protected reporting channels (whistleblowing/speak-up) with clear rules on confidentiality and handling?</x:t>
        </x:is>
      </x:c>
      <x:c r="J123" t="inlineStr">
        <x:is>
          <x:t xml:space="preserve">Include: anonymous options, anti-retaliation, triage, and feedback loop.</x:t>
        </x:is>
      </x:c>
      <x:c r="L123" t="inlineStr">
        <x:is>
          <x:t xml:space="preserve">LEG_STRICT</x:t>
        </x:is>
      </x:c>
      <x:c r="M123" t="n">
        <x:v>1.3</x:v>
      </x:c>
      <x:c r="N123" t="n">
        <x:v>0.5</x:v>
      </x:c>
      <x:c r="P123" t="inlineStr">
        <x:is>
          <x:t xml:space="preserve">Gatekeeper</x:t>
        </x:is>
      </x:c>
      <x:c r="Q123" t="n">
        <x:v>2</x:v>
      </x:c>
      <x:c r="R123" t="inlineStr">
        <x:is>
          <x:t xml:space="preserve">LEG-D4-Q14</x:t>
        </x:is>
      </x:c>
      <x:c r="S123" t="inlineStr">
        <x:is>
          <x:t xml:space="preserve">LEG-D5-Q15</x:t>
        </x:is>
      </x:c>
      <x:c r="T123" t="inlineStr">
        <x:is>
          <x:t xml:space="preserve">LEG-D4-Q14</x:t>
        </x:is>
      </x:c>
      <x:c r="V123" t="inlineStr">
        <x:is>
          <x:t xml:space="preserve">5. Human-Centric Culture</x:t>
        </x:is>
      </x:c>
      <x:c r="W123" t="inlineStr">
        <x:is>
          <x:t xml:space="preserve">Awareness &amp; Wellbeing</x:t>
        </x:is>
      </x:c>
      <x:c r="X123" t="inlineStr">
        <x:is>
          <x:t xml:space="preserve">Speak-Up Culture &amp; Psychological Safety</x:t>
        </x:is>
      </x:c>
      <x:c r="Y123" t="n">
        <x:v>0.95</x:v>
      </x:c>
      <x:c r="Z123" t="inlineStr">
        <x:is>
          <x:t xml:space="preserve">override</x:t>
        </x:is>
      </x:c>
    </x:row>
    <x:row r="124">
      <x:c r="A124" t="inlineStr">
        <x:is>
          <x:t xml:space="preserve">LEG-D4-Q14</x:t>
        </x:is>
      </x:c>
      <x:c r="C124" t="inlineStr">
        <x:is>
          <x:t xml:space="preserve">T2</x:t>
        </x:is>
      </x:c>
      <x:c r="D124" t="inlineStr">
        <x:is>
          <x:t xml:space="preserve">5. Culture &amp; Speak-Up</x:t>
        </x:is>
      </x:c>
      <x:c r="E124" t="inlineStr">
        <x:is>
          <x:t xml:space="preserve">H</x:t>
        </x:is>
      </x:c>
      <x:c r="F124" t="n">
        <x:v>1</x:v>
      </x:c>
      <x:c r="G124" t="inlineStr">
        <x:is>
          <x:t xml:space="preserve">-</x:t>
        </x:is>
      </x:c>
      <x:c r="I124" t="inlineStr">
        <x:is>
          <x:t xml:space="preserve">When someone reports a concern, do we actively check for and prevent retaliation (before and after case closure)?</x:t>
        </x:is>
      </x:c>
      <x:c r="J124" t="inlineStr">
        <x:is>
          <x:t xml:space="preserve">Look for: explicit checks, HR monitoring, and consequences for retaliation.</x:t>
        </x:is>
      </x:c>
      <x:c r="L124" t="inlineStr">
        <x:is>
          <x:t xml:space="preserve">CULT_SOFT</x:t>
        </x:is>
      </x:c>
      <x:c r="M124" t="n">
        <x:v>1.1</x:v>
      </x:c>
      <x:c r="P124" t="inlineStr">
        <x:is>
          <x:t xml:space="preserve">Drilldown</x:t>
        </x:is>
      </x:c>
      <x:c r="T124" t="inlineStr">
        <x:is>
          <x:t xml:space="preserve">LEG-D5-Q15</x:t>
        </x:is>
      </x:c>
      <x:c r="V124" t="inlineStr">
        <x:is>
          <x:t xml:space="preserve">4. Legal, Privacy &amp; Ethics</x:t>
        </x:is>
      </x:c>
      <x:c r="W124" t="inlineStr">
        <x:is>
          <x:t xml:space="preserve">Privacy Engineering</x:t>
        </x:is>
      </x:c>
      <x:c r="X124" t="inlineStr">
        <x:is>
          <x:t xml:space="preserve">DPIA/PIA per Use-Case</x:t>
        </x:is>
      </x:c>
      <x:c r="Y124" t="n">
        <x:v>0.089</x:v>
      </x:c>
      <x:c r="Z124" t="inlineStr">
        <x:is>
          <x:t xml:space="preserve">similarity</x:t>
        </x:is>
      </x:c>
    </x:row>
    <x:row r="125">
      <x:c r="A125" t="inlineStr">
        <x:is>
          <x:t xml:space="preserve">LEG-D5-Q15</x:t>
        </x:is>
      </x:c>
      <x:c r="C125" t="inlineStr">
        <x:is>
          <x:t xml:space="preserve">T2</x:t>
        </x:is>
      </x:c>
      <x:c r="D125" t="inlineStr">
        <x:is>
          <x:t xml:space="preserve">4. Legal &amp; Privacy</x:t>
        </x:is>
      </x:c>
      <x:c r="E125" t="inlineStr">
        <x:is>
          <x:t xml:space="preserve">L</x:t>
        </x:is>
      </x:c>
      <x:c r="F125" t="n">
        <x:v>0.6</x:v>
      </x:c>
      <x:c r="G125" t="inlineStr">
        <x:is>
          <x:t xml:space="preserve">G</x:t>
        </x:is>
      </x:c>
      <x:c r="H125" t="n">
        <x:v>0.4</x:v>
      </x:c>
      <x:c r="I125" t="inlineStr">
        <x:is>
          <x:t xml:space="preserve">Do supplier/contractor agreements include acceptable-use, monitoring notices, and audit/cooperation clauses for investigations?</x:t>
        </x:is>
      </x:c>
      <x:c r="J125" t="inlineStr">
        <x:is>
          <x:t xml:space="preserve">Think: right to collect logs, preserve evidence, cooperate on incidents, and comply with privacy requirements.</x:t>
        </x:is>
      </x:c>
      <x:c r="L125" t="inlineStr">
        <x:is>
          <x:t xml:space="preserve">LEG_STRICT</x:t>
        </x:is>
      </x:c>
      <x:c r="M125" t="n">
        <x:v>1</x:v>
      </x:c>
      <x:c r="P125" t="inlineStr">
        <x:is>
          <x:t xml:space="preserve">Drilldown</x:t>
        </x:is>
      </x:c>
      <x:c r="T125" t="inlineStr">
        <x:is>
          <x:t xml:space="preserve">LEG-D6-Q16</x:t>
        </x:is>
      </x:c>
      <x:c r="V125" t="inlineStr">
        <x:is>
          <x:t xml:space="preserve">3. Risk Management</x:t>
        </x:is>
      </x:c>
      <x:c r="W125" t="inlineStr">
        <x:is>
          <x:t xml:space="preserve">Inventory &amp; Scope</x:t>
        </x:is>
      </x:c>
      <x:c r="X125" t="inlineStr">
        <x:is>
          <x:t xml:space="preserve">Third-party/contractor scoping</x:t>
        </x:is>
      </x:c>
      <x:c r="Y125" t="n">
        <x:v>0.95</x:v>
      </x:c>
      <x:c r="Z125" t="inlineStr">
        <x:is>
          <x:t xml:space="preserve">override</x:t>
        </x:is>
      </x:c>
    </x:row>
    <x:row r="126">
      <x:c r="A126" t="inlineStr">
        <x:is>
          <x:t xml:space="preserve">LEG-D6-Q16</x:t>
        </x:is>
      </x:c>
      <x:c r="C126" t="inlineStr">
        <x:is>
          <x:t xml:space="preserve">T2</x:t>
        </x:is>
      </x:c>
      <x:c r="D126" t="inlineStr">
        <x:is>
          <x:t xml:space="preserve">8. Response &amp; Investigations</x:t>
        </x:is>
      </x:c>
      <x:c r="E126" t="inlineStr">
        <x:is>
          <x:t xml:space="preserve">L</x:t>
        </x:is>
      </x:c>
      <x:c r="F126" t="n">
        <x:v>0.5</x:v>
      </x:c>
      <x:c r="G126" t="inlineStr">
        <x:is>
          <x:t xml:space="preserve">R</x:t>
        </x:is>
      </x:c>
      <x:c r="H126" t="n">
        <x:v>0.5</x:v>
      </x:c>
      <x:c r="I126" t="inlineStr">
        <x:is>
          <x:t xml:space="preserve">Do we have clear criteria for involving law enforcement and preserving evidence accordingly?</x:t>
        </x:is>
      </x:c>
      <x:c r="J126" t="inlineStr">
        <x:is>
          <x:t xml:space="preserve">This doesn’t mean you always involve law enforcement—only that you know when and how.</x:t>
        </x:is>
      </x:c>
      <x:c r="L126" t="inlineStr">
        <x:is>
          <x:t xml:space="preserve">LEG_STRICT</x:t>
        </x:is>
      </x:c>
      <x:c r="M126" t="n">
        <x:v>1</x:v>
      </x:c>
      <x:c r="P126" t="inlineStr">
        <x:is>
          <x:t xml:space="preserve">Drilldown</x:t>
        </x:is>
      </x:c>
      <x:c r="T126" t="inlineStr">
        <x:is>
          <x:t xml:space="preserve">LEG-D6-Q17</x:t>
        </x:is>
      </x:c>
      <x:c r="V126" t="inlineStr">
        <x:is>
          <x:t xml:space="preserve">8. Investigation &amp; Response</x:t>
        </x:is>
      </x:c>
      <x:c r="W126" t="inlineStr">
        <x:is>
          <x:t xml:space="preserve">Incident Action</x:t>
        </x:is>
      </x:c>
      <x:c r="X126" t="inlineStr">
        <x:is>
          <x:t xml:space="preserve">Law enforcement &amp; external liaison</x:t>
        </x:is>
      </x:c>
      <x:c r="Y126" t="n">
        <x:v>0.95</x:v>
      </x:c>
      <x:c r="Z126" t="inlineStr">
        <x:is>
          <x:t xml:space="preserve">override</x:t>
        </x:is>
      </x:c>
    </x:row>
    <x:row r="127">
      <x:c r="A127" t="inlineStr">
        <x:is>
          <x:t xml:space="preserve">LEG-D6-Q17</x:t>
        </x:is>
      </x:c>
      <x:c r="C127" t="inlineStr">
        <x:is>
          <x:t xml:space="preserve">T2</x:t>
        </x:is>
      </x:c>
      <x:c r="D127" t="inlineStr">
        <x:is>
          <x:t xml:space="preserve">4. Legal &amp; Privacy</x:t>
        </x:is>
      </x:c>
      <x:c r="E127" t="inlineStr">
        <x:is>
          <x:t xml:space="preserve">G</x:t>
        </x:is>
      </x:c>
      <x:c r="F127" t="n">
        <x:v>0.5</x:v>
      </x:c>
      <x:c r="G127" t="inlineStr">
        <x:is>
          <x:t xml:space="preserve">L</x:t>
        </x:is>
      </x:c>
      <x:c r="H127" t="n">
        <x:v>0.5</x:v>
      </x:c>
      <x:c r="I127" t="inlineStr">
        <x:is>
          <x:t xml:space="preserve">Who approves high-intrusion actions (e.g., mailbox review, device imaging, covert monitoring), and is it documented each time?</x:t>
        </x:is>
      </x:c>
      <x:c r="J127" t="inlineStr">
        <x:is>
          <x:t xml:space="preserve">Look for separation of duties: not one person deciding and executing alone.</x:t>
        </x:is>
      </x:c>
      <x:c r="L127" t="inlineStr">
        <x:is>
          <x:t xml:space="preserve">LEG_STRICT</x:t>
        </x:is>
      </x:c>
      <x:c r="M127" t="n">
        <x:v>1.3</x:v>
      </x:c>
      <x:c r="N127" t="n">
        <x:v>0.5</x:v>
      </x:c>
      <x:c r="P127" t="inlineStr">
        <x:is>
          <x:t xml:space="preserve">Drilldown</x:t>
        </x:is>
      </x:c>
      <x:c r="T127" t="inlineStr">
        <x:is>
          <x:t xml:space="preserve">LEG-D7-Q18</x:t>
        </x:is>
      </x:c>
      <x:c r="V127" t="inlineStr">
        <x:is>
          <x:t xml:space="preserve">4. Legal, Privacy &amp; Ethics</x:t>
        </x:is>
      </x:c>
      <x:c r="W127" t="inlineStr">
        <x:is>
          <x:t xml:space="preserve">Oversight &amp; Safeguards</x:t>
        </x:is>
      </x:c>
      <x:c r="X127" t="inlineStr">
        <x:is>
          <x:t xml:space="preserve">Monitoring Access Governance</x:t>
        </x:is>
      </x:c>
      <x:c r="Y127" t="n">
        <x:v>0.08699999999999999</x:v>
      </x:c>
      <x:c r="Z127" t="inlineStr">
        <x:is>
          <x:t xml:space="preserve">similarity</x:t>
        </x:is>
      </x:c>
    </x:row>
    <x:row r="128">
      <x:c r="A128" t="inlineStr">
        <x:is>
          <x:t xml:space="preserve">LEG-D7-Q18</x:t>
        </x:is>
      </x:c>
      <x:c r="C128" t="inlineStr">
        <x:is>
          <x:t xml:space="preserve">T3</x:t>
        </x:is>
      </x:c>
      <x:c r="D128" t="inlineStr">
        <x:is>
          <x:t xml:space="preserve">5. Culture &amp; Speak-Up</x:t>
        </x:is>
      </x:c>
      <x:c r="E128" t="inlineStr">
        <x:is>
          <x:t xml:space="preserve">H</x:t>
        </x:is>
      </x:c>
      <x:c r="F128" t="n">
        <x:v>0.5</x:v>
      </x:c>
      <x:c r="G128" t="inlineStr">
        <x:is>
          <x:t xml:space="preserve">L</x:t>
        </x:is>
      </x:c>
      <x:c r="H128" t="n">
        <x:v>0.5</x:v>
      </x:c>
      <x:c r="I128" t="inlineStr">
        <x:is>
          <x:t xml:space="preserve">Do we review monitoring/investigation practices for fairness (bias risks) and document safeguards?</x:t>
        </x:is>
      </x:c>
      <x:c r="J128" t="inlineStr">
        <x:is>
          <x:t xml:space="preserve">Example: consistent criteria, blind review where possible, audit of outcomes across groups.</x:t>
        </x:is>
      </x:c>
      <x:c r="L128" t="inlineStr">
        <x:is>
          <x:t xml:space="preserve">LEG_STRICT</x:t>
        </x:is>
      </x:c>
      <x:c r="M128" t="n">
        <x:v>1</x:v>
      </x:c>
      <x:c r="P128" t="inlineStr">
        <x:is>
          <x:t xml:space="preserve">Annex</x:t>
        </x:is>
      </x:c>
      <x:c r="V128" t="inlineStr">
        <x:is>
          <x:t xml:space="preserve">4. Legal, Privacy &amp; Ethics</x:t>
        </x:is>
      </x:c>
      <x:c r="W128" t="inlineStr">
        <x:is>
          <x:t xml:space="preserve">Oversight &amp; Safeguards</x:t>
        </x:is>
      </x:c>
      <x:c r="X128" t="inlineStr">
        <x:is>
          <x:t xml:space="preserve">Review, Redress &amp; Assurance</x:t>
        </x:is>
      </x:c>
      <x:c r="Y128" t="n">
        <x:v>0.118</x:v>
      </x:c>
      <x:c r="Z128" t="inlineStr">
        <x:is>
          <x:t xml:space="preserve">similarity</x:t>
        </x:is>
      </x:c>
    </x:row>
    <x:row r="129">
      <x:c r="A129" t="inlineStr">
        <x:is>
          <x:t xml:space="preserve">DATA-D1-Q01</x:t>
        </x:is>
      </x:c>
      <x:c r="C129" t="inlineStr">
        <x:is>
          <x:t xml:space="preserve">T1</x:t>
        </x:is>
      </x:c>
      <x:c r="D129" t="inlineStr">
        <x:is>
          <x:t xml:space="preserve">3. Risk &amp; Crown Jewels</x:t>
        </x:is>
      </x:c>
      <x:c r="E129" t="inlineStr">
        <x:is>
          <x:t xml:space="preserve">V</x:t>
        </x:is>
      </x:c>
      <x:c r="F129" t="n">
        <x:v>1</x:v>
      </x:c>
      <x:c r="G129" t="inlineStr">
        <x:is>
          <x:t xml:space="preserve">-</x:t>
        </x:is>
      </x:c>
      <x:c r="I129" t="inlineStr">
        <x:is>
          <x:t xml:space="preserve">Do business leaders agree on which information/assets would hurt the organization most if stolen, leaked, or sabotaged?</x:t>
        </x:is>
      </x:c>
      <x:c r="J129" t="inlineStr">
        <x:is>
          <x:t xml:space="preserve">Examples: customer lists, pricing models, M&amp;A plans, source code, product designs, regulated data, key operational processes.</x:t>
        </x:is>
      </x:c>
      <x:c r="L129" t="inlineStr">
        <x:is>
          <x:t xml:space="preserve">RISK_STD</x:t>
        </x:is>
      </x:c>
      <x:c r="M129" t="n">
        <x:v>1.4</x:v>
      </x:c>
      <x:c r="N129" t="n">
        <x:v>0.5</x:v>
      </x:c>
      <x:c r="P129" t="inlineStr">
        <x:is>
          <x:t xml:space="preserve">Gatekeeper</x:t>
        </x:is>
      </x:c>
      <x:c r="Q129" t="n">
        <x:v>2</x:v>
      </x:c>
      <x:c r="R129" t="inlineStr">
        <x:is>
          <x:t xml:space="preserve">DATA-D1-Q02</x:t>
        </x:is>
      </x:c>
      <x:c r="S129" t="inlineStr">
        <x:is>
          <x:t xml:space="preserve">DATA-D1-Q03</x:t>
        </x:is>
      </x:c>
      <x:c r="V129" t="inlineStr">
        <x:is>
          <x:t xml:space="preserve">3. Risk Management</x:t>
        </x:is>
      </x:c>
      <x:c r="W129" t="inlineStr">
        <x:is>
          <x:t xml:space="preserve">Inventory &amp; Scope</x:t>
        </x:is>
      </x:c>
      <x:c r="X129" t="inlineStr">
        <x:is>
          <x:t xml:space="preserve">Crown jewels/HVA identification</x:t>
        </x:is>
      </x:c>
      <x:c r="Y129" t="n">
        <x:v>0.95</x:v>
      </x:c>
      <x:c r="Z129" t="inlineStr">
        <x:is>
          <x:t xml:space="preserve">override</x:t>
        </x:is>
      </x:c>
    </x:row>
    <x:row r="130">
      <x:c r="A130" t="inlineStr">
        <x:is>
          <x:t xml:space="preserve">DATA-D1-Q02</x:t>
        </x:is>
      </x:c>
      <x:c r="C130" t="inlineStr">
        <x:is>
          <x:t xml:space="preserve">T2</x:t>
        </x:is>
      </x:c>
      <x:c r="D130" t="inlineStr">
        <x:is>
          <x:t xml:space="preserve">3. Risk &amp; Crown Jewels</x:t>
        </x:is>
      </x:c>
      <x:c r="E130" t="inlineStr">
        <x:is>
          <x:t xml:space="preserve">V</x:t>
        </x:is>
      </x:c>
      <x:c r="F130" t="n">
        <x:v>1</x:v>
      </x:c>
      <x:c r="G130" t="inlineStr">
        <x:is>
          <x:t xml:space="preserve">-</x:t>
        </x:is>
      </x:c>
      <x:c r="I130" t="inlineStr">
        <x:is>
          <x:t xml:space="preserve">(Shadow probe) Even if not documented, do leaders and long-tenured staff know the ‘crown jewels’ by experience?</x:t>
        </x:is>
      </x:c>
      <x:c r="J130" t="inlineStr">
        <x:is>
          <x:t xml:space="preserve">This identifies hidden maturity that isn’t formalized yet.</x:t>
        </x:is>
      </x:c>
      <x:c r="L130" t="inlineStr">
        <x:is>
          <x:t xml:space="preserve">RISK_STD</x:t>
        </x:is>
      </x:c>
      <x:c r="M130" t="n">
        <x:v>1</x:v>
      </x:c>
      <x:c r="P130" t="inlineStr">
        <x:is>
          <x:t xml:space="preserve">ShadowProbe</x:t>
        </x:is>
      </x:c>
      <x:c r="T130" t="inlineStr">
        <x:is>
          <x:t xml:space="preserve">DATA-D1-Q03</x:t>
        </x:is>
      </x:c>
      <x:c r="V130" t="inlineStr">
        <x:is>
          <x:t xml:space="preserve">3. Risk Management</x:t>
        </x:is>
      </x:c>
      <x:c r="W130" t="inlineStr">
        <x:is>
          <x:t xml:space="preserve">Inventory &amp; Scope</x:t>
        </x:is>
      </x:c>
      <x:c r="X130" t="inlineStr">
        <x:is>
          <x:t xml:space="preserve">Crown jewels/HVA identification</x:t>
        </x:is>
      </x:c>
      <x:c r="Y130" t="n">
        <x:v>0.95</x:v>
      </x:c>
      <x:c r="Z130" t="inlineStr">
        <x:is>
          <x:t xml:space="preserve">override</x:t>
        </x:is>
      </x:c>
    </x:row>
    <x:row r="131">
      <x:c r="A131" t="inlineStr">
        <x:is>
          <x:t xml:space="preserve">DATA-D1-Q03</x:t>
        </x:is>
      </x:c>
      <x:c r="C131" t="inlineStr">
        <x:is>
          <x:t xml:space="preserve">T2</x:t>
        </x:is>
      </x:c>
      <x:c r="D131" t="inlineStr">
        <x:is>
          <x:t xml:space="preserve">3. Risk &amp; Crown Jewels</x:t>
        </x:is>
      </x:c>
      <x:c r="E131" t="inlineStr">
        <x:is>
          <x:t xml:space="preserve">G</x:t>
        </x:is>
      </x:c>
      <x:c r="F131" t="n">
        <x:v>0.5</x:v>
      </x:c>
      <x:c r="G131" t="inlineStr">
        <x:is>
          <x:t xml:space="preserve">V</x:t>
        </x:is>
      </x:c>
      <x:c r="H131" t="n">
        <x:v>0.5</x:v>
      </x:c>
      <x:c r="I131" t="inlineStr">
        <x:is>
          <x:t xml:space="preserve">Do we have named business owners for key data/assets, and do they approve who gets access?</x:t>
        </x:is>
      </x:c>
      <x:c r="J131" t="inlineStr">
        <x:is>
          <x:t xml:space="preserve">Owner means accountable for decisions, not just ‘IT knows where it is’.</x:t>
        </x:is>
      </x:c>
      <x:c r="L131" t="inlineStr">
        <x:is>
          <x:t xml:space="preserve">GOV_STD</x:t>
        </x:is>
      </x:c>
      <x:c r="M131" t="n">
        <x:v>1.2</x:v>
      </x:c>
      <x:c r="P131" t="inlineStr">
        <x:is>
          <x:t xml:space="preserve">Drilldown</x:t>
        </x:is>
      </x:c>
      <x:c r="T131" t="inlineStr">
        <x:is>
          <x:t xml:space="preserve">DATA-D2-Q04</x:t>
        </x:is>
      </x:c>
      <x:c r="V131" t="inlineStr">
        <x:is>
          <x:t xml:space="preserve">4. Legal, Privacy &amp; Ethics</x:t>
        </x:is>
      </x:c>
      <x:c r="W131" t="inlineStr">
        <x:is>
          <x:t xml:space="preserve">Oversight &amp; Safeguards</x:t>
        </x:is>
      </x:c>
      <x:c r="X131" t="inlineStr">
        <x:is>
          <x:t xml:space="preserve">Monitoring Access Governance</x:t>
        </x:is>
      </x:c>
      <x:c r="Y131" t="n">
        <x:v>0.128</x:v>
      </x:c>
      <x:c r="Z131" t="inlineStr">
        <x:is>
          <x:t xml:space="preserve">similarity</x:t>
        </x:is>
      </x:c>
    </x:row>
    <x:row r="132">
      <x:c r="A132" t="inlineStr">
        <x:is>
          <x:t xml:space="preserve">DATA-D2-Q04</x:t>
        </x:is>
      </x:c>
      <x:c r="C132" t="inlineStr">
        <x:is>
          <x:t xml:space="preserve">T1</x:t>
        </x:is>
      </x:c>
      <x:c r="D132" t="inlineStr">
        <x:is>
          <x:t xml:space="preserve">3. Risk &amp; Data Flows</x:t>
        </x:is>
      </x:c>
      <x:c r="E132" t="inlineStr">
        <x:is>
          <x:t xml:space="preserve">V</x:t>
        </x:is>
      </x:c>
      <x:c r="F132" t="n">
        <x:v>0.7</x:v>
      </x:c>
      <x:c r="G132" t="inlineStr">
        <x:is>
          <x:t xml:space="preserve">W</x:t>
        </x:is>
      </x:c>
      <x:c r="H132" t="n">
        <x:v>0.3</x:v>
      </x:c>
      <x:c r="I132" t="inlineStr">
        <x:is>
          <x:t xml:space="preserve">For the top assets, do we understand where the data goes (key systems, exports, sharing, vendors, and countries)?</x:t>
        </x:is>
      </x:c>
      <x:c r="J132" t="inlineStr">
        <x:is>
          <x:t xml:space="preserve">If you changed a major process tomorrow, could you predict where sensitive data would spread?</x:t>
        </x:is>
      </x:c>
      <x:c r="L132" t="inlineStr">
        <x:is>
          <x:t xml:space="preserve">RISK_STD</x:t>
        </x:is>
      </x:c>
      <x:c r="M132" t="n">
        <x:v>1.3</x:v>
      </x:c>
      <x:c r="N132" t="n">
        <x:v>0.5</x:v>
      </x:c>
      <x:c r="P132" t="inlineStr">
        <x:is>
          <x:t xml:space="preserve">Gatekeeper</x:t>
        </x:is>
      </x:c>
      <x:c r="Q132" t="n">
        <x:v>2</x:v>
      </x:c>
      <x:c r="R132" t="inlineStr">
        <x:is>
          <x:t xml:space="preserve">DATA-D2-Q05</x:t>
        </x:is>
      </x:c>
      <x:c r="S132" t="inlineStr">
        <x:is>
          <x:t xml:space="preserve">DATA-D3-Q06</x:t>
        </x:is>
      </x:c>
      <x:c r="T132" t="inlineStr">
        <x:is>
          <x:t xml:space="preserve">DATA-D2-Q05</x:t>
        </x:is>
      </x:c>
      <x:c r="V132" t="inlineStr">
        <x:is>
          <x:t xml:space="preserve">3. Risk Management</x:t>
        </x:is>
      </x:c>
      <x:c r="W132" t="inlineStr">
        <x:is>
          <x:t xml:space="preserve">Inventory &amp; Scope</x:t>
        </x:is>
      </x:c>
      <x:c r="X132" t="inlineStr">
        <x:is>
          <x:t xml:space="preserve">Crown jewels/HVA identification</x:t>
        </x:is>
      </x:c>
      <x:c r="Y132" t="n">
        <x:v>0.95</x:v>
      </x:c>
      <x:c r="Z132" t="inlineStr">
        <x:is>
          <x:t xml:space="preserve">override</x:t>
        </x:is>
      </x:c>
    </x:row>
    <x:row r="133">
      <x:c r="A133" t="inlineStr">
        <x:is>
          <x:t xml:space="preserve">DATA-D2-Q05</x:t>
        </x:is>
      </x:c>
      <x:c r="C133" t="inlineStr">
        <x:is>
          <x:t xml:space="preserve">T2</x:t>
        </x:is>
      </x:c>
      <x:c r="D133" t="inlineStr">
        <x:is>
          <x:t xml:space="preserve">3. Risk &amp; Data Flows</x:t>
        </x:is>
      </x:c>
      <x:c r="E133" t="inlineStr">
        <x:is>
          <x:t xml:space="preserve">W</x:t>
        </x:is>
      </x:c>
      <x:c r="F133" t="n">
        <x:v>0.6</x:v>
      </x:c>
      <x:c r="G133" t="inlineStr">
        <x:is>
          <x:t xml:space="preserve">V</x:t>
        </x:is>
      </x:c>
      <x:c r="H133" t="n">
        <x:v>0.4</x:v>
      </x:c>
      <x:c r="I133" t="inlineStr">
        <x:is>
          <x:t xml:space="preserve">When business processes change (new tool, new vendor, re-org), do we review data flows and access before going live?</x:t>
        </x:is>
      </x:c>
      <x:c r="J133" t="inlineStr">
        <x:is>
          <x:t xml:space="preserve">This is about avoiding ‘control lag’ after change.</x:t>
        </x:is>
      </x:c>
      <x:c r="L133" t="inlineStr">
        <x:is>
          <x:t xml:space="preserve">RISK_STD</x:t>
        </x:is>
      </x:c>
      <x:c r="M133" t="n">
        <x:v>1.1</x:v>
      </x:c>
      <x:c r="P133" t="inlineStr">
        <x:is>
          <x:t xml:space="preserve">Drilldown</x:t>
        </x:is>
      </x:c>
      <x:c r="T133" t="inlineStr">
        <x:is>
          <x:t xml:space="preserve">DATA-D3-Q06</x:t>
        </x:is>
      </x:c>
      <x:c r="V133" t="inlineStr">
        <x:is>
          <x:t xml:space="preserve">9. Performance &amp; Resilience</x:t>
        </x:is>
      </x:c>
      <x:c r="W133" t="inlineStr">
        <x:is>
          <x:t xml:space="preserve">Assurance &amp; Metrics</x:t>
        </x:is>
      </x:c>
      <x:c r="X133" t="inlineStr">
        <x:is>
          <x:t xml:space="preserve">Control testing &amp; continuous assurance</x:t>
        </x:is>
      </x:c>
      <x:c r="Y133" t="n">
        <x:v>0.1</x:v>
      </x:c>
      <x:c r="Z133" t="inlineStr">
        <x:is>
          <x:t xml:space="preserve">similarity</x:t>
        </x:is>
      </x:c>
    </x:row>
    <x:row r="134">
      <x:c r="A134" t="inlineStr">
        <x:is>
          <x:t xml:space="preserve">DATA-D3-Q06</x:t>
        </x:is>
      </x:c>
      <x:c r="C134" t="inlineStr">
        <x:is>
          <x:t xml:space="preserve">T1</x:t>
        </x:is>
      </x:c>
      <x:c r="D134" t="inlineStr">
        <x:is>
          <x:t xml:space="preserve">6. Operational Friction</x:t>
        </x:is>
      </x:c>
      <x:c r="E134" t="inlineStr">
        <x:is>
          <x:t xml:space="preserve">F</x:t>
        </x:is>
      </x:c>
      <x:c r="F134" t="n">
        <x:v>1</x:v>
      </x:c>
      <x:c r="G134" t="inlineStr">
        <x:is>
          <x:t xml:space="preserve">-</x:t>
        </x:is>
      </x:c>
      <x:c r="I134" t="inlineStr">
        <x:is>
          <x:t xml:space="preserve">Do security controls cause business workarounds (e.g., personal email/USB/consumer cloud), and do we measure this?</x:t>
        </x:is>
      </x:c>
      <x:c r="J134" t="inlineStr">
        <x:is>
          <x:t xml:space="preserve">This is not about blaming staff; it’s about designing controls that people can actually follow.</x:t>
        </x:is>
      </x:c>
      <x:c r="L134" t="inlineStr">
        <x:is>
          <x:t xml:space="preserve">OPS_STD</x:t>
        </x:is>
      </x:c>
      <x:c r="M134" t="n">
        <x:v>1.2</x:v>
      </x:c>
      <x:c r="P134" t="inlineStr">
        <x:is>
          <x:t xml:space="preserve">Gatekeeper</x:t>
        </x:is>
      </x:c>
      <x:c r="Q134" t="n">
        <x:v>2</x:v>
      </x:c>
      <x:c r="R134" t="inlineStr">
        <x:is>
          <x:t xml:space="preserve">DATA-D3-Q07</x:t>
        </x:is>
      </x:c>
      <x:c r="S134" t="inlineStr">
        <x:is>
          <x:t xml:space="preserve">DATA-D3-Q08</x:t>
        </x:is>
      </x:c>
      <x:c r="T134" t="inlineStr">
        <x:is>
          <x:t xml:space="preserve">DATA-D3-Q07</x:t>
        </x:is>
      </x:c>
      <x:c r="V134" t="inlineStr">
        <x:is>
          <x:t xml:space="preserve">6. Technical Controls</x:t>
        </x:is>
      </x:c>
      <x:c r="W134" t="inlineStr">
        <x:is>
          <x:t xml:space="preserve">Data, Endpoint &amp; Cloud Controls</x:t>
        </x:is>
      </x:c>
      <x:c r="X134" t="inlineStr">
        <x:is>
          <x:t xml:space="preserve">DLP (endpoint + cloud + SaaS)</x:t>
        </x:is>
      </x:c>
      <x:c r="Y134" t="n">
        <x:v>0.093</x:v>
      </x:c>
      <x:c r="Z134" t="inlineStr">
        <x:is>
          <x:t xml:space="preserve">similarity</x:t>
        </x:is>
      </x:c>
    </x:row>
    <x:row r="135">
      <x:c r="A135" t="inlineStr">
        <x:is>
          <x:t xml:space="preserve">DATA-D3-Q07</x:t>
        </x:is>
      </x:c>
      <x:c r="C135" t="inlineStr">
        <x:is>
          <x:t xml:space="preserve">T2</x:t>
        </x:is>
      </x:c>
      <x:c r="D135" t="inlineStr">
        <x:is>
          <x:t xml:space="preserve">6. Operational Friction</x:t>
        </x:is>
      </x:c>
      <x:c r="E135" t="inlineStr">
        <x:is>
          <x:t xml:space="preserve">F</x:t>
        </x:is>
      </x:c>
      <x:c r="F135" t="n">
        <x:v>0.6</x:v>
      </x:c>
      <x:c r="G135" t="inlineStr">
        <x:is>
          <x:t xml:space="preserve">G</x:t>
        </x:is>
      </x:c>
      <x:c r="H135" t="n">
        <x:v>0.4</x:v>
      </x:c>
      <x:c r="I135" t="inlineStr">
        <x:is>
          <x:t xml:space="preserve">Is there a fast, business-friendly exception process (with risk-based approvals) when controls block legitimate work?</x:t>
        </x:is>
      </x:c>
      <x:c r="J135" t="inlineStr">
        <x:is>
          <x:t xml:space="preserve">Look for: clear decision rights, turnaround time, and documentation of exceptions.</x:t>
        </x:is>
      </x:c>
      <x:c r="L135" t="inlineStr">
        <x:is>
          <x:t xml:space="preserve">OPS_STD</x:t>
        </x:is>
      </x:c>
      <x:c r="M135" t="n">
        <x:v>1</x:v>
      </x:c>
      <x:c r="P135" t="inlineStr">
        <x:is>
          <x:t xml:space="preserve">Drilldown</x:t>
        </x:is>
      </x:c>
      <x:c r="T135" t="inlineStr">
        <x:is>
          <x:t xml:space="preserve">DATA-D3-Q08</x:t>
        </x:is>
      </x:c>
      <x:c r="V135" t="inlineStr">
        <x:is>
          <x:t xml:space="preserve">1. Strategy &amp; Governance</x:t>
        </x:is>
      </x:c>
      <x:c r="W135" t="inlineStr">
        <x:is>
          <x:t xml:space="preserve">Organization &amp; RACI</x:t>
        </x:is>
      </x:c>
      <x:c r="X135" t="inlineStr">
        <x:is>
          <x:t xml:space="preserve">RACI &amp; decision rights</x:t>
        </x:is>
      </x:c>
      <x:c r="Y135" t="n">
        <x:v>0.95</x:v>
      </x:c>
      <x:c r="Z135" t="inlineStr">
        <x:is>
          <x:t xml:space="preserve">override</x:t>
        </x:is>
      </x:c>
    </x:row>
    <x:row r="136">
      <x:c r="A136" t="inlineStr">
        <x:is>
          <x:t xml:space="preserve">DATA-D3-Q08</x:t>
        </x:is>
      </x:c>
      <x:c r="C136" t="inlineStr">
        <x:is>
          <x:t xml:space="preserve">T2</x:t>
        </x:is>
      </x:c>
      <x:c r="D136" t="inlineStr">
        <x:is>
          <x:t xml:space="preserve">6. Operational Friction</x:t>
        </x:is>
      </x:c>
      <x:c r="E136" t="inlineStr">
        <x:is>
          <x:t xml:space="preserve">F</x:t>
        </x:is>
      </x:c>
      <x:c r="F136" t="n">
        <x:v>0.5</x:v>
      </x:c>
      <x:c r="G136" t="inlineStr">
        <x:is>
          <x:t xml:space="preserve">E</x:t>
        </x:is>
      </x:c>
      <x:c r="H136" t="n">
        <x:v>0.5</x:v>
      </x:c>
      <x:c r="I136" t="inlineStr">
        <x:is>
          <x:t xml:space="preserve">Do we have an approved path for teams to adopt new SaaS/tools without going ‘shadow IT’?</x:t>
        </x:is>
      </x:c>
      <x:c r="J136" t="inlineStr">
        <x:is>
          <x:t xml:space="preserve">Example: a simple intake, fast security review, and approved list of tools.</x:t>
        </x:is>
      </x:c>
      <x:c r="L136" t="inlineStr">
        <x:is>
          <x:t xml:space="preserve">OPS_STD</x:t>
        </x:is>
      </x:c>
      <x:c r="M136" t="n">
        <x:v>1</x:v>
      </x:c>
      <x:c r="P136" t="inlineStr">
        <x:is>
          <x:t xml:space="preserve">Drilldown</x:t>
        </x:is>
      </x:c>
      <x:c r="T136" t="inlineStr">
        <x:is>
          <x:t xml:space="preserve">DATA-D4-Q09</x:t>
        </x:is>
      </x:c>
      <x:c r="V136" t="inlineStr">
        <x:is>
          <x:t xml:space="preserve">6. Technical Controls</x:t>
        </x:is>
      </x:c>
      <x:c r="W136" t="inlineStr">
        <x:is>
          <x:t xml:space="preserve">Data, Endpoint &amp; Cloud Controls</x:t>
        </x:is>
      </x:c>
      <x:c r="X136" t="inlineStr">
        <x:is>
          <x:t xml:space="preserve">Collaboration/SaaS sharing controls</x:t>
        </x:is>
      </x:c>
      <x:c r="Y136" t="n">
        <x:v>0.95</x:v>
      </x:c>
      <x:c r="Z136" t="inlineStr">
        <x:is>
          <x:t xml:space="preserve">override</x:t>
        </x:is>
      </x:c>
    </x:row>
    <x:row r="137">
      <x:c r="A137" t="inlineStr">
        <x:is>
          <x:t xml:space="preserve">DATA-D4-Q09</x:t>
        </x:is>
      </x:c>
      <x:c r="C137" t="inlineStr">
        <x:is>
          <x:t xml:space="preserve">T1</x:t>
        </x:is>
      </x:c>
      <x:c r="D137" t="inlineStr">
        <x:is>
          <x:t xml:space="preserve">3. Risk &amp; Access</x:t>
        </x:is>
      </x:c>
      <x:c r="E137" t="inlineStr">
        <x:is>
          <x:t xml:space="preserve">V</x:t>
        </x:is>
      </x:c>
      <x:c r="F137" t="n">
        <x:v>0.7</x:v>
      </x:c>
      <x:c r="G137" t="inlineStr">
        <x:is>
          <x:t xml:space="preserve">E</x:t>
        </x:is>
      </x:c>
      <x:c r="H137" t="n">
        <x:v>0.3</x:v>
      </x:c>
      <x:c r="I137" t="inlineStr">
        <x:is>
          <x:t xml:space="preserve">Are critical roles mapped (who has access to crown jewels), and is this reviewed at least annually?</x:t>
        </x:is>
      </x:c>
      <x:c r="J137" t="inlineStr">
        <x:is>
          <x:t xml:space="preserve">Critical roles include privileged admins, finance approvers, R&amp;D leads, etc.</x:t>
        </x:is>
      </x:c>
      <x:c r="L137" t="inlineStr">
        <x:is>
          <x:t xml:space="preserve">RISK_STD</x:t>
        </x:is>
      </x:c>
      <x:c r="M137" t="n">
        <x:v>1.2</x:v>
      </x:c>
      <x:c r="P137" t="inlineStr">
        <x:is>
          <x:t xml:space="preserve">Gatekeeper</x:t>
        </x:is>
      </x:c>
      <x:c r="Q137" t="n">
        <x:v>2</x:v>
      </x:c>
      <x:c r="R137" t="inlineStr">
        <x:is>
          <x:t xml:space="preserve">DATA-D4-Q10</x:t>
        </x:is>
      </x:c>
      <x:c r="S137" t="inlineStr">
        <x:is>
          <x:t xml:space="preserve">DATA-D5-Q11</x:t>
        </x:is>
      </x:c>
      <x:c r="T137" t="inlineStr">
        <x:is>
          <x:t xml:space="preserve">DATA-D4-Q10</x:t>
        </x:is>
      </x:c>
      <x:c r="V137" t="inlineStr">
        <x:is>
          <x:t xml:space="preserve">3. Risk Management</x:t>
        </x:is>
      </x:c>
      <x:c r="W137" t="inlineStr">
        <x:is>
          <x:t xml:space="preserve">Inventory &amp; Scope</x:t>
        </x:is>
      </x:c>
      <x:c r="X137" t="inlineStr">
        <x:is>
          <x:t xml:space="preserve">Crown jewels/HVA identification</x:t>
        </x:is>
      </x:c>
      <x:c r="Y137" t="n">
        <x:v>0.95</x:v>
      </x:c>
      <x:c r="Z137" t="inlineStr">
        <x:is>
          <x:t xml:space="preserve">override</x:t>
        </x:is>
      </x:c>
    </x:row>
    <x:row r="138">
      <x:c r="A138" t="inlineStr">
        <x:is>
          <x:t xml:space="preserve">DATA-D4-Q10</x:t>
        </x:is>
      </x:c>
      <x:c r="C138" t="inlineStr">
        <x:is>
          <x:t xml:space="preserve">T2</x:t>
        </x:is>
      </x:c>
      <x:c r="D138" t="inlineStr">
        <x:is>
          <x:t xml:space="preserve">3. Risk &amp; Access</x:t>
        </x:is>
      </x:c>
      <x:c r="E138" t="inlineStr">
        <x:is>
          <x:t xml:space="preserve">V</x:t>
        </x:is>
      </x:c>
      <x:c r="F138" t="n">
        <x:v>0.5</x:v>
      </x:c>
      <x:c r="G138" t="inlineStr">
        <x:is>
          <x:t xml:space="preserve">E</x:t>
        </x:is>
      </x:c>
      <x:c r="H138" t="n">
        <x:v>0.5</x:v>
      </x:c>
      <x:c r="I138" t="inlineStr">
        <x:is>
          <x:t xml:space="preserve">Do we actively reduce ‘too much access’ over time (remove unused access, reduce privilege concentration)?</x:t>
        </x:is>
      </x:c>
      <x:c r="J138" t="inlineStr">
        <x:is>
          <x:t xml:space="preserve">Look for: periodic cleanup, least privilege projects, and measured outcomes.</x:t>
        </x:is>
      </x:c>
      <x:c r="L138" t="inlineStr">
        <x:is>
          <x:t xml:space="preserve">RISK_STD</x:t>
        </x:is>
      </x:c>
      <x:c r="M138" t="n">
        <x:v>1</x:v>
      </x:c>
      <x:c r="P138" t="inlineStr">
        <x:is>
          <x:t xml:space="preserve">Drilldown</x:t>
        </x:is>
      </x:c>
      <x:c r="T138" t="inlineStr">
        <x:is>
          <x:t xml:space="preserve">DATA-D5-Q11</x:t>
        </x:is>
      </x:c>
      <x:c r="V138" t="inlineStr">
        <x:is>
          <x:t xml:space="preserve">6. Technical Controls</x:t>
        </x:is>
      </x:c>
      <x:c r="W138" t="inlineStr">
        <x:is>
          <x:t xml:space="preserve">Identity &amp; Access</x:t>
        </x:is>
      </x:c>
      <x:c r="X138" t="inlineStr">
        <x:is>
          <x:t xml:space="preserve">Least privilege &amp; role engineering</x:t>
        </x:is>
      </x:c>
      <x:c r="Y138" t="n">
        <x:v>0.95</x:v>
      </x:c>
      <x:c r="Z138" t="inlineStr">
        <x:is>
          <x:t xml:space="preserve">override</x:t>
        </x:is>
      </x:c>
    </x:row>
    <x:row r="139">
      <x:c r="A139" t="inlineStr">
        <x:is>
          <x:t xml:space="preserve">DATA-D5-Q11</x:t>
        </x:is>
      </x:c>
      <x:c r="C139" t="inlineStr">
        <x:is>
          <x:t xml:space="preserve">T1</x:t>
        </x:is>
      </x:c>
      <x:c r="D139" t="inlineStr">
        <x:is>
          <x:t xml:space="preserve">2. Threat &amp; Change Events</x:t>
        </x:is>
      </x:c>
      <x:c r="E139" t="inlineStr">
        <x:is>
          <x:t xml:space="preserve">W</x:t>
        </x:is>
      </x:c>
      <x:c r="F139" t="n">
        <x:v>1</x:v>
      </x:c>
      <x:c r="G139" t="inlineStr">
        <x:is>
          <x:t xml:space="preserve">-</x:t>
        </x:is>
      </x:c>
      <x:c r="I139" t="inlineStr">
        <x:is>
          <x:t xml:space="preserve">During major events (layoffs, M&amp;A, re-org), do we increase monitoring/reviews for high-risk access and data movement?</x:t>
        </x:is>
      </x:c>
      <x:c r="J139" t="inlineStr">
        <x:is>
          <x:t xml:space="preserve">Example: tighter reviews for departing staff, privileged roles, or sensitive projects.</x:t>
        </x:is>
      </x:c>
      <x:c r="L139" t="inlineStr">
        <x:is>
          <x:t xml:space="preserve">RISK_STD</x:t>
        </x:is>
      </x:c>
      <x:c r="M139" t="n">
        <x:v>1.3</x:v>
      </x:c>
      <x:c r="N139" t="n">
        <x:v>0.5</x:v>
      </x:c>
      <x:c r="P139" t="inlineStr">
        <x:is>
          <x:t xml:space="preserve">Gatekeeper</x:t>
        </x:is>
      </x:c>
      <x:c r="Q139" t="n">
        <x:v>2</x:v>
      </x:c>
      <x:c r="R139" t="inlineStr">
        <x:is>
          <x:t xml:space="preserve">DATA-D5-Q12</x:t>
        </x:is>
      </x:c>
      <x:c r="S139" t="inlineStr">
        <x:is>
          <x:t xml:space="preserve">DATA-D6-Q13</x:t>
        </x:is>
      </x:c>
      <x:c r="T139" t="inlineStr">
        <x:is>
          <x:t xml:space="preserve">DATA-D5-Q12</x:t>
        </x:is>
      </x:c>
      <x:c r="V139" t="inlineStr">
        <x:is>
          <x:t xml:space="preserve">6. Technical Controls</x:t>
        </x:is>
      </x:c>
      <x:c r="W139" t="inlineStr">
        <x:is>
          <x:t xml:space="preserve">Identity &amp; Access</x:t>
        </x:is>
      </x:c>
      <x:c r="X139" t="inlineStr">
        <x:is>
          <x:t xml:space="preserve">PAM &amp; privileged session governance</x:t>
        </x:is>
      </x:c>
      <x:c r="Y139" t="n">
        <x:v>0.95</x:v>
      </x:c>
      <x:c r="Z139" t="inlineStr">
        <x:is>
          <x:t xml:space="preserve">override</x:t>
        </x:is>
      </x:c>
    </x:row>
    <x:row r="140">
      <x:c r="A140" t="inlineStr">
        <x:is>
          <x:t xml:space="preserve">DATA-D5-Q12</x:t>
        </x:is>
      </x:c>
      <x:c r="C140" t="inlineStr">
        <x:is>
          <x:t xml:space="preserve">T2</x:t>
        </x:is>
      </x:c>
      <x:c r="D140" t="inlineStr">
        <x:is>
          <x:t xml:space="preserve">2. Threat &amp; Change Events</x:t>
        </x:is>
      </x:c>
      <x:c r="E140" t="inlineStr">
        <x:is>
          <x:t xml:space="preserve">G</x:t>
        </x:is>
      </x:c>
      <x:c r="F140" t="n">
        <x:v>0.4</x:v>
      </x:c>
      <x:c r="G140" t="inlineStr">
        <x:is>
          <x:t xml:space="preserve">W</x:t>
        </x:is>
      </x:c>
      <x:c r="H140" t="n">
        <x:v>0.6</x:v>
      </x:c>
      <x:c r="I140" t="inlineStr">
        <x:is>
          <x:t xml:space="preserve">Can business leaders trigger an ‘elevated risk’ posture with clear criteria (not just ‘bad vibes’)?</x:t>
        </x:is>
      </x:c>
      <x:c r="J140" t="inlineStr">
        <x:is>
          <x:t xml:space="preserve">Criteria might include layoffs, contentious exits, access to sensitive projects, or unusual data movements.</x:t>
        </x:is>
      </x:c>
      <x:c r="L140" t="inlineStr">
        <x:is>
          <x:t xml:space="preserve">GOV_STD</x:t>
        </x:is>
      </x:c>
      <x:c r="M140" t="n">
        <x:v>1</x:v>
      </x:c>
      <x:c r="P140" t="inlineStr">
        <x:is>
          <x:t xml:space="preserve">Drilldown</x:t>
        </x:is>
      </x:c>
      <x:c r="T140" t="inlineStr">
        <x:is>
          <x:t xml:space="preserve">DATA-D6-Q13</x:t>
        </x:is>
      </x:c>
      <x:c r="V140" t="inlineStr">
        <x:is>
          <x:t xml:space="preserve">2. Threat Model &amp; Operations</x:t>
        </x:is>
      </x:c>
      <x:c r="W140" t="inlineStr">
        <x:is>
          <x:t xml:space="preserve">Deterrence &amp; Disruption</x:t>
        </x:is>
      </x:c>
      <x:c r="X140" t="inlineStr">
        <x:is>
          <x:t xml:space="preserve">Sensitive transition workflow (flight-risk)</x:t>
        </x:is>
      </x:c>
      <x:c r="Y140" t="n">
        <x:v>0.135</x:v>
      </x:c>
      <x:c r="Z140" t="inlineStr">
        <x:is>
          <x:t xml:space="preserve">similarity</x:t>
        </x:is>
      </x:c>
    </x:row>
    <x:row r="141">
      <x:c r="A141" t="inlineStr">
        <x:is>
          <x:t xml:space="preserve">DATA-D6-Q13</x:t>
        </x:is>
      </x:c>
      <x:c r="C141" t="inlineStr">
        <x:is>
          <x:t xml:space="preserve">T2</x:t>
        </x:is>
      </x:c>
      <x:c r="D141" t="inlineStr">
        <x:is>
          <x:t xml:space="preserve">3. Risk &amp; Third Parties</x:t>
        </x:is>
      </x:c>
      <x:c r="E141" t="inlineStr">
        <x:is>
          <x:t xml:space="preserve">V</x:t>
        </x:is>
      </x:c>
      <x:c r="F141" t="n">
        <x:v>0.6</x:v>
      </x:c>
      <x:c r="G141" t="inlineStr">
        <x:is>
          <x:t xml:space="preserve">G</x:t>
        </x:is>
      </x:c>
      <x:c r="H141" t="n">
        <x:v>0.4</x:v>
      </x:c>
      <x:c r="I141" t="inlineStr">
        <x:is>
          <x:t xml:space="preserve">Are third-party data sharing arrangements inventoried with a business owner and a simple risk rating?</x:t>
        </x:is>
      </x:c>
      <x:c r="J141" t="inlineStr">
        <x:is>
          <x:t xml:space="preserve">Includes: vendors, partners, outsourcers, contractors, and joint projects.</x:t>
        </x:is>
      </x:c>
      <x:c r="L141" t="inlineStr">
        <x:is>
          <x:t xml:space="preserve">RISK_STD</x:t>
        </x:is>
      </x:c>
      <x:c r="M141" t="n">
        <x:v>1</x:v>
      </x:c>
      <x:c r="P141" t="inlineStr">
        <x:is>
          <x:t xml:space="preserve">Drilldown</x:t>
        </x:is>
      </x:c>
      <x:c r="T141" t="inlineStr">
        <x:is>
          <x:t xml:space="preserve">DATA-D7-Q14</x:t>
        </x:is>
      </x:c>
      <x:c r="V141" t="inlineStr">
        <x:is>
          <x:t xml:space="preserve">3. Risk Management</x:t>
        </x:is>
      </x:c>
      <x:c r="W141" t="inlineStr">
        <x:is>
          <x:t xml:space="preserve">Inventory &amp; Scope</x:t>
        </x:is>
      </x:c>
      <x:c r="X141" t="inlineStr">
        <x:is>
          <x:t xml:space="preserve">Third-party/contractor scoping</x:t>
        </x:is>
      </x:c>
      <x:c r="Y141" t="n">
        <x:v>0.95</x:v>
      </x:c>
      <x:c r="Z141" t="inlineStr">
        <x:is>
          <x:t xml:space="preserve">override</x:t>
        </x:is>
      </x:c>
    </x:row>
    <x:row r="142">
      <x:c r="A142" t="inlineStr">
        <x:is>
          <x:t xml:space="preserve">DATA-D7-Q14</x:t>
        </x:is>
      </x:c>
      <x:c r="C142" t="inlineStr">
        <x:is>
          <x:t xml:space="preserve">T2</x:t>
        </x:is>
      </x:c>
      <x:c r="D142" t="inlineStr">
        <x:is>
          <x:t xml:space="preserve">9. Performance &amp; Reporting</x:t>
        </x:is>
      </x:c>
      <x:c r="E142" t="inlineStr">
        <x:is>
          <x:t xml:space="preserve">G</x:t>
        </x:is>
      </x:c>
      <x:c r="F142" t="n">
        <x:v>0.6</x:v>
      </x:c>
      <x:c r="G142" t="inlineStr">
        <x:is>
          <x:t xml:space="preserve">H</x:t>
        </x:is>
      </x:c>
      <x:c r="H142" t="n">
        <x:v>0.4</x:v>
      </x:c>
      <x:c r="I142" t="inlineStr">
        <x:is>
          <x:t xml:space="preserve">Do we report insider-risk related metrics in business terms (e.g., near-misses, exception rate, trust indicators), not just ‘alerts’?</x:t>
        </x:is>
      </x:c>
      <x:c r="J142" t="inlineStr">
        <x:is>
          <x:t xml:space="preserve">The goal is to show business impact and trust health.</x:t>
        </x:is>
      </x:c>
      <x:c r="L142" t="inlineStr">
        <x:is>
          <x:t xml:space="preserve">GOV_STD</x:t>
        </x:is>
      </x:c>
      <x:c r="M142" t="n">
        <x:v>1</x:v>
      </x:c>
      <x:c r="P142" t="inlineStr">
        <x:is>
          <x:t xml:space="preserve">Drilldown</x:t>
        </x:is>
      </x:c>
      <x:c r="T142" t="inlineStr">
        <x:is>
          <x:t xml:space="preserve">DATA-D8-Q15</x:t>
        </x:is>
      </x:c>
      <x:c r="V142" t="inlineStr">
        <x:is>
          <x:t xml:space="preserve">1. Strategy &amp; Governance</x:t>
        </x:is>
      </x:c>
      <x:c r="W142" t="inlineStr">
        <x:is>
          <x:t xml:space="preserve">Scope &amp; Boundaries</x:t>
        </x:is>
      </x:c>
      <x:c r="X142" t="inlineStr">
        <x:is>
          <x:t xml:space="preserve">Exceptions &amp; risk acceptance</x:t>
        </x:is>
      </x:c>
      <x:c r="Y142" t="n">
        <x:v>0.95</x:v>
      </x:c>
      <x:c r="Z142" t="inlineStr">
        <x:is>
          <x:t xml:space="preserve">override</x:t>
        </x:is>
      </x:c>
    </x:row>
    <x:row r="143">
      <x:c r="A143" t="inlineStr">
        <x:is>
          <x:t xml:space="preserve">DATA-D8-Q15</x:t>
        </x:is>
      </x:c>
      <x:c r="C143" t="inlineStr">
        <x:is>
          <x:t xml:space="preserve">T3</x:t>
        </x:is>
      </x:c>
      <x:c r="D143" t="inlineStr">
        <x:is>
          <x:t xml:space="preserve">3. Risk &amp; Data Handling</x:t>
        </x:is>
      </x:c>
      <x:c r="E143" t="inlineStr">
        <x:is>
          <x:t xml:space="preserve">E</x:t>
        </x:is>
      </x:c>
      <x:c r="F143" t="n">
        <x:v>0.5</x:v>
      </x:c>
      <x:c r="G143" t="inlineStr">
        <x:is>
          <x:t xml:space="preserve">V</x:t>
        </x:is>
      </x:c>
      <x:c r="H143" t="n">
        <x:v>0.5</x:v>
      </x:c>
      <x:c r="I143" t="inlineStr">
        <x:is>
          <x:t xml:space="preserve">Do teams classify/label sensitive data in a way that actually influences daily handling and sharing?</x:t>
        </x:is>
      </x:c>
      <x:c r="J143" t="inlineStr">
        <x:is>
          <x:t xml:space="preserve">This isn’t about perfect taxonomy—it’s about practical use (e.g., marking a file as confidential and seeing behavior change).</x:t>
        </x:is>
      </x:c>
      <x:c r="L143" t="inlineStr">
        <x:is>
          <x:t xml:space="preserve">OPS_STD</x:t>
        </x:is>
      </x:c>
      <x:c r="M143" t="n">
        <x:v>1</x:v>
      </x:c>
      <x:c r="P143" t="inlineStr">
        <x:is>
          <x:t xml:space="preserve">Annex</x:t>
        </x:is>
      </x:c>
      <x:c r="V143" t="inlineStr">
        <x:is>
          <x:t xml:space="preserve">3. Risk Management</x:t>
        </x:is>
      </x:c>
      <x:c r="W143" t="inlineStr">
        <x:is>
          <x:t xml:space="preserve">Inventory &amp; Scope</x:t>
        </x:is>
      </x:c>
      <x:c r="X143" t="inlineStr">
        <x:is>
          <x:t xml:space="preserve">Crown jewels/HVA identification</x:t>
        </x:is>
      </x:c>
      <x:c r="Y143" t="n">
        <x:v>0.95</x:v>
      </x:c>
      <x:c r="Z143" t="inlineStr">
        <x:is>
          <x:t xml:space="preserve">override</x:t>
        </x:is>
      </x:c>
    </x:row>
    <x:row r="144">
      <x:c r="A144" t="inlineStr">
        <x:is>
          <x:t xml:space="preserve">ITIAM-D1-Q01</x:t>
        </x:is>
      </x:c>
      <x:c r="C144" t="inlineStr">
        <x:is>
          <x:t xml:space="preserve">T1</x:t>
        </x:is>
      </x:c>
      <x:c r="D144" t="inlineStr">
        <x:is>
          <x:t xml:space="preserve">6. Tech &amp; Identity</x:t>
        </x:is>
      </x:c>
      <x:c r="E144" t="inlineStr">
        <x:is>
          <x:t xml:space="preserve">E</x:t>
        </x:is>
      </x:c>
      <x:c r="F144" t="n">
        <x:v>0.7</x:v>
      </x:c>
      <x:c r="G144" t="inlineStr">
        <x:is>
          <x:t xml:space="preserve">T</x:t>
        </x:is>
      </x:c>
      <x:c r="H144" t="n">
        <x:v>0.3</x:v>
      </x:c>
      <x:c r="I144" t="inlineStr">
        <x:is>
          <x:t xml:space="preserve">When someone leaves the organization, how quickly is their access removed across core systems (email, VPN, SaaS, key apps)?</x:t>
        </x:is>
      </x:c>
      <x:c r="J144" t="inlineStr">
        <x:is>
          <x:t xml:space="preserve">Think about both planned exits and urgent terminations. Speed matters for insider risk.</x:t>
        </x:is>
      </x:c>
      <x:c r="L144" t="inlineStr">
        <x:is>
          <x:t xml:space="preserve">OPS_STD</x:t>
        </x:is>
      </x:c>
      <x:c r="M144" t="n">
        <x:v>1.5</x:v>
      </x:c>
      <x:c r="N144" t="n">
        <x:v>0.5</x:v>
      </x:c>
      <x:c r="P144" t="inlineStr">
        <x:is>
          <x:t xml:space="preserve">Gatekeeper</x:t>
        </x:is>
      </x:c>
      <x:c r="Q144" t="n">
        <x:v>2</x:v>
      </x:c>
      <x:c r="R144" t="inlineStr">
        <x:is>
          <x:t xml:space="preserve">ITIAM-D1-Q02</x:t>
        </x:is>
      </x:c>
      <x:c r="S144" t="inlineStr">
        <x:is>
          <x:t xml:space="preserve">ITIAM-D1-Q03</x:t>
        </x:is>
      </x:c>
      <x:c r="T144" t="inlineStr">
        <x:is>
          <x:t xml:space="preserve">ITIAM-D1-Q02</x:t>
        </x:is>
      </x:c>
      <x:c r="V144" t="inlineStr">
        <x:is>
          <x:t xml:space="preserve">1. Strategy &amp; Governance</x:t>
        </x:is>
      </x:c>
      <x:c r="W144" t="inlineStr">
        <x:is>
          <x:t xml:space="preserve">Scope &amp; Boundaries</x:t>
        </x:is>
      </x:c>
      <x:c r="X144" t="inlineStr">
        <x:is>
          <x:t xml:space="preserve">Exceptions &amp; risk acceptance</x:t>
        </x:is>
      </x:c>
      <x:c r="Y144" t="n">
        <x:v>0.111</x:v>
      </x:c>
      <x:c r="Z144" t="inlineStr">
        <x:is>
          <x:t xml:space="preserve">similarity</x:t>
        </x:is>
      </x:c>
    </x:row>
    <x:row r="145">
      <x:c r="A145" t="inlineStr">
        <x:is>
          <x:t xml:space="preserve">ITIAM-D1-Q02</x:t>
        </x:is>
      </x:c>
      <x:c r="C145" t="inlineStr">
        <x:is>
          <x:t xml:space="preserve">T2</x:t>
        </x:is>
      </x:c>
      <x:c r="D145" t="inlineStr">
        <x:is>
          <x:t xml:space="preserve">6. Tech &amp; Identity</x:t>
        </x:is>
      </x:c>
      <x:c r="E145" t="inlineStr">
        <x:is>
          <x:t xml:space="preserve">E</x:t>
        </x:is>
      </x:c>
      <x:c r="F145" t="n">
        <x:v>1</x:v>
      </x:c>
      <x:c r="G145" t="inlineStr">
        <x:is>
          <x:t xml:space="preserve">-</x:t>
        </x:is>
      </x:c>
      <x:c r="I145" t="inlineStr">
        <x:is>
          <x:t xml:space="preserve">(Shadow probe) If automation is limited, do admins still remove access consistently using a checklist and escalation rules?</x:t>
        </x:is>
      </x:c>
      <x:c r="J145" t="inlineStr">
        <x:is>
          <x:t xml:space="preserve">This captures hidden maturity in manual environments.</x:t>
        </x:is>
      </x:c>
      <x:c r="L145" t="inlineStr">
        <x:is>
          <x:t xml:space="preserve">OPS_STD</x:t>
        </x:is>
      </x:c>
      <x:c r="M145" t="n">
        <x:v>1</x:v>
      </x:c>
      <x:c r="P145" t="inlineStr">
        <x:is>
          <x:t xml:space="preserve">ShadowProbe</x:t>
        </x:is>
      </x:c>
      <x:c r="T145" t="inlineStr">
        <x:is>
          <x:t xml:space="preserve">ITIAM-D1-Q03</x:t>
        </x:is>
      </x:c>
      <x:c r="V145" t="inlineStr">
        <x:is>
          <x:t xml:space="preserve">6. Technical Controls</x:t>
        </x:is>
      </x:c>
      <x:c r="W145" t="inlineStr">
        <x:is>
          <x:t xml:space="preserve">Physical/OT Overlay</x:t>
        </x:is>
      </x:c>
      <x:c r="X145" t="inlineStr">
        <x:is>
          <x:t xml:space="preserve">OT privileged access &amp; engineering workstation governance</x:t>
        </x:is>
      </x:c>
      <x:c r="Y145" t="n">
        <x:v>0.095</x:v>
      </x:c>
      <x:c r="Z145" t="inlineStr">
        <x:is>
          <x:t xml:space="preserve">similarity</x:t>
        </x:is>
      </x:c>
    </x:row>
    <x:row r="146">
      <x:c r="A146" t="inlineStr">
        <x:is>
          <x:t xml:space="preserve">ITIAM-D1-Q03</x:t>
        </x:is>
      </x:c>
      <x:c r="C146" t="inlineStr">
        <x:is>
          <x:t xml:space="preserve">T2</x:t>
        </x:is>
      </x:c>
      <x:c r="D146" t="inlineStr">
        <x:is>
          <x:t xml:space="preserve">6. Tech &amp; Identity</x:t>
        </x:is>
      </x:c>
      <x:c r="E146" t="inlineStr">
        <x:is>
          <x:t xml:space="preserve">T</x:t>
        </x:is>
      </x:c>
      <x:c r="F146" t="n">
        <x:v>0.6</x:v>
      </x:c>
      <x:c r="G146" t="inlineStr">
        <x:is>
          <x:t xml:space="preserve">E</x:t>
        </x:is>
      </x:c>
      <x:c r="H146" t="n">
        <x:v>0.4</x:v>
      </x:c>
      <x:c r="I146" t="inlineStr">
        <x:is>
          <x:t xml:space="preserve">Are joiner/mover/leaver (JML) changes connected to HR events automatically (so access changes aren’t missed)?</x:t>
        </x:is>
      </x:c>
      <x:c r="J146" t="inlineStr">
        <x:is>
          <x:t xml:space="preserve">Example: HR termination triggers account disablement, group removal, and SaaS access cleanup.</x:t>
        </x:is>
      </x:c>
      <x:c r="L146" t="inlineStr">
        <x:is>
          <x:t xml:space="preserve">OPS_STD</x:t>
        </x:is>
      </x:c>
      <x:c r="M146" t="n">
        <x:v>1.2</x:v>
      </x:c>
      <x:c r="P146" t="inlineStr">
        <x:is>
          <x:t xml:space="preserve">Drilldown</x:t>
        </x:is>
      </x:c>
      <x:c r="T146" t="inlineStr">
        <x:is>
          <x:t xml:space="preserve">ITIAM-D2-Q04</x:t>
        </x:is>
      </x:c>
      <x:c r="V146" t="inlineStr">
        <x:is>
          <x:t xml:space="preserve">5. Human-Centric Culture</x:t>
        </x:is>
      </x:c>
      <x:c r="W146" t="inlineStr">
        <x:is>
          <x:t xml:space="preserve">Human Lifecycle</x:t>
        </x:is>
      </x:c>
      <x:c r="X146" t="inlineStr">
        <x:is>
          <x:t xml:space="preserve">Enhanced JML Synchronization</x:t>
        </x:is>
      </x:c>
      <x:c r="Y146" t="n">
        <x:v>0.95</x:v>
      </x:c>
      <x:c r="Z146" t="inlineStr">
        <x:is>
          <x:t xml:space="preserve">override</x:t>
        </x:is>
      </x:c>
    </x:row>
    <x:row r="147">
      <x:c r="A147" t="inlineStr">
        <x:is>
          <x:t xml:space="preserve">ITIAM-D2-Q04</x:t>
        </x:is>
      </x:c>
      <x:c r="C147" t="inlineStr">
        <x:is>
          <x:t xml:space="preserve">T1</x:t>
        </x:is>
      </x:c>
      <x:c r="D147" t="inlineStr">
        <x:is>
          <x:t xml:space="preserve">3. Risk &amp; Access Visibility</x:t>
        </x:is>
      </x:c>
      <x:c r="E147" t="inlineStr">
        <x:is>
          <x:t xml:space="preserve">V</x:t>
        </x:is>
      </x:c>
      <x:c r="F147" t="n">
        <x:v>0.7</x:v>
      </x:c>
      <x:c r="G147" t="inlineStr">
        <x:is>
          <x:t xml:space="preserve">T</x:t>
        </x:is>
      </x:c>
      <x:c r="H147" t="n">
        <x:v>0.3</x:v>
      </x:c>
      <x:c r="I147" t="inlineStr">
        <x:is>
          <x:t xml:space="preserve">Do we have a single place to see who has access to key systems and data (including admins and contractors)?</x:t>
        </x:is>
      </x:c>
      <x:c r="J147" t="inlineStr">
        <x:is>
          <x:t xml:space="preserve">This can be an IAM tool, access review system, or reliable inventory—not spreadsheets that are always outdated.</x:t>
        </x:is>
      </x:c>
      <x:c r="L147" t="inlineStr">
        <x:is>
          <x:t xml:space="preserve">RISK_STD</x:t>
        </x:is>
      </x:c>
      <x:c r="M147" t="n">
        <x:v>1.3</x:v>
      </x:c>
      <x:c r="N147" t="n">
        <x:v>0.5</x:v>
      </x:c>
      <x:c r="P147" t="inlineStr">
        <x:is>
          <x:t xml:space="preserve">Gatekeeper</x:t>
        </x:is>
      </x:c>
      <x:c r="Q147" t="n">
        <x:v>2</x:v>
      </x:c>
      <x:c r="R147" t="inlineStr">
        <x:is>
          <x:t xml:space="preserve">ITIAM-D2-Q05</x:t>
        </x:is>
      </x:c>
      <x:c r="S147" t="inlineStr">
        <x:is>
          <x:t xml:space="preserve">ITIAM-D3-Q06</x:t>
        </x:is>
      </x:c>
      <x:c r="T147" t="inlineStr">
        <x:is>
          <x:t xml:space="preserve">ITIAM-D2-Q05</x:t>
        </x:is>
      </x:c>
      <x:c r="V147" t="inlineStr">
        <x:is>
          <x:t xml:space="preserve">6. Technical Controls</x:t>
        </x:is>
      </x:c>
      <x:c r="W147" t="inlineStr">
        <x:is>
          <x:t xml:space="preserve">Identity &amp; Access</x:t>
        </x:is>
      </x:c>
      <x:c r="X147" t="inlineStr">
        <x:is>
          <x:t xml:space="preserve">Least privilege &amp; role engineering</x:t>
        </x:is>
      </x:c>
      <x:c r="Y147" t="n">
        <x:v>0.95</x:v>
      </x:c>
      <x:c r="Z147" t="inlineStr">
        <x:is>
          <x:t xml:space="preserve">override</x:t>
        </x:is>
      </x:c>
    </x:row>
    <x:row r="148">
      <x:c r="A148" t="inlineStr">
        <x:is>
          <x:t xml:space="preserve">ITIAM-D2-Q05</x:t>
        </x:is>
      </x:c>
      <x:c r="C148" t="inlineStr">
        <x:is>
          <x:t xml:space="preserve">T2</x:t>
        </x:is>
      </x:c>
      <x:c r="D148" t="inlineStr">
        <x:is>
          <x:t xml:space="preserve">3. Risk &amp; Access Visibility</x:t>
        </x:is>
      </x:c>
      <x:c r="E148" t="inlineStr">
        <x:is>
          <x:t xml:space="preserve">E</x:t>
        </x:is>
      </x:c>
      <x:c r="F148" t="n">
        <x:v>0.5</x:v>
      </x:c>
      <x:c r="G148" t="inlineStr">
        <x:is>
          <x:t xml:space="preserve">V</x:t>
        </x:is>
      </x:c>
      <x:c r="H148" t="n">
        <x:v>0.5</x:v>
      </x:c>
      <x:c r="I148" t="inlineStr">
        <x:is>
          <x:t xml:space="preserve">Do we review and certify access for high-value systems on a schedule (and remove unused access)?</x:t>
        </x:is>
      </x:c>
      <x:c r="J148" t="inlineStr">
        <x:is>
          <x:t xml:space="preserve">Even annual reviews are better than never; high-risk systems may need quarterly.</x:t>
        </x:is>
      </x:c>
      <x:c r="L148" t="inlineStr">
        <x:is>
          <x:t xml:space="preserve">RISK_STD</x:t>
        </x:is>
      </x:c>
      <x:c r="M148" t="n">
        <x:v>1.1</x:v>
      </x:c>
      <x:c r="P148" t="inlineStr">
        <x:is>
          <x:t xml:space="preserve">Drilldown</x:t>
        </x:is>
      </x:c>
      <x:c r="T148" t="inlineStr">
        <x:is>
          <x:t xml:space="preserve">ITIAM-D3-Q06</x:t>
        </x:is>
      </x:c>
      <x:c r="V148" t="inlineStr">
        <x:is>
          <x:t xml:space="preserve">3. Risk Management</x:t>
        </x:is>
      </x:c>
      <x:c r="W148" t="inlineStr">
        <x:is>
          <x:t xml:space="preserve">Inventory &amp; Scope</x:t>
        </x:is>
      </x:c>
      <x:c r="X148" t="inlineStr">
        <x:is>
          <x:t xml:space="preserve">Crown jewels/HVA identification</x:t>
        </x:is>
      </x:c>
      <x:c r="Y148" t="n">
        <x:v>0.95</x:v>
      </x:c>
      <x:c r="Z148" t="inlineStr">
        <x:is>
          <x:t xml:space="preserve">override</x:t>
        </x:is>
      </x:c>
    </x:row>
    <x:row r="149">
      <x:c r="A149" t="inlineStr">
        <x:is>
          <x:t xml:space="preserve">ITIAM-D3-Q06</x:t>
        </x:is>
      </x:c>
      <x:c r="C149" t="inlineStr">
        <x:is>
          <x:t xml:space="preserve">T1</x:t>
        </x:is>
      </x:c>
      <x:c r="D149" t="inlineStr">
        <x:is>
          <x:t xml:space="preserve">6. Tech &amp; Privileged Access</x:t>
        </x:is>
      </x:c>
      <x:c r="E149" t="inlineStr">
        <x:is>
          <x:t xml:space="preserve">T</x:t>
        </x:is>
      </x:c>
      <x:c r="F149" t="n">
        <x:v>0.7</x:v>
      </x:c>
      <x:c r="G149" t="inlineStr">
        <x:is>
          <x:t xml:space="preserve">E</x:t>
        </x:is>
      </x:c>
      <x:c r="H149" t="n">
        <x:v>0.3</x:v>
      </x:c>
      <x:c r="I149" t="inlineStr">
        <x:is>
          <x:t xml:space="preserve">How are privileged/admin accounts controlled (approval, time limits, MFA, and monitoring)?</x:t>
        </x:is>
      </x:c>
      <x:c r="J149" t="inlineStr">
        <x:is>
          <x:t xml:space="preserve">Privileged access is often the highest insider-risk leverage point.</x:t>
        </x:is>
      </x:c>
      <x:c r="L149" t="inlineStr">
        <x:is>
          <x:t xml:space="preserve">OPS_STD</x:t>
        </x:is>
      </x:c>
      <x:c r="M149" t="n">
        <x:v>1.5</x:v>
      </x:c>
      <x:c r="N149" t="n">
        <x:v>0.5</x:v>
      </x:c>
      <x:c r="P149" t="inlineStr">
        <x:is>
          <x:t xml:space="preserve">Gatekeeper</x:t>
        </x:is>
      </x:c>
      <x:c r="Q149" t="n">
        <x:v>2</x:v>
      </x:c>
      <x:c r="R149" t="inlineStr">
        <x:is>
          <x:t xml:space="preserve">ITIAM-D3-Q07</x:t>
        </x:is>
      </x:c>
      <x:c r="S149" t="inlineStr">
        <x:is>
          <x:t xml:space="preserve">ITIAM-D3-Q08</x:t>
        </x:is>
      </x:c>
      <x:c r="T149" t="inlineStr">
        <x:is>
          <x:t xml:space="preserve">ITIAM-D3-Q07</x:t>
        </x:is>
      </x:c>
      <x:c r="V149" t="inlineStr">
        <x:is>
          <x:t xml:space="preserve">6. Technical Controls</x:t>
        </x:is>
      </x:c>
      <x:c r="W149" t="inlineStr">
        <x:is>
          <x:t xml:space="preserve">Identity &amp; Access</x:t>
        </x:is>
      </x:c>
      <x:c r="X149" t="inlineStr">
        <x:is>
          <x:t xml:space="preserve">PAM &amp; privileged session governance</x:t>
        </x:is>
      </x:c>
      <x:c r="Y149" t="n">
        <x:v>0.95</x:v>
      </x:c>
      <x:c r="Z149" t="inlineStr">
        <x:is>
          <x:t xml:space="preserve">override</x:t>
        </x:is>
      </x:c>
    </x:row>
    <x:row r="150">
      <x:c r="A150" t="inlineStr">
        <x:is>
          <x:t xml:space="preserve">ITIAM-D3-Q07</x:t>
        </x:is>
      </x:c>
      <x:c r="C150" t="inlineStr">
        <x:is>
          <x:t xml:space="preserve">T2</x:t>
        </x:is>
      </x:c>
      <x:c r="D150" t="inlineStr">
        <x:is>
          <x:t xml:space="preserve">6. Tech &amp; Privileged Access</x:t>
        </x:is>
      </x:c>
      <x:c r="E150" t="inlineStr">
        <x:is>
          <x:t xml:space="preserve">R</x:t>
        </x:is>
      </x:c>
      <x:c r="F150" t="n">
        <x:v>0.4</x:v>
      </x:c>
      <x:c r="G150" t="inlineStr">
        <x:is>
          <x:t xml:space="preserve">T</x:t>
        </x:is>
      </x:c>
      <x:c r="H150" t="n">
        <x:v>0.6</x:v>
      </x:c>
      <x:c r="I150" t="inlineStr">
        <x:is>
          <x:t xml:space="preserve">Is ‘break-glass’ emergency access controlled, logged, and reviewed after use?</x:t>
        </x:is>
      </x:c>
      <x:c r="J150" t="inlineStr">
        <x:is>
          <x:t xml:space="preserve">Break-glass should be rare, time-limited, and reviewed like an incident.</x:t>
        </x:is>
      </x:c>
      <x:c r="L150" t="inlineStr">
        <x:is>
          <x:t xml:space="preserve">OPS_STD</x:t>
        </x:is>
      </x:c>
      <x:c r="M150" t="n">
        <x:v>1.2</x:v>
      </x:c>
      <x:c r="P150" t="inlineStr">
        <x:is>
          <x:t xml:space="preserve">Drilldown</x:t>
        </x:is>
      </x:c>
      <x:c r="T150" t="inlineStr">
        <x:is>
          <x:t xml:space="preserve">ITIAM-D3-Q08</x:t>
        </x:is>
      </x:c>
      <x:c r="V150" t="inlineStr">
        <x:is>
          <x:t xml:space="preserve">6. Technical Controls</x:t>
        </x:is>
      </x:c>
      <x:c r="W150" t="inlineStr">
        <x:is>
          <x:t xml:space="preserve">Data, Endpoint &amp; Cloud Controls</x:t>
        </x:is>
      </x:c>
      <x:c r="X150" t="inlineStr">
        <x:is>
          <x:t xml:space="preserve">EDR for insider use-cases</x:t>
        </x:is>
      </x:c>
      <x:c r="Y150" t="n">
        <x:v>0.1</x:v>
      </x:c>
      <x:c r="Z150" t="inlineStr">
        <x:is>
          <x:t xml:space="preserve">similarity</x:t>
        </x:is>
      </x:c>
    </x:row>
    <x:row r="151">
      <x:c r="A151" t="inlineStr">
        <x:is>
          <x:t xml:space="preserve">ITIAM-D3-Q08</x:t>
        </x:is>
      </x:c>
      <x:c r="C151" t="inlineStr">
        <x:is>
          <x:t xml:space="preserve">T2</x:t>
        </x:is>
      </x:c>
      <x:c r="D151" t="inlineStr">
        <x:is>
          <x:t xml:space="preserve">6. Tech &amp; Privileged Access</x:t>
        </x:is>
      </x:c>
      <x:c r="E151" t="inlineStr">
        <x:is>
          <x:t xml:space="preserve">T</x:t>
        </x:is>
      </x:c>
      <x:c r="F151" t="n">
        <x:v>0.7</x:v>
      </x:c>
      <x:c r="G151" t="inlineStr">
        <x:is>
          <x:t xml:space="preserve">R</x:t>
        </x:is>
      </x:c>
      <x:c r="H151" t="n">
        <x:v>0.3</x:v>
      </x:c>
      <x:c r="I151" t="inlineStr">
        <x:is>
          <x:t xml:space="preserve">Are privileged sessions/actions recorded or audited for critical systems (so actions are attributable)?</x:t>
        </x:is>
      </x:c>
      <x:c r="J151" t="inlineStr">
        <x:is>
          <x:t xml:space="preserve">This can be session recording, command logging, or equivalent—goal is accountability.</x:t>
        </x:is>
      </x:c>
      <x:c r="L151" t="inlineStr">
        <x:is>
          <x:t xml:space="preserve">OPS_STD</x:t>
        </x:is>
      </x:c>
      <x:c r="M151" t="n">
        <x:v>1.2</x:v>
      </x:c>
      <x:c r="P151" t="inlineStr">
        <x:is>
          <x:t xml:space="preserve">Drilldown</x:t>
        </x:is>
      </x:c>
      <x:c r="T151" t="inlineStr">
        <x:is>
          <x:t xml:space="preserve">ITIAM-D4-Q09</x:t>
        </x:is>
      </x:c>
      <x:c r="V151" t="inlineStr">
        <x:is>
          <x:t xml:space="preserve">6. Technical Controls</x:t>
        </x:is>
      </x:c>
      <x:c r="W151" t="inlineStr">
        <x:is>
          <x:t xml:space="preserve">Identity &amp; Access</x:t>
        </x:is>
      </x:c>
      <x:c r="X151" t="inlineStr">
        <x:is>
          <x:t xml:space="preserve">PAM &amp; privileged session governance</x:t>
        </x:is>
      </x:c>
      <x:c r="Y151" t="n">
        <x:v>0.95</x:v>
      </x:c>
      <x:c r="Z151" t="inlineStr">
        <x:is>
          <x:t xml:space="preserve">override</x:t>
        </x:is>
      </x:c>
    </x:row>
    <x:row r="152">
      <x:c r="A152" t="inlineStr">
        <x:is>
          <x:t xml:space="preserve">ITIAM-D4-Q09</x:t>
        </x:is>
      </x:c>
      <x:c r="C152" t="inlineStr">
        <x:is>
          <x:t xml:space="preserve">T1</x:t>
        </x:is>
      </x:c>
      <x:c r="D152" t="inlineStr">
        <x:is>
          <x:t xml:space="preserve">6. Tech &amp; Third Parties</x:t>
        </x:is>
      </x:c>
      <x:c r="E152" t="inlineStr">
        <x:is>
          <x:t xml:space="preserve">E</x:t>
        </x:is>
      </x:c>
      <x:c r="F152" t="n">
        <x:v>0.7</x:v>
      </x:c>
      <x:c r="G152" t="inlineStr">
        <x:is>
          <x:t xml:space="preserve">V</x:t>
        </x:is>
      </x:c>
      <x:c r="H152" t="n">
        <x:v>0.3</x:v>
      </x:c>
      <x:c r="I152" t="inlineStr">
        <x:is>
          <x:t xml:space="preserve">Are contractors/third parties onboarded and offboarded with the same access controls as employees?</x:t>
        </x:is>
      </x:c>
      <x:c r="J152" t="inlineStr">
        <x:is>
          <x:t xml:space="preserve">This includes identity proofing, MFA, least privilege, and prompt removal at contract end.</x:t>
        </x:is>
      </x:c>
      <x:c r="L152" t="inlineStr">
        <x:is>
          <x:t xml:space="preserve">OPS_STD</x:t>
        </x:is>
      </x:c>
      <x:c r="M152" t="n">
        <x:v>1.3</x:v>
      </x:c>
      <x:c r="P152" t="inlineStr">
        <x:is>
          <x:t xml:space="preserve">Gatekeeper</x:t>
        </x:is>
      </x:c>
      <x:c r="Q152" t="n">
        <x:v>2</x:v>
      </x:c>
      <x:c r="R152" t="inlineStr">
        <x:is>
          <x:t xml:space="preserve">ITIAM-D4-Q10</x:t>
        </x:is>
      </x:c>
      <x:c r="S152" t="inlineStr">
        <x:is>
          <x:t xml:space="preserve">ITIAM-D5-Q11</x:t>
        </x:is>
      </x:c>
      <x:c r="T152" t="inlineStr">
        <x:is>
          <x:t xml:space="preserve">ITIAM-D4-Q10</x:t>
        </x:is>
      </x:c>
      <x:c r="V152" t="inlineStr">
        <x:is>
          <x:t xml:space="preserve">6. Technical Controls</x:t>
        </x:is>
      </x:c>
      <x:c r="W152" t="inlineStr">
        <x:is>
          <x:t xml:space="preserve">Identity &amp; Access</x:t>
        </x:is>
      </x:c>
      <x:c r="X152" t="inlineStr">
        <x:is>
          <x:t xml:space="preserve">Least privilege &amp; role engineering</x:t>
        </x:is>
      </x:c>
      <x:c r="Y152" t="n">
        <x:v>0.95</x:v>
      </x:c>
      <x:c r="Z152" t="inlineStr">
        <x:is>
          <x:t xml:space="preserve">override</x:t>
        </x:is>
      </x:c>
    </x:row>
    <x:row r="153">
      <x:c r="A153" t="inlineStr">
        <x:is>
          <x:t xml:space="preserve">ITIAM-D4-Q10</x:t>
        </x:is>
      </x:c>
      <x:c r="C153" t="inlineStr">
        <x:is>
          <x:t xml:space="preserve">T2</x:t>
        </x:is>
      </x:c>
      <x:c r="D153" t="inlineStr">
        <x:is>
          <x:t xml:space="preserve">6. Tech &amp; Third Parties</x:t>
        </x:is>
      </x:c>
      <x:c r="E153" t="inlineStr">
        <x:is>
          <x:t xml:space="preserve">T</x:t>
        </x:is>
      </x:c>
      <x:c r="F153" t="n">
        <x:v>1</x:v>
      </x:c>
      <x:c r="G153" t="inlineStr">
        <x:is>
          <x:t xml:space="preserve">-</x:t>
        </x:is>
      </x:c>
      <x:c r="I153" t="inlineStr">
        <x:is>
          <x:t xml:space="preserve">Do vendor/MSP identities use named accounts (no shared logins) with MFA and clear ownership?</x:t>
        </x:is>
      </x:c>
      <x:c r="J153" t="inlineStr">
        <x:is>
          <x:t xml:space="preserve">Shared accounts are a major investigation blocker and insider-risk blind spot.</x:t>
        </x:is>
      </x:c>
      <x:c r="L153" t="inlineStr">
        <x:is>
          <x:t xml:space="preserve">OPS_STD</x:t>
        </x:is>
      </x:c>
      <x:c r="M153" t="n">
        <x:v>1</x:v>
      </x:c>
      <x:c r="P153" t="inlineStr">
        <x:is>
          <x:t xml:space="preserve">Drilldown</x:t>
        </x:is>
      </x:c>
      <x:c r="T153" t="inlineStr">
        <x:is>
          <x:t xml:space="preserve">ITIAM-D5-Q11</x:t>
        </x:is>
      </x:c>
      <x:c r="V153" t="inlineStr">
        <x:is>
          <x:t xml:space="preserve">6. Technical Controls</x:t>
        </x:is>
      </x:c>
      <x:c r="W153" t="inlineStr">
        <x:is>
          <x:t xml:space="preserve">Data, Endpoint &amp; Cloud Controls</x:t>
        </x:is>
      </x:c>
      <x:c r="X153" t="inlineStr">
        <x:is>
          <x:t xml:space="preserve">EDR for insider use-cases</x:t>
        </x:is>
      </x:c>
      <x:c r="Y153" t="n">
        <x:v>0.136</x:v>
      </x:c>
      <x:c r="Z153" t="inlineStr">
        <x:is>
          <x:t xml:space="preserve">similarity</x:t>
        </x:is>
      </x:c>
    </x:row>
    <x:row r="154">
      <x:c r="A154" t="inlineStr">
        <x:is>
          <x:t xml:space="preserve">ITIAM-D5-Q11</x:t>
        </x:is>
      </x:c>
      <x:c r="C154" t="inlineStr">
        <x:is>
          <x:t xml:space="preserve">T1</x:t>
        </x:is>
      </x:c>
      <x:c r="D154" t="inlineStr">
        <x:is>
          <x:t xml:space="preserve">6. Operational Friction</x:t>
        </x:is>
      </x:c>
      <x:c r="E154" t="inlineStr">
        <x:is>
          <x:t xml:space="preserve">F</x:t>
        </x:is>
      </x:c>
      <x:c r="F154" t="n">
        <x:v>0.6</x:v>
      </x:c>
      <x:c r="G154" t="inlineStr">
        <x:is>
          <x:t xml:space="preserve">E</x:t>
        </x:is>
      </x:c>
      <x:c r="H154" t="n">
        <x:v>0.4</x:v>
      </x:c>
      <x:c r="I154" t="inlineStr">
        <x:is>
          <x:t xml:space="preserve">Do teams bypass identity controls to get work done (shared accounts, local admin, borrowing credentials), and is this reduced over time?</x:t>
        </x:is>
      </x:c>
      <x:c r="J154" t="inlineStr">
        <x:is>
          <x:t xml:space="preserve">We’re looking for honest signal and improvement, not perfection.</x:t>
        </x:is>
      </x:c>
      <x:c r="L154" t="inlineStr">
        <x:is>
          <x:t xml:space="preserve">OPS_STD</x:t>
        </x:is>
      </x:c>
      <x:c r="M154" t="n">
        <x:v>1.1</x:v>
      </x:c>
      <x:c r="P154" t="inlineStr">
        <x:is>
          <x:t xml:space="preserve">Gatekeeper</x:t>
        </x:is>
      </x:c>
      <x:c r="Q154" t="n">
        <x:v>2</x:v>
      </x:c>
      <x:c r="R154" t="inlineStr">
        <x:is>
          <x:t xml:space="preserve">ITIAM-D5-Q12</x:t>
        </x:is>
      </x:c>
      <x:c r="S154" t="inlineStr">
        <x:is>
          <x:t xml:space="preserve">ITIAM-D6-Q13</x:t>
        </x:is>
      </x:c>
      <x:c r="T154" t="inlineStr">
        <x:is>
          <x:t xml:space="preserve">ITIAM-D5-Q12</x:t>
        </x:is>
      </x:c>
      <x:c r="V154" t="inlineStr">
        <x:is>
          <x:t xml:space="preserve">6. Technical Controls</x:t>
        </x:is>
      </x:c>
      <x:c r="W154" t="inlineStr">
        <x:is>
          <x:t xml:space="preserve">Data, Endpoint &amp; Cloud Controls</x:t>
        </x:is>
      </x:c>
      <x:c r="X154" t="inlineStr">
        <x:is>
          <x:t xml:space="preserve">Collaboration/SaaS sharing controls</x:t>
        </x:is>
      </x:c>
      <x:c r="Y154" t="n">
        <x:v>0.95</x:v>
      </x:c>
      <x:c r="Z154" t="inlineStr">
        <x:is>
          <x:t xml:space="preserve">override</x:t>
        </x:is>
      </x:c>
    </x:row>
    <x:row r="155">
      <x:c r="A155" t="inlineStr">
        <x:is>
          <x:t xml:space="preserve">ITIAM-D5-Q12</x:t>
        </x:is>
      </x:c>
      <x:c r="C155" t="inlineStr">
        <x:is>
          <x:t xml:space="preserve">T2</x:t>
        </x:is>
      </x:c>
      <x:c r="D155" t="inlineStr">
        <x:is>
          <x:t xml:space="preserve">6. Operational Friction</x:t>
        </x:is>
      </x:c>
      <x:c r="E155" t="inlineStr">
        <x:is>
          <x:t xml:space="preserve">F</x:t>
        </x:is>
      </x:c>
      <x:c r="F155" t="n">
        <x:v>0.7</x:v>
      </x:c>
      <x:c r="G155" t="inlineStr">
        <x:is>
          <x:t xml:space="preserve">G</x:t>
        </x:is>
      </x:c>
      <x:c r="H155" t="n">
        <x:v>0.3</x:v>
      </x:c>
      <x:c r="I155" t="inlineStr">
        <x:is>
          <x:t xml:space="preserve">Is there a fast access request path (with clear SLA) so teams don’t share credentials or use shadow accounts?</x:t>
        </x:is>
      </x:c>
      <x:c r="J155" t="inlineStr">
        <x:is>
          <x:t xml:space="preserve">If the legitimate path is too slow, bypass becomes predictable.</x:t>
        </x:is>
      </x:c>
      <x:c r="L155" t="inlineStr">
        <x:is>
          <x:t xml:space="preserve">OPS_STD</x:t>
        </x:is>
      </x:c>
      <x:c r="M155" t="n">
        <x:v>1</x:v>
      </x:c>
      <x:c r="P155" t="inlineStr">
        <x:is>
          <x:t xml:space="preserve">Drilldown</x:t>
        </x:is>
      </x:c>
      <x:c r="T155" t="inlineStr">
        <x:is>
          <x:t xml:space="preserve">ITIAM-D6-Q13</x:t>
        </x:is>
      </x:c>
      <x:c r="V155" t="inlineStr">
        <x:is>
          <x:t xml:space="preserve">6. Technical Controls</x:t>
        </x:is>
      </x:c>
      <x:c r="W155" t="inlineStr">
        <x:is>
          <x:t xml:space="preserve">Data, Endpoint &amp; Cloud Controls</x:t>
        </x:is>
      </x:c>
      <x:c r="X155" t="inlineStr">
        <x:is>
          <x:t xml:space="preserve">Collaboration/SaaS sharing controls</x:t>
        </x:is>
      </x:c>
      <x:c r="Y155" t="n">
        <x:v>0.95</x:v>
      </x:c>
      <x:c r="Z155" t="inlineStr">
        <x:is>
          <x:t xml:space="preserve">override</x:t>
        </x:is>
      </x:c>
    </x:row>
    <x:row r="156">
      <x:c r="A156" t="inlineStr">
        <x:is>
          <x:t xml:space="preserve">ITIAM-D6-Q13</x:t>
        </x:is>
      </x:c>
      <x:c r="C156" t="inlineStr">
        <x:is>
          <x:t xml:space="preserve">T1</x:t>
        </x:is>
      </x:c>
      <x:c r="D156" t="inlineStr">
        <x:is>
          <x:t xml:space="preserve">8. Response &amp; Containment</x:t>
        </x:is>
      </x:c>
      <x:c r="E156" t="inlineStr">
        <x:is>
          <x:t xml:space="preserve">R</x:t>
        </x:is>
      </x:c>
      <x:c r="F156" t="n">
        <x:v>0.6</x:v>
      </x:c>
      <x:c r="G156" t="inlineStr">
        <x:is>
          <x:t xml:space="preserve">T</x:t>
        </x:is>
      </x:c>
      <x:c r="H156" t="n">
        <x:v>0.4</x:v>
      </x:c>
      <x:c r="I156" t="inlineStr">
        <x:is>
          <x:t xml:space="preserve">If needed, can we quickly disable a user and cut off access to crown jewels (including remote sessions and tokens)?</x:t>
        </x:is>
      </x:c>
      <x:c r="J156" t="inlineStr">
        <x:is>
          <x:t xml:space="preserve">Think: speed + completeness across systems.</x:t>
        </x:is>
      </x:c>
      <x:c r="L156" t="inlineStr">
        <x:is>
          <x:t xml:space="preserve">OPS_STD</x:t>
        </x:is>
      </x:c>
      <x:c r="M156" t="n">
        <x:v>1.4</x:v>
      </x:c>
      <x:c r="N156" t="n">
        <x:v>0.5</x:v>
      </x:c>
      <x:c r="P156" t="inlineStr">
        <x:is>
          <x:t xml:space="preserve">Gatekeeper</x:t>
        </x:is>
      </x:c>
      <x:c r="Q156" t="n">
        <x:v>2</x:v>
      </x:c>
      <x:c r="R156" t="inlineStr">
        <x:is>
          <x:t xml:space="preserve">ITIAM-D6-Q14</x:t>
        </x:is>
      </x:c>
      <x:c r="S156" t="inlineStr">
        <x:is>
          <x:t xml:space="preserve">ITIAM-D7-Q15</x:t>
        </x:is>
      </x:c>
      <x:c r="T156" t="inlineStr">
        <x:is>
          <x:t xml:space="preserve">ITIAM-D6-Q14</x:t>
        </x:is>
      </x:c>
      <x:c r="V156" t="inlineStr">
        <x:is>
          <x:t xml:space="preserve">3. Risk Management</x:t>
        </x:is>
      </x:c>
      <x:c r="W156" t="inlineStr">
        <x:is>
          <x:t xml:space="preserve">Inventory &amp; Scope</x:t>
        </x:is>
      </x:c>
      <x:c r="X156" t="inlineStr">
        <x:is>
          <x:t xml:space="preserve">Crown jewels/HVA identification</x:t>
        </x:is>
      </x:c>
      <x:c r="Y156" t="n">
        <x:v>0.95</x:v>
      </x:c>
      <x:c r="Z156" t="inlineStr">
        <x:is>
          <x:t xml:space="preserve">override</x:t>
        </x:is>
      </x:c>
    </x:row>
    <x:row r="157">
      <x:c r="A157" t="inlineStr">
        <x:is>
          <x:t xml:space="preserve">ITIAM-D6-Q14</x:t>
        </x:is>
      </x:c>
      <x:c r="C157" t="inlineStr">
        <x:is>
          <x:t xml:space="preserve">T2</x:t>
        </x:is>
      </x:c>
      <x:c r="D157" t="inlineStr">
        <x:is>
          <x:t xml:space="preserve">8. Response &amp; Containment</x:t>
        </x:is>
      </x:c>
      <x:c r="E157" t="inlineStr">
        <x:is>
          <x:t xml:space="preserve">T</x:t>
        </x:is>
      </x:c>
      <x:c r="F157" t="n">
        <x:v>0.6</x:v>
      </x:c>
      <x:c r="G157" t="inlineStr">
        <x:is>
          <x:t xml:space="preserve">R</x:t>
        </x:is>
      </x:c>
      <x:c r="H157" t="n">
        <x:v>0.4</x:v>
      </x:c>
      <x:c r="I157" t="inlineStr">
        <x:is>
          <x:t xml:space="preserve">Do we have automated containment options for high-risk identities/actions (e.g., step-up auth, temporary blocks, kill switch)?</x:t>
        </x:is>
      </x:c>
      <x:c r="J157" t="inlineStr">
        <x:is>
          <x:t xml:space="preserve">Automation reduces response time and inconsistency.</x:t>
        </x:is>
      </x:c>
      <x:c r="L157" t="inlineStr">
        <x:is>
          <x:t xml:space="preserve">OPS_STD</x:t>
        </x:is>
      </x:c>
      <x:c r="M157" t="n">
        <x:v>1.1</x:v>
      </x:c>
      <x:c r="P157" t="inlineStr">
        <x:is>
          <x:t xml:space="preserve">Drilldown</x:t>
        </x:is>
      </x:c>
      <x:c r="T157" t="inlineStr">
        <x:is>
          <x:t xml:space="preserve">ITIAM-D7-Q15</x:t>
        </x:is>
      </x:c>
      <x:c r="V157" t="inlineStr">
        <x:is>
          <x:t xml:space="preserve">8. Investigation &amp; Response</x:t>
        </x:is>
      </x:c>
      <x:c r="W157" t="inlineStr">
        <x:is>
          <x:t xml:space="preserve">Incident Action</x:t>
        </x:is>
      </x:c>
      <x:c r="X157" t="inlineStr">
        <x:is>
          <x:t xml:space="preserve">Containment &amp; eradication actions</x:t>
        </x:is>
      </x:c>
      <x:c r="Y157" t="n">
        <x:v>0.95</x:v>
      </x:c>
      <x:c r="Z157" t="inlineStr">
        <x:is>
          <x:t xml:space="preserve">override</x:t>
        </x:is>
      </x:c>
    </x:row>
    <x:row r="158">
      <x:c r="A158" t="inlineStr">
        <x:is>
          <x:t xml:space="preserve">ITIAM-D7-Q15</x:t>
        </x:is>
      </x:c>
      <x:c r="C158" t="inlineStr">
        <x:is>
          <x:t xml:space="preserve">T2</x:t>
        </x:is>
      </x:c>
      <x:c r="D158" t="inlineStr">
        <x:is>
          <x:t xml:space="preserve">7. Analytics &amp; Logging</x:t>
        </x:is>
      </x:c>
      <x:c r="E158" t="inlineStr">
        <x:is>
          <x:t xml:space="preserve">T</x:t>
        </x:is>
      </x:c>
      <x:c r="F158" t="n">
        <x:v>0.6</x:v>
      </x:c>
      <x:c r="G158" t="inlineStr">
        <x:is>
          <x:t xml:space="preserve">R</x:t>
        </x:is>
      </x:c>
      <x:c r="H158" t="n">
        <x:v>0.4</x:v>
      </x:c>
      <x:c r="I158" t="inlineStr">
        <x:is>
          <x:t xml:space="preserve">Are authentication events, privilege changes, and admin actions centrally logged in a way that is hard to tamper with?</x:t>
        </x:is>
      </x:c>
      <x:c r="J158" t="inlineStr">
        <x:is>
          <x:t xml:space="preserve">Goal: reliable investigation trail and faster detection.</x:t>
        </x:is>
      </x:c>
      <x:c r="L158" t="inlineStr">
        <x:is>
          <x:t xml:space="preserve">OPS_STD</x:t>
        </x:is>
      </x:c>
      <x:c r="M158" t="n">
        <x:v>1.2</x:v>
      </x:c>
      <x:c r="P158" t="inlineStr">
        <x:is>
          <x:t xml:space="preserve">Drilldown</x:t>
        </x:is>
      </x:c>
      <x:c r="T158" t="inlineStr">
        <x:is>
          <x:t xml:space="preserve">ITIAM-D8-Q16</x:t>
        </x:is>
      </x:c>
      <x:c r="V158" t="inlineStr">
        <x:is>
          <x:t xml:space="preserve">8. Investigation &amp; Response</x:t>
        </x:is>
      </x:c>
      <x:c r="W158" t="inlineStr">
        <x:is>
          <x:t xml:space="preserve">Incident Action</x:t>
        </x:is>
      </x:c>
      <x:c r="X158" t="inlineStr">
        <x:is>
          <x:t xml:space="preserve">Containment &amp; eradication actions</x:t>
        </x:is>
      </x:c>
      <x:c r="Y158" t="n">
        <x:v>0.08799999999999999</x:v>
      </x:c>
      <x:c r="Z158" t="inlineStr">
        <x:is>
          <x:t xml:space="preserve">similarity</x:t>
        </x:is>
      </x:c>
    </x:row>
    <x:row r="159">
      <x:c r="A159" t="inlineStr">
        <x:is>
          <x:t xml:space="preserve">ITIAM-D8-Q16</x:t>
        </x:is>
      </x:c>
      <x:c r="C159" t="inlineStr">
        <x:is>
          <x:t xml:space="preserve">T2</x:t>
        </x:is>
      </x:c>
      <x:c r="D159" t="inlineStr">
        <x:is>
          <x:t xml:space="preserve">2. Threat &amp; Change Events</x:t>
        </x:is>
      </x:c>
      <x:c r="E159" t="inlineStr">
        <x:is>
          <x:t xml:space="preserve">W</x:t>
        </x:is>
      </x:c>
      <x:c r="F159" t="n">
        <x:v>1</x:v>
      </x:c>
      <x:c r="G159" t="inlineStr">
        <x:is>
          <x:t xml:space="preserve">-</x:t>
        </x:is>
      </x:c>
      <x:c r="I159" t="inlineStr">
        <x:is>
          <x:t xml:space="preserve">During re-org or M&amp;A, can we re-map roles and access quickly enough to avoid long ‘control lag’ periods?</x:t>
        </x:is>
      </x:c>
      <x:c r="J159" t="inlineStr">
        <x:is>
          <x:t xml:space="preserve">Control lag is when org changes faster than access control updates.</x:t>
        </x:is>
      </x:c>
      <x:c r="L159" t="inlineStr">
        <x:is>
          <x:t xml:space="preserve">RISK_STD</x:t>
        </x:is>
      </x:c>
      <x:c r="M159" t="n">
        <x:v>1</x:v>
      </x:c>
      <x:c r="P159" t="inlineStr">
        <x:is>
          <x:t xml:space="preserve">Drilldown</x:t>
        </x:is>
      </x:c>
      <x:c r="T159" t="inlineStr">
        <x:is>
          <x:t xml:space="preserve">ITIAM-D9-Q17</x:t>
        </x:is>
      </x:c>
      <x:c r="V159" t="inlineStr">
        <x:is>
          <x:t xml:space="preserve">1. Strategy &amp; Governance</x:t>
        </x:is>
      </x:c>
      <x:c r="W159" t="inlineStr">
        <x:is>
          <x:t xml:space="preserve">Scope &amp; Boundaries</x:t>
        </x:is>
      </x:c>
      <x:c r="X159" t="inlineStr">
        <x:is>
          <x:t xml:space="preserve">Scope boundary control</x:t>
        </x:is>
      </x:c>
      <x:c r="Y159" t="n">
        <x:v>0.08599999999999999</x:v>
      </x:c>
      <x:c r="Z159" t="inlineStr">
        <x:is>
          <x:t xml:space="preserve">similarity</x:t>
        </x:is>
      </x:c>
    </x:row>
    <x:row r="160">
      <x:c r="A160" t="inlineStr">
        <x:is>
          <x:t xml:space="preserve">ITIAM-D9-Q17</x:t>
        </x:is>
      </x:c>
      <x:c r="C160" t="inlineStr">
        <x:is>
          <x:t xml:space="preserve">T3</x:t>
        </x:is>
      </x:c>
      <x:c r="D160" t="inlineStr">
        <x:is>
          <x:t xml:space="preserve">6. Tech &amp; Identity (Deep)</x:t>
        </x:is>
      </x:c>
      <x:c r="E160" t="inlineStr">
        <x:is>
          <x:t xml:space="preserve">T</x:t>
        </x:is>
      </x:c>
      <x:c r="F160" t="n">
        <x:v>0.5</x:v>
      </x:c>
      <x:c r="G160" t="inlineStr">
        <x:is>
          <x:t xml:space="preserve">V</x:t>
        </x:is>
      </x:c>
      <x:c r="H160" t="n">
        <x:v>0.5</x:v>
      </x:c>
      <x:c r="I160" t="inlineStr">
        <x:is>
          <x:t xml:space="preserve">Do we have a consistent identity key (unique ID) that links HR records, IAM accounts, logs, and investigations?</x:t>
        </x:is>
      </x:c>
      <x:c r="J160" t="inlineStr">
        <x:is>
          <x:t xml:space="preserve">This avoids attribution errors and speeds investigations.</x:t>
        </x:is>
      </x:c>
      <x:c r="L160" t="inlineStr">
        <x:is>
          <x:t xml:space="preserve">OPS_STD</x:t>
        </x:is>
      </x:c>
      <x:c r="M160" t="n">
        <x:v>1</x:v>
      </x:c>
      <x:c r="P160" t="inlineStr">
        <x:is>
          <x:t xml:space="preserve">Annex</x:t>
        </x:is>
      </x:c>
      <x:c r="T160" t="inlineStr">
        <x:is>
          <x:t xml:space="preserve">ITIAM-D9-Q18</x:t>
        </x:is>
      </x:c>
      <x:c r="V160" t="inlineStr">
        <x:is>
          <x:t xml:space="preserve">8. Investigation &amp; Response</x:t>
        </x:is>
      </x:c>
      <x:c r="W160" t="inlineStr">
        <x:is>
          <x:t xml:space="preserve">Operational Readiness</x:t>
        </x:is>
      </x:c>
      <x:c r="X160" t="inlineStr">
        <x:is>
          <x:t xml:space="preserve">Privacy guardrails for investigations</x:t>
        </x:is>
      </x:c>
      <x:c r="Y160" t="n">
        <x:v>0.08799999999999999</x:v>
      </x:c>
      <x:c r="Z160" t="inlineStr">
        <x:is>
          <x:t xml:space="preserve">similarity</x:t>
        </x:is>
      </x:c>
    </x:row>
    <x:row r="161">
      <x:c r="A161" t="inlineStr">
        <x:is>
          <x:t xml:space="preserve">ITIAM-D9-Q18</x:t>
        </x:is>
      </x:c>
      <x:c r="C161" t="inlineStr">
        <x:is>
          <x:t xml:space="preserve">T3</x:t>
        </x:is>
      </x:c>
      <x:c r="D161" t="inlineStr">
        <x:is>
          <x:t xml:space="preserve">6. Tech &amp; Identity (Deep)</x:t>
        </x:is>
      </x:c>
      <x:c r="E161" t="inlineStr">
        <x:is>
          <x:t xml:space="preserve">T</x:t>
        </x:is>
      </x:c>
      <x:c r="F161" t="n">
        <x:v>1</x:v>
      </x:c>
      <x:c r="G161" t="inlineStr">
        <x:is>
          <x:t xml:space="preserve">-</x:t>
        </x:is>
      </x:c>
      <x:c r="I161" t="inlineStr">
        <x:is>
          <x:t xml:space="preserve">For sensitive actions, do we enforce step-up controls (approval, just-in-time, strong auth) to prevent privilege escalation abuse?</x:t>
        </x:is>
      </x:c>
      <x:c r="J161" t="inlineStr">
        <x:is>
          <x:t xml:space="preserve">Examples: admin role assignment, data export rights, payment approval rights.</x:t>
        </x:is>
      </x:c>
      <x:c r="L161" t="inlineStr">
        <x:is>
          <x:t xml:space="preserve">OPS_STD</x:t>
        </x:is>
      </x:c>
      <x:c r="M161" t="n">
        <x:v>1</x:v>
      </x:c>
      <x:c r="P161" t="inlineStr">
        <x:is>
          <x:t xml:space="preserve">Annex</x:t>
        </x:is>
      </x:c>
      <x:c r="V161" t="inlineStr">
        <x:is>
          <x:t xml:space="preserve">6. Technical Controls</x:t>
        </x:is>
      </x:c>
      <x:c r="W161" t="inlineStr">
        <x:is>
          <x:t xml:space="preserve">Identity &amp; Access</x:t>
        </x:is>
      </x:c>
      <x:c r="X161" t="inlineStr">
        <x:is>
          <x:t xml:space="preserve">Least privilege &amp; role engineering</x:t>
        </x:is>
      </x:c>
      <x:c r="Y161" t="n">
        <x:v>0.13</x:v>
      </x:c>
      <x:c r="Z161" t="inlineStr">
        <x:is>
          <x:t xml:space="preserve">similarity</x:t>
        </x:is>
      </x:c>
    </x:row>
    <x:row r="162">
      <x:c r="A162" t="inlineStr">
        <x:is>
          <x:t xml:space="preserve">AUD-D1-Q01</x:t>
        </x:is>
      </x:c>
      <x:c r="C162" t="inlineStr">
        <x:is>
          <x:t xml:space="preserve">T1</x:t>
        </x:is>
      </x:c>
      <x:c r="D162" t="inlineStr">
        <x:is>
          <x:t xml:space="preserve">1. Governance &amp; ERM</x:t>
        </x:is>
      </x:c>
      <x:c r="E162" t="inlineStr">
        <x:is>
          <x:t xml:space="preserve">G</x:t>
        </x:is>
      </x:c>
      <x:c r="F162" t="n">
        <x:v>0.7</x:v>
      </x:c>
      <x:c r="G162" t="inlineStr">
        <x:is>
          <x:t xml:space="preserve">V</x:t>
        </x:is>
      </x:c>
      <x:c r="H162" t="n">
        <x:v>0.3</x:v>
      </x:c>
      <x:c r="I162" t="inlineStr">
        <x:is>
          <x:t xml:space="preserve">Is insider risk formally included in enterprise risk management (ERM) with a clear risk appetite and owners?</x:t>
        </x:is>
      </x:c>
      <x:c r="J162" t="inlineStr">
        <x:is>
          <x:t xml:space="preserve">Think: named owners, how much risk is acceptable, and how decisions are escalated.</x:t>
        </x:is>
      </x:c>
      <x:c r="L162" t="inlineStr">
        <x:is>
          <x:t xml:space="preserve">GOV_STD</x:t>
        </x:is>
      </x:c>
      <x:c r="M162" t="n">
        <x:v>1.3</x:v>
      </x:c>
      <x:c r="N162" t="n">
        <x:v>0.5</x:v>
      </x:c>
      <x:c r="P162" t="inlineStr">
        <x:is>
          <x:t xml:space="preserve">Gatekeeper</x:t>
        </x:is>
      </x:c>
      <x:c r="Q162" t="n">
        <x:v>2</x:v>
      </x:c>
      <x:c r="R162" t="inlineStr">
        <x:is>
          <x:t xml:space="preserve">AUD-D1-Q02</x:t>
        </x:is>
      </x:c>
      <x:c r="S162" t="inlineStr">
        <x:is>
          <x:t xml:space="preserve">AUD-D2-Q04</x:t>
        </x:is>
      </x:c>
      <x:c r="T162" t="inlineStr">
        <x:is>
          <x:t xml:space="preserve">AUD-D1-Q02</x:t>
        </x:is>
      </x:c>
      <x:c r="V162" t="inlineStr">
        <x:is>
          <x:t xml:space="preserve">3. Risk Management</x:t>
        </x:is>
      </x:c>
      <x:c r="W162" t="inlineStr">
        <x:is>
          <x:t xml:space="preserve">Assessment &amp; Analysis</x:t>
        </x:is>
      </x:c>
      <x:c r="X162" t="inlineStr">
        <x:is>
          <x:t xml:space="preserve">Risk appetite &amp; tolerance</x:t>
        </x:is>
      </x:c>
      <x:c r="Y162" t="n">
        <x:v>0.95</x:v>
      </x:c>
      <x:c r="Z162" t="inlineStr">
        <x:is>
          <x:t xml:space="preserve">override</x:t>
        </x:is>
      </x:c>
    </x:row>
    <x:row r="163">
      <x:c r="A163" t="inlineStr">
        <x:is>
          <x:t xml:space="preserve">AUD-D1-Q02</x:t>
        </x:is>
      </x:c>
      <x:c r="C163" t="inlineStr">
        <x:is>
          <x:t xml:space="preserve">T1</x:t>
        </x:is>
      </x:c>
      <x:c r="D163" t="inlineStr">
        <x:is>
          <x:t xml:space="preserve">1. Governance &amp; Assurance</x:t>
        </x:is>
      </x:c>
      <x:c r="E163" t="inlineStr">
        <x:is>
          <x:t xml:space="preserve">G</x:t>
        </x:is>
      </x:c>
      <x:c r="F163" t="n">
        <x:v>0.6</x:v>
      </x:c>
      <x:c r="G163" t="inlineStr">
        <x:is>
          <x:t xml:space="preserve">E</x:t>
        </x:is>
      </x:c>
      <x:c r="H163" t="n">
        <x:v>0.4</x:v>
      </x:c>
      <x:c r="I163" t="inlineStr">
        <x:is>
          <x:t xml:space="preserve">Are key insider-risk controls tested/assured on a schedule (audit sampling or control testing), not only after incidents?</x:t>
        </x:is>
      </x:c>
      <x:c r="J163" t="inlineStr">
        <x:is>
          <x:t xml:space="preserve">Testing can be internal audit, second line risk, or independent review.</x:t>
        </x:is>
      </x:c>
      <x:c r="L163" t="inlineStr">
        <x:is>
          <x:t xml:space="preserve">GOV_STD</x:t>
        </x:is>
      </x:c>
      <x:c r="M163" t="n">
        <x:v>1.2</x:v>
      </x:c>
      <x:c r="N163" t="n">
        <x:v>0.5</x:v>
      </x:c>
      <x:c r="P163" t="inlineStr">
        <x:is>
          <x:t xml:space="preserve">Gatekeeper</x:t>
        </x:is>
      </x:c>
      <x:c r="Q163" t="n">
        <x:v>2</x:v>
      </x:c>
      <x:c r="R163" t="inlineStr">
        <x:is>
          <x:t xml:space="preserve">AUD-D1-Q03</x:t>
        </x:is>
      </x:c>
      <x:c r="S163" t="inlineStr">
        <x:is>
          <x:t xml:space="preserve">AUD-D2-Q04</x:t>
        </x:is>
      </x:c>
      <x:c r="T163" t="inlineStr">
        <x:is>
          <x:t xml:space="preserve">AUD-D1-Q03</x:t>
        </x:is>
      </x:c>
      <x:c r="V163" t="inlineStr">
        <x:is>
          <x:t xml:space="preserve">9. Performance &amp; Resilience</x:t>
        </x:is>
      </x:c>
      <x:c r="W163" t="inlineStr">
        <x:is>
          <x:t xml:space="preserve">Assurance &amp; Metrics</x:t>
        </x:is>
      </x:c>
      <x:c r="X163" t="inlineStr">
        <x:is>
          <x:t xml:space="preserve">Control testing &amp; continuous assurance</x:t>
        </x:is>
      </x:c>
      <x:c r="Y163" t="n">
        <x:v>0.95</x:v>
      </x:c>
      <x:c r="Z163" t="inlineStr">
        <x:is>
          <x:t xml:space="preserve">override</x:t>
        </x:is>
      </x:c>
    </x:row>
    <x:row r="164">
      <x:c r="A164" t="inlineStr">
        <x:is>
          <x:t xml:space="preserve">AUD-D1-Q03</x:t>
        </x:is>
      </x:c>
      <x:c r="C164" t="inlineStr">
        <x:is>
          <x:t xml:space="preserve">T1</x:t>
        </x:is>
      </x:c>
      <x:c r="D164" t="inlineStr">
        <x:is>
          <x:t xml:space="preserve">1. Governance &amp; Evidence</x:t>
        </x:is>
      </x:c>
      <x:c r="E164" t="inlineStr">
        <x:is>
          <x:t xml:space="preserve">G</x:t>
        </x:is>
      </x:c>
      <x:c r="F164" t="n">
        <x:v>0.5</x:v>
      </x:c>
      <x:c r="G164" t="inlineStr">
        <x:is>
          <x:t xml:space="preserve">E</x:t>
        </x:is>
      </x:c>
      <x:c r="H164" t="n">
        <x:v>0.5</x:v>
      </x:c>
      <x:c r="I164" t="inlineStr">
        <x:is>
          <x:t xml:space="preserve">Do we maintain evidence that declared controls are actually operating (not just ‘policy exists’)?</x:t>
        </x:is>
      </x:c>
      <x:c r="J164" t="inlineStr">
        <x:is>
          <x:t xml:space="preserve">Example: logs, tickets, review records, sampling results, and sign-offs.</x:t>
        </x:is>
      </x:c>
      <x:c r="L164" t="inlineStr">
        <x:is>
          <x:t xml:space="preserve">GOV_STD</x:t>
        </x:is>
      </x:c>
      <x:c r="M164" t="n">
        <x:v>1.2</x:v>
      </x:c>
      <x:c r="P164" t="inlineStr">
        <x:is>
          <x:t xml:space="preserve">Gatekeeper</x:t>
        </x:is>
      </x:c>
      <x:c r="Q164" t="n">
        <x:v>2</x:v>
      </x:c>
      <x:c r="R164" t="inlineStr">
        <x:is>
          <x:t xml:space="preserve">AUD-D2-Q04</x:t>
        </x:is>
      </x:c>
      <x:c r="S164" t="inlineStr">
        <x:is>
          <x:t xml:space="preserve">AUD-D3-Q06</x:t>
        </x:is>
      </x:c>
      <x:c r="T164" t="inlineStr">
        <x:is>
          <x:t xml:space="preserve">AUD-D2-Q04</x:t>
        </x:is>
      </x:c>
      <x:c r="V164" t="inlineStr">
        <x:is>
          <x:t xml:space="preserve">4. Legal, Privacy &amp; Ethics</x:t>
        </x:is>
      </x:c>
      <x:c r="W164" t="inlineStr">
        <x:is>
          <x:t xml:space="preserve">Compliance &amp; Policy</x:t>
        </x:is>
      </x:c>
      <x:c r="X164" t="inlineStr">
        <x:is>
          <x:t xml:space="preserve">Policy &amp; Standards Suite</x:t>
        </x:is>
      </x:c>
      <x:c r="Y164" t="n">
        <x:v>0.1</x:v>
      </x:c>
      <x:c r="Z164" t="inlineStr">
        <x:is>
          <x:t xml:space="preserve">similarity</x:t>
        </x:is>
      </x:c>
    </x:row>
    <x:row r="165">
      <x:c r="A165" t="inlineStr">
        <x:is>
          <x:t xml:space="preserve">AUD-D2-Q04</x:t>
        </x:is>
      </x:c>
      <x:c r="C165" t="inlineStr">
        <x:is>
          <x:t xml:space="preserve">T2</x:t>
        </x:is>
      </x:c>
      <x:c r="D165" t="inlineStr">
        <x:is>
          <x:t xml:space="preserve">1. Governance &amp; Remediation</x:t>
        </x:is>
      </x:c>
      <x:c r="E165" t="inlineStr">
        <x:is>
          <x:t xml:space="preserve">G</x:t>
        </x:is>
      </x:c>
      <x:c r="F165" t="n">
        <x:v>1</x:v>
      </x:c>
      <x:c r="G165" t="inlineStr">
        <x:is>
          <x:t xml:space="preserve">-</x:t>
        </x:is>
      </x:c>
      <x:c r="I165" t="inlineStr">
        <x:is>
          <x:t xml:space="preserve">When weaknesses are found, are remediation actions tracked to closure with owners and dates (and escalated if overdue)?</x:t>
        </x:is>
      </x:c>
      <x:c r="J165" t="inlineStr">
        <x:is>
          <x:t xml:space="preserve">This includes audit findings, incidents, and risk assessments.</x:t>
        </x:is>
      </x:c>
      <x:c r="L165" t="inlineStr">
        <x:is>
          <x:t xml:space="preserve">GOV_STD</x:t>
        </x:is>
      </x:c>
      <x:c r="M165" t="n">
        <x:v>1</x:v>
      </x:c>
      <x:c r="P165" t="inlineStr">
        <x:is>
          <x:t xml:space="preserve">Drilldown</x:t>
        </x:is>
      </x:c>
      <x:c r="T165" t="inlineStr">
        <x:is>
          <x:t xml:space="preserve">AUD-D2-Q05</x:t>
        </x:is>
      </x:c>
      <x:c r="V165" t="inlineStr">
        <x:is>
          <x:t xml:space="preserve">1. Strategy &amp; Governance</x:t>
        </x:is>
      </x:c>
      <x:c r="W165" t="inlineStr">
        <x:is>
          <x:t xml:space="preserve">Scope &amp; Boundaries</x:t>
        </x:is>
      </x:c>
      <x:c r="X165" t="inlineStr">
        <x:is>
          <x:t xml:space="preserve">Exceptions &amp; risk acceptance</x:t>
        </x:is>
      </x:c>
      <x:c r="Y165" t="n">
        <x:v>0.108</x:v>
      </x:c>
      <x:c r="Z165" t="inlineStr">
        <x:is>
          <x:t xml:space="preserve">similarity</x:t>
        </x:is>
      </x:c>
    </x:row>
    <x:row r="166">
      <x:c r="A166" t="inlineStr">
        <x:is>
          <x:t xml:space="preserve">AUD-D2-Q05</x:t>
        </x:is>
      </x:c>
      <x:c r="C166" t="inlineStr">
        <x:is>
          <x:t xml:space="preserve">T2</x:t>
        </x:is>
      </x:c>
      <x:c r="D166" t="inlineStr">
        <x:is>
          <x:t xml:space="preserve">9. Performance &amp; Reporting</x:t>
        </x:is>
      </x:c>
      <x:c r="E166" t="inlineStr">
        <x:is>
          <x:t xml:space="preserve">G</x:t>
        </x:is>
      </x:c>
      <x:c r="F166" t="n">
        <x:v>0.6</x:v>
      </x:c>
      <x:c r="G166" t="inlineStr">
        <x:is>
          <x:t xml:space="preserve">R</x:t>
        </x:is>
      </x:c>
      <x:c r="H166" t="n">
        <x:v>0.4</x:v>
      </x:c>
      <x:c r="I166" t="inlineStr">
        <x:is>
          <x:t xml:space="preserve">Are insider-risk KPIs/KRIs reported to leadership in a way that drives decisions (not just vanity metrics)?</x:t>
        </x:is>
      </x:c>
      <x:c r="J166" t="inlineStr">
        <x:is>
          <x:t xml:space="preserve">Examples: time-to-contain, high-risk clusters, repeated bypass patterns, trust indicators, losses avoided.</x:t>
        </x:is>
      </x:c>
      <x:c r="L166" t="inlineStr">
        <x:is>
          <x:t xml:space="preserve">GOV_STD</x:t>
        </x:is>
      </x:c>
      <x:c r="M166" t="n">
        <x:v>1</x:v>
      </x:c>
      <x:c r="P166" t="inlineStr">
        <x:is>
          <x:t xml:space="preserve">Drilldown</x:t>
        </x:is>
      </x:c>
      <x:c r="T166" t="inlineStr">
        <x:is>
          <x:t xml:space="preserve">AUD-D3-Q06</x:t>
        </x:is>
      </x:c>
      <x:c r="V166" t="inlineStr">
        <x:is>
          <x:t xml:space="preserve">5. Human-Centric Culture</x:t>
        </x:is>
      </x:c>
      <x:c r="W166" t="inlineStr">
        <x:is>
          <x:t xml:space="preserve">Personnel Security</x:t>
        </x:is>
      </x:c>
      <x:c r="X166" t="inlineStr">
        <x:is>
          <x:t xml:space="preserve">High-Risk Role Identification &amp; Control Tiers</x:t>
        </x:is>
      </x:c>
      <x:c r="Y166" t="n">
        <x:v>0.113</x:v>
      </x:c>
      <x:c r="Z166" t="inlineStr">
        <x:is>
          <x:t xml:space="preserve">similarity</x:t>
        </x:is>
      </x:c>
    </x:row>
    <x:row r="167">
      <x:c r="A167" t="inlineStr">
        <x:is>
          <x:t xml:space="preserve">AUD-D3-Q06</x:t>
        </x:is>
      </x:c>
      <x:c r="C167" t="inlineStr">
        <x:is>
          <x:t xml:space="preserve">T1</x:t>
        </x:is>
      </x:c>
      <x:c r="D167" t="inlineStr">
        <x:is>
          <x:t xml:space="preserve">2. Threat &amp; Change Events</x:t>
        </x:is>
      </x:c>
      <x:c r="E167" t="inlineStr">
        <x:is>
          <x:t xml:space="preserve">W</x:t>
        </x:is>
      </x:c>
      <x:c r="F167" t="n">
        <x:v>0.7</x:v>
      </x:c>
      <x:c r="G167" t="inlineStr">
        <x:is>
          <x:t xml:space="preserve">G</x:t>
        </x:is>
      </x:c>
      <x:c r="H167" t="n">
        <x:v>0.3</x:v>
      </x:c>
      <x:c r="I167" t="inlineStr">
        <x:is>
          <x:t xml:space="preserve">Are major change events (M&amp;A, layoffs, re-org, outsourcing) assessed for control lag and insider risk impact?</x:t>
        </x:is>
      </x:c>
      <x:c r="J167" t="inlineStr">
        <x:is>
          <x:t xml:space="preserve">Look for: pre-change checklist + post-change validation.</x:t>
        </x:is>
      </x:c>
      <x:c r="L167" t="inlineStr">
        <x:is>
          <x:t xml:space="preserve">RISK_STD</x:t>
        </x:is>
      </x:c>
      <x:c r="M167" t="n">
        <x:v>1.2</x:v>
      </x:c>
      <x:c r="P167" t="inlineStr">
        <x:is>
          <x:t xml:space="preserve">Gatekeeper</x:t>
        </x:is>
      </x:c>
      <x:c r="Q167" t="n">
        <x:v>2</x:v>
      </x:c>
      <x:c r="R167" t="inlineStr">
        <x:is>
          <x:t xml:space="preserve">AUD-D3-Q07</x:t>
        </x:is>
      </x:c>
      <x:c r="S167" t="inlineStr">
        <x:is>
          <x:t xml:space="preserve">AUD-D4-Q08</x:t>
        </x:is>
      </x:c>
      <x:c r="T167" t="inlineStr">
        <x:is>
          <x:t xml:space="preserve">AUD-D3-Q07</x:t>
        </x:is>
      </x:c>
      <x:c r="V167" t="inlineStr">
        <x:is>
          <x:t xml:space="preserve">9. Performance &amp; Resilience</x:t>
        </x:is>
      </x:c>
      <x:c r="W167" t="inlineStr">
        <x:is>
          <x:t xml:space="preserve">Assurance &amp; Metrics</x:t>
        </x:is>
      </x:c>
      <x:c r="X167" t="inlineStr">
        <x:is>
          <x:t xml:space="preserve">Control testing &amp; continuous assurance</x:t>
        </x:is>
      </x:c>
      <x:c r="Y167" t="n">
        <x:v>0.103</x:v>
      </x:c>
      <x:c r="Z167" t="inlineStr">
        <x:is>
          <x:t xml:space="preserve">similarity</x:t>
        </x:is>
      </x:c>
    </x:row>
    <x:row r="168">
      <x:c r="A168" t="inlineStr">
        <x:is>
          <x:t xml:space="preserve">AUD-D3-Q07</x:t>
        </x:is>
      </x:c>
      <x:c r="C168" t="inlineStr">
        <x:is>
          <x:t xml:space="preserve">T2</x:t>
        </x:is>
      </x:c>
      <x:c r="D168" t="inlineStr">
        <x:is>
          <x:t xml:space="preserve">4. Legal &amp; Privacy</x:t>
        </x:is>
      </x:c>
      <x:c r="E168" t="inlineStr">
        <x:is>
          <x:t xml:space="preserve">L</x:t>
        </x:is>
      </x:c>
      <x:c r="F168" t="n">
        <x:v>0.7</x:v>
      </x:c>
      <x:c r="G168" t="inlineStr">
        <x:is>
          <x:t xml:space="preserve">G</x:t>
        </x:is>
      </x:c>
      <x:c r="H168" t="n">
        <x:v>0.3</x:v>
      </x:c>
      <x:c r="I168" t="inlineStr">
        <x:is>
          <x:t xml:space="preserve">Is there independent review of monitoring legality and proportionality (beyond the program team)?</x:t>
        </x:is>
      </x:c>
      <x:c r="J168" t="inlineStr">
        <x:is>
          <x:t xml:space="preserve">Examples: privacy office, DPO, works council, legal, internal audit, or external counsel.</x:t>
        </x:is>
      </x:c>
      <x:c r="L168" t="inlineStr">
        <x:is>
          <x:t xml:space="preserve">LEG_STRICT</x:t>
        </x:is>
      </x:c>
      <x:c r="M168" t="n">
        <x:v>1.1</x:v>
      </x:c>
      <x:c r="P168" t="inlineStr">
        <x:is>
          <x:t xml:space="preserve">Drilldown</x:t>
        </x:is>
      </x:c>
      <x:c r="T168" t="inlineStr">
        <x:is>
          <x:t xml:space="preserve">AUD-D4-Q08</x:t>
        </x:is>
      </x:c>
      <x:c r="V168" t="inlineStr">
        <x:is>
          <x:t xml:space="preserve">4. Legal, Privacy &amp; Ethics</x:t>
        </x:is>
      </x:c>
      <x:c r="W168" t="inlineStr">
        <x:is>
          <x:t xml:space="preserve">Compliance &amp; Policy</x:t>
        </x:is>
      </x:c>
      <x:c r="X168" t="inlineStr">
        <x:is>
          <x:t xml:space="preserve">Works Council / Labor Alignment</x:t>
        </x:is>
      </x:c>
      <x:c r="Y168" t="n">
        <x:v>0.95</x:v>
      </x:c>
      <x:c r="Z168" t="inlineStr">
        <x:is>
          <x:t xml:space="preserve">override</x:t>
        </x:is>
      </x:c>
    </x:row>
    <x:row r="169">
      <x:c r="A169" t="inlineStr">
        <x:is>
          <x:t xml:space="preserve">AUD-D4-Q08</x:t>
        </x:is>
      </x:c>
      <x:c r="C169" t="inlineStr">
        <x:is>
          <x:t xml:space="preserve">T2</x:t>
        </x:is>
      </x:c>
      <x:c r="D169" t="inlineStr">
        <x:is>
          <x:t xml:space="preserve">1. Governance &amp; Third Parties</x:t>
        </x:is>
      </x:c>
      <x:c r="E169" t="inlineStr">
        <x:is>
          <x:t xml:space="preserve">G</x:t>
        </x:is>
      </x:c>
      <x:c r="F169" t="n">
        <x:v>0.5</x:v>
      </x:c>
      <x:c r="G169" t="inlineStr">
        <x:is>
          <x:t xml:space="preserve">V</x:t>
        </x:is>
      </x:c>
      <x:c r="H169" t="n">
        <x:v>0.5</x:v>
      </x:c>
      <x:c r="I169" t="inlineStr">
        <x:is>
          <x:t xml:space="preserve">Are third parties (MSSP/MSP/vendors) within scope of assurance (contract obligations, controls, and evidence)?</x:t>
        </x:is>
      </x:c>
      <x:c r="J169" t="inlineStr">
        <x:is>
          <x:t xml:space="preserve">Includes: access controls, logging, retention, and cooperation for investigations.</x:t>
        </x:is>
      </x:c>
      <x:c r="L169" t="inlineStr">
        <x:is>
          <x:t xml:space="preserve">GOV_STD</x:t>
        </x:is>
      </x:c>
      <x:c r="M169" t="n">
        <x:v>1</x:v>
      </x:c>
      <x:c r="P169" t="inlineStr">
        <x:is>
          <x:t xml:space="preserve">Drilldown</x:t>
        </x:is>
      </x:c>
      <x:c r="T169" t="inlineStr">
        <x:is>
          <x:t xml:space="preserve">AUD-D5-Q09</x:t>
        </x:is>
      </x:c>
      <x:c r="V169" t="inlineStr">
        <x:is>
          <x:t xml:space="preserve">4. Legal, Privacy &amp; Ethics</x:t>
        </x:is>
      </x:c>
      <x:c r="W169" t="inlineStr">
        <x:is>
          <x:t xml:space="preserve">Privacy Engineering</x:t>
        </x:is>
      </x:c>
      <x:c r="X169" t="inlineStr">
        <x:is>
          <x:t xml:space="preserve">Retention, Purging &amp; Legal Hold</x:t>
        </x:is>
      </x:c>
      <x:c r="Y169" t="n">
        <x:v>0.95</x:v>
      </x:c>
      <x:c r="Z169" t="inlineStr">
        <x:is>
          <x:t xml:space="preserve">override</x:t>
        </x:is>
      </x:c>
    </x:row>
    <x:row r="170">
      <x:c r="A170" t="inlineStr">
        <x:is>
          <x:t xml:space="preserve">AUD-D5-Q09</x:t>
        </x:is>
      </x:c>
      <x:c r="C170" t="inlineStr">
        <x:is>
          <x:t xml:space="preserve">T2</x:t>
        </x:is>
      </x:c>
      <x:c r="D170" t="inlineStr">
        <x:is>
          <x:t xml:space="preserve">8. Response &amp; Lessons Learned</x:t>
        </x:is>
      </x:c>
      <x:c r="E170" t="inlineStr">
        <x:is>
          <x:t xml:space="preserve">R</x:t>
        </x:is>
      </x:c>
      <x:c r="F170" t="n">
        <x:v>0.6</x:v>
      </x:c>
      <x:c r="G170" t="inlineStr">
        <x:is>
          <x:t xml:space="preserve">E</x:t>
        </x:is>
      </x:c>
      <x:c r="H170" t="n">
        <x:v>0.4</x:v>
      </x:c>
      <x:c r="I170" t="inlineStr">
        <x:is>
          <x:t xml:space="preserve">After incidents/near-misses, do we capture lessons learned and verify that control improvements actually happen?</x:t>
        </x:is>
      </x:c>
      <x:c r="J170" t="inlineStr">
        <x:is>
          <x:t xml:space="preserve">Look for: post-incident review + tracked follow-up + retesting.</x:t>
        </x:is>
      </x:c>
      <x:c r="L170" t="inlineStr">
        <x:is>
          <x:t xml:space="preserve">OPS_STD</x:t>
        </x:is>
      </x:c>
      <x:c r="M170" t="n">
        <x:v>1</x:v>
      </x:c>
      <x:c r="P170" t="inlineStr">
        <x:is>
          <x:t xml:space="preserve">Drilldown</x:t>
        </x:is>
      </x:c>
      <x:c r="T170" t="inlineStr">
        <x:is>
          <x:t xml:space="preserve">AUD-D6-Q10</x:t>
        </x:is>
      </x:c>
      <x:c r="V170" t="inlineStr">
        <x:is>
          <x:t xml:space="preserve">1. Strategy &amp; Governance</x:t>
        </x:is>
      </x:c>
      <x:c r="W170" t="inlineStr">
        <x:is>
          <x:t xml:space="preserve">Scope &amp; Boundaries</x:t>
        </x:is>
      </x:c>
      <x:c r="X170" t="inlineStr">
        <x:is>
          <x:t xml:space="preserve">Scope boundary control</x:t>
        </x:is>
      </x:c>
      <x:c r="Y170" t="n">
        <x:v>0.08599999999999999</x:v>
      </x:c>
      <x:c r="Z170" t="inlineStr">
        <x:is>
          <x:t xml:space="preserve">similarity</x:t>
        </x:is>
      </x:c>
    </x:row>
    <x:row r="171">
      <x:c r="A171" t="inlineStr">
        <x:is>
          <x:t xml:space="preserve">AUD-D6-Q10</x:t>
        </x:is>
      </x:c>
      <x:c r="C171" t="inlineStr">
        <x:is>
          <x:t xml:space="preserve">T3</x:t>
        </x:is>
      </x:c>
      <x:c r="D171" t="inlineStr">
        <x:is>
          <x:t xml:space="preserve">4. Legal &amp; Privacy (Deep)</x:t>
        </x:is>
      </x:c>
      <x:c r="E171" t="inlineStr">
        <x:is>
          <x:t xml:space="preserve">L</x:t>
        </x:is>
      </x:c>
      <x:c r="F171" t="n">
        <x:v>0.5</x:v>
      </x:c>
      <x:c r="G171" t="inlineStr">
        <x:is>
          <x:t xml:space="preserve">T</x:t>
        </x:is>
      </x:c>
      <x:c r="H171" t="n">
        <x:v>0.5</x:v>
      </x:c>
      <x:c r="I171" t="inlineStr">
        <x:is>
          <x:t xml:space="preserve">Are monitoring datasets protected like high-value evidence (restricted access, audit logs, retention, periodic review)?</x:t>
        </x:is>
      </x:c>
      <x:c r="J171" t="inlineStr">
        <x:is>
          <x:t xml:space="preserve">This is about protecting the monitoring program itself from abuse.</x:t>
        </x:is>
      </x:c>
      <x:c r="L171" t="inlineStr">
        <x:is>
          <x:t xml:space="preserve">LEG_STRICT</x:t>
        </x:is>
      </x:c>
      <x:c r="M171" t="n">
        <x:v>1</x:v>
      </x:c>
      <x:c r="P171" t="inlineStr">
        <x:is>
          <x:t xml:space="preserve">Annex</x:t>
        </x:is>
      </x:c>
      <x:c r="V171" t="inlineStr">
        <x:is>
          <x:t xml:space="preserve">3. Risk Management</x:t>
        </x:is>
      </x:c>
      <x:c r="W171" t="inlineStr">
        <x:is>
          <x:t xml:space="preserve">Inventory &amp; Scope</x:t>
        </x:is>
      </x:c>
      <x:c r="X171" t="inlineStr">
        <x:is>
          <x:t xml:space="preserve">Crown jewels/HVA identification</x:t>
        </x:is>
      </x:c>
      <x:c r="Y171" t="n">
        <x:v>0.95</x:v>
      </x:c>
      <x:c r="Z171" t="inlineStr">
        <x:is>
          <x:t xml:space="preserve">override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customWidth="1"/>
    <x:col min="2" max="2" width="13" customWidth="1"/>
    <x:col min="3" max="3" width="16" customWidth="1"/>
    <x:col min="4" max="4" width="10" customWidth="1"/>
    <x:col min="5" max="5" width="60" customWidth="1"/>
    <x:col min="6" max="6" width="11" customWidth="1"/>
    <x:col min="7" max="7" width="40" customWidth="1"/>
    <x:col min="8" max="8" width="21" customWidth="1"/>
    <x:col min="9" max="9" width="33" customWidth="1"/>
    <x:col min="10" max="10" width="17" customWidth="1"/>
    <x:col min="11" max="11" width="60" customWidth="1"/>
  </x:cols>
  <x:sheetData>
    <x:row r="1">
      <x:c r="A1" s="1" t="inlineStr">
        <x:is>
          <x:t xml:space="preserve">PrimaryPack (Deprecated)</x:t>
        </x:is>
      </x:c>
      <x:c r="B1" s="1" t="inlineStr">
        <x:is>
          <x:t xml:space="preserve">Q-ID</x:t>
        </x:is>
      </x:c>
      <x:c r="C1" s="1" t="inlineStr">
        <x:is>
          <x:t xml:space="preserve">A-ID</x:t>
        </x:is>
      </x:c>
      <x:c r="D1" s="1" t="inlineStr">
        <x:is>
          <x:t xml:space="preserve">Option #</x:t>
        </x:is>
      </x:c>
      <x:c r="E1" s="1" t="inlineStr">
        <x:is>
          <x:t xml:space="preserve">Answer Option Text</x:t>
        </x:is>
      </x:c>
      <x:c r="F1" s="1" t="inlineStr">
        <x:is>
          <x:t xml:space="preserve">BaseScore</x:t>
        </x:is>
      </x:c>
      <x:c r="G1" s="1" t="inlineStr">
        <x:is>
          <x:t xml:space="preserve">Tags</x:t>
        </x:is>
      </x:c>
      <x:c r="H1" s="1" t="inlineStr">
        <x:is>
          <x:t xml:space="preserve">FractureType</x:t>
        </x:is>
      </x:c>
      <x:c r="I1" s="1" t="inlineStr">
        <x:is>
          <x:t xml:space="preserve">FollowUpTrigger</x:t>
        </x:is>
      </x:c>
      <x:c r="J1" s="1" t="inlineStr">
        <x:is>
          <x:t xml:space="preserve">NegativeControl</x:t>
        </x:is>
      </x:c>
      <x:c r="K1" s="1" t="inlineStr">
        <x:is>
          <x:t xml:space="preserve">Evidence Hint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EXCO-D1-Q01</x:t>
        </x:is>
      </x:c>
      <x:c r="C2" t="inlineStr">
        <x:is>
          <x:t xml:space="preserve">EXCO-D1-Q01-A0</x:t>
        </x:is>
      </x:c>
      <x:c r="D2" t="n">
        <x:v>1</x:v>
      </x:c>
      <x:c r="E2" t="inlineStr">
        <x:is>
          <x:t xml:space="preserve">I don’t know / not sure.</x:t>
        </x:is>
      </x:c>
      <x:c r="F2" t="n">
        <x:v>0</x:v>
      </x:c>
      <x:c r="G2" t="inlineStr">
        <x:is>
          <x:t xml:space="preserve">unknown</x:t>
        </x:is>
      </x:c>
      <x:c r="H2" t="inlineStr">
        <x:is>
          <x:t xml:space="preserve">Unknown</x:t>
        </x:is>
      </x:c>
      <x:c r="I2" t="inlineStr">
        <x:is>
          <x:t xml:space="preserve">Clarify_Stakeholders</x:t>
        </x:is>
      </x:c>
      <x:c r="J2" t="inlineStr">
        <x:is>
          <x:t xml:space="preserve">N</x:t>
        </x:is>
      </x:c>
    </x:row>
    <x:row r="3">
      <x:c r="A3" t="inlineStr">
        <x:is>
          <x:t xml:space="preserve">Executive</x:t>
        </x:is>
      </x:c>
      <x:c r="B3" t="inlineStr">
        <x:is>
          <x:t xml:space="preserve">EXCO-D1-Q01</x:t>
        </x:is>
      </x:c>
      <x:c r="C3" t="inlineStr">
        <x:is>
          <x:t xml:space="preserve">EXCO-D1-Q01-A1</x:t>
        </x:is>
      </x:c>
      <x:c r="D3" t="n">
        <x:v>2</x:v>
      </x:c>
      <x:c r="E3" t="inlineStr">
        <x:is>
          <x:t xml:space="preserve">No formal decision or budget; work happens only when incidents occur.</x:t>
        </x:is>
      </x:c>
      <x:c r="F3" t="n">
        <x:v>0</x:v>
      </x:c>
      <x:c r="G3" t="inlineStr">
        <x:is>
          <x:t xml:space="preserve">foundational_gap</x:t>
        </x:is>
      </x:c>
      <x:c r="H3" t="inlineStr">
        <x:is>
          <x:t xml:space="preserve">Operating Model Gap</x:t>
        </x:is>
      </x:c>
      <x:c r="I3" t="inlineStr">
        <x:is>
          <x:t xml:space="preserve">Foundational_Setup</x:t>
        </x:is>
      </x:c>
      <x:c r="J3" t="inlineStr">
        <x:is>
          <x:t xml:space="preserve">N</x:t>
        </x:is>
      </x:c>
    </x:row>
    <x:row r="4">
      <x:c r="A4" t="inlineStr">
        <x:is>
          <x:t xml:space="preserve">Executive</x:t>
        </x:is>
      </x:c>
      <x:c r="B4" t="inlineStr">
        <x:is>
          <x:t xml:space="preserve">EXCO-D1-Q01</x:t>
        </x:is>
      </x:c>
      <x:c r="C4" t="inlineStr">
        <x:is>
          <x:t xml:space="preserve">EXCO-D1-Q01-A2</x:t>
        </x:is>
      </x:c>
      <x:c r="D4" t="n">
        <x:v>3</x:v>
      </x:c>
      <x:c r="E4" t="inlineStr">
        <x:is>
          <x:t xml:space="preserve">Verbal agreement that it matters, but nothing is written down or funded.</x:t>
        </x:is>
      </x:c>
      <x:c r="F4" t="n">
        <x:v>1</x:v>
      </x:c>
      <x:c r="G4" t="inlineStr">
        <x:is>
          <x:t xml:space="preserve">shadow_signal</x:t>
        </x:is>
      </x:c>
      <x:c r="H4" t="inlineStr">
        <x:is>
          <x:t xml:space="preserve">Shadow Mature</x:t>
        </x:is>
      </x:c>
      <x:c r="I4" t="inlineStr">
        <x:is>
          <x:t xml:space="preserve">Run_Shadow_Probe</x:t>
        </x:is>
      </x:c>
      <x:c r="J4" t="inlineStr">
        <x:is>
          <x:t xml:space="preserve">N</x:t>
        </x:is>
      </x:c>
    </x:row>
    <x:row r="5">
      <x:c r="A5" t="inlineStr">
        <x:is>
          <x:t xml:space="preserve">Executive</x:t>
        </x:is>
      </x:c>
      <x:c r="B5" t="inlineStr">
        <x:is>
          <x:t xml:space="preserve">EXCO-D1-Q01</x:t>
        </x:is>
      </x:c>
      <x:c r="C5" t="inlineStr">
        <x:is>
          <x:t xml:space="preserve">EXCO-D1-Q01-A3</x:t>
        </x:is>
      </x:c>
      <x:c r="D5" t="n">
        <x:v>4</x:v>
      </x:c>
      <x:c r="E5" t="inlineStr">
        <x:is>
          <x:t xml:space="preserve">Written policy/statement exists, but it has not been reviewed/approved at executive or board level.</x:t>
        </x:is>
      </x:c>
      <x:c r="F5" t="n">
        <x:v>2</x:v>
      </x:c>
      <x:c r="G5" t="inlineStr">
        <x:is>
          <x:t xml:space="preserve">paper_dragon_signal</x:t>
        </x:is>
      </x:c>
      <x:c r="H5" t="inlineStr">
        <x:is>
          <x:t xml:space="preserve">Paper Dragon</x:t>
        </x:is>
      </x:c>
      <x:c r="I5" t="inlineStr">
        <x:is>
          <x:t xml:space="preserve">Request_Evidence</x:t>
        </x:is>
      </x:c>
      <x:c r="J5" t="inlineStr">
        <x:is>
          <x:t xml:space="preserve">Y</x:t>
        </x:is>
      </x:c>
      <x:c r="K5" t="inlineStr">
        <x:is>
          <x:t xml:space="preserve">Provide policy/charter and last approval date.</x:t>
        </x:is>
      </x:c>
    </x:row>
    <x:row r="6">
      <x:c r="A6" t="inlineStr">
        <x:is>
          <x:t xml:space="preserve">Executive</x:t>
        </x:is>
      </x:c>
      <x:c r="B6" t="inlineStr">
        <x:is>
          <x:t xml:space="preserve">EXCO-D1-Q01</x:t>
        </x:is>
      </x:c>
      <x:c r="C6" t="inlineStr">
        <x:is>
          <x:t xml:space="preserve">EXCO-D1-Q01-A4</x:t>
        </x:is>
      </x:c>
      <x:c r="D6" t="n">
        <x:v>5</x:v>
      </x:c>
      <x:c r="E6" t="inlineStr">
        <x:is>
          <x:t xml:space="preserve">Executive-approved plan exists with clear goals and dedicated funding (reviewed at least annually).</x:t>
        </x:is>
      </x:c>
      <x:c r="F6" t="n">
        <x:v>3</x:v>
      </x:c>
      <x:c r="G6" t="inlineStr">
        <x:is>
          <x:t xml:space="preserve">good_practice</x:t>
        </x:is>
      </x:c>
      <x:c r="I6" t="inlineStr">
        <x:is>
          <x:t xml:space="preserve">Request_Evidence</x:t>
        </x:is>
      </x:c>
      <x:c r="J6" t="inlineStr">
        <x:is>
          <x:t xml:space="preserve">Y</x:t>
        </x:is>
      </x:c>
      <x:c r="K6" t="inlineStr">
        <x:is>
          <x:t xml:space="preserve">Provide board/exco minute or signed approval; budget line.</x:t>
        </x:is>
      </x:c>
    </x:row>
    <x:row r="7">
      <x:c r="A7" t="inlineStr">
        <x:is>
          <x:t xml:space="preserve">Executive</x:t>
        </x:is>
      </x:c>
      <x:c r="B7" t="inlineStr">
        <x:is>
          <x:t xml:space="preserve">EXCO-D1-Q01</x:t>
        </x:is>
      </x:c>
      <x:c r="C7" t="inlineStr">
        <x:is>
          <x:t xml:space="preserve">EXCO-D1-Q01-A5</x:t>
        </x:is>
      </x:c>
      <x:c r="D7" t="n">
        <x:v>6</x:v>
      </x:c>
      <x:c r="E7" t="inlineStr">
        <x:is>
          <x:t xml:space="preserve">Formal charter with cross-functional decision rights (HR/Legal/Security/Data) and measurable objectives.</x:t>
        </x:is>
      </x:c>
      <x:c r="F7" t="n">
        <x:v>4</x:v>
      </x:c>
      <x:c r="G7" t="inlineStr">
        <x:is>
          <x:t xml:space="preserve">optimized</x:t>
        </x:is>
      </x:c>
      <x:c r="I7" t="inlineStr">
        <x:is>
          <x:t xml:space="preserve">Request_Evidence</x:t>
        </x:is>
      </x:c>
      <x:c r="J7" t="inlineStr">
        <x:is>
          <x:t xml:space="preserve">Y</x:t>
        </x:is>
      </x:c>
      <x:c r="K7" t="inlineStr">
        <x:is>
          <x:t xml:space="preserve">Provide charter + RACI + meeting cadence evidence.</x:t>
        </x:is>
      </x:c>
    </x:row>
    <x:row r="8">
      <x:c r="A8" t="inlineStr">
        <x:is>
          <x:t xml:space="preserve">Executive</x:t>
        </x:is>
      </x:c>
      <x:c r="B8" t="inlineStr">
        <x:is>
          <x:t xml:space="preserve">EXCO-D1-Q02</x:t>
        </x:is>
      </x:c>
      <x:c r="C8" t="inlineStr">
        <x:is>
          <x:t xml:space="preserve">EXCO-D1-Q02-A1</x:t>
        </x:is>
      </x:c>
      <x:c r="D8" t="n">
        <x:v>1</x:v>
      </x:c>
      <x:c r="E8" t="inlineStr">
        <x:is>
          <x:t xml:space="preserve">No—controls are inconsistent; we mainly rely on standard IT security (e.g., antivirus, firewall).</x:t>
        </x:is>
      </x:c>
      <x:c r="F8" t="n">
        <x:v>0</x:v>
      </x:c>
      <x:c r="G8" t="inlineStr">
        <x:is>
          <x:t xml:space="preserve">foundational_gap</x:t>
        </x:is>
      </x:c>
      <x:c r="H8" t="inlineStr">
        <x:is>
          <x:t xml:space="preserve">Operating Model Gap</x:t>
        </x:is>
      </x:c>
      <x:c r="I8" t="inlineStr">
        <x:is>
          <x:t xml:space="preserve">Foundational_Setup</x:t>
        </x:is>
      </x:c>
      <x:c r="J8" t="inlineStr">
        <x:is>
          <x:t xml:space="preserve">N</x:t>
        </x:is>
      </x:c>
    </x:row>
    <x:row r="9">
      <x:c r="A9" t="inlineStr">
        <x:is>
          <x:t xml:space="preserve">Executive</x:t>
        </x:is>
      </x:c>
      <x:c r="B9" t="inlineStr">
        <x:is>
          <x:t xml:space="preserve">EXCO-D1-Q02</x:t>
        </x:is>
      </x:c>
      <x:c r="C9" t="inlineStr">
        <x:is>
          <x:t xml:space="preserve">EXCO-D1-Q02-A2</x:t>
        </x:is>
      </x:c>
      <x:c r="D9" t="n">
        <x:v>2</x:v>
      </x:c>
      <x:c r="E9" t="inlineStr">
        <x:is>
          <x:t xml:space="preserve">Some teams do ad-hoc checks, but it depends on individuals and isn’t repeatable.</x:t>
        </x:is>
      </x:c>
      <x:c r="F9" t="n">
        <x:v>1</x:v>
      </x:c>
      <x:c r="G9" t="inlineStr">
        <x:is>
          <x:t xml:space="preserve">key_person_dependency,shadow_signal</x:t>
        </x:is>
      </x:c>
      <x:c r="H9" t="inlineStr">
        <x:is>
          <x:t xml:space="preserve">Shadow Mature</x:t>
        </x:is>
      </x:c>
      <x:c r="I9" t="inlineStr">
        <x:is>
          <x:t xml:space="preserve">Capture_Informal_Practices</x:t>
        </x:is>
      </x:c>
      <x:c r="J9" t="inlineStr">
        <x:is>
          <x:t xml:space="preserve">N</x:t>
        </x:is>
      </x:c>
    </x:row>
    <x:row r="10">
      <x:c r="A10" t="inlineStr">
        <x:is>
          <x:t xml:space="preserve">Executive</x:t>
        </x:is>
      </x:c>
      <x:c r="B10" t="inlineStr">
        <x:is>
          <x:t xml:space="preserve">EXCO-D1-Q02</x:t>
        </x:is>
      </x:c>
      <x:c r="C10" t="inlineStr">
        <x:is>
          <x:t xml:space="preserve">EXCO-D1-Q02-A3</x:t>
        </x:is>
      </x:c>
      <x:c r="D10" t="n">
        <x:v>3</x:v>
      </x:c>
      <x:c r="E10" t="inlineStr">
        <x:is>
          <x:t xml:space="preserve">Yes—there are repeatable habits in key areas (e.g., leavers, privileged access), but they are not documented or measured.</x:t>
        </x:is>
      </x:c>
      <x:c r="F10" t="n">
        <x:v>2</x:v>
      </x:c>
      <x:c r="G10" t="inlineStr">
        <x:is>
          <x:t xml:space="preserve">shadow_mature_signal</x:t>
        </x:is>
      </x:c>
      <x:c r="H10" t="inlineStr">
        <x:is>
          <x:t xml:space="preserve">Shadow Mature</x:t>
        </x:is>
      </x:c>
      <x:c r="I10" t="inlineStr">
        <x:is>
          <x:t xml:space="preserve">Formalize_Playbook</x:t>
        </x:is>
      </x:c>
      <x:c r="J10" t="inlineStr">
        <x:is>
          <x:t xml:space="preserve">N</x:t>
        </x:is>
      </x:c>
    </x:row>
    <x:row r="11">
      <x:c r="A11" t="inlineStr">
        <x:is>
          <x:t xml:space="preserve">Executive</x:t>
        </x:is>
      </x:c>
      <x:c r="B11" t="inlineStr">
        <x:is>
          <x:t xml:space="preserve">EXCO-D1-Q02</x:t>
        </x:is>
      </x:c>
      <x:c r="C11" t="inlineStr">
        <x:is>
          <x:t xml:space="preserve">EXCO-D1-Q02-A4</x:t>
        </x:is>
      </x:c>
      <x:c r="D11" t="n">
        <x:v>4</x:v>
      </x:c>
      <x:c r="E11" t="inlineStr">
        <x:is>
          <x:t xml:space="preserve">Yes—repeatable habits exist and are tracked (e.g., checks completed, exceptions logged) even if governance is still light.</x:t>
        </x:is>
      </x:c>
      <x:c r="F11" t="n">
        <x:v>3</x:v>
      </x:c>
      <x:c r="G11" t="inlineStr">
        <x:is>
          <x:t xml:space="preserve">execution_strength</x:t>
        </x:is>
      </x:c>
      <x:c r="H11" t="inlineStr">
        <x:is>
          <x:t xml:space="preserve">Shadow Mature</x:t>
        </x:is>
      </x:c>
      <x:c r="I11" t="inlineStr">
        <x:is>
          <x:t xml:space="preserve">Scale_And_Govern</x:t>
        </x:is>
      </x:c>
      <x:c r="J11" t="inlineStr">
        <x:is>
          <x:t xml:space="preserve">N</x:t>
        </x:is>
      </x:c>
    </x:row>
    <x:row r="12">
      <x:c r="A12" t="inlineStr">
        <x:is>
          <x:t xml:space="preserve">Executive</x:t>
        </x:is>
      </x:c>
      <x:c r="B12" t="inlineStr">
        <x:is>
          <x:t xml:space="preserve">EXCO-D1-Q03</x:t>
        </x:is>
      </x:c>
      <x:c r="C12" t="inlineStr">
        <x:is>
          <x:t xml:space="preserve">EXCO-D1-Q03-A0</x:t>
        </x:is>
      </x:c>
      <x:c r="D12" t="n">
        <x:v>1</x:v>
      </x:c>
      <x:c r="E12" t="inlineStr">
        <x:is>
          <x:t xml:space="preserve">I don’t know / not sure.</x:t>
        </x:is>
      </x:c>
      <x:c r="F12" t="n">
        <x:v>0</x:v>
      </x:c>
      <x:c r="G12" t="inlineStr">
        <x:is>
          <x:t xml:space="preserve">unknown</x:t>
        </x:is>
      </x:c>
      <x:c r="H12" t="inlineStr">
        <x:is>
          <x:t xml:space="preserve">Unknown</x:t>
        </x:is>
      </x:c>
      <x:c r="I12" t="inlineStr">
        <x:is>
          <x:t xml:space="preserve">Clarify_Stakeholders</x:t>
        </x:is>
      </x:c>
      <x:c r="J12" t="inlineStr">
        <x:is>
          <x:t xml:space="preserve">N</x:t>
        </x:is>
      </x:c>
    </x:row>
    <x:row r="13">
      <x:c r="A13" t="inlineStr">
        <x:is>
          <x:t xml:space="preserve">Executive</x:t>
        </x:is>
      </x:c>
      <x:c r="B13" t="inlineStr">
        <x:is>
          <x:t xml:space="preserve">EXCO-D1-Q03</x:t>
        </x:is>
      </x:c>
      <x:c r="C13" t="inlineStr">
        <x:is>
          <x:t xml:space="preserve">EXCO-D1-Q03-A1</x:t>
        </x:is>
      </x:c>
      <x:c r="D13" t="n">
        <x:v>2</x:v>
      </x:c>
      <x:c r="E13" t="inlineStr">
        <x:is>
          <x:t xml:space="preserve">No one—ownership is spread and decisions are made case-by-case.</x:t>
        </x:is>
      </x:c>
      <x:c r="F13" t="n">
        <x:v>0</x:v>
      </x:c>
      <x:c r="G13" t="inlineStr">
        <x:is>
          <x:t xml:space="preserve">foundational_gap</x:t>
        </x:is>
      </x:c>
      <x:c r="H13" t="inlineStr">
        <x:is>
          <x:t xml:space="preserve">Operating Model Gap</x:t>
        </x:is>
      </x:c>
      <x:c r="I13" t="inlineStr">
        <x:is>
          <x:t xml:space="preserve">Define_Ownership</x:t>
        </x:is>
      </x:c>
      <x:c r="J13" t="inlineStr">
        <x:is>
          <x:t xml:space="preserve">N</x:t>
        </x:is>
      </x:c>
    </x:row>
    <x:row r="14">
      <x:c r="A14" t="inlineStr">
        <x:is>
          <x:t xml:space="preserve">Executive</x:t>
        </x:is>
      </x:c>
      <x:c r="B14" t="inlineStr">
        <x:is>
          <x:t xml:space="preserve">EXCO-D1-Q03</x:t>
        </x:is>
      </x:c>
      <x:c r="C14" t="inlineStr">
        <x:is>
          <x:t xml:space="preserve">EXCO-D1-Q03-A2</x:t>
        </x:is>
      </x:c>
      <x:c r="D14" t="n">
        <x:v>3</x:v>
      </x:c>
      <x:c r="E14" t="inlineStr">
        <x:is>
          <x:t xml:space="preserve">Security/IT owns it, but has limited authority across HR/Legal/business units.</x:t>
        </x:is>
      </x:c>
      <x:c r="F14" t="n">
        <x:v>1</x:v>
      </x:c>
      <x:c r="G14" t="inlineStr">
        <x:is>
          <x:t xml:space="preserve">siloed</x:t>
        </x:is>
      </x:c>
      <x:c r="H14" t="inlineStr">
        <x:is>
          <x:t xml:space="preserve">Operating Model Gap</x:t>
        </x:is>
      </x:c>
      <x:c r="I14" t="inlineStr">
        <x:is>
          <x:t xml:space="preserve">Design_Ops_Model</x:t>
        </x:is>
      </x:c>
      <x:c r="J14" t="inlineStr">
        <x:is>
          <x:t xml:space="preserve">N</x:t>
        </x:is>
      </x:c>
    </x:row>
    <x:row r="15">
      <x:c r="A15" t="inlineStr">
        <x:is>
          <x:t xml:space="preserve">Executive</x:t>
        </x:is>
      </x:c>
      <x:c r="B15" t="inlineStr">
        <x:is>
          <x:t xml:space="preserve">EXCO-D1-Q03</x:t>
        </x:is>
      </x:c>
      <x:c r="C15" t="inlineStr">
        <x:is>
          <x:t xml:space="preserve">EXCO-D1-Q03-A3</x:t>
        </x:is>
      </x:c>
      <x:c r="D15" t="n">
        <x:v>4</x:v>
      </x:c>
      <x:c r="E15" t="inlineStr">
        <x:is>
          <x:t xml:space="preserve">A committee meets occasionally, but has no budget authority or clear escalation path.</x:t>
        </x:is>
      </x:c>
      <x:c r="F15" t="n">
        <x:v>2</x:v>
      </x:c>
      <x:c r="G15" t="inlineStr">
        <x:is>
          <x:t xml:space="preserve">paper_process</x:t>
        </x:is>
      </x:c>
      <x:c r="H15" t="inlineStr">
        <x:is>
          <x:t xml:space="preserve">Paper Dragon</x:t>
        </x:is>
      </x:c>
      <x:c r="I15" t="inlineStr">
        <x:is>
          <x:t xml:space="preserve">Strengthen_Governance</x:t>
        </x:is>
      </x:c>
      <x:c r="J15" t="inlineStr">
        <x:is>
          <x:t xml:space="preserve">N</x:t>
        </x:is>
      </x:c>
    </x:row>
    <x:row r="16">
      <x:c r="A16" t="inlineStr">
        <x:is>
          <x:t xml:space="preserve">Executive</x:t>
        </x:is>
      </x:c>
      <x:c r="B16" t="inlineStr">
        <x:is>
          <x:t xml:space="preserve">EXCO-D1-Q03</x:t>
        </x:is>
      </x:c>
      <x:c r="C16" t="inlineStr">
        <x:is>
          <x:t xml:space="preserve">EXCO-D1-Q03-A4</x:t>
        </x:is>
      </x:c>
      <x:c r="D16" t="n">
        <x:v>5</x:v>
      </x:c>
      <x:c r="E16" t="inlineStr">
        <x:is>
          <x:t xml:space="preserve">An executive sponsor owns it with clear escalation and budget authority.</x:t>
        </x:is>
      </x:c>
      <x:c r="F16" t="n">
        <x:v>3</x:v>
      </x:c>
      <x:c r="G16" t="inlineStr">
        <x:is>
          <x:t xml:space="preserve">good_practice</x:t>
        </x:is>
      </x:c>
      <x:c r="I16" t="inlineStr">
        <x:is>
          <x:t xml:space="preserve">Request_Evidence</x:t>
        </x:is>
      </x:c>
      <x:c r="J16" t="inlineStr">
        <x:is>
          <x:t xml:space="preserve">Y</x:t>
        </x:is>
      </x:c>
      <x:c r="K16" t="inlineStr">
        <x:is>
          <x:t xml:space="preserve">Provide governance doc showing decision rights and escalation.</x:t>
        </x:is>
      </x:c>
    </x:row>
    <x:row r="17">
      <x:c r="A17" t="inlineStr">
        <x:is>
          <x:t xml:space="preserve">Executive</x:t>
        </x:is>
      </x:c>
      <x:c r="B17" t="inlineStr">
        <x:is>
          <x:t xml:space="preserve">EXCO-D1-Q03</x:t>
        </x:is>
      </x:c>
      <x:c r="C17" t="inlineStr">
        <x:is>
          <x:t xml:space="preserve">EXCO-D1-Q03-A5</x:t>
        </x:is>
      </x:c>
      <x:c r="D17" t="n">
        <x:v>6</x:v>
      </x:c>
      <x:c r="E17" t="inlineStr">
        <x:is>
          <x:t xml:space="preserve">Executive sponsor + department KPIs (HR/Legal/Security/Data) and a regular review cadence.</x:t>
        </x:is>
      </x:c>
      <x:c r="F17" t="n">
        <x:v>4</x:v>
      </x:c>
      <x:c r="G17" t="inlineStr">
        <x:is>
          <x:t xml:space="preserve">optimized</x:t>
        </x:is>
      </x:c>
      <x:c r="I17" t="inlineStr">
        <x:is>
          <x:t xml:space="preserve">Request_Evidence</x:t>
        </x:is>
      </x:c>
      <x:c r="J17" t="inlineStr">
        <x:is>
          <x:t xml:space="preserve">Y</x:t>
        </x:is>
      </x:c>
      <x:c r="K17" t="inlineStr">
        <x:is>
          <x:t xml:space="preserve">Provide KPI pack / steering minutes.</x:t>
        </x:is>
      </x:c>
    </x:row>
    <x:row r="18">
      <x:c r="A18" t="inlineStr">
        <x:is>
          <x:t xml:space="preserve">Executive</x:t>
        </x:is>
      </x:c>
      <x:c r="B18" t="inlineStr">
        <x:is>
          <x:t xml:space="preserve">EXCO-D1-Q04</x:t>
        </x:is>
      </x:c>
      <x:c r="C18" t="inlineStr">
        <x:is>
          <x:t xml:space="preserve">EXCO-D1-Q04-A0</x:t>
        </x:is>
      </x:c>
      <x:c r="D18" t="n">
        <x:v>1</x:v>
      </x:c>
      <x:c r="E18" t="inlineStr">
        <x:is>
          <x:t xml:space="preserve">I don’t know / not sure.</x:t>
        </x:is>
      </x:c>
      <x:c r="F18" t="n">
        <x:v>0</x:v>
      </x:c>
      <x:c r="G18" t="inlineStr">
        <x:is>
          <x:t xml:space="preserve">unknown</x:t>
        </x:is>
      </x:c>
      <x:c r="H18" t="inlineStr">
        <x:is>
          <x:t xml:space="preserve">Unknown</x:t>
        </x:is>
      </x:c>
      <x:c r="I18" t="inlineStr">
        <x:is>
          <x:t xml:space="preserve">Clarify_Stakeholders</x:t>
        </x:is>
      </x:c>
      <x:c r="J18" t="inlineStr">
        <x:is>
          <x:t xml:space="preserve">N</x:t>
        </x:is>
      </x:c>
    </x:row>
    <x:row r="19">
      <x:c r="A19" t="inlineStr">
        <x:is>
          <x:t xml:space="preserve">Executive</x:t>
        </x:is>
      </x:c>
      <x:c r="B19" t="inlineStr">
        <x:is>
          <x:t xml:space="preserve">EXCO-D1-Q04</x:t>
        </x:is>
      </x:c>
      <x:c r="C19" t="inlineStr">
        <x:is>
          <x:t xml:space="preserve">EXCO-D1-Q04-A1</x:t>
        </x:is>
      </x:c>
      <x:c r="D19" t="n">
        <x:v>2</x:v>
      </x:c>
      <x:c r="E19" t="inlineStr">
        <x:is>
          <x:t xml:space="preserve">Each department acts on its own; coordination happens only during crises.</x:t>
        </x:is>
      </x:c>
      <x:c r="F19" t="n">
        <x:v>0</x:v>
      </x:c>
      <x:c r="G19" t="inlineStr">
        <x:is>
          <x:t xml:space="preserve">siloed</x:t>
        </x:is>
      </x:c>
      <x:c r="H19" t="inlineStr">
        <x:is>
          <x:t xml:space="preserve">Operating Model Gap</x:t>
        </x:is>
      </x:c>
      <x:c r="I19" t="inlineStr">
        <x:is>
          <x:t xml:space="preserve">Create_Working_Group</x:t>
        </x:is>
      </x:c>
      <x:c r="J19" t="inlineStr">
        <x:is>
          <x:t xml:space="preserve">N</x:t>
        </x:is>
      </x:c>
    </x:row>
    <x:row r="20">
      <x:c r="A20" t="inlineStr">
        <x:is>
          <x:t xml:space="preserve">Executive</x:t>
        </x:is>
      </x:c>
      <x:c r="B20" t="inlineStr">
        <x:is>
          <x:t xml:space="preserve">EXCO-D1-Q04</x:t>
        </x:is>
      </x:c>
      <x:c r="C20" t="inlineStr">
        <x:is>
          <x:t xml:space="preserve">EXCO-D1-Q04-A2</x:t>
        </x:is>
      </x:c>
      <x:c r="D20" t="n">
        <x:v>3</x:v>
      </x:c>
      <x:c r="E20" t="inlineStr">
        <x:is>
          <x:t xml:space="preserve">People collaborate informally for incidents, but there is no routine coordination.</x:t>
        </x:is>
      </x:c>
      <x:c r="F20" t="n">
        <x:v>1</x:v>
      </x:c>
      <x:c r="G20" t="inlineStr">
        <x:is>
          <x:t xml:space="preserve">informal_only</x:t>
        </x:is>
      </x:c>
      <x:c r="H20" t="inlineStr">
        <x:is>
          <x:t xml:space="preserve">Shadow Mature</x:t>
        </x:is>
      </x:c>
      <x:c r="I20" t="inlineStr">
        <x:is>
          <x:t xml:space="preserve">Formalize_Cadence</x:t>
        </x:is>
      </x:c>
      <x:c r="J20" t="inlineStr">
        <x:is>
          <x:t xml:space="preserve">N</x:t>
        </x:is>
      </x:c>
    </x:row>
    <x:row r="21">
      <x:c r="A21" t="inlineStr">
        <x:is>
          <x:t xml:space="preserve">Executive</x:t>
        </x:is>
      </x:c>
      <x:c r="B21" t="inlineStr">
        <x:is>
          <x:t xml:space="preserve">EXCO-D1-Q04</x:t>
        </x:is>
      </x:c>
      <x:c r="C21" t="inlineStr">
        <x:is>
          <x:t xml:space="preserve">EXCO-D1-Q04-A3</x:t>
        </x:is>
      </x:c>
      <x:c r="D21" t="n">
        <x:v>4</x:v>
      </x:c>
      <x:c r="E21" t="inlineStr">
        <x:is>
          <x:t xml:space="preserve">There is a defined process, but adoption is inconsistent across business units.</x:t>
        </x:is>
      </x:c>
      <x:c r="F21" t="n">
        <x:v>2</x:v>
      </x:c>
      <x:c r="G21" t="inlineStr">
        <x:is>
          <x:t xml:space="preserve">inconsistent_execution</x:t>
        </x:is>
      </x:c>
      <x:c r="H21" t="inlineStr">
        <x:is>
          <x:t xml:space="preserve">Paper Dragon</x:t>
        </x:is>
      </x:c>
      <x:c r="I21" t="inlineStr">
        <x:is>
          <x:t xml:space="preserve">Improve_Adoption</x:t>
        </x:is>
      </x:c>
      <x:c r="J21" t="inlineStr">
        <x:is>
          <x:t xml:space="preserve">N</x:t>
        </x:is>
      </x:c>
    </x:row>
    <x:row r="22">
      <x:c r="A22" t="inlineStr">
        <x:is>
          <x:t xml:space="preserve">Executive</x:t>
        </x:is>
      </x:c>
      <x:c r="B22" t="inlineStr">
        <x:is>
          <x:t xml:space="preserve">EXCO-D1-Q04</x:t>
        </x:is>
      </x:c>
      <x:c r="C22" t="inlineStr">
        <x:is>
          <x:t xml:space="preserve">EXCO-D1-Q04-A4</x:t>
        </x:is>
      </x:c>
      <x:c r="D22" t="n">
        <x:v>5</x:v>
      </x:c>
      <x:c r="E22" t="inlineStr">
        <x:is>
          <x:t xml:space="preserve">There is a cross-functional working group and routine cadence (e.g., monthly), with tracked actions.</x:t>
        </x:is>
      </x:c>
      <x:c r="F22" t="n">
        <x:v>3</x:v>
      </x:c>
      <x:c r="G22" t="inlineStr">
        <x:is>
          <x:t xml:space="preserve">good_practice</x:t>
        </x:is>
      </x:c>
      <x:c r="I22" t="inlineStr">
        <x:is>
          <x:t xml:space="preserve">Request_Evidence</x:t>
        </x:is>
      </x:c>
      <x:c r="J22" t="inlineStr">
        <x:is>
          <x:t xml:space="preserve">Y</x:t>
        </x:is>
      </x:c>
      <x:c r="K22" t="inlineStr">
        <x:is>
          <x:t xml:space="preserve">Provide meeting cadence and action log.</x:t>
        </x:is>
      </x:c>
    </x:row>
    <x:row r="23">
      <x:c r="A23" t="inlineStr">
        <x:is>
          <x:t xml:space="preserve">Executive</x:t>
        </x:is>
      </x:c>
      <x:c r="B23" t="inlineStr">
        <x:is>
          <x:t xml:space="preserve">EXCO-D1-Q04</x:t>
        </x:is>
      </x:c>
      <x:c r="C23" t="inlineStr">
        <x:is>
          <x:t xml:space="preserve">EXCO-D1-Q04-A5</x:t>
        </x:is>
      </x:c>
      <x:c r="D23" t="n">
        <x:v>6</x:v>
      </x:c>
      <x:c r="E23" t="inlineStr">
        <x:is>
          <x:t xml:space="preserve">Operating model is integrated into business processes (joiner/mover/leaver, sensitive projects, vendor onboarding) with measurable outcomes.</x:t>
        </x:is>
      </x:c>
      <x:c r="F23" t="n">
        <x:v>4</x:v>
      </x:c>
      <x:c r="G23" t="inlineStr">
        <x:is>
          <x:t xml:space="preserve">optimized</x:t>
        </x:is>
      </x:c>
      <x:c r="I23" t="inlineStr">
        <x:is>
          <x:t xml:space="preserve">Request_Evidence</x:t>
        </x:is>
      </x:c>
      <x:c r="J23" t="inlineStr">
        <x:is>
          <x:t xml:space="preserve">Y</x:t>
        </x:is>
      </x:c>
    </x:row>
    <x:row r="24">
      <x:c r="A24" t="inlineStr">
        <x:is>
          <x:t xml:space="preserve">Executive</x:t>
        </x:is>
      </x:c>
      <x:c r="B24" t="inlineStr">
        <x:is>
          <x:t xml:space="preserve">EXCO-D1-Q05</x:t>
        </x:is>
      </x:c>
      <x:c r="C24" t="inlineStr">
        <x:is>
          <x:t xml:space="preserve">EXCO-D1-Q05-A0</x:t>
        </x:is>
      </x:c>
      <x:c r="D24" t="n">
        <x:v>1</x:v>
      </x:c>
      <x:c r="E24" t="inlineStr">
        <x:is>
          <x:t xml:space="preserve">I don’t know / not sure.</x:t>
        </x:is>
      </x:c>
      <x:c r="F24" t="n">
        <x:v>0</x:v>
      </x:c>
      <x:c r="G24" t="inlineStr">
        <x:is>
          <x:t xml:space="preserve">unknown</x:t>
        </x:is>
      </x:c>
      <x:c r="H24" t="inlineStr">
        <x:is>
          <x:t xml:space="preserve">Unknown</x:t>
        </x:is>
      </x:c>
      <x:c r="I24" t="inlineStr">
        <x:is>
          <x:t xml:space="preserve">Clarify_Budget</x:t>
        </x:is>
      </x:c>
      <x:c r="J24" t="inlineStr">
        <x:is>
          <x:t xml:space="preserve">N</x:t>
        </x:is>
      </x:c>
    </x:row>
    <x:row r="25">
      <x:c r="A25" t="inlineStr">
        <x:is>
          <x:t xml:space="preserve">Executive</x:t>
        </x:is>
      </x:c>
      <x:c r="B25" t="inlineStr">
        <x:is>
          <x:t xml:space="preserve">EXCO-D1-Q05</x:t>
        </x:is>
      </x:c>
      <x:c r="C25" t="inlineStr">
        <x:is>
          <x:t xml:space="preserve">EXCO-D1-Q05-A1</x:t>
        </x:is>
      </x:c>
      <x:c r="D25" t="n">
        <x:v>2</x:v>
      </x:c>
      <x:c r="E25" t="inlineStr">
        <x:is>
          <x:t xml:space="preserve">No—costs are absorbed ad-hoc in IT/security or HR.</x:t>
        </x:is>
      </x:c>
      <x:c r="F25" t="n">
        <x:v>0</x:v>
      </x:c>
      <x:c r="G25" t="inlineStr">
        <x:is>
          <x:t xml:space="preserve">foundational_gap</x:t>
        </x:is>
      </x:c>
      <x:c r="H25" t="inlineStr">
        <x:is>
          <x:t xml:space="preserve">Operating Model Gap</x:t>
        </x:is>
      </x:c>
      <x:c r="I25" t="inlineStr">
        <x:is>
          <x:t xml:space="preserve">Define_Funding_Model</x:t>
        </x:is>
      </x:c>
      <x:c r="J25" t="inlineStr">
        <x:is>
          <x:t xml:space="preserve">N</x:t>
        </x:is>
      </x:c>
    </x:row>
    <x:row r="26">
      <x:c r="A26" t="inlineStr">
        <x:is>
          <x:t xml:space="preserve">Executive</x:t>
        </x:is>
      </x:c>
      <x:c r="B26" t="inlineStr">
        <x:is>
          <x:t xml:space="preserve">EXCO-D1-Q05</x:t>
        </x:is>
      </x:c>
      <x:c r="C26" t="inlineStr">
        <x:is>
          <x:t xml:space="preserve">EXCO-D1-Q05-A2</x:t>
        </x:is>
      </x:c>
      <x:c r="D26" t="n">
        <x:v>3</x:v>
      </x:c>
      <x:c r="E26" t="inlineStr">
        <x:is>
          <x:t xml:space="preserve">Some funding exists but is regularly reallocated; priorities change without oversight.</x:t>
        </x:is>
      </x:c>
      <x:c r="F26" t="n">
        <x:v>1</x:v>
      </x:c>
      <x:c r="G26" t="inlineStr">
        <x:is>
          <x:t xml:space="preserve">unstable_funding</x:t>
        </x:is>
      </x:c>
      <x:c r="H26" t="inlineStr">
        <x:is>
          <x:t xml:space="preserve">Control Lag</x:t>
        </x:is>
      </x:c>
      <x:c r="I26" t="inlineStr">
        <x:is>
          <x:t xml:space="preserve">Stabilize_Funding</x:t>
        </x:is>
      </x:c>
      <x:c r="J26" t="inlineStr">
        <x:is>
          <x:t xml:space="preserve">N</x:t>
        </x:is>
      </x:c>
    </x:row>
    <x:row r="27">
      <x:c r="A27" t="inlineStr">
        <x:is>
          <x:t xml:space="preserve">Executive</x:t>
        </x:is>
      </x:c>
      <x:c r="B27" t="inlineStr">
        <x:is>
          <x:t xml:space="preserve">EXCO-D1-Q05</x:t>
        </x:is>
      </x:c>
      <x:c r="C27" t="inlineStr">
        <x:is>
          <x:t xml:space="preserve">EXCO-D1-Q05-A3</x:t>
        </x:is>
      </x:c>
      <x:c r="D27" t="n">
        <x:v>4</x:v>
      </x:c>
      <x:c r="E27" t="inlineStr">
        <x:is>
          <x:t xml:space="preserve">There is a budget line, but it is not linked to clear priorities (e.g., crown jewels or key risks).</x:t>
        </x:is>
      </x:c>
      <x:c r="F27" t="n">
        <x:v>2</x:v>
      </x:c>
      <x:c r="G27" t="inlineStr">
        <x:is>
          <x:t xml:space="preserve">paper_budget</x:t>
        </x:is>
      </x:c>
      <x:c r="H27" t="inlineStr">
        <x:is>
          <x:t xml:space="preserve">Paper Dragon</x:t>
        </x:is>
      </x:c>
      <x:c r="I27" t="inlineStr">
        <x:is>
          <x:t xml:space="preserve">Link_To_Priorities</x:t>
        </x:is>
      </x:c>
      <x:c r="J27" t="inlineStr">
        <x:is>
          <x:t xml:space="preserve">N</x:t>
        </x:is>
      </x:c>
    </x:row>
    <x:row r="28">
      <x:c r="A28" t="inlineStr">
        <x:is>
          <x:t xml:space="preserve">Executive</x:t>
        </x:is>
      </x:c>
      <x:c r="B28" t="inlineStr">
        <x:is>
          <x:t xml:space="preserve">EXCO-D1-Q05</x:t>
        </x:is>
      </x:c>
      <x:c r="C28" t="inlineStr">
        <x:is>
          <x:t xml:space="preserve">EXCO-D1-Q05-A4</x:t>
        </x:is>
      </x:c>
      <x:c r="D28" t="n">
        <x:v>5</x:v>
      </x:c>
      <x:c r="E28" t="inlineStr">
        <x:is>
          <x:t xml:space="preserve">Dedicated funding exists and is linked to defined priorities (e.g., most sensitive data/systems).</x:t>
        </x:is>
      </x:c>
      <x:c r="F28" t="n">
        <x:v>3</x:v>
      </x:c>
      <x:c r="G28" t="inlineStr">
        <x:is>
          <x:t xml:space="preserve">good_practice</x:t>
        </x:is>
      </x:c>
      <x:c r="I28" t="inlineStr">
        <x:is>
          <x:t xml:space="preserve">Request_Evidence</x:t>
        </x:is>
      </x:c>
      <x:c r="J28" t="inlineStr">
        <x:is>
          <x:t xml:space="preserve">Y</x:t>
        </x:is>
      </x:c>
      <x:c r="K28" t="inlineStr">
        <x:is>
          <x:t xml:space="preserve">Provide budget line and priority statement.</x:t>
        </x:is>
      </x:c>
    </x:row>
    <x:row r="29">
      <x:c r="A29" t="inlineStr">
        <x:is>
          <x:t xml:space="preserve">Executive</x:t>
        </x:is>
      </x:c>
      <x:c r="B29" t="inlineStr">
        <x:is>
          <x:t xml:space="preserve">EXCO-D1-Q05</x:t>
        </x:is>
      </x:c>
      <x:c r="C29" t="inlineStr">
        <x:is>
          <x:t xml:space="preserve">EXCO-D1-Q05-A5</x:t>
        </x:is>
      </x:c>
      <x:c r="D29" t="n">
        <x:v>6</x:v>
      </x:c>
      <x:c r="E29" t="inlineStr">
        <x:is>
          <x:t xml:space="preserve">Multi-year funding plan aligned to risk appetite with benefits tracked (e.g., risk reduction, fewer high-risk clusters).</x:t>
        </x:is>
      </x:c>
      <x:c r="F29" t="n">
        <x:v>4</x:v>
      </x:c>
      <x:c r="G29" t="inlineStr">
        <x:is>
          <x:t xml:space="preserve">optimized</x:t>
        </x:is>
      </x:c>
      <x:c r="I29" t="inlineStr">
        <x:is>
          <x:t xml:space="preserve">Request_Evidence</x:t>
        </x:is>
      </x:c>
      <x:c r="J29" t="inlineStr">
        <x:is>
          <x:t xml:space="preserve">Y</x:t>
        </x:is>
      </x:c>
    </x:row>
    <x:row r="30">
      <x:c r="A30" t="inlineStr">
        <x:is>
          <x:t xml:space="preserve">Executive</x:t>
        </x:is>
      </x:c>
      <x:c r="B30" t="inlineStr">
        <x:is>
          <x:t xml:space="preserve">EXCO-D1-Q06</x:t>
        </x:is>
      </x:c>
      <x:c r="C30" t="inlineStr">
        <x:is>
          <x:t xml:space="preserve">EXCO-D1-Q06-A0</x:t>
        </x:is>
      </x:c>
      <x:c r="D30" t="n">
        <x:v>1</x:v>
      </x:c>
      <x:c r="E30" t="inlineStr">
        <x:is>
          <x:t xml:space="preserve">I don’t know / not sure.</x:t>
        </x:is>
      </x:c>
      <x:c r="F30" t="n">
        <x:v>0</x:v>
      </x:c>
      <x:c r="G30" t="inlineStr">
        <x:is>
          <x:t xml:space="preserve">unknown</x:t>
        </x:is>
      </x:c>
      <x:c r="H30" t="inlineStr">
        <x:is>
          <x:t xml:space="preserve">Unknown</x:t>
        </x:is>
      </x:c>
      <x:c r="I30" t="inlineStr">
        <x:is>
          <x:t xml:space="preserve">Clarify_Roadmap</x:t>
        </x:is>
      </x:c>
      <x:c r="J30" t="inlineStr">
        <x:is>
          <x:t xml:space="preserve">N</x:t>
        </x:is>
      </x:c>
    </x:row>
    <x:row r="31">
      <x:c r="A31" t="inlineStr">
        <x:is>
          <x:t xml:space="preserve">Executive</x:t>
        </x:is>
      </x:c>
      <x:c r="B31" t="inlineStr">
        <x:is>
          <x:t xml:space="preserve">EXCO-D1-Q06</x:t>
        </x:is>
      </x:c>
      <x:c r="C31" t="inlineStr">
        <x:is>
          <x:t xml:space="preserve">EXCO-D1-Q06-A1</x:t>
        </x:is>
      </x:c>
      <x:c r="D31" t="n">
        <x:v>2</x:v>
      </x:c>
      <x:c r="E31" t="inlineStr">
        <x:is>
          <x:t xml:space="preserve">No—work is reactive (we respond to incidents and urgent requests).</x:t>
        </x:is>
      </x:c>
      <x:c r="F31" t="n">
        <x:v>0</x:v>
      </x:c>
      <x:c r="G31" t="inlineStr">
        <x:is>
          <x:t xml:space="preserve">reactive</x:t>
        </x:is>
      </x:c>
      <x:c r="H31" t="inlineStr">
        <x:is>
          <x:t xml:space="preserve">Operating Model Gap</x:t>
        </x:is>
      </x:c>
      <x:c r="I31" t="inlineStr">
        <x:is>
          <x:t xml:space="preserve">Create_Roadmap</x:t>
        </x:is>
      </x:c>
      <x:c r="J31" t="inlineStr">
        <x:is>
          <x:t xml:space="preserve">N</x:t>
        </x:is>
      </x:c>
    </x:row>
    <x:row r="32">
      <x:c r="A32" t="inlineStr">
        <x:is>
          <x:t xml:space="preserve">Executive</x:t>
        </x:is>
      </x:c>
      <x:c r="B32" t="inlineStr">
        <x:is>
          <x:t xml:space="preserve">EXCO-D1-Q06</x:t>
        </x:is>
      </x:c>
      <x:c r="C32" t="inlineStr">
        <x:is>
          <x:t xml:space="preserve">EXCO-D1-Q06-A2</x:t>
        </x:is>
      </x:c>
      <x:c r="D32" t="n">
        <x:v>3</x:v>
      </x:c>
      <x:c r="E32" t="inlineStr">
        <x:is>
          <x:t xml:space="preserve">There is an informal ‘wishlist’ but no dates, owners, or review cadence.</x:t>
        </x:is>
      </x:c>
      <x:c r="F32" t="n">
        <x:v>1</x:v>
      </x:c>
      <x:c r="G32" t="inlineStr">
        <x:is>
          <x:t xml:space="preserve">shadow_signal</x:t>
        </x:is>
      </x:c>
      <x:c r="H32" t="inlineStr">
        <x:is>
          <x:t xml:space="preserve">Shadow Mature</x:t>
        </x:is>
      </x:c>
      <x:c r="I32" t="inlineStr">
        <x:is>
          <x:t xml:space="preserve">Formalize_Roadmap</x:t>
        </x:is>
      </x:c>
      <x:c r="J32" t="inlineStr">
        <x:is>
          <x:t xml:space="preserve">N</x:t>
        </x:is>
      </x:c>
    </x:row>
    <x:row r="33">
      <x:c r="A33" t="inlineStr">
        <x:is>
          <x:t xml:space="preserve">Executive</x:t>
        </x:is>
      </x:c>
      <x:c r="B33" t="inlineStr">
        <x:is>
          <x:t xml:space="preserve">EXCO-D1-Q06</x:t>
        </x:is>
      </x:c>
      <x:c r="C33" t="inlineStr">
        <x:is>
          <x:t xml:space="preserve">EXCO-D1-Q06-A3</x:t>
        </x:is>
      </x:c>
      <x:c r="D33" t="n">
        <x:v>4</x:v>
      </x:c>
      <x:c r="E33" t="inlineStr">
        <x:is>
          <x:t xml:space="preserve">A roadmap exists, but it is not funded or is frequently re-prioritised without governance.</x:t>
        </x:is>
      </x:c>
      <x:c r="F33" t="n">
        <x:v>2</x:v>
      </x:c>
      <x:c r="G33" t="inlineStr">
        <x:is>
          <x:t xml:space="preserve">paper_roadmap</x:t>
        </x:is>
      </x:c>
      <x:c r="H33" t="inlineStr">
        <x:is>
          <x:t xml:space="preserve">Paper Dragon</x:t>
        </x:is>
      </x:c>
      <x:c r="I33" t="inlineStr">
        <x:is>
          <x:t xml:space="preserve">Align_Funding_Governance</x:t>
        </x:is>
      </x:c>
      <x:c r="J33" t="inlineStr">
        <x:is>
          <x:t xml:space="preserve">N</x:t>
        </x:is>
      </x:c>
    </x:row>
    <x:row r="34">
      <x:c r="A34" t="inlineStr">
        <x:is>
          <x:t xml:space="preserve">Executive</x:t>
        </x:is>
      </x:c>
      <x:c r="B34" t="inlineStr">
        <x:is>
          <x:t xml:space="preserve">EXCO-D1-Q06</x:t>
        </x:is>
      </x:c>
      <x:c r="C34" t="inlineStr">
        <x:is>
          <x:t xml:space="preserve">EXCO-D1-Q06-A4</x:t>
        </x:is>
      </x:c>
      <x:c r="D34" t="n">
        <x:v>5</x:v>
      </x:c>
      <x:c r="E34" t="inlineStr">
        <x:is>
          <x:t xml:space="preserve">Roadmap exists with owners, dates, and quarterly review.</x:t>
        </x:is>
      </x:c>
      <x:c r="F34" t="n">
        <x:v>3</x:v>
      </x:c>
      <x:c r="G34" t="inlineStr">
        <x:is>
          <x:t xml:space="preserve">good_practice</x:t>
        </x:is>
      </x:c>
      <x:c r="I34" t="inlineStr">
        <x:is>
          <x:t xml:space="preserve">Request_Evidence</x:t>
        </x:is>
      </x:c>
      <x:c r="J34" t="inlineStr">
        <x:is>
          <x:t xml:space="preserve">Y</x:t>
        </x:is>
      </x:c>
      <x:c r="K34" t="inlineStr">
        <x:is>
          <x:t xml:space="preserve">Provide roadmap snapshot and last review date.</x:t>
        </x:is>
      </x:c>
    </x:row>
    <x:row r="35">
      <x:c r="A35" t="inlineStr">
        <x:is>
          <x:t xml:space="preserve">Executive</x:t>
        </x:is>
      </x:c>
      <x:c r="B35" t="inlineStr">
        <x:is>
          <x:t xml:space="preserve">EXCO-D1-Q06</x:t>
        </x:is>
      </x:c>
      <x:c r="C35" t="inlineStr">
        <x:is>
          <x:t xml:space="preserve">EXCO-D1-Q06-A5</x:t>
        </x:is>
      </x:c>
      <x:c r="D35" t="n">
        <x:v>6</x:v>
      </x:c>
      <x:c r="E35" t="inlineStr">
        <x:is>
          <x:t xml:space="preserve">Roadmap is linked to risk appetite and measured outcomes; changes are controlled and documented.</x:t>
        </x:is>
      </x:c>
      <x:c r="F35" t="n">
        <x:v>4</x:v>
      </x:c>
      <x:c r="G35" t="inlineStr">
        <x:is>
          <x:t xml:space="preserve">optimized</x:t>
        </x:is>
      </x:c>
      <x:c r="I35" t="inlineStr">
        <x:is>
          <x:t xml:space="preserve">Request_Evidence</x:t>
        </x:is>
      </x:c>
      <x:c r="J35" t="inlineStr">
        <x:is>
          <x:t xml:space="preserve">Y</x:t>
        </x:is>
      </x:c>
    </x:row>
    <x:row r="36">
      <x:c r="A36" t="inlineStr">
        <x:is>
          <x:t xml:space="preserve">Executive</x:t>
        </x:is>
      </x:c>
      <x:c r="B36" t="inlineStr">
        <x:is>
          <x:t xml:space="preserve">EXCO-D2-Q01</x:t>
        </x:is>
      </x:c>
      <x:c r="C36" t="inlineStr">
        <x:is>
          <x:t xml:space="preserve">EXCO-D2-Q01-A0</x:t>
        </x:is>
      </x:c>
      <x:c r="D36" t="n">
        <x:v>1</x:v>
      </x:c>
      <x:c r="E36" t="inlineStr">
        <x:is>
          <x:t xml:space="preserve">I don’t know / not sure.</x:t>
        </x:is>
      </x:c>
      <x:c r="F36" t="n">
        <x:v>0</x:v>
      </x:c>
      <x:c r="G36" t="inlineStr">
        <x:is>
          <x:t xml:space="preserve">unknown</x:t>
        </x:is>
      </x:c>
      <x:c r="H36" t="inlineStr">
        <x:is>
          <x:t xml:space="preserve">Unknown</x:t>
        </x:is>
      </x:c>
      <x:c r="I36" t="inlineStr">
        <x:is>
          <x:t xml:space="preserve">Run_Crown_Jewel_Workshop</x:t>
        </x:is>
      </x:c>
      <x:c r="J36" t="inlineStr">
        <x:is>
          <x:t xml:space="preserve">N</x:t>
        </x:is>
      </x:c>
    </x:row>
    <x:row r="37">
      <x:c r="A37" t="inlineStr">
        <x:is>
          <x:t xml:space="preserve">Executive</x:t>
        </x:is>
      </x:c>
      <x:c r="B37" t="inlineStr">
        <x:is>
          <x:t xml:space="preserve">EXCO-D2-Q01</x:t>
        </x:is>
      </x:c>
      <x:c r="C37" t="inlineStr">
        <x:is>
          <x:t xml:space="preserve">EXCO-D2-Q01-A1</x:t>
        </x:is>
      </x:c>
      <x:c r="D37" t="n">
        <x:v>2</x:v>
      </x:c>
      <x:c r="E37" t="inlineStr">
        <x:is>
          <x:t xml:space="preserve">No—everything is treated roughly the same; we don’t have a clear list.</x:t>
        </x:is>
      </x:c>
      <x:c r="F37" t="n">
        <x:v>0</x:v>
      </x:c>
      <x:c r="G37" t="inlineStr">
        <x:is>
          <x:t xml:space="preserve">visibility_gap</x:t>
        </x:is>
      </x:c>
      <x:c r="H37" t="inlineStr">
        <x:is>
          <x:t xml:space="preserve">Visibility Gap</x:t>
        </x:is>
      </x:c>
      <x:c r="I37" t="inlineStr">
        <x:is>
          <x:t xml:space="preserve">Run_Crown_Jewel_Workshop</x:t>
        </x:is>
      </x:c>
      <x:c r="J37" t="inlineStr">
        <x:is>
          <x:t xml:space="preserve">N</x:t>
        </x:is>
      </x:c>
    </x:row>
    <x:row r="38">
      <x:c r="A38" t="inlineStr">
        <x:is>
          <x:t xml:space="preserve">Executive</x:t>
        </x:is>
      </x:c>
      <x:c r="B38" t="inlineStr">
        <x:is>
          <x:t xml:space="preserve">EXCO-D2-Q01</x:t>
        </x:is>
      </x:c>
      <x:c r="C38" t="inlineStr">
        <x:is>
          <x:t xml:space="preserve">EXCO-D2-Q01-A2</x:t>
        </x:is>
      </x:c>
      <x:c r="D38" t="n">
        <x:v>3</x:v>
      </x:c>
      <x:c r="E38" t="inlineStr">
        <x:is>
          <x:t xml:space="preserve">Key people ‘just know’ what matters, but it is not written down or kept current.</x:t>
        </x:is>
      </x:c>
      <x:c r="F38" t="n">
        <x:v>1</x:v>
      </x:c>
      <x:c r="G38" t="inlineStr">
        <x:is>
          <x:t xml:space="preserve">tribal_knowledge,shadow_signal</x:t>
        </x:is>
      </x:c>
      <x:c r="H38" t="inlineStr">
        <x:is>
          <x:t xml:space="preserve">Shadow Mature</x:t>
        </x:is>
      </x:c>
      <x:c r="I38" t="inlineStr">
        <x:is>
          <x:t xml:space="preserve">Document_Crown_Jewels</x:t>
        </x:is>
      </x:c>
      <x:c r="J38" t="inlineStr">
        <x:is>
          <x:t xml:space="preserve">N</x:t>
        </x:is>
      </x:c>
    </x:row>
    <x:row r="39">
      <x:c r="A39" t="inlineStr">
        <x:is>
          <x:t xml:space="preserve">Executive</x:t>
        </x:is>
      </x:c>
      <x:c r="B39" t="inlineStr">
        <x:is>
          <x:t xml:space="preserve">EXCO-D2-Q01</x:t>
        </x:is>
      </x:c>
      <x:c r="C39" t="inlineStr">
        <x:is>
          <x:t xml:space="preserve">EXCO-D2-Q01-A3</x:t>
        </x:is>
      </x:c>
      <x:c r="D39" t="n">
        <x:v>4</x:v>
      </x:c>
      <x:c r="E39" t="inlineStr">
        <x:is>
          <x:t xml:space="preserve">A list exists for compliance reasons (e.g., regulated data) but misses business-critical information.</x:t>
        </x:is>
      </x:c>
      <x:c r="F39" t="n">
        <x:v>2</x:v>
      </x:c>
      <x:c r="G39" t="inlineStr">
        <x:is>
          <x:t xml:space="preserve">compliance_only</x:t>
        </x:is>
      </x:c>
      <x:c r="H39" t="inlineStr">
        <x:is>
          <x:t xml:space="preserve">Paper Dragon</x:t>
        </x:is>
      </x:c>
      <x:c r="I39" t="inlineStr">
        <x:is>
          <x:t xml:space="preserve">Expand_Scope</x:t>
        </x:is>
      </x:c>
      <x:c r="J39" t="inlineStr">
        <x:is>
          <x:t xml:space="preserve">N</x:t>
        </x:is>
      </x:c>
    </x:row>
    <x:row r="40">
      <x:c r="A40" t="inlineStr">
        <x:is>
          <x:t xml:space="preserve">Executive</x:t>
        </x:is>
      </x:c>
      <x:c r="B40" t="inlineStr">
        <x:is>
          <x:t xml:space="preserve">EXCO-D2-Q01</x:t>
        </x:is>
      </x:c>
      <x:c r="C40" t="inlineStr">
        <x:is>
          <x:t xml:space="preserve">EXCO-D2-Q01-A4</x:t>
        </x:is>
      </x:c>
      <x:c r="D40" t="n">
        <x:v>5</x:v>
      </x:c>
      <x:c r="E40" t="inlineStr">
        <x:is>
          <x:t xml:space="preserve">We maintain an inventory of sensitive information/systems and review it at least annually.</x:t>
        </x:is>
      </x:c>
      <x:c r="F40" t="n">
        <x:v>3</x:v>
      </x:c>
      <x:c r="G40" t="inlineStr">
        <x:is>
          <x:t xml:space="preserve">good_practice</x:t>
        </x:is>
      </x:c>
      <x:c r="I40" t="inlineStr">
        <x:is>
          <x:t xml:space="preserve">Request_Evidence</x:t>
        </x:is>
      </x:c>
      <x:c r="J40" t="inlineStr">
        <x:is>
          <x:t xml:space="preserve">Y</x:t>
        </x:is>
      </x:c>
      <x:c r="K40" t="inlineStr">
        <x:is>
          <x:t xml:space="preserve">Provide inventory and last review date.</x:t>
        </x:is>
      </x:c>
    </x:row>
    <x:row r="41">
      <x:c r="A41" t="inlineStr">
        <x:is>
          <x:t xml:space="preserve">Executive</x:t>
        </x:is>
      </x:c>
      <x:c r="B41" t="inlineStr">
        <x:is>
          <x:t xml:space="preserve">EXCO-D2-Q01</x:t>
        </x:is>
      </x:c>
      <x:c r="C41" t="inlineStr">
        <x:is>
          <x:t xml:space="preserve">EXCO-D2-Q01-A5</x:t>
        </x:is>
      </x:c>
      <x:c r="D41" t="n">
        <x:v>6</x:v>
      </x:c>
      <x:c r="E41" t="inlineStr">
        <x:is>
          <x:t xml:space="preserve">Inventory is linked to business impact and access concentration; changes are tracked continuously.</x:t>
        </x:is>
      </x:c>
      <x:c r="F41" t="n">
        <x:v>4</x:v>
      </x:c>
      <x:c r="G41" t="inlineStr">
        <x:is>
          <x:t xml:space="preserve">optimized</x:t>
        </x:is>
      </x:c>
      <x:c r="I41" t="inlineStr">
        <x:is>
          <x:t xml:space="preserve">Request_Evidence</x:t>
        </x:is>
      </x:c>
      <x:c r="J41" t="inlineStr">
        <x:is>
          <x:t xml:space="preserve">Y</x:t>
        </x:is>
      </x:c>
    </x:row>
    <x:row r="42">
      <x:c r="A42" t="inlineStr">
        <x:is>
          <x:t xml:space="preserve">Executive</x:t>
        </x:is>
      </x:c>
      <x:c r="B42" t="inlineStr">
        <x:is>
          <x:t xml:space="preserve">EXCO-D2-Q02</x:t>
        </x:is>
      </x:c>
      <x:c r="C42" t="inlineStr">
        <x:is>
          <x:t xml:space="preserve">EXCO-D2-Q02-A1</x:t>
        </x:is>
      </x:c>
      <x:c r="D42" t="n">
        <x:v>1</x:v>
      </x:c>
      <x:c r="E42" t="inlineStr">
        <x:is>
          <x:t xml:space="preserve">No—different leaders would give completely different answers.</x:t>
        </x:is>
      </x:c>
      <x:c r="F42" t="n">
        <x:v>0</x:v>
      </x:c>
      <x:c r="G42" t="inlineStr">
        <x:is>
          <x:t xml:space="preserve">visibility_gap</x:t>
        </x:is>
      </x:c>
      <x:c r="H42" t="inlineStr">
        <x:is>
          <x:t xml:space="preserve">Visibility Gap</x:t>
        </x:is>
      </x:c>
      <x:c r="I42" t="inlineStr">
        <x:is>
          <x:t xml:space="preserve">Run_Crown_Jewel_Workshop</x:t>
        </x:is>
      </x:c>
      <x:c r="J42" t="inlineStr">
        <x:is>
          <x:t xml:space="preserve">N</x:t>
        </x:is>
      </x:c>
    </x:row>
    <x:row r="43">
      <x:c r="A43" t="inlineStr">
        <x:is>
          <x:t xml:space="preserve">Executive</x:t>
        </x:is>
      </x:c>
      <x:c r="B43" t="inlineStr">
        <x:is>
          <x:t xml:space="preserve">EXCO-D2-Q02</x:t>
        </x:is>
      </x:c>
      <x:c r="C43" t="inlineStr">
        <x:is>
          <x:t xml:space="preserve">EXCO-D2-Q02-A2</x:t>
        </x:is>
      </x:c>
      <x:c r="D43" t="n">
        <x:v>2</x:v>
      </x:c>
      <x:c r="E43" t="inlineStr">
        <x:is>
          <x:t xml:space="preserve">Yes—but answers would vary by department and are not aligned.</x:t>
        </x:is>
      </x:c>
      <x:c r="F43" t="n">
        <x:v>1</x:v>
      </x:c>
      <x:c r="G43" t="inlineStr">
        <x:is>
          <x:t xml:space="preserve">misalignment_signal</x:t>
        </x:is>
      </x:c>
      <x:c r="H43" t="inlineStr">
        <x:is>
          <x:t xml:space="preserve">Operating Model Gap</x:t>
        </x:is>
      </x:c>
      <x:c r="I43" t="inlineStr">
        <x:is>
          <x:t xml:space="preserve">Align_On_Crown_Jewels</x:t>
        </x:is>
      </x:c>
      <x:c r="J43" t="inlineStr">
        <x:is>
          <x:t xml:space="preserve">N</x:t>
        </x:is>
      </x:c>
    </x:row>
    <x:row r="44">
      <x:c r="A44" t="inlineStr">
        <x:is>
          <x:t xml:space="preserve">Executive</x:t>
        </x:is>
      </x:c>
      <x:c r="B44" t="inlineStr">
        <x:is>
          <x:t xml:space="preserve">EXCO-D2-Q02</x:t>
        </x:is>
      </x:c>
      <x:c r="C44" t="inlineStr">
        <x:is>
          <x:t xml:space="preserve">EXCO-D2-Q02-A3</x:t>
        </x:is>
      </x:c>
      <x:c r="D44" t="n">
        <x:v>3</x:v>
      </x:c>
      <x:c r="E44" t="inlineStr">
        <x:is>
          <x:t xml:space="preserve">Yes—there is broad agreement, but it’s not documented or mapped to systems.</x:t>
        </x:is>
      </x:c>
      <x:c r="F44" t="n">
        <x:v>2</x:v>
      </x:c>
      <x:c r="G44" t="inlineStr">
        <x:is>
          <x:t xml:space="preserve">shadow_mature_signal</x:t>
        </x:is>
      </x:c>
      <x:c r="H44" t="inlineStr">
        <x:is>
          <x:t xml:space="preserve">Shadow Mature</x:t>
        </x:is>
      </x:c>
      <x:c r="I44" t="inlineStr">
        <x:is>
          <x:t xml:space="preserve">Document_Crown_Jewels</x:t>
        </x:is>
      </x:c>
      <x:c r="J44" t="inlineStr">
        <x:is>
          <x:t xml:space="preserve">N</x:t>
        </x:is>
      </x:c>
    </x:row>
    <x:row r="45">
      <x:c r="A45" t="inlineStr">
        <x:is>
          <x:t xml:space="preserve">Executive</x:t>
        </x:is>
      </x:c>
      <x:c r="B45" t="inlineStr">
        <x:is>
          <x:t xml:space="preserve">EXCO-D2-Q02</x:t>
        </x:is>
      </x:c>
      <x:c r="C45" t="inlineStr">
        <x:is>
          <x:t xml:space="preserve">EXCO-D2-Q02-A4</x:t>
        </x:is>
      </x:c>
      <x:c r="D45" t="n">
        <x:v>4</x:v>
      </x:c>
      <x:c r="E45" t="inlineStr">
        <x:is>
          <x:t xml:space="preserve">Yes—and we can point to where this information typically sits (key systems and repositories).</x:t>
        </x:is>
      </x:c>
      <x:c r="F45" t="n">
        <x:v>3</x:v>
      </x:c>
      <x:c r="G45" t="inlineStr">
        <x:is>
          <x:t xml:space="preserve">good_practice</x:t>
        </x:is>
      </x:c>
      <x:c r="I45" t="inlineStr">
        <x:is>
          <x:t xml:space="preserve">Start_Mapping</x:t>
        </x:is>
      </x:c>
      <x:c r="J45" t="inlineStr">
        <x:is>
          <x:t xml:space="preserve">N</x:t>
        </x:is>
      </x:c>
    </x:row>
    <x:row r="46">
      <x:c r="A46" t="inlineStr">
        <x:is>
          <x:t xml:space="preserve">Executive</x:t>
        </x:is>
      </x:c>
      <x:c r="B46" t="inlineStr">
        <x:is>
          <x:t xml:space="preserve">EXCO-D2-Q03</x:t>
        </x:is>
      </x:c>
      <x:c r="C46" t="inlineStr">
        <x:is>
          <x:t xml:space="preserve">EXCO-D2-Q03-A0</x:t>
        </x:is>
      </x:c>
      <x:c r="D46" t="n">
        <x:v>1</x:v>
      </x:c>
      <x:c r="E46" t="inlineStr">
        <x:is>
          <x:t xml:space="preserve">I don’t know / not sure.</x:t>
        </x:is>
      </x:c>
      <x:c r="F46" t="n">
        <x:v>0</x:v>
      </x:c>
      <x:c r="G46" t="inlineStr">
        <x:is>
          <x:t xml:space="preserve">unknown</x:t>
        </x:is>
      </x:c>
      <x:c r="H46" t="inlineStr">
        <x:is>
          <x:t xml:space="preserve">Unknown</x:t>
        </x:is>
      </x:c>
      <x:c r="I46" t="inlineStr">
        <x:is>
          <x:t xml:space="preserve">Role_Mapping</x:t>
        </x:is>
      </x:c>
      <x:c r="J46" t="inlineStr">
        <x:is>
          <x:t xml:space="preserve">N</x:t>
        </x:is>
      </x:c>
    </x:row>
    <x:row r="47">
      <x:c r="A47" t="inlineStr">
        <x:is>
          <x:t xml:space="preserve">Executive</x:t>
        </x:is>
      </x:c>
      <x:c r="B47" t="inlineStr">
        <x:is>
          <x:t xml:space="preserve">EXCO-D2-Q03</x:t>
        </x:is>
      </x:c>
      <x:c r="C47" t="inlineStr">
        <x:is>
          <x:t xml:space="preserve">EXCO-D2-Q03-A1</x:t>
        </x:is>
      </x:c>
      <x:c r="D47" t="n">
        <x:v>2</x:v>
      </x:c>
      <x:c r="E47" t="inlineStr">
        <x:is>
          <x:t xml:space="preserve">No—we cannot easily see who has the ‘keys to the kingdom’.</x:t>
        </x:is>
      </x:c>
      <x:c r="F47" t="n">
        <x:v>0</x:v>
      </x:c>
      <x:c r="G47" t="inlineStr">
        <x:is>
          <x:t xml:space="preserve">visibility_gap</x:t>
        </x:is>
      </x:c>
      <x:c r="H47" t="inlineStr">
        <x:is>
          <x:t xml:space="preserve">Visibility Gap</x:t>
        </x:is>
      </x:c>
      <x:c r="I47" t="inlineStr">
        <x:is>
          <x:t xml:space="preserve">Role_Mapping</x:t>
        </x:is>
      </x:c>
      <x:c r="J47" t="inlineStr">
        <x:is>
          <x:t xml:space="preserve">N</x:t>
        </x:is>
      </x:c>
    </x:row>
    <x:row r="48">
      <x:c r="A48" t="inlineStr">
        <x:is>
          <x:t xml:space="preserve">Executive</x:t>
        </x:is>
      </x:c>
      <x:c r="B48" t="inlineStr">
        <x:is>
          <x:t xml:space="preserve">EXCO-D2-Q03</x:t>
        </x:is>
      </x:c>
      <x:c r="C48" t="inlineStr">
        <x:is>
          <x:t xml:space="preserve">EXCO-D2-Q03-A2</x:t>
        </x:is>
      </x:c>
      <x:c r="D48" t="n">
        <x:v>3</x:v>
      </x:c>
      <x:c r="E48" t="inlineStr">
        <x:is>
          <x:t xml:space="preserve">Managers know informally who the ‘key holders’ are, but there is no report or review.</x:t>
        </x:is>
      </x:c>
      <x:c r="F48" t="n">
        <x:v>1</x:v>
      </x:c>
      <x:c r="G48" t="inlineStr">
        <x:is>
          <x:t xml:space="preserve">tribal_knowledge,shadow_signal</x:t>
        </x:is>
      </x:c>
      <x:c r="H48" t="inlineStr">
        <x:is>
          <x:t xml:space="preserve">Shadow Mature</x:t>
        </x:is>
      </x:c>
      <x:c r="I48" t="inlineStr">
        <x:is>
          <x:t xml:space="preserve">Formalize_Access_Reviews</x:t>
        </x:is>
      </x:c>
      <x:c r="J48" t="inlineStr">
        <x:is>
          <x:t xml:space="preserve">N</x:t>
        </x:is>
      </x:c>
    </x:row>
    <x:row r="49">
      <x:c r="A49" t="inlineStr">
        <x:is>
          <x:t xml:space="preserve">Executive</x:t>
        </x:is>
      </x:c>
      <x:c r="B49" t="inlineStr">
        <x:is>
          <x:t xml:space="preserve">EXCO-D2-Q03</x:t>
        </x:is>
      </x:c>
      <x:c r="C49" t="inlineStr">
        <x:is>
          <x:t xml:space="preserve">EXCO-D2-Q03-A3</x:t>
        </x:is>
      </x:c>
      <x:c r="D49" t="n">
        <x:v>4</x:v>
      </x:c>
      <x:c r="E49" t="inlineStr">
        <x:is>
          <x:t xml:space="preserve">We can identify privileged roles in IT, but not high-access roles in the business.</x:t>
        </x:is>
      </x:c>
      <x:c r="F49" t="n">
        <x:v>2</x:v>
      </x:c>
      <x:c r="G49" t="inlineStr">
        <x:is>
          <x:t xml:space="preserve">partial_visibility</x:t>
        </x:is>
      </x:c>
      <x:c r="H49" t="inlineStr">
        <x:is>
          <x:t xml:space="preserve">Visibility Gap</x:t>
        </x:is>
      </x:c>
      <x:c r="I49" t="inlineStr">
        <x:is>
          <x:t xml:space="preserve">Expand_Role_Mapping</x:t>
        </x:is>
      </x:c>
      <x:c r="J49" t="inlineStr">
        <x:is>
          <x:t xml:space="preserve">N</x:t>
        </x:is>
      </x:c>
    </x:row>
    <x:row r="50">
      <x:c r="A50" t="inlineStr">
        <x:is>
          <x:t xml:space="preserve">Executive</x:t>
        </x:is>
      </x:c>
      <x:c r="B50" t="inlineStr">
        <x:is>
          <x:t xml:space="preserve">EXCO-D2-Q03</x:t>
        </x:is>
      </x:c>
      <x:c r="C50" t="inlineStr">
        <x:is>
          <x:t xml:space="preserve">EXCO-D2-Q03-A4</x:t>
        </x:is>
      </x:c>
      <x:c r="D50" t="n">
        <x:v>5</x:v>
      </x:c>
      <x:c r="E50" t="inlineStr">
        <x:is>
          <x:t xml:space="preserve">We regularly review high-access roles across IT and business functions.</x:t>
        </x:is>
      </x:c>
      <x:c r="F50" t="n">
        <x:v>3</x:v>
      </x:c>
      <x:c r="G50" t="inlineStr">
        <x:is>
          <x:t xml:space="preserve">good_practice</x:t>
        </x:is>
      </x:c>
      <x:c r="I50" t="inlineStr">
        <x:is>
          <x:t xml:space="preserve">Request_Evidence</x:t>
        </x:is>
      </x:c>
      <x:c r="J50" t="inlineStr">
        <x:is>
          <x:t xml:space="preserve">Y</x:t>
        </x:is>
      </x:c>
      <x:c r="K50" t="inlineStr">
        <x:is>
          <x:t xml:space="preserve">Provide latest high-access roles review output.</x:t>
        </x:is>
      </x:c>
    </x:row>
    <x:row r="51">
      <x:c r="A51" t="inlineStr">
        <x:is>
          <x:t xml:space="preserve">Executive</x:t>
        </x:is>
      </x:c>
      <x:c r="B51" t="inlineStr">
        <x:is>
          <x:t xml:space="preserve">EXCO-D2-Q03</x:t>
        </x:is>
      </x:c>
      <x:c r="C51" t="inlineStr">
        <x:is>
          <x:t xml:space="preserve">EXCO-D2-Q03-A5</x:t>
        </x:is>
      </x:c>
      <x:c r="D51" t="n">
        <x:v>6</x:v>
      </x:c>
      <x:c r="E51" t="inlineStr">
        <x:is>
          <x:t xml:space="preserve">High-access roles are continuously monitored with defined thresholds and exceptions tracked.</x:t>
        </x:is>
      </x:c>
      <x:c r="F51" t="n">
        <x:v>4</x:v>
      </x:c>
      <x:c r="G51" t="inlineStr">
        <x:is>
          <x:t xml:space="preserve">optimized</x:t>
        </x:is>
      </x:c>
      <x:c r="I51" t="inlineStr">
        <x:is>
          <x:t xml:space="preserve">Request_Evidence</x:t>
        </x:is>
      </x:c>
      <x:c r="J51" t="inlineStr">
        <x:is>
          <x:t xml:space="preserve">Y</x:t>
        </x:is>
      </x:c>
    </x:row>
    <x:row r="52">
      <x:c r="A52" t="inlineStr">
        <x:is>
          <x:t xml:space="preserve">Executive</x:t>
        </x:is>
      </x:c>
      <x:c r="B52" t="inlineStr">
        <x:is>
          <x:t xml:space="preserve">EXCO-D2-Q04</x:t>
        </x:is>
      </x:c>
      <x:c r="C52" t="inlineStr">
        <x:is>
          <x:t xml:space="preserve">EXCO-D2-Q04-A0</x:t>
        </x:is>
      </x:c>
      <x:c r="D52" t="n">
        <x:v>1</x:v>
      </x:c>
      <x:c r="E52" t="inlineStr">
        <x:is>
          <x:t xml:space="preserve">I don’t know / not sure.</x:t>
        </x:is>
      </x:c>
      <x:c r="F52" t="n">
        <x:v>0</x:v>
      </x:c>
      <x:c r="G52" t="inlineStr">
        <x:is>
          <x:t xml:space="preserve">unknown</x:t>
        </x:is>
      </x:c>
      <x:c r="H52" t="inlineStr">
        <x:is>
          <x:t xml:space="preserve">Unknown</x:t>
        </x:is>
      </x:c>
      <x:c r="I52" t="inlineStr">
        <x:is>
          <x:t xml:space="preserve">Create_Scenarios</x:t>
        </x:is>
      </x:c>
      <x:c r="J52" t="inlineStr">
        <x:is>
          <x:t xml:space="preserve">N</x:t>
        </x:is>
      </x:c>
    </x:row>
    <x:row r="53">
      <x:c r="A53" t="inlineStr">
        <x:is>
          <x:t xml:space="preserve">Executive</x:t>
        </x:is>
      </x:c>
      <x:c r="B53" t="inlineStr">
        <x:is>
          <x:t xml:space="preserve">EXCO-D2-Q04</x:t>
        </x:is>
      </x:c>
      <x:c r="C53" t="inlineStr">
        <x:is>
          <x:t xml:space="preserve">EXCO-D2-Q04-A1</x:t>
        </x:is>
      </x:c>
      <x:c r="D53" t="n">
        <x:v>2</x:v>
      </x:c>
      <x:c r="E53" t="inlineStr">
        <x:is>
          <x:t xml:space="preserve">No—we don’t have scenario thinking for insider events.</x:t>
        </x:is>
      </x:c>
      <x:c r="F53" t="n">
        <x:v>0</x:v>
      </x:c>
      <x:c r="G53" t="inlineStr">
        <x:is>
          <x:t xml:space="preserve">foundational_gap</x:t>
        </x:is>
      </x:c>
      <x:c r="H53" t="inlineStr">
        <x:is>
          <x:t xml:space="preserve">Resilience Gap</x:t>
        </x:is>
      </x:c>
      <x:c r="I53" t="inlineStr">
        <x:is>
          <x:t xml:space="preserve">Create_Scenarios</x:t>
        </x:is>
      </x:c>
      <x:c r="J53" t="inlineStr">
        <x:is>
          <x:t xml:space="preserve">N</x:t>
        </x:is>
      </x:c>
    </x:row>
    <x:row r="54">
      <x:c r="A54" t="inlineStr">
        <x:is>
          <x:t xml:space="preserve">Executive</x:t>
        </x:is>
      </x:c>
      <x:c r="B54" t="inlineStr">
        <x:is>
          <x:t xml:space="preserve">EXCO-D2-Q04</x:t>
        </x:is>
      </x:c>
      <x:c r="C54" t="inlineStr">
        <x:is>
          <x:t xml:space="preserve">EXCO-D2-Q04-A2</x:t>
        </x:is>
      </x:c>
      <x:c r="D54" t="n">
        <x:v>3</x:v>
      </x:c>
      <x:c r="E54" t="inlineStr">
        <x:is>
          <x:t xml:space="preserve">People discuss ‘what-if’ risks informally, but nothing is documented or tested.</x:t>
        </x:is>
      </x:c>
      <x:c r="F54" t="n">
        <x:v>1</x:v>
      </x:c>
      <x:c r="G54" t="inlineStr">
        <x:is>
          <x:t xml:space="preserve">shadow_signal</x:t>
        </x:is>
      </x:c>
      <x:c r="H54" t="inlineStr">
        <x:is>
          <x:t xml:space="preserve">Shadow Mature</x:t>
        </x:is>
      </x:c>
      <x:c r="I54" t="inlineStr">
        <x:is>
          <x:t xml:space="preserve">Document_Scenarios</x:t>
        </x:is>
      </x:c>
      <x:c r="J54" t="inlineStr">
        <x:is>
          <x:t xml:space="preserve">N</x:t>
        </x:is>
      </x:c>
    </x:row>
    <x:row r="55">
      <x:c r="A55" t="inlineStr">
        <x:is>
          <x:t xml:space="preserve">Executive</x:t>
        </x:is>
      </x:c>
      <x:c r="B55" t="inlineStr">
        <x:is>
          <x:t xml:space="preserve">EXCO-D2-Q04</x:t>
        </x:is>
      </x:c>
      <x:c r="C55" t="inlineStr">
        <x:is>
          <x:t xml:space="preserve">EXCO-D2-Q04-A3</x:t>
        </x:is>
      </x:c>
      <x:c r="D55" t="n">
        <x:v>4</x:v>
      </x:c>
      <x:c r="E55" t="inlineStr">
        <x:is>
          <x:t xml:space="preserve">We have a documented scenario list, but it hasn’t influenced controls or been exercised.</x:t>
        </x:is>
      </x:c>
      <x:c r="F55" t="n">
        <x:v>2</x:v>
      </x:c>
      <x:c r="G55" t="inlineStr">
        <x:is>
          <x:t xml:space="preserve">paper_dragon_signal</x:t>
        </x:is>
      </x:c>
      <x:c r="H55" t="inlineStr">
        <x:is>
          <x:t xml:space="preserve">Paper Dragon</x:t>
        </x:is>
      </x:c>
      <x:c r="I55" t="inlineStr">
        <x:is>
          <x:t xml:space="preserve">Exercise_Scenarios</x:t>
        </x:is>
      </x:c>
      <x:c r="J55" t="inlineStr">
        <x:is>
          <x:t xml:space="preserve">N</x:t>
        </x:is>
      </x:c>
    </x:row>
    <x:row r="56">
      <x:c r="A56" t="inlineStr">
        <x:is>
          <x:t xml:space="preserve">Executive</x:t>
        </x:is>
      </x:c>
      <x:c r="B56" t="inlineStr">
        <x:is>
          <x:t xml:space="preserve">EXCO-D2-Q04</x:t>
        </x:is>
      </x:c>
      <x:c r="C56" t="inlineStr">
        <x:is>
          <x:t xml:space="preserve">EXCO-D2-Q04-A4</x:t>
        </x:is>
      </x:c>
      <x:c r="D56" t="n">
        <x:v>5</x:v>
      </x:c>
      <x:c r="E56" t="inlineStr">
        <x:is>
          <x:t xml:space="preserve">We have scenarios and we test at least one per year (tabletop or technical test).</x:t>
        </x:is>
      </x:c>
      <x:c r="F56" t="n">
        <x:v>3</x:v>
      </x:c>
      <x:c r="G56" t="inlineStr">
        <x:is>
          <x:t xml:space="preserve">good_practice</x:t>
        </x:is>
      </x:c>
      <x:c r="I56" t="inlineStr">
        <x:is>
          <x:t xml:space="preserve">Request_Evidence</x:t>
        </x:is>
      </x:c>
      <x:c r="J56" t="inlineStr">
        <x:is>
          <x:t xml:space="preserve">Y</x:t>
        </x:is>
      </x:c>
      <x:c r="K56" t="inlineStr">
        <x:is>
          <x:t xml:space="preserve">Provide scenario list + last exercise summary.</x:t>
        </x:is>
      </x:c>
    </x:row>
    <x:row r="57">
      <x:c r="A57" t="inlineStr">
        <x:is>
          <x:t xml:space="preserve">Executive</x:t>
        </x:is>
      </x:c>
      <x:c r="B57" t="inlineStr">
        <x:is>
          <x:t xml:space="preserve">EXCO-D2-Q04</x:t>
        </x:is>
      </x:c>
      <x:c r="C57" t="inlineStr">
        <x:is>
          <x:t xml:space="preserve">EXCO-D2-Q04-A5</x:t>
        </x:is>
      </x:c>
      <x:c r="D57" t="n">
        <x:v>6</x:v>
      </x:c>
      <x:c r="E57" t="inlineStr">
        <x:is>
          <x:t xml:space="preserve">Scenarios drive control improvements and detection engineering; tests are scheduled and lessons tracked.</x:t>
        </x:is>
      </x:c>
      <x:c r="F57" t="n">
        <x:v>4</x:v>
      </x:c>
      <x:c r="G57" t="inlineStr">
        <x:is>
          <x:t xml:space="preserve">optimized</x:t>
        </x:is>
      </x:c>
      <x:c r="I57" t="inlineStr">
        <x:is>
          <x:t xml:space="preserve">Request_Evidence</x:t>
        </x:is>
      </x:c>
      <x:c r="J57" t="inlineStr">
        <x:is>
          <x:t xml:space="preserve">Y</x:t>
        </x:is>
      </x:c>
    </x:row>
    <x:row r="58">
      <x:c r="A58" t="inlineStr">
        <x:is>
          <x:t xml:space="preserve">Executive</x:t>
        </x:is>
      </x:c>
      <x:c r="B58" t="inlineStr">
        <x:is>
          <x:t xml:space="preserve">EXCO-D2-Q05</x:t>
        </x:is>
      </x:c>
      <x:c r="C58" t="inlineStr">
        <x:is>
          <x:t xml:space="preserve">EXCO-D2-Q05-A1</x:t>
        </x:is>
      </x:c>
      <x:c r="D58" t="n">
        <x:v>1</x:v>
      </x:c>
      <x:c r="E58" t="inlineStr">
        <x:is>
          <x:t xml:space="preserve">No—there is no shared view; it would be decided during the incident.</x:t>
        </x:is>
      </x:c>
      <x:c r="F58" t="n">
        <x:v>0</x:v>
      </x:c>
      <x:c r="G58" t="inlineStr">
        <x:is>
          <x:t xml:space="preserve">misalignment_signal</x:t>
        </x:is>
      </x:c>
      <x:c r="H58" t="inlineStr">
        <x:is>
          <x:t xml:space="preserve">Operating Model Gap</x:t>
        </x:is>
      </x:c>
      <x:c r="I58" t="inlineStr">
        <x:is>
          <x:t xml:space="preserve">Align_On_Scenarios</x:t>
        </x:is>
      </x:c>
      <x:c r="J58" t="inlineStr">
        <x:is>
          <x:t xml:space="preserve">N</x:t>
        </x:is>
      </x:c>
    </x:row>
    <x:row r="59">
      <x:c r="A59" t="inlineStr">
        <x:is>
          <x:t xml:space="preserve">Executive</x:t>
        </x:is>
      </x:c>
      <x:c r="B59" t="inlineStr">
        <x:is>
          <x:t xml:space="preserve">EXCO-D2-Q05</x:t>
        </x:is>
      </x:c>
      <x:c r="C59" t="inlineStr">
        <x:is>
          <x:t xml:space="preserve">EXCO-D2-Q05-A2</x:t>
        </x:is>
      </x:c>
      <x:c r="D59" t="n">
        <x:v>2</x:v>
      </x:c>
      <x:c r="E59" t="inlineStr">
        <x:is>
          <x:t xml:space="preserve">Some leaders have a view, but it’s not shared or consistent across the business.</x:t>
        </x:is>
      </x:c>
      <x:c r="F59" t="n">
        <x:v>1</x:v>
      </x:c>
      <x:c r="G59" t="inlineStr">
        <x:is>
          <x:t xml:space="preserve">misalignment_signal</x:t>
        </x:is>
      </x:c>
      <x:c r="H59" t="inlineStr">
        <x:is>
          <x:t xml:space="preserve">Operating Model Gap</x:t>
        </x:is>
      </x:c>
      <x:c r="I59" t="inlineStr">
        <x:is>
          <x:t xml:space="preserve">Align_On_Scenarios</x:t>
        </x:is>
      </x:c>
      <x:c r="J59" t="inlineStr">
        <x:is>
          <x:t xml:space="preserve">N</x:t>
        </x:is>
      </x:c>
    </x:row>
    <x:row r="60">
      <x:c r="A60" t="inlineStr">
        <x:is>
          <x:t xml:space="preserve">Executive</x:t>
        </x:is>
      </x:c>
      <x:c r="B60" t="inlineStr">
        <x:is>
          <x:t xml:space="preserve">EXCO-D2-Q05</x:t>
        </x:is>
      </x:c>
      <x:c r="C60" t="inlineStr">
        <x:is>
          <x:t xml:space="preserve">EXCO-D2-Q05-A3</x:t>
        </x:is>
      </x:c>
      <x:c r="D60" t="n">
        <x:v>3</x:v>
      </x:c>
      <x:c r="E60" t="inlineStr">
        <x:is>
          <x:t xml:space="preserve">Yes—there is broad alignment, but we haven’t translated it into playbooks or tests.</x:t>
        </x:is>
      </x:c>
      <x:c r="F60" t="n">
        <x:v>2</x:v>
      </x:c>
      <x:c r="G60" t="inlineStr">
        <x:is>
          <x:t xml:space="preserve">shadow_signal</x:t>
        </x:is>
      </x:c>
      <x:c r="H60" t="inlineStr">
        <x:is>
          <x:t xml:space="preserve">Shadow Mature</x:t>
        </x:is>
      </x:c>
      <x:c r="I60" t="inlineStr">
        <x:is>
          <x:t xml:space="preserve">Convert_To_Playbooks</x:t>
        </x:is>
      </x:c>
      <x:c r="J60" t="inlineStr">
        <x:is>
          <x:t xml:space="preserve">N</x:t>
        </x:is>
      </x:c>
    </x:row>
    <x:row r="61">
      <x:c r="A61" t="inlineStr">
        <x:is>
          <x:t xml:space="preserve">Executive</x:t>
        </x:is>
      </x:c>
      <x:c r="B61" t="inlineStr">
        <x:is>
          <x:t xml:space="preserve">EXCO-D2-Q06</x:t>
        </x:is>
      </x:c>
      <x:c r="C61" t="inlineStr">
        <x:is>
          <x:t xml:space="preserve">EXCO-D2-Q06-A0</x:t>
        </x:is>
      </x:c>
      <x:c r="D61" t="n">
        <x:v>1</x:v>
      </x:c>
      <x:c r="E61" t="inlineStr">
        <x:is>
          <x:t xml:space="preserve">I don’t know / not sure.</x:t>
        </x:is>
      </x:c>
      <x:c r="F61" t="n">
        <x:v>0</x:v>
      </x:c>
      <x:c r="G61" t="inlineStr">
        <x:is>
          <x:t xml:space="preserve">unknown</x:t>
        </x:is>
      </x:c>
      <x:c r="H61" t="inlineStr">
        <x:is>
          <x:t xml:space="preserve">Unknown</x:t>
        </x:is>
      </x:c>
      <x:c r="I61" t="inlineStr">
        <x:is>
          <x:t xml:space="preserve">Assess_Control_Lag</x:t>
        </x:is>
      </x:c>
      <x:c r="J61" t="inlineStr">
        <x:is>
          <x:t xml:space="preserve">N</x:t>
        </x:is>
      </x:c>
    </x:row>
    <x:row r="62">
      <x:c r="A62" t="inlineStr">
        <x:is>
          <x:t xml:space="preserve">Executive</x:t>
        </x:is>
      </x:c>
      <x:c r="B62" t="inlineStr">
        <x:is>
          <x:t xml:space="preserve">EXCO-D2-Q06</x:t>
        </x:is>
      </x:c>
      <x:c r="C62" t="inlineStr">
        <x:is>
          <x:t xml:space="preserve">EXCO-D2-Q06-A1</x:t>
        </x:is>
      </x:c>
      <x:c r="D62" t="n">
        <x:v>2</x:v>
      </x:c>
      <x:c r="E62" t="inlineStr">
        <x:is>
          <x:t xml:space="preserve">We don’t adjust; we treat change events the same as normal operations.</x:t>
        </x:is>
      </x:c>
      <x:c r="F62" t="n">
        <x:v>0</x:v>
      </x:c>
      <x:c r="G62" t="inlineStr">
        <x:is>
          <x:t xml:space="preserve">control_lag_high</x:t>
        </x:is>
      </x:c>
      <x:c r="H62" t="inlineStr">
        <x:is>
          <x:t xml:space="preserve">Control Lag</x:t>
        </x:is>
      </x:c>
      <x:c r="I62" t="inlineStr">
        <x:is>
          <x:t xml:space="preserve">ControlLag_Sprint</x:t>
        </x:is>
      </x:c>
      <x:c r="J62" t="inlineStr">
        <x:is>
          <x:t xml:space="preserve">N</x:t>
        </x:is>
      </x:c>
    </x:row>
    <x:row r="63">
      <x:c r="A63" t="inlineStr">
        <x:is>
          <x:t xml:space="preserve">Executive</x:t>
        </x:is>
      </x:c>
      <x:c r="B63" t="inlineStr">
        <x:is>
          <x:t xml:space="preserve">EXCO-D2-Q06</x:t>
        </x:is>
      </x:c>
      <x:c r="C63" t="inlineStr">
        <x:is>
          <x:t xml:space="preserve">EXCO-D2-Q06-A2</x:t>
        </x:is>
      </x:c>
      <x:c r="D63" t="n">
        <x:v>3</x:v>
      </x:c>
      <x:c r="E63" t="inlineStr">
        <x:is>
          <x:t xml:space="preserve">Adjustments are manual and slow (weeks+), and depend on individuals noticing issues.</x:t>
        </x:is>
      </x:c>
      <x:c r="F63" t="n">
        <x:v>1</x:v>
      </x:c>
      <x:c r="G63" t="inlineStr">
        <x:is>
          <x:t xml:space="preserve">control_lag_high,key_person_dependency</x:t>
        </x:is>
      </x:c>
      <x:c r="H63" t="inlineStr">
        <x:is>
          <x:t xml:space="preserve">Control Lag</x:t>
        </x:is>
      </x:c>
      <x:c r="I63" t="inlineStr">
        <x:is>
          <x:t xml:space="preserve">ControlLag_Sprint</x:t>
        </x:is>
      </x:c>
      <x:c r="J63" t="inlineStr">
        <x:is>
          <x:t xml:space="preserve">N</x:t>
        </x:is>
      </x:c>
    </x:row>
    <x:row r="64">
      <x:c r="A64" t="inlineStr">
        <x:is>
          <x:t xml:space="preserve">Executive</x:t>
        </x:is>
      </x:c>
      <x:c r="B64" t="inlineStr">
        <x:is>
          <x:t xml:space="preserve">EXCO-D2-Q06</x:t>
        </x:is>
      </x:c>
      <x:c r="C64" t="inlineStr">
        <x:is>
          <x:t xml:space="preserve">EXCO-D2-Q06-A3</x:t>
        </x:is>
      </x:c>
      <x:c r="D64" t="n">
        <x:v>4</x:v>
      </x:c>
      <x:c r="E64" t="inlineStr">
        <x:is>
          <x:t xml:space="preserve">We have a defined approach, but it is not consistently applied or measured.</x:t>
        </x:is>
      </x:c>
      <x:c r="F64" t="n">
        <x:v>2</x:v>
      </x:c>
      <x:c r="G64" t="inlineStr">
        <x:is>
          <x:t xml:space="preserve">paper_process</x:t>
        </x:is>
      </x:c>
      <x:c r="H64" t="inlineStr">
        <x:is>
          <x:t xml:space="preserve">Paper Dragon</x:t>
        </x:is>
      </x:c>
      <x:c r="I64" t="inlineStr">
        <x:is>
          <x:t xml:space="preserve">Measure_Control_Lag</x:t>
        </x:is>
      </x:c>
      <x:c r="J64" t="inlineStr">
        <x:is>
          <x:t xml:space="preserve">N</x:t>
        </x:is>
      </x:c>
    </x:row>
    <x:row r="65">
      <x:c r="A65" t="inlineStr">
        <x:is>
          <x:t xml:space="preserve">Executive</x:t>
        </x:is>
      </x:c>
      <x:c r="B65" t="inlineStr">
        <x:is>
          <x:t xml:space="preserve">EXCO-D2-Q06</x:t>
        </x:is>
      </x:c>
      <x:c r="C65" t="inlineStr">
        <x:is>
          <x:t xml:space="preserve">EXCO-D2-Q06-A4</x:t>
        </x:is>
      </x:c>
      <x:c r="D65" t="n">
        <x:v>5</x:v>
      </x:c>
      <x:c r="E65" t="inlineStr">
        <x:is>
          <x:t xml:space="preserve">We adjust within days with clear triggers (e.g., leavers, role changes, sensitive projects).</x:t>
        </x:is>
      </x:c>
      <x:c r="F65" t="n">
        <x:v>3</x:v>
      </x:c>
      <x:c r="G65" t="inlineStr">
        <x:is>
          <x:t xml:space="preserve">good_practice</x:t>
        </x:is>
      </x:c>
      <x:c r="I65" t="inlineStr">
        <x:is>
          <x:t xml:space="preserve">Request_Evidence</x:t>
        </x:is>
      </x:c>
      <x:c r="J65" t="inlineStr">
        <x:is>
          <x:t xml:space="preserve">Y</x:t>
        </x:is>
      </x:c>
      <x:c r="K65" t="inlineStr">
        <x:is>
          <x:t xml:space="preserve">Provide example of last change event and what changed.</x:t>
        </x:is>
      </x:c>
    </x:row>
    <x:row r="66">
      <x:c r="A66" t="inlineStr">
        <x:is>
          <x:t xml:space="preserve">Executive</x:t>
        </x:is>
      </x:c>
      <x:c r="B66" t="inlineStr">
        <x:is>
          <x:t xml:space="preserve">EXCO-D2-Q06</x:t>
        </x:is>
      </x:c>
      <x:c r="C66" t="inlineStr">
        <x:is>
          <x:t xml:space="preserve">EXCO-D2-Q06-A5</x:t>
        </x:is>
      </x:c>
      <x:c r="D66" t="n">
        <x:v>6</x:v>
      </x:c>
      <x:c r="E66" t="inlineStr">
        <x:is>
          <x:t xml:space="preserve">We have automated or semi-automated playbooks and measure control lag; improvements are tracked.</x:t>
        </x:is>
      </x:c>
      <x:c r="F66" t="n">
        <x:v>4</x:v>
      </x:c>
      <x:c r="G66" t="inlineStr">
        <x:is>
          <x:t xml:space="preserve">optimized</x:t>
        </x:is>
      </x:c>
      <x:c r="I66" t="inlineStr">
        <x:is>
          <x:t xml:space="preserve">Request_Evidence</x:t>
        </x:is>
      </x:c>
      <x:c r="J66" t="inlineStr">
        <x:is>
          <x:t xml:space="preserve">Y</x:t>
        </x:is>
      </x:c>
    </x:row>
    <x:row r="67">
      <x:c r="A67" t="inlineStr">
        <x:is>
          <x:t xml:space="preserve">Executive</x:t>
        </x:is>
      </x:c>
      <x:c r="B67" t="inlineStr">
        <x:is>
          <x:t xml:space="preserve">EXCO-D2-Q07</x:t>
        </x:is>
      </x:c>
      <x:c r="C67" t="inlineStr">
        <x:is>
          <x:t xml:space="preserve">EXCO-D2-Q07-A1</x:t>
        </x:is>
      </x:c>
      <x:c r="D67" t="n">
        <x:v>1</x:v>
      </x:c>
      <x:c r="E67" t="inlineStr">
        <x:is>
          <x:t xml:space="preserve">No—we didn’t change anything specific.</x:t>
        </x:is>
      </x:c>
      <x:c r="F67" t="n">
        <x:v>0</x:v>
      </x:c>
      <x:c r="G67" t="inlineStr">
        <x:is>
          <x:t xml:space="preserve">control_lag_high</x:t>
        </x:is>
      </x:c>
      <x:c r="H67" t="inlineStr">
        <x:is>
          <x:t xml:space="preserve">Control Lag</x:t>
        </x:is>
      </x:c>
      <x:c r="I67" t="inlineStr">
        <x:is>
          <x:t xml:space="preserve">ControlLag_Sprint</x:t>
        </x:is>
      </x:c>
      <x:c r="J67" t="inlineStr">
        <x:is>
          <x:t xml:space="preserve">N</x:t>
        </x:is>
      </x:c>
    </x:row>
    <x:row r="68">
      <x:c r="A68" t="inlineStr">
        <x:is>
          <x:t xml:space="preserve">Executive</x:t>
        </x:is>
      </x:c>
      <x:c r="B68" t="inlineStr">
        <x:is>
          <x:t xml:space="preserve">EXCO-D2-Q07</x:t>
        </x:is>
      </x:c>
      <x:c r="C68" t="inlineStr">
        <x:is>
          <x:t xml:space="preserve">EXCO-D2-Q07-A2</x:t>
        </x:is>
      </x:c>
      <x:c r="D68" t="n">
        <x:v>2</x:v>
      </x:c>
      <x:c r="E68" t="inlineStr">
        <x:is>
          <x:t xml:space="preserve">We tried, but changes were late or inconsistent.</x:t>
        </x:is>
      </x:c>
      <x:c r="F68" t="n">
        <x:v>1</x:v>
      </x:c>
      <x:c r="G68" t="inlineStr">
        <x:is>
          <x:t xml:space="preserve">control_lag_high</x:t>
        </x:is>
      </x:c>
      <x:c r="H68" t="inlineStr">
        <x:is>
          <x:t xml:space="preserve">Control Lag</x:t>
        </x:is>
      </x:c>
      <x:c r="I68" t="inlineStr">
        <x:is>
          <x:t xml:space="preserve">ControlLag_Sprint</x:t>
        </x:is>
      </x:c>
      <x:c r="J68" t="inlineStr">
        <x:is>
          <x:t xml:space="preserve">N</x:t>
        </x:is>
      </x:c>
    </x:row>
    <x:row r="69">
      <x:c r="A69" t="inlineStr">
        <x:is>
          <x:t xml:space="preserve">Executive</x:t>
        </x:is>
      </x:c>
      <x:c r="B69" t="inlineStr">
        <x:is>
          <x:t xml:space="preserve">EXCO-D2-Q07</x:t>
        </x:is>
      </x:c>
      <x:c r="C69" t="inlineStr">
        <x:is>
          <x:t xml:space="preserve">EXCO-D2-Q07-A3</x:t>
        </x:is>
      </x:c>
      <x:c r="D69" t="n">
        <x:v>3</x:v>
      </x:c>
      <x:c r="E69" t="inlineStr">
        <x:is>
          <x:t xml:space="preserve">Yes—we made some targeted changes, but we didn’t track timing or impact.</x:t>
        </x:is>
      </x:c>
      <x:c r="F69" t="n">
        <x:v>2</x:v>
      </x:c>
      <x:c r="G69" t="inlineStr">
        <x:is>
          <x:t xml:space="preserve">partial_maturity</x:t>
        </x:is>
      </x:c>
      <x:c r="I69" t="inlineStr">
        <x:is>
          <x:t xml:space="preserve">Measure_Control_Lag</x:t>
        </x:is>
      </x:c>
      <x:c r="J69" t="inlineStr">
        <x:is>
          <x:t xml:space="preserve">N</x:t>
        </x:is>
      </x:c>
    </x:row>
    <x:row r="70">
      <x:c r="A70" t="inlineStr">
        <x:is>
          <x:t xml:space="preserve">Executive</x:t>
        </x:is>
      </x:c>
      <x:c r="B70" t="inlineStr">
        <x:is>
          <x:t xml:space="preserve">EXCO-D2-Q07</x:t>
        </x:is>
      </x:c>
      <x:c r="C70" t="inlineStr">
        <x:is>
          <x:t xml:space="preserve">EXCO-D2-Q07-A4</x:t>
        </x:is>
      </x:c>
      <x:c r="D70" t="n">
        <x:v>4</x:v>
      </x:c>
      <x:c r="E70" t="inlineStr">
        <x:is>
          <x:t xml:space="preserve">Yes—we can show what changed and when (e.g., within X days) and who approved it.</x:t>
        </x:is>
      </x:c>
      <x:c r="F70" t="n">
        <x:v>3</x:v>
      </x:c>
      <x:c r="G70" t="inlineStr">
        <x:is>
          <x:t xml:space="preserve">good_practice</x:t>
        </x:is>
      </x:c>
      <x:c r="I70" t="inlineStr">
        <x:is>
          <x:t xml:space="preserve">Request_Evidence</x:t>
        </x:is>
      </x:c>
      <x:c r="J70" t="inlineStr">
        <x:is>
          <x:t xml:space="preserve">Y</x:t>
        </x:is>
      </x:c>
      <x:c r="K70" t="inlineStr">
        <x:is>
          <x:t xml:space="preserve">Provide example change log or approvals.</x:t>
        </x:is>
      </x:c>
    </x:row>
    <x:row r="71">
      <x:c r="A71" t="inlineStr">
        <x:is>
          <x:t xml:space="preserve">Executive</x:t>
        </x:is>
      </x:c>
      <x:c r="B71" t="inlineStr">
        <x:is>
          <x:t xml:space="preserve">EXCO-D2-Q08</x:t>
        </x:is>
      </x:c>
      <x:c r="C71" t="inlineStr">
        <x:is>
          <x:t xml:space="preserve">EXCO-D2-Q08-A0</x:t>
        </x:is>
      </x:c>
      <x:c r="D71" t="n">
        <x:v>1</x:v>
      </x:c>
      <x:c r="E71" t="inlineStr">
        <x:is>
          <x:t xml:space="preserve">I don’t know / not sure.</x:t>
        </x:is>
      </x:c>
      <x:c r="F71" t="n">
        <x:v>0</x:v>
      </x:c>
      <x:c r="G71" t="inlineStr">
        <x:is>
          <x:t xml:space="preserve">unknown</x:t>
        </x:is>
      </x:c>
      <x:c r="H71" t="inlineStr">
        <x:is>
          <x:t xml:space="preserve">Unknown</x:t>
        </x:is>
      </x:c>
      <x:c r="I71" t="inlineStr">
        <x:is>
          <x:t xml:space="preserve">Assess_ThirdParty</x:t>
        </x:is>
      </x:c>
      <x:c r="J71" t="inlineStr">
        <x:is>
          <x:t xml:space="preserve">N</x:t>
        </x:is>
      </x:c>
    </x:row>
    <x:row r="72">
      <x:c r="A72" t="inlineStr">
        <x:is>
          <x:t xml:space="preserve">Executive</x:t>
        </x:is>
      </x:c>
      <x:c r="B72" t="inlineStr">
        <x:is>
          <x:t xml:space="preserve">EXCO-D2-Q08</x:t>
        </x:is>
      </x:c>
      <x:c r="C72" t="inlineStr">
        <x:is>
          <x:t xml:space="preserve">EXCO-D2-Q08-A1</x:t>
        </x:is>
      </x:c>
      <x:c r="D72" t="n">
        <x:v>2</x:v>
      </x:c>
      <x:c r="E72" t="inlineStr">
        <x:is>
          <x:t xml:space="preserve">No—third parties are treated differently; controls focus on employees only.</x:t>
        </x:is>
      </x:c>
      <x:c r="F72" t="n">
        <x:v>0</x:v>
      </x:c>
      <x:c r="G72" t="inlineStr">
        <x:is>
          <x:t xml:space="preserve">third_party_gap</x:t>
        </x:is>
      </x:c>
      <x:c r="H72" t="inlineStr">
        <x:is>
          <x:t xml:space="preserve">Visibility Gap</x:t>
        </x:is>
      </x:c>
      <x:c r="I72" t="inlineStr">
        <x:is>
          <x:t xml:space="preserve">Extend_To_ThirdParty</x:t>
        </x:is>
      </x:c>
      <x:c r="J72" t="inlineStr">
        <x:is>
          <x:t xml:space="preserve">N</x:t>
        </x:is>
      </x:c>
    </x:row>
    <x:row r="73">
      <x:c r="A73" t="inlineStr">
        <x:is>
          <x:t xml:space="preserve">Executive</x:t>
        </x:is>
      </x:c>
      <x:c r="B73" t="inlineStr">
        <x:is>
          <x:t xml:space="preserve">EXCO-D2-Q08</x:t>
        </x:is>
      </x:c>
      <x:c r="C73" t="inlineStr">
        <x:is>
          <x:t xml:space="preserve">EXCO-D2-Q08-A2</x:t>
        </x:is>
      </x:c>
      <x:c r="D73" t="n">
        <x:v>3</x:v>
      </x:c>
      <x:c r="E73" t="inlineStr">
        <x:is>
          <x:t xml:space="preserve">Contracts say ‘follow security’, but we don’t verify it in practice.</x:t>
        </x:is>
      </x:c>
      <x:c r="F73" t="n">
        <x:v>1</x:v>
      </x:c>
      <x:c r="G73" t="inlineStr">
        <x:is>
          <x:t xml:space="preserve">paper_dragon_signal</x:t>
        </x:is>
      </x:c>
      <x:c r="H73" t="inlineStr">
        <x:is>
          <x:t xml:space="preserve">Paper Dragon</x:t>
        </x:is>
      </x:c>
      <x:c r="I73" t="inlineStr">
        <x:is>
          <x:t xml:space="preserve">Verify_ThirdParty</x:t>
        </x:is>
      </x:c>
      <x:c r="J73" t="inlineStr">
        <x:is>
          <x:t xml:space="preserve">N</x:t>
        </x:is>
      </x:c>
    </x:row>
    <x:row r="74">
      <x:c r="A74" t="inlineStr">
        <x:is>
          <x:t xml:space="preserve">Executive</x:t>
        </x:is>
      </x:c>
      <x:c r="B74" t="inlineStr">
        <x:is>
          <x:t xml:space="preserve">EXCO-D2-Q08</x:t>
        </x:is>
      </x:c>
      <x:c r="C74" t="inlineStr">
        <x:is>
          <x:t xml:space="preserve">EXCO-D2-Q08-A3</x:t>
        </x:is>
      </x:c>
      <x:c r="D74" t="n">
        <x:v>4</x:v>
      </x:c>
      <x:c r="E74" t="inlineStr">
        <x:is>
          <x:t xml:space="preserve">We apply some controls (e.g., account expiry), but monitoring and offboarding is inconsistent.</x:t>
        </x:is>
      </x:c>
      <x:c r="F74" t="n">
        <x:v>2</x:v>
      </x:c>
      <x:c r="G74" t="inlineStr">
        <x:is>
          <x:t xml:space="preserve">inconsistent_execution</x:t>
        </x:is>
      </x:c>
      <x:c r="H74" t="inlineStr">
        <x:is>
          <x:t xml:space="preserve">Operating Model Gap</x:t>
        </x:is>
      </x:c>
      <x:c r="I74" t="inlineStr">
        <x:is>
          <x:t xml:space="preserve">Standardize_ThirdParty</x:t>
        </x:is>
      </x:c>
      <x:c r="J74" t="inlineStr">
        <x:is>
          <x:t xml:space="preserve">N</x:t>
        </x:is>
      </x:c>
    </x:row>
    <x:row r="75">
      <x:c r="A75" t="inlineStr">
        <x:is>
          <x:t xml:space="preserve">Executive</x:t>
        </x:is>
      </x:c>
      <x:c r="B75" t="inlineStr">
        <x:is>
          <x:t xml:space="preserve">EXCO-D2-Q08</x:t>
        </x:is>
      </x:c>
      <x:c r="C75" t="inlineStr">
        <x:is>
          <x:t xml:space="preserve">EXCO-D2-Q08-A4</x:t>
        </x:is>
      </x:c>
      <x:c r="D75" t="n">
        <x:v>5</x:v>
      </x:c>
      <x:c r="E75" t="inlineStr">
        <x:is>
          <x:t xml:space="preserve">Third parties are included similarly to employees for access and offboarding; exceptions are tracked.</x:t>
        </x:is>
      </x:c>
      <x:c r="F75" t="n">
        <x:v>3</x:v>
      </x:c>
      <x:c r="G75" t="inlineStr">
        <x:is>
          <x:t xml:space="preserve">good_practice</x:t>
        </x:is>
      </x:c>
      <x:c r="I75" t="inlineStr">
        <x:is>
          <x:t xml:space="preserve">Request_Evidence</x:t>
        </x:is>
      </x:c>
      <x:c r="J75" t="inlineStr">
        <x:is>
          <x:t xml:space="preserve">Y</x:t>
        </x:is>
      </x:c>
    </x:row>
    <x:row r="76">
      <x:c r="A76" t="inlineStr">
        <x:is>
          <x:t xml:space="preserve">Executive</x:t>
        </x:is>
      </x:c>
      <x:c r="B76" t="inlineStr">
        <x:is>
          <x:t xml:space="preserve">EXCO-D2-Q08</x:t>
        </x:is>
      </x:c>
      <x:c r="C76" t="inlineStr">
        <x:is>
          <x:t xml:space="preserve">EXCO-D2-Q08-A5</x:t>
        </x:is>
      </x:c>
      <x:c r="D76" t="n">
        <x:v>6</x:v>
      </x:c>
      <x:c r="E76" t="inlineStr">
        <x:is>
          <x:t xml:space="preserve">Third-party access is risk-scored and monitored; onboarding/offboarding is automated with auditing.</x:t>
        </x:is>
      </x:c>
      <x:c r="F76" t="n">
        <x:v>4</x:v>
      </x:c>
      <x:c r="G76" t="inlineStr">
        <x:is>
          <x:t xml:space="preserve">optimized</x:t>
        </x:is>
      </x:c>
      <x:c r="I76" t="inlineStr">
        <x:is>
          <x:t xml:space="preserve">Request_Evidence</x:t>
        </x:is>
      </x:c>
      <x:c r="J76" t="inlineStr">
        <x:is>
          <x:t xml:space="preserve">Y</x:t>
        </x:is>
      </x:c>
    </x:row>
    <x:row r="77">
      <x:c r="A77" t="inlineStr">
        <x:is>
          <x:t xml:space="preserve">Executive</x:t>
        </x:is>
      </x:c>
      <x:c r="B77" t="inlineStr">
        <x:is>
          <x:t xml:space="preserve">EXCO-D3-Q01</x:t>
        </x:is>
      </x:c>
      <x:c r="C77" t="inlineStr">
        <x:is>
          <x:t xml:space="preserve">EXCO-D3-Q01-A0</x:t>
        </x:is>
      </x:c>
      <x:c r="D77" t="n">
        <x:v>1</x:v>
      </x:c>
      <x:c r="E77" t="inlineStr">
        <x:is>
          <x:t xml:space="preserve">I don’t know / not sure.</x:t>
        </x:is>
      </x:c>
      <x:c r="F77" t="n">
        <x:v>0</x:v>
      </x:c>
      <x:c r="G77" t="inlineStr">
        <x:is>
          <x:t xml:space="preserve">unknown</x:t>
        </x:is>
      </x:c>
      <x:c r="H77" t="inlineStr">
        <x:is>
          <x:t xml:space="preserve">Unknown</x:t>
        </x:is>
      </x:c>
      <x:c r="I77" t="inlineStr">
        <x:is>
          <x:t xml:space="preserve">Legal_Clarification</x:t>
        </x:is>
      </x:c>
      <x:c r="J77" t="inlineStr">
        <x:is>
          <x:t xml:space="preserve">N</x:t>
        </x:is>
      </x:c>
    </x:row>
    <x:row r="78">
      <x:c r="A78" t="inlineStr">
        <x:is>
          <x:t xml:space="preserve">Executive</x:t>
        </x:is>
      </x:c>
      <x:c r="B78" t="inlineStr">
        <x:is>
          <x:t xml:space="preserve">EXCO-D3-Q01</x:t>
        </x:is>
      </x:c>
      <x:c r="C78" t="inlineStr">
        <x:is>
          <x:t xml:space="preserve">EXCO-D3-Q01-A1</x:t>
        </x:is>
      </x:c>
      <x:c r="D78" t="n">
        <x:v>2</x:v>
      </x:c>
      <x:c r="E78" t="inlineStr">
        <x:is>
          <x:t xml:space="preserve">No—monitoring is driven by what tools can do; approvals are unclear.</x:t>
        </x:is>
      </x:c>
      <x:c r="F78" t="n">
        <x:v>0</x:v>
      </x:c>
      <x:c r="G78" t="inlineStr">
        <x:is>
          <x:t xml:space="preserve">legal_red_flag</x:t>
        </x:is>
      </x:c>
      <x:c r="H78" t="inlineStr">
        <x:is>
          <x:t xml:space="preserve">Legal Exposure</x:t>
        </x:is>
      </x:c>
      <x:c r="I78" t="inlineStr">
        <x:is>
          <x:t xml:space="preserve">Legal_Defensibility_Audit</x:t>
        </x:is>
      </x:c>
      <x:c r="J78" t="inlineStr">
        <x:is>
          <x:t xml:space="preserve">N</x:t>
        </x:is>
      </x:c>
    </x:row>
    <x:row r="79">
      <x:c r="A79" t="inlineStr">
        <x:is>
          <x:t xml:space="preserve">Executive</x:t>
        </x:is>
      </x:c>
      <x:c r="B79" t="inlineStr">
        <x:is>
          <x:t xml:space="preserve">EXCO-D3-Q01</x:t>
        </x:is>
      </x:c>
      <x:c r="C79" t="inlineStr">
        <x:is>
          <x:t xml:space="preserve">EXCO-D3-Q01-A2</x:t>
        </x:is>
      </x:c>
      <x:c r="D79" t="n">
        <x:v>3</x:v>
      </x:c>
      <x:c r="E79" t="inlineStr">
        <x:is>
          <x:t xml:space="preserve">Some informal approvals exist (verbal / ad-hoc), but not documented.</x:t>
        </x:is>
      </x:c>
      <x:c r="F79" t="n">
        <x:v>1</x:v>
      </x:c>
      <x:c r="G79" t="inlineStr">
        <x:is>
          <x:t xml:space="preserve">legal_red_flag,shadow_signal</x:t>
        </x:is>
      </x:c>
      <x:c r="H79" t="inlineStr">
        <x:is>
          <x:t xml:space="preserve">Legal Exposure</x:t>
        </x:is>
      </x:c>
      <x:c r="I79" t="inlineStr">
        <x:is>
          <x:t xml:space="preserve">Legal_Defensibility_Audit</x:t>
        </x:is>
      </x:c>
      <x:c r="J79" t="inlineStr">
        <x:is>
          <x:t xml:space="preserve">N</x:t>
        </x:is>
      </x:c>
    </x:row>
    <x:row r="80">
      <x:c r="A80" t="inlineStr">
        <x:is>
          <x:t xml:space="preserve">Executive</x:t>
        </x:is>
      </x:c>
      <x:c r="B80" t="inlineStr">
        <x:is>
          <x:t xml:space="preserve">EXCO-D3-Q01</x:t>
        </x:is>
      </x:c>
      <x:c r="C80" t="inlineStr">
        <x:is>
          <x:t xml:space="preserve">EXCO-D3-Q01-A3</x:t>
        </x:is>
      </x:c>
      <x:c r="D80" t="n">
        <x:v>4</x:v>
      </x:c>
      <x:c r="E80" t="inlineStr">
        <x:is>
          <x:t xml:space="preserve">Policy exists, but it’s generic and not aligned to how monitoring works in practice.</x:t>
        </x:is>
      </x:c>
      <x:c r="F80" t="n">
        <x:v>2</x:v>
      </x:c>
      <x:c r="G80" t="inlineStr">
        <x:is>
          <x:t xml:space="preserve">paper_dragon_signal</x:t>
        </x:is>
      </x:c>
      <x:c r="H80" t="inlineStr">
        <x:is>
          <x:t xml:space="preserve">Paper Dragon</x:t>
        </x:is>
      </x:c>
      <x:c r="I80" t="inlineStr">
        <x:is>
          <x:t xml:space="preserve">Align_Policy_To_Reality</x:t>
        </x:is>
      </x:c>
      <x:c r="J80" t="inlineStr">
        <x:is>
          <x:t xml:space="preserve">Y</x:t>
        </x:is>
      </x:c>
    </x:row>
    <x:row r="81">
      <x:c r="A81" t="inlineStr">
        <x:is>
          <x:t xml:space="preserve">Executive</x:t>
        </x:is>
      </x:c>
      <x:c r="B81" t="inlineStr">
        <x:is>
          <x:t xml:space="preserve">EXCO-D3-Q01</x:t>
        </x:is>
      </x:c>
      <x:c r="C81" t="inlineStr">
        <x:is>
          <x:t xml:space="preserve">EXCO-D3-Q01-A4</x:t>
        </x:is>
      </x:c>
      <x:c r="D81" t="n">
        <x:v>5</x:v>
      </x:c>
      <x:c r="E81" t="inlineStr">
        <x:is>
          <x:t xml:space="preserve">Approved framework exists; monitoring is risk-based and approvals/oversight are defined.</x:t>
        </x:is>
      </x:c>
      <x:c r="F81" t="n">
        <x:v>3</x:v>
      </x:c>
      <x:c r="G81" t="inlineStr">
        <x:is>
          <x:t xml:space="preserve">good_practice</x:t>
        </x:is>
      </x:c>
      <x:c r="I81" t="inlineStr">
        <x:is>
          <x:t xml:space="preserve">Request_Evidence</x:t>
        </x:is>
      </x:c>
      <x:c r="J81" t="inlineStr">
        <x:is>
          <x:t xml:space="preserve">Y</x:t>
        </x:is>
      </x:c>
      <x:c r="K81" t="inlineStr">
        <x:is>
          <x:t xml:space="preserve">Provide monitoring policy/DPIA/LIA summary and access controls.</x:t>
        </x:is>
      </x:c>
    </x:row>
    <x:row r="82">
      <x:c r="A82" t="inlineStr">
        <x:is>
          <x:t xml:space="preserve">Executive</x:t>
        </x:is>
      </x:c>
      <x:c r="B82" t="inlineStr">
        <x:is>
          <x:t xml:space="preserve">EXCO-D3-Q01</x:t>
        </x:is>
      </x:c>
      <x:c r="C82" t="inlineStr">
        <x:is>
          <x:t xml:space="preserve">EXCO-D3-Q01-A5</x:t>
        </x:is>
      </x:c>
      <x:c r="D82" t="n">
        <x:v>6</x:v>
      </x:c>
      <x:c r="E82" t="inlineStr">
        <x:is>
          <x:t xml:space="preserve">Framework is co-designed with Legal/Privacy and relevant employee representation; audited periodically.</x:t>
        </x:is>
      </x:c>
      <x:c r="F82" t="n">
        <x:v>4</x:v>
      </x:c>
      <x:c r="G82" t="inlineStr">
        <x:is>
          <x:t xml:space="preserve">optimized</x:t>
        </x:is>
      </x:c>
      <x:c r="I82" t="inlineStr">
        <x:is>
          <x:t xml:space="preserve">Request_Evidence</x:t>
        </x:is>
      </x:c>
      <x:c r="J82" t="inlineStr">
        <x:is>
          <x:t xml:space="preserve">Y</x:t>
        </x:is>
      </x:c>
    </x:row>
    <x:row r="83">
      <x:c r="A83" t="inlineStr">
        <x:is>
          <x:t xml:space="preserve">Executive</x:t>
        </x:is>
      </x:c>
      <x:c r="B83" t="inlineStr">
        <x:is>
          <x:t xml:space="preserve">EXCO-D3-Q02</x:t>
        </x:is>
      </x:c>
      <x:c r="C83" t="inlineStr">
        <x:is>
          <x:t xml:space="preserve">EXCO-D3-Q02-A1</x:t>
        </x:is>
      </x:c>
      <x:c r="D83" t="n">
        <x:v>1</x:v>
      </x:c>
      <x:c r="E83" t="inlineStr">
        <x:is>
          <x:t xml:space="preserve">No—monitoring is treated as secret; ‘the less they know the better’.</x:t>
        </x:is>
      </x:c>
      <x:c r="F83" t="n">
        <x:v>0</x:v>
      </x:c>
      <x:c r="G83" t="inlineStr">
        <x:is>
          <x:t xml:space="preserve">toxic_enforcer_signal,legal_red_flag</x:t>
        </x:is>
      </x:c>
      <x:c r="H83" t="inlineStr">
        <x:is>
          <x:t xml:space="preserve">Toxic Enforcer</x:t>
        </x:is>
      </x:c>
      <x:c r="I83" t="inlineStr">
        <x:is>
          <x:t xml:space="preserve">Transparency_Remediation</x:t>
        </x:is>
      </x:c>
      <x:c r="J83" t="inlineStr">
        <x:is>
          <x:t xml:space="preserve">N</x:t>
        </x:is>
      </x:c>
    </x:row>
    <x:row r="84">
      <x:c r="A84" t="inlineStr">
        <x:is>
          <x:t xml:space="preserve">Executive</x:t>
        </x:is>
      </x:c>
      <x:c r="B84" t="inlineStr">
        <x:is>
          <x:t xml:space="preserve">EXCO-D3-Q02</x:t>
        </x:is>
      </x:c>
      <x:c r="C84" t="inlineStr">
        <x:is>
          <x:t xml:space="preserve">EXCO-D3-Q02-A2</x:t>
        </x:is>
      </x:c>
      <x:c r="D84" t="n">
        <x:v>2</x:v>
      </x:c>
      <x:c r="E84" t="inlineStr">
        <x:is>
          <x:t xml:space="preserve">Only managers warn people informally; there is no consistent communication.</x:t>
        </x:is>
      </x:c>
      <x:c r="F84" t="n">
        <x:v>1</x:v>
      </x:c>
      <x:c r="G84" t="inlineStr">
        <x:is>
          <x:t xml:space="preserve">legal_red_flag</x:t>
        </x:is>
      </x:c>
      <x:c r="H84" t="inlineStr">
        <x:is>
          <x:t xml:space="preserve">Legal Exposure</x:t>
        </x:is>
      </x:c>
      <x:c r="I84" t="inlineStr">
        <x:is>
          <x:t xml:space="preserve">Transparency_Remediation</x:t>
        </x:is>
      </x:c>
      <x:c r="J84" t="inlineStr">
        <x:is>
          <x:t xml:space="preserve">N</x:t>
        </x:is>
      </x:c>
    </x:row>
    <x:row r="85">
      <x:c r="A85" t="inlineStr">
        <x:is>
          <x:t xml:space="preserve">Executive</x:t>
        </x:is>
      </x:c>
      <x:c r="B85" t="inlineStr">
        <x:is>
          <x:t xml:space="preserve">EXCO-D3-Q02</x:t>
        </x:is>
      </x:c>
      <x:c r="C85" t="inlineStr">
        <x:is>
          <x:t xml:space="preserve">EXCO-D3-Q02-A3</x:t>
        </x:is>
      </x:c>
      <x:c r="D85" t="n">
        <x:v>3</x:v>
      </x:c>
      <x:c r="E85" t="inlineStr">
        <x:is>
          <x:t xml:space="preserve">There is some communication (e.g., acceptable use), but it’s hard to understand or easy to miss.</x:t>
        </x:is>
      </x:c>
      <x:c r="F85" t="n">
        <x:v>2</x:v>
      </x:c>
      <x:c r="G85" t="inlineStr">
        <x:is>
          <x:t xml:space="preserve">paper_process</x:t>
        </x:is>
      </x:c>
      <x:c r="H85" t="inlineStr">
        <x:is>
          <x:t xml:space="preserve">Paper Dragon</x:t>
        </x:is>
      </x:c>
      <x:c r="I85" t="inlineStr">
        <x:is>
          <x:t xml:space="preserve">Improve_Transparency</x:t>
        </x:is>
      </x:c>
      <x:c r="J85" t="inlineStr">
        <x:is>
          <x:t xml:space="preserve">N</x:t>
        </x:is>
      </x:c>
    </x:row>
    <x:row r="86">
      <x:c r="A86" t="inlineStr">
        <x:is>
          <x:t xml:space="preserve">Executive</x:t>
        </x:is>
      </x:c>
      <x:c r="B86" t="inlineStr">
        <x:is>
          <x:t xml:space="preserve">EXCO-D3-Q02</x:t>
        </x:is>
      </x:c>
      <x:c r="C86" t="inlineStr">
        <x:is>
          <x:t xml:space="preserve">EXCO-D3-Q02-A4</x:t>
        </x:is>
      </x:c>
      <x:c r="D86" t="n">
        <x:v>4</x:v>
      </x:c>
      <x:c r="E86" t="inlineStr">
        <x:is>
          <x:t xml:space="preserve">Yes—there is clear communication and training explaining monitoring and privacy safeguards.</x:t>
        </x:is>
      </x:c>
      <x:c r="F86" t="n">
        <x:v>3</x:v>
      </x:c>
      <x:c r="G86" t="inlineStr">
        <x:is>
          <x:t xml:space="preserve">good_practice</x:t>
        </x:is>
      </x:c>
      <x:c r="I86" t="inlineStr">
        <x:is>
          <x:t xml:space="preserve">Request_Evidence</x:t>
        </x:is>
      </x:c>
      <x:c r="J86" t="inlineStr">
        <x:is>
          <x:t xml:space="preserve">Y</x:t>
        </x:is>
      </x:c>
    </x:row>
    <x:row r="87">
      <x:c r="A87" t="inlineStr">
        <x:is>
          <x:t xml:space="preserve">Executive</x:t>
        </x:is>
      </x:c>
      <x:c r="B87" t="inlineStr">
        <x:is>
          <x:t xml:space="preserve">EXCO-D3-Q03</x:t>
        </x:is>
      </x:c>
      <x:c r="C87" t="inlineStr">
        <x:is>
          <x:t xml:space="preserve">EXCO-D3-Q03-A1</x:t>
        </x:is>
      </x:c>
      <x:c r="D87" t="n">
        <x:v>1</x:v>
      </x:c>
      <x:c r="E87" t="inlineStr">
        <x:is>
          <x:t xml:space="preserve">Only buried in contracts/policies; most people wouldn’t know the details.</x:t>
        </x:is>
      </x:c>
      <x:c r="F87" t="n">
        <x:v>1</x:v>
      </x:c>
      <x:c r="G87" t="inlineStr">
        <x:is>
          <x:t xml:space="preserve">paper_dragon_signal</x:t>
        </x:is>
      </x:c>
      <x:c r="H87" t="inlineStr">
        <x:is>
          <x:t xml:space="preserve">Paper Dragon</x:t>
        </x:is>
      </x:c>
      <x:c r="I87" t="inlineStr">
        <x:is>
          <x:t xml:space="preserve">Improve_Transparency</x:t>
        </x:is>
      </x:c>
      <x:c r="J87" t="inlineStr">
        <x:is>
          <x:t xml:space="preserve">N</x:t>
        </x:is>
      </x:c>
    </x:row>
    <x:row r="88">
      <x:c r="A88" t="inlineStr">
        <x:is>
          <x:t xml:space="preserve">Executive</x:t>
        </x:is>
      </x:c>
      <x:c r="B88" t="inlineStr">
        <x:is>
          <x:t xml:space="preserve">EXCO-D3-Q03</x:t>
        </x:is>
      </x:c>
      <x:c r="C88" t="inlineStr">
        <x:is>
          <x:t xml:space="preserve">EXCO-D3-Q03-A2</x:t>
        </x:is>
      </x:c>
      <x:c r="D88" t="n">
        <x:v>2</x:v>
      </x:c>
      <x:c r="E88" t="inlineStr">
        <x:is>
          <x:t xml:space="preserve">Basic acceptable-use statement exists, but does not explain monitoring scope or safeguards.</x:t>
        </x:is>
      </x:c>
      <x:c r="F88" t="n">
        <x:v>2</x:v>
      </x:c>
      <x:c r="G88" t="inlineStr">
        <x:is>
          <x:t xml:space="preserve">paper_process</x:t>
        </x:is>
      </x:c>
      <x:c r="H88" t="inlineStr">
        <x:is>
          <x:t xml:space="preserve">Paper Dragon</x:t>
        </x:is>
      </x:c>
      <x:c r="I88" t="inlineStr">
        <x:is>
          <x:t xml:space="preserve">Improve_Transparency</x:t>
        </x:is>
      </x:c>
      <x:c r="J88" t="inlineStr">
        <x:is>
          <x:t xml:space="preserve">N</x:t>
        </x:is>
      </x:c>
    </x:row>
    <x:row r="89">
      <x:c r="A89" t="inlineStr">
        <x:is>
          <x:t xml:space="preserve">Executive</x:t>
        </x:is>
      </x:c>
      <x:c r="B89" t="inlineStr">
        <x:is>
          <x:t xml:space="preserve">EXCO-D3-Q03</x:t>
        </x:is>
      </x:c>
      <x:c r="C89" t="inlineStr">
        <x:is>
          <x:t xml:space="preserve">EXCO-D3-Q03-A3</x:t>
        </x:is>
      </x:c>
      <x:c r="D89" t="n">
        <x:v>3</x:v>
      </x:c>
      <x:c r="E89" t="inlineStr">
        <x:is>
          <x:t xml:space="preserve">Clear guidance exists and is communicated to staff at least annually.</x:t>
        </x:is>
      </x:c>
      <x:c r="F89" t="n">
        <x:v>3</x:v>
      </x:c>
      <x:c r="G89" t="inlineStr">
        <x:is>
          <x:t xml:space="preserve">good_practice</x:t>
        </x:is>
      </x:c>
      <x:c r="I89" t="inlineStr">
        <x:is>
          <x:t xml:space="preserve">Request_Evidence</x:t>
        </x:is>
      </x:c>
      <x:c r="J89" t="inlineStr">
        <x:is>
          <x:t xml:space="preserve">Y</x:t>
        </x:is>
      </x:c>
    </x:row>
    <x:row r="90">
      <x:c r="A90" t="inlineStr">
        <x:is>
          <x:t xml:space="preserve">Executive</x:t>
        </x:is>
      </x:c>
      <x:c r="B90" t="inlineStr">
        <x:is>
          <x:t xml:space="preserve">EXCO-D3-Q03</x:t>
        </x:is>
      </x:c>
      <x:c r="C90" t="inlineStr">
        <x:is>
          <x:t xml:space="preserve">EXCO-D3-Q03-A4</x:t>
        </x:is>
      </x:c>
      <x:c r="D90" t="n">
        <x:v>4</x:v>
      </x:c>
      <x:c r="E90" t="inlineStr">
        <x:is>
          <x:t xml:space="preserve">Full transparency with clear safeguards, escalation paths, and periodic review with stakeholders.</x:t>
        </x:is>
      </x:c>
      <x:c r="F90" t="n">
        <x:v>4</x:v>
      </x:c>
      <x:c r="G90" t="inlineStr">
        <x:is>
          <x:t xml:space="preserve">optimized</x:t>
        </x:is>
      </x:c>
      <x:c r="I90" t="inlineStr">
        <x:is>
          <x:t xml:space="preserve">Request_Evidence</x:t>
        </x:is>
      </x:c>
      <x:c r="J90" t="inlineStr">
        <x:is>
          <x:t xml:space="preserve">Y</x:t>
        </x:is>
      </x:c>
    </x:row>
    <x:row r="91">
      <x:c r="A91" t="inlineStr">
        <x:is>
          <x:t xml:space="preserve">Executive</x:t>
        </x:is>
      </x:c>
      <x:c r="B91" t="inlineStr">
        <x:is>
          <x:t xml:space="preserve">EXCO-D3-Q04</x:t>
        </x:is>
      </x:c>
      <x:c r="C91" t="inlineStr">
        <x:is>
          <x:t xml:space="preserve">EXCO-D3-Q04-A0</x:t>
        </x:is>
      </x:c>
      <x:c r="D91" t="n">
        <x:v>1</x:v>
      </x:c>
      <x:c r="E91" t="inlineStr">
        <x:is>
          <x:t xml:space="preserve">Not applicable / we don’t have employee representation in relevant jurisdictions.</x:t>
        </x:is>
      </x:c>
      <x:c r="F91" t="n">
        <x:v>2</x:v>
      </x:c>
      <x:c r="G91" t="inlineStr">
        <x:is>
          <x:t xml:space="preserve">n_a</x:t>
        </x:is>
      </x:c>
      <x:c r="I91" t="inlineStr">
        <x:is>
          <x:t xml:space="preserve">Document_NA</x:t>
        </x:is>
      </x:c>
      <x:c r="J91" t="inlineStr">
        <x:is>
          <x:t xml:space="preserve">N</x:t>
        </x:is>
      </x:c>
    </x:row>
    <x:row r="92">
      <x:c r="A92" t="inlineStr">
        <x:is>
          <x:t xml:space="preserve">Executive</x:t>
        </x:is>
      </x:c>
      <x:c r="B92" t="inlineStr">
        <x:is>
          <x:t xml:space="preserve">EXCO-D3-Q04</x:t>
        </x:is>
      </x:c>
      <x:c r="C92" t="inlineStr">
        <x:is>
          <x:t xml:space="preserve">EXCO-D3-Q04-A1</x:t>
        </x:is>
      </x:c>
      <x:c r="D92" t="n">
        <x:v>2</x:v>
      </x:c>
      <x:c r="E92" t="inlineStr">
        <x:is>
          <x:t xml:space="preserve">We avoid engagement; decisions are made unilaterally.</x:t>
        </x:is>
      </x:c>
      <x:c r="F92" t="n">
        <x:v>0</x:v>
      </x:c>
      <x:c r="G92" t="inlineStr">
        <x:is>
          <x:t xml:space="preserve">legal_red_flag</x:t>
        </x:is>
      </x:c>
      <x:c r="H92" t="inlineStr">
        <x:is>
          <x:t xml:space="preserve">Legal Exposure</x:t>
        </x:is>
      </x:c>
      <x:c r="I92" t="inlineStr">
        <x:is>
          <x:t xml:space="preserve">Stakeholder_Engagement</x:t>
        </x:is>
      </x:c>
      <x:c r="J92" t="inlineStr">
        <x:is>
          <x:t xml:space="preserve">N</x:t>
        </x:is>
      </x:c>
    </x:row>
    <x:row r="93">
      <x:c r="A93" t="inlineStr">
        <x:is>
          <x:t xml:space="preserve">Executive</x:t>
        </x:is>
      </x:c>
      <x:c r="B93" t="inlineStr">
        <x:is>
          <x:t xml:space="preserve">EXCO-D3-Q04</x:t>
        </x:is>
      </x:c>
      <x:c r="C93" t="inlineStr">
        <x:is>
          <x:t xml:space="preserve">EXCO-D3-Q04-A2</x:t>
        </x:is>
      </x:c>
      <x:c r="D93" t="n">
        <x:v>3</x:v>
      </x:c>
      <x:c r="E93" t="inlineStr">
        <x:is>
          <x:t xml:space="preserve">Engagement happens late (after decisions), mainly to ‘inform’.</x:t>
        </x:is>
      </x:c>
      <x:c r="F93" t="n">
        <x:v>1</x:v>
      </x:c>
      <x:c r="G93" t="inlineStr">
        <x:is>
          <x:t xml:space="preserve">legal_red_flag</x:t>
        </x:is>
      </x:c>
      <x:c r="H93" t="inlineStr">
        <x:is>
          <x:t xml:space="preserve">Legal Exposure</x:t>
        </x:is>
      </x:c>
      <x:c r="I93" t="inlineStr">
        <x:is>
          <x:t xml:space="preserve">Stakeholder_Engagement</x:t>
        </x:is>
      </x:c>
      <x:c r="J93" t="inlineStr">
        <x:is>
          <x:t xml:space="preserve">N</x:t>
        </x:is>
      </x:c>
    </x:row>
    <x:row r="94">
      <x:c r="A94" t="inlineStr">
        <x:is>
          <x:t xml:space="preserve">Executive</x:t>
        </x:is>
      </x:c>
      <x:c r="B94" t="inlineStr">
        <x:is>
          <x:t xml:space="preserve">EXCO-D3-Q04</x:t>
        </x:is>
      </x:c>
      <x:c r="C94" t="inlineStr">
        <x:is>
          <x:t xml:space="preserve">EXCO-D3-Q04-A3</x:t>
        </x:is>
      </x:c>
      <x:c r="D94" t="n">
        <x:v>4</x:v>
      </x:c>
      <x:c r="E94" t="inlineStr">
        <x:is>
          <x:t xml:space="preserve">Engagement is planned and happens before major monitoring changes.</x:t>
        </x:is>
      </x:c>
      <x:c r="F94" t="n">
        <x:v>3</x:v>
      </x:c>
      <x:c r="G94" t="inlineStr">
        <x:is>
          <x:t xml:space="preserve">good_practice</x:t>
        </x:is>
      </x:c>
      <x:c r="I94" t="inlineStr">
        <x:is>
          <x:t xml:space="preserve">Request_Evidence</x:t>
        </x:is>
      </x:c>
      <x:c r="J94" t="inlineStr">
        <x:is>
          <x:t xml:space="preserve">Y</x:t>
        </x:is>
      </x:c>
    </x:row>
    <x:row r="95">
      <x:c r="A95" t="inlineStr">
        <x:is>
          <x:t xml:space="preserve">Executive</x:t>
        </x:is>
      </x:c>
      <x:c r="B95" t="inlineStr">
        <x:is>
          <x:t xml:space="preserve">EXCO-D3-Q04</x:t>
        </x:is>
      </x:c>
      <x:c r="C95" t="inlineStr">
        <x:is>
          <x:t xml:space="preserve">EXCO-D3-Q04-A4</x:t>
        </x:is>
      </x:c>
      <x:c r="D95" t="n">
        <x:v>5</x:v>
      </x:c>
      <x:c r="E95" t="inlineStr">
        <x:is>
          <x:t xml:space="preserve">Monitoring design is co-developed; decisions and safeguards are documented and reviewed.</x:t>
        </x:is>
      </x:c>
      <x:c r="F95" t="n">
        <x:v>4</x:v>
      </x:c>
      <x:c r="G95" t="inlineStr">
        <x:is>
          <x:t xml:space="preserve">optimized</x:t>
        </x:is>
      </x:c>
      <x:c r="I95" t="inlineStr">
        <x:is>
          <x:t xml:space="preserve">Request_Evidence</x:t>
        </x:is>
      </x:c>
      <x:c r="J95" t="inlineStr">
        <x:is>
          <x:t xml:space="preserve">Y</x:t>
        </x:is>
      </x:c>
    </x:row>
    <x:row r="96">
      <x:c r="A96" t="inlineStr">
        <x:is>
          <x:t xml:space="preserve">Executive</x:t>
        </x:is>
      </x:c>
      <x:c r="B96" t="inlineStr">
        <x:is>
          <x:t xml:space="preserve">EXCO-D3-Q05</x:t>
        </x:is>
      </x:c>
      <x:c r="C96" t="inlineStr">
        <x:is>
          <x:t xml:space="preserve">EXCO-D3-Q05-A0</x:t>
        </x:is>
      </x:c>
      <x:c r="D96" t="n">
        <x:v>1</x:v>
      </x:c>
      <x:c r="E96" t="inlineStr">
        <x:is>
          <x:t xml:space="preserve">I don’t know / not sure.</x:t>
        </x:is>
      </x:c>
      <x:c r="F96" t="n">
        <x:v>0</x:v>
      </x:c>
      <x:c r="G96" t="inlineStr">
        <x:is>
          <x:t xml:space="preserve">unknown</x:t>
        </x:is>
      </x:c>
      <x:c r="H96" t="inlineStr">
        <x:is>
          <x:t xml:space="preserve">Unknown</x:t>
        </x:is>
      </x:c>
      <x:c r="I96" t="inlineStr">
        <x:is>
          <x:t xml:space="preserve">Assess_Evidence_Handling</x:t>
        </x:is>
      </x:c>
      <x:c r="J96" t="inlineStr">
        <x:is>
          <x:t xml:space="preserve">N</x:t>
        </x:is>
      </x:c>
    </x:row>
    <x:row r="97">
      <x:c r="A97" t="inlineStr">
        <x:is>
          <x:t xml:space="preserve">Executive</x:t>
        </x:is>
      </x:c>
      <x:c r="B97" t="inlineStr">
        <x:is>
          <x:t xml:space="preserve">EXCO-D3-Q05</x:t>
        </x:is>
      </x:c>
      <x:c r="C97" t="inlineStr">
        <x:is>
          <x:t xml:space="preserve">EXCO-D3-Q05-A1</x:t>
        </x:is>
      </x:c>
      <x:c r="D97" t="n">
        <x:v>2</x:v>
      </x:c>
      <x:c r="E97" t="inlineStr">
        <x:is>
          <x:t xml:space="preserve">Weak—people take screenshots or export logs with little documentation.</x:t>
        </x:is>
      </x:c>
      <x:c r="F97" t="n">
        <x:v>0</x:v>
      </x:c>
      <x:c r="G97" t="inlineStr">
        <x:is>
          <x:t xml:space="preserve">forensic_gap</x:t>
        </x:is>
      </x:c>
      <x:c r="H97" t="inlineStr">
        <x:is>
          <x:t xml:space="preserve">Legal Exposure</x:t>
        </x:is>
      </x:c>
      <x:c r="I97" t="inlineStr">
        <x:is>
          <x:t xml:space="preserve">Evidence_Upgrade</x:t>
        </x:is>
      </x:c>
      <x:c r="J97" t="inlineStr">
        <x:is>
          <x:t xml:space="preserve">N</x:t>
        </x:is>
      </x:c>
    </x:row>
    <x:row r="98">
      <x:c r="A98" t="inlineStr">
        <x:is>
          <x:t xml:space="preserve">Executive</x:t>
        </x:is>
      </x:c>
      <x:c r="B98" t="inlineStr">
        <x:is>
          <x:t xml:space="preserve">EXCO-D3-Q05</x:t>
        </x:is>
      </x:c>
      <x:c r="C98" t="inlineStr">
        <x:is>
          <x:t xml:space="preserve">EXCO-D3-Q05-A2</x:t>
        </x:is>
      </x:c>
      <x:c r="D98" t="n">
        <x:v>3</x:v>
      </x:c>
      <x:c r="E98" t="inlineStr">
        <x:is>
          <x:t xml:space="preserve">Ad-hoc—IT can pull logs, but process is inconsistent and not audited.</x:t>
        </x:is>
      </x:c>
      <x:c r="F98" t="n">
        <x:v>1</x:v>
      </x:c>
      <x:c r="G98" t="inlineStr">
        <x:is>
          <x:t xml:space="preserve">forensic_gap</x:t>
        </x:is>
      </x:c>
      <x:c r="H98" t="inlineStr">
        <x:is>
          <x:t xml:space="preserve">Resilience Gap</x:t>
        </x:is>
      </x:c>
      <x:c r="I98" t="inlineStr">
        <x:is>
          <x:t xml:space="preserve">Evidence_Upgrade</x:t>
        </x:is>
      </x:c>
      <x:c r="J98" t="inlineStr">
        <x:is>
          <x:t xml:space="preserve">N</x:t>
        </x:is>
      </x:c>
    </x:row>
    <x:row r="99">
      <x:c r="A99" t="inlineStr">
        <x:is>
          <x:t xml:space="preserve">Executive</x:t>
        </x:is>
      </x:c>
      <x:c r="B99" t="inlineStr">
        <x:is>
          <x:t xml:space="preserve">EXCO-D3-Q05</x:t>
        </x:is>
      </x:c>
      <x:c r="C99" t="inlineStr">
        <x:is>
          <x:t xml:space="preserve">EXCO-D3-Q05-A3</x:t>
        </x:is>
      </x:c>
      <x:c r="D99" t="n">
        <x:v>4</x:v>
      </x:c>
      <x:c r="E99" t="inlineStr">
        <x:is>
          <x:t xml:space="preserve">Documented chain-of-custody exists, but it’s not consistently used.</x:t>
        </x:is>
      </x:c>
      <x:c r="F99" t="n">
        <x:v>2</x:v>
      </x:c>
      <x:c r="G99" t="inlineStr">
        <x:is>
          <x:t xml:space="preserve">paper_dragon_signal</x:t>
        </x:is>
      </x:c>
      <x:c r="H99" t="inlineStr">
        <x:is>
          <x:t xml:space="preserve">Paper Dragon</x:t>
        </x:is>
      </x:c>
      <x:c r="I99" t="inlineStr">
        <x:is>
          <x:t xml:space="preserve">Enforce_Custody_Process</x:t>
        </x:is>
      </x:c>
      <x:c r="J99" t="inlineStr">
        <x:is>
          <x:t xml:space="preserve">N</x:t>
        </x:is>
      </x:c>
    </x:row>
    <x:row r="100">
      <x:c r="A100" t="inlineStr">
        <x:is>
          <x:t xml:space="preserve">Executive</x:t>
        </x:is>
      </x:c>
      <x:c r="B100" t="inlineStr">
        <x:is>
          <x:t xml:space="preserve">EXCO-D3-Q05</x:t>
        </x:is>
      </x:c>
      <x:c r="C100" t="inlineStr">
        <x:is>
          <x:t xml:space="preserve">EXCO-D3-Q05-A4</x:t>
        </x:is>
      </x:c>
      <x:c r="D100" t="n">
        <x:v>5</x:v>
      </x:c>
      <x:c r="E100" t="inlineStr">
        <x:is>
          <x:t xml:space="preserve">Evidence handling is standardised and used for every case; access and retention are controlled.</x:t>
        </x:is>
      </x:c>
      <x:c r="F100" t="n">
        <x:v>3</x:v>
      </x:c>
      <x:c r="G100" t="inlineStr">
        <x:is>
          <x:t xml:space="preserve">good_practice</x:t>
        </x:is>
      </x:c>
      <x:c r="I100" t="inlineStr">
        <x:is>
          <x:t xml:space="preserve">Request_Evidence</x:t>
        </x:is>
      </x:c>
      <x:c r="J100" t="inlineStr">
        <x:is>
          <x:t xml:space="preserve">Y</x:t>
        </x:is>
      </x:c>
    </x:row>
    <x:row r="101">
      <x:c r="A101" t="inlineStr">
        <x:is>
          <x:t xml:space="preserve">Executive</x:t>
        </x:is>
      </x:c>
      <x:c r="B101" t="inlineStr">
        <x:is>
          <x:t xml:space="preserve">EXCO-D3-Q05</x:t>
        </x:is>
      </x:c>
      <x:c r="C101" t="inlineStr">
        <x:is>
          <x:t xml:space="preserve">EXCO-D3-Q05-A5</x:t>
        </x:is>
      </x:c>
      <x:c r="D101" t="n">
        <x:v>6</x:v>
      </x:c>
      <x:c r="E101" t="inlineStr">
        <x:is>
          <x:t xml:space="preserve">Tamper-evident logs and regular independent checks/audits of the evidence process.</x:t>
        </x:is>
      </x:c>
      <x:c r="F101" t="n">
        <x:v>4</x:v>
      </x:c>
      <x:c r="G101" t="inlineStr">
        <x:is>
          <x:t xml:space="preserve">optimized</x:t>
        </x:is>
      </x:c>
      <x:c r="I101" t="inlineStr">
        <x:is>
          <x:t xml:space="preserve">Request_Evidence</x:t>
        </x:is>
      </x:c>
      <x:c r="J101" t="inlineStr">
        <x:is>
          <x:t xml:space="preserve">Y</x:t>
        </x:is>
      </x:c>
    </x:row>
    <x:row r="102">
      <x:c r="A102" t="inlineStr">
        <x:is>
          <x:t xml:space="preserve">Executive</x:t>
        </x:is>
      </x:c>
      <x:c r="B102" t="inlineStr">
        <x:is>
          <x:t xml:space="preserve">EXCO-D3-Q06</x:t>
        </x:is>
      </x:c>
      <x:c r="C102" t="inlineStr">
        <x:is>
          <x:t xml:space="preserve">EXCO-D3-Q06-A0</x:t>
        </x:is>
      </x:c>
      <x:c r="D102" t="n">
        <x:v>1</x:v>
      </x:c>
      <x:c r="E102" t="inlineStr">
        <x:is>
          <x:t xml:space="preserve">I don’t know / not sure.</x:t>
        </x:is>
      </x:c>
      <x:c r="F102" t="n">
        <x:v>0</x:v>
      </x:c>
      <x:c r="G102" t="inlineStr">
        <x:is>
          <x:t xml:space="preserve">unknown</x:t>
        </x:is>
      </x:c>
      <x:c r="H102" t="inlineStr">
        <x:is>
          <x:t xml:space="preserve">Unknown</x:t>
        </x:is>
      </x:c>
      <x:c r="I102" t="inlineStr">
        <x:is>
          <x:t xml:space="preserve">Assess_Data_Residency</x:t>
        </x:is>
      </x:c>
      <x:c r="J102" t="inlineStr">
        <x:is>
          <x:t xml:space="preserve">N</x:t>
        </x:is>
      </x:c>
    </x:row>
    <x:row r="103">
      <x:c r="A103" t="inlineStr">
        <x:is>
          <x:t xml:space="preserve">Executive</x:t>
        </x:is>
      </x:c>
      <x:c r="B103" t="inlineStr">
        <x:is>
          <x:t xml:space="preserve">EXCO-D3-Q06</x:t>
        </x:is>
      </x:c>
      <x:c r="C103" t="inlineStr">
        <x:is>
          <x:t xml:space="preserve">EXCO-D3-Q06-A1</x:t>
        </x:is>
      </x:c>
      <x:c r="D103" t="n">
        <x:v>2</x:v>
      </x:c>
      <x:c r="E103" t="inlineStr">
        <x:is>
          <x:t xml:space="preserve">No—storage locations and retention are not tracked or controlled.</x:t>
        </x:is>
      </x:c>
      <x:c r="F103" t="n">
        <x:v>0</x:v>
      </x:c>
      <x:c r="G103" t="inlineStr">
        <x:is>
          <x:t xml:space="preserve">legal_red_flag</x:t>
        </x:is>
      </x:c>
      <x:c r="H103" t="inlineStr">
        <x:is>
          <x:t xml:space="preserve">Legal Exposure</x:t>
        </x:is>
      </x:c>
      <x:c r="I103" t="inlineStr">
        <x:is>
          <x:t xml:space="preserve">Residency_Retention_Remediation</x:t>
        </x:is>
      </x:c>
      <x:c r="J103" t="inlineStr">
        <x:is>
          <x:t xml:space="preserve">N</x:t>
        </x:is>
      </x:c>
    </x:row>
    <x:row r="104">
      <x:c r="A104" t="inlineStr">
        <x:is>
          <x:t xml:space="preserve">Executive</x:t>
        </x:is>
      </x:c>
      <x:c r="B104" t="inlineStr">
        <x:is>
          <x:t xml:space="preserve">EXCO-D3-Q06</x:t>
        </x:is>
      </x:c>
      <x:c r="C104" t="inlineStr">
        <x:is>
          <x:t xml:space="preserve">EXCO-D3-Q06-A2</x:t>
        </x:is>
      </x:c>
      <x:c r="D104" t="n">
        <x:v>3</x:v>
      </x:c>
      <x:c r="E104" t="inlineStr">
        <x:is>
          <x:t xml:space="preserve">Policy says ‘keep it local/limited’, but the technical reality varies by tool/region.</x:t>
        </x:is>
      </x:c>
      <x:c r="F104" t="n">
        <x:v>1</x:v>
      </x:c>
      <x:c r="G104" t="inlineStr">
        <x:is>
          <x:t xml:space="preserve">paper_dragon_signal</x:t>
        </x:is>
      </x:c>
      <x:c r="H104" t="inlineStr">
        <x:is>
          <x:t xml:space="preserve">Paper Dragon</x:t>
        </x:is>
      </x:c>
      <x:c r="I104" t="inlineStr">
        <x:is>
          <x:t xml:space="preserve">Validate_Tech_Reality</x:t>
        </x:is>
      </x:c>
      <x:c r="J104" t="inlineStr">
        <x:is>
          <x:t xml:space="preserve">N</x:t>
        </x:is>
      </x:c>
    </x:row>
    <x:row r="105">
      <x:c r="A105" t="inlineStr">
        <x:is>
          <x:t xml:space="preserve">Executive</x:t>
        </x:is>
      </x:c>
      <x:c r="B105" t="inlineStr">
        <x:is>
          <x:t xml:space="preserve">EXCO-D3-Q06</x:t>
        </x:is>
      </x:c>
      <x:c r="C105" t="inlineStr">
        <x:is>
          <x:t xml:space="preserve">EXCO-D3-Q06-A3</x:t>
        </x:is>
      </x:c>
      <x:c r="D105" t="n">
        <x:v>4</x:v>
      </x:c>
      <x:c r="E105" t="inlineStr">
        <x:is>
          <x:t xml:space="preserve">We have defined retention and know primary storage regions, but auditing is limited.</x:t>
        </x:is>
      </x:c>
      <x:c r="F105" t="n">
        <x:v>2</x:v>
      </x:c>
      <x:c r="G105" t="inlineStr">
        <x:is>
          <x:t xml:space="preserve">partial_maturity</x:t>
        </x:is>
      </x:c>
      <x:c r="I105" t="inlineStr">
        <x:is>
          <x:t xml:space="preserve">Improve_Auditability</x:t>
        </x:is>
      </x:c>
      <x:c r="J105" t="inlineStr">
        <x:is>
          <x:t xml:space="preserve">N</x:t>
        </x:is>
      </x:c>
    </x:row>
    <x:row r="106">
      <x:c r="A106" t="inlineStr">
        <x:is>
          <x:t xml:space="preserve">Executive</x:t>
        </x:is>
      </x:c>
      <x:c r="B106" t="inlineStr">
        <x:is>
          <x:t xml:space="preserve">EXCO-D3-Q06</x:t>
        </x:is>
      </x:c>
      <x:c r="C106" t="inlineStr">
        <x:is>
          <x:t xml:space="preserve">EXCO-D3-Q06-A4</x:t>
        </x:is>
      </x:c>
      <x:c r="D106" t="n">
        <x:v>5</x:v>
      </x:c>
      <x:c r="E106" t="inlineStr">
        <x:is>
          <x:t xml:space="preserve">Retention, access, and storage locations are controlled and reviewed; exceptions are approved.</x:t>
        </x:is>
      </x:c>
      <x:c r="F106" t="n">
        <x:v>3</x:v>
      </x:c>
      <x:c r="G106" t="inlineStr">
        <x:is>
          <x:t xml:space="preserve">good_practice</x:t>
        </x:is>
      </x:c>
      <x:c r="I106" t="inlineStr">
        <x:is>
          <x:t xml:space="preserve">Request_Evidence</x:t>
        </x:is>
      </x:c>
      <x:c r="J106" t="inlineStr">
        <x:is>
          <x:t xml:space="preserve">Y</x:t>
        </x:is>
      </x:c>
    </x:row>
    <x:row r="107">
      <x:c r="A107" t="inlineStr">
        <x:is>
          <x:t xml:space="preserve">Executive</x:t>
        </x:is>
      </x:c>
      <x:c r="B107" t="inlineStr">
        <x:is>
          <x:t xml:space="preserve">EXCO-D3-Q06</x:t>
        </x:is>
      </x:c>
      <x:c r="C107" t="inlineStr">
        <x:is>
          <x:t xml:space="preserve">EXCO-D3-Q06-A5</x:t>
        </x:is>
      </x:c>
      <x:c r="D107" t="n">
        <x:v>6</x:v>
      </x:c>
      <x:c r="E107" t="inlineStr">
        <x:is>
          <x:t xml:space="preserve">Automated controls (geo-fencing/region controls) with audits and reporting.</x:t>
        </x:is>
      </x:c>
      <x:c r="F107" t="n">
        <x:v>4</x:v>
      </x:c>
      <x:c r="G107" t="inlineStr">
        <x:is>
          <x:t xml:space="preserve">optimized</x:t>
        </x:is>
      </x:c>
      <x:c r="I107" t="inlineStr">
        <x:is>
          <x:t xml:space="preserve">Request_Evidence</x:t>
        </x:is>
      </x:c>
      <x:c r="J107" t="inlineStr">
        <x:is>
          <x:t xml:space="preserve">Y</x:t>
        </x:is>
      </x:c>
    </x:row>
    <x:row r="108">
      <x:c r="A108" t="inlineStr">
        <x:is>
          <x:t xml:space="preserve">Executive</x:t>
        </x:is>
      </x:c>
      <x:c r="B108" t="inlineStr">
        <x:is>
          <x:t xml:space="preserve">EXCO-D4-Q01</x:t>
        </x:is>
      </x:c>
      <x:c r="C108" t="inlineStr">
        <x:is>
          <x:t xml:space="preserve">EXCO-D4-Q01-A0</x:t>
        </x:is>
      </x:c>
      <x:c r="D108" t="n">
        <x:v>1</x:v>
      </x:c>
      <x:c r="E108" t="inlineStr">
        <x:is>
          <x:t xml:space="preserve">I don’t know / not sure.</x:t>
        </x:is>
      </x:c>
      <x:c r="F108" t="n">
        <x:v>0</x:v>
      </x:c>
      <x:c r="G108" t="inlineStr">
        <x:is>
          <x:t xml:space="preserve">unknown</x:t>
        </x:is>
      </x:c>
      <x:c r="H108" t="inlineStr">
        <x:is>
          <x:t xml:space="preserve">Unknown</x:t>
        </x:is>
      </x:c>
      <x:c r="I108" t="inlineStr">
        <x:is>
          <x:t xml:space="preserve">Culture_Diagnostics</x:t>
        </x:is>
      </x:c>
      <x:c r="J108" t="inlineStr">
        <x:is>
          <x:t xml:space="preserve">N</x:t>
        </x:is>
      </x:c>
    </x:row>
    <x:row r="109">
      <x:c r="A109" t="inlineStr">
        <x:is>
          <x:t xml:space="preserve">Executive</x:t>
        </x:is>
      </x:c>
      <x:c r="B109" t="inlineStr">
        <x:is>
          <x:t xml:space="preserve">EXCO-D4-Q01</x:t>
        </x:is>
      </x:c>
      <x:c r="C109" t="inlineStr">
        <x:is>
          <x:t xml:space="preserve">EXCO-D4-Q01-A1</x:t>
        </x:is>
      </x:c>
      <x:c r="D109" t="n">
        <x:v>2</x:v>
      </x:c>
      <x:c r="E109" t="inlineStr">
        <x:is>
          <x:t xml:space="preserve">Unsafe—people fear retaliation or being labelled a troublemaker.</x:t>
        </x:is>
      </x:c>
      <x:c r="F109" t="n">
        <x:v>0</x:v>
      </x:c>
      <x:c r="G109" t="inlineStr">
        <x:is>
          <x:t xml:space="preserve">culture_risk,toxic_enforcer_signal</x:t>
        </x:is>
      </x:c>
      <x:c r="H109" t="inlineStr">
        <x:is>
          <x:t xml:space="preserve">Culture Risk</x:t>
        </x:is>
      </x:c>
      <x:c r="I109" t="inlineStr">
        <x:is>
          <x:t xml:space="preserve">Culture_Workshop</x:t>
        </x:is>
      </x:c>
      <x:c r="J109" t="inlineStr">
        <x:is>
          <x:t xml:space="preserve">N</x:t>
        </x:is>
      </x:c>
    </x:row>
    <x:row r="110">
      <x:c r="A110" t="inlineStr">
        <x:is>
          <x:t xml:space="preserve">Executive</x:t>
        </x:is>
      </x:c>
      <x:c r="B110" t="inlineStr">
        <x:is>
          <x:t xml:space="preserve">EXCO-D4-Q01</x:t>
        </x:is>
      </x:c>
      <x:c r="C110" t="inlineStr">
        <x:is>
          <x:t xml:space="preserve">EXCO-D4-Q01-A2</x:t>
        </x:is>
      </x:c>
      <x:c r="D110" t="n">
        <x:v>3</x:v>
      </x:c>
      <x:c r="E110" t="inlineStr">
        <x:is>
          <x:t xml:space="preserve">Some people report issues informally to trusted managers; outcomes depend on who you are.</x:t>
        </x:is>
      </x:c>
      <x:c r="F110" t="n">
        <x:v>1</x:v>
      </x:c>
      <x:c r="G110" t="inlineStr">
        <x:is>
          <x:t xml:space="preserve">informal_only</x:t>
        </x:is>
      </x:c>
      <x:c r="H110" t="inlineStr">
        <x:is>
          <x:t xml:space="preserve">Operating Model Gap</x:t>
        </x:is>
      </x:c>
      <x:c r="I110" t="inlineStr">
        <x:is>
          <x:t xml:space="preserve">Strengthen_SpeakUp</x:t>
        </x:is>
      </x:c>
      <x:c r="J110" t="inlineStr">
        <x:is>
          <x:t xml:space="preserve">N</x:t>
        </x:is>
      </x:c>
    </x:row>
    <x:row r="111">
      <x:c r="A111" t="inlineStr">
        <x:is>
          <x:t xml:space="preserve">Executive</x:t>
        </x:is>
      </x:c>
      <x:c r="B111" t="inlineStr">
        <x:is>
          <x:t xml:space="preserve">EXCO-D4-Q01</x:t>
        </x:is>
      </x:c>
      <x:c r="C111" t="inlineStr">
        <x:is>
          <x:t xml:space="preserve">EXCO-D4-Q01-A3</x:t>
        </x:is>
      </x:c>
      <x:c r="D111" t="n">
        <x:v>4</x:v>
      </x:c>
      <x:c r="E111" t="inlineStr">
        <x:is>
          <x:t xml:space="preserve">We have formal channels (hotline/HR), but people don’t trust them or rarely use them.</x:t>
        </x:is>
      </x:c>
      <x:c r="F111" t="n">
        <x:v>2</x:v>
      </x:c>
      <x:c r="G111" t="inlineStr">
        <x:is>
          <x:t xml:space="preserve">paper_process</x:t>
        </x:is>
      </x:c>
      <x:c r="H111" t="inlineStr">
        <x:is>
          <x:t xml:space="preserve">Paper Dragon</x:t>
        </x:is>
      </x:c>
      <x:c r="I111" t="inlineStr">
        <x:is>
          <x:t xml:space="preserve">Improve_SpeakUp_System</x:t>
        </x:is>
      </x:c>
      <x:c r="J111" t="inlineStr">
        <x:is>
          <x:t xml:space="preserve">N</x:t>
        </x:is>
      </x:c>
    </x:row>
    <x:row r="112">
      <x:c r="A112" t="inlineStr">
        <x:is>
          <x:t xml:space="preserve">Executive</x:t>
        </x:is>
      </x:c>
      <x:c r="B112" t="inlineStr">
        <x:is>
          <x:t xml:space="preserve">EXCO-D4-Q01</x:t>
        </x:is>
      </x:c>
      <x:c r="C112" t="inlineStr">
        <x:is>
          <x:t xml:space="preserve">EXCO-D4-Q01-A4</x:t>
        </x:is>
      </x:c>
      <x:c r="D112" t="n">
        <x:v>5</x:v>
      </x:c>
      <x:c r="E112" t="inlineStr">
        <x:is>
          <x:t xml:space="preserve">People generally trust reporting channels; retaliation is actively prevented and investigated.</x:t>
        </x:is>
      </x:c>
      <x:c r="F112" t="n">
        <x:v>3</x:v>
      </x:c>
      <x:c r="G112" t="inlineStr">
        <x:is>
          <x:t xml:space="preserve">good_practice</x:t>
        </x:is>
      </x:c>
      <x:c r="I112" t="inlineStr">
        <x:is>
          <x:t xml:space="preserve">Request_Evidence</x:t>
        </x:is>
      </x:c>
      <x:c r="J112" t="inlineStr">
        <x:is>
          <x:t xml:space="preserve">Y</x:t>
        </x:is>
      </x:c>
      <x:c r="K112" t="inlineStr">
        <x:is>
          <x:t xml:space="preserve">Provide policy/metrics: number of reports, time to respond, retaliation cases.</x:t>
        </x:is>
      </x:c>
    </x:row>
    <x:row r="113">
      <x:c r="A113" t="inlineStr">
        <x:is>
          <x:t xml:space="preserve">Executive</x:t>
        </x:is>
      </x:c>
      <x:c r="B113" t="inlineStr">
        <x:is>
          <x:t xml:space="preserve">EXCO-D4-Q01</x:t>
        </x:is>
      </x:c>
      <x:c r="C113" t="inlineStr">
        <x:is>
          <x:t xml:space="preserve">EXCO-D4-Q01-A5</x:t>
        </x:is>
      </x:c>
      <x:c r="D113" t="n">
        <x:v>6</x:v>
      </x:c>
      <x:c r="E113" t="inlineStr">
        <x:is>
          <x:t xml:space="preserve">Speak-up is normalised; feedback loops exist and positive reporting is recognised.</x:t>
        </x:is>
      </x:c>
      <x:c r="F113" t="n">
        <x:v>4</x:v>
      </x:c>
      <x:c r="G113" t="inlineStr">
        <x:is>
          <x:t xml:space="preserve">optimized</x:t>
        </x:is>
      </x:c>
      <x:c r="I113" t="inlineStr">
        <x:is>
          <x:t xml:space="preserve">Request_Evidence</x:t>
        </x:is>
      </x:c>
      <x:c r="J113" t="inlineStr">
        <x:is>
          <x:t xml:space="preserve">Y</x:t>
        </x:is>
      </x:c>
    </x:row>
    <x:row r="114">
      <x:c r="A114" t="inlineStr">
        <x:is>
          <x:t xml:space="preserve">Executive</x:t>
        </x:is>
      </x:c>
      <x:c r="B114" t="inlineStr">
        <x:is>
          <x:t xml:space="preserve">EXCO-D4-Q02</x:t>
        </x:is>
      </x:c>
      <x:c r="C114" t="inlineStr">
        <x:is>
          <x:t xml:space="preserve">EXCO-D4-Q02-A1</x:t>
        </x:is>
      </x:c>
      <x:c r="D114" t="n">
        <x:v>1</x:v>
      </x:c>
      <x:c r="E114" t="inlineStr">
        <x:is>
          <x:t xml:space="preserve">No—security decisions are final; there is no independent review.</x:t>
        </x:is>
      </x:c>
      <x:c r="F114" t="n">
        <x:v>0</x:v>
      </x:c>
      <x:c r="G114" t="inlineStr">
        <x:is>
          <x:t xml:space="preserve">toxic_enforcer_signal,legal_red_flag</x:t>
        </x:is>
      </x:c>
      <x:c r="H114" t="inlineStr">
        <x:is>
          <x:t xml:space="preserve">Toxic Enforcer</x:t>
        </x:is>
      </x:c>
      <x:c r="I114" t="inlineStr">
        <x:is>
          <x:t xml:space="preserve">Add_Appeals_Process</x:t>
        </x:is>
      </x:c>
      <x:c r="J114" t="inlineStr">
        <x:is>
          <x:t xml:space="preserve">N</x:t>
        </x:is>
      </x:c>
    </x:row>
    <x:row r="115">
      <x:c r="A115" t="inlineStr">
        <x:is>
          <x:t xml:space="preserve">Executive</x:t>
        </x:is>
      </x:c>
      <x:c r="B115" t="inlineStr">
        <x:is>
          <x:t xml:space="preserve">EXCO-D4-Q02</x:t>
        </x:is>
      </x:c>
      <x:c r="C115" t="inlineStr">
        <x:is>
          <x:t xml:space="preserve">EXCO-D4-Q02-A2</x:t>
        </x:is>
      </x:c>
      <x:c r="D115" t="n">
        <x:v>2</x:v>
      </x:c>
      <x:c r="E115" t="inlineStr">
        <x:is>
          <x:t xml:space="preserve">Only informal complaints to managers; outcomes vary.</x:t>
        </x:is>
      </x:c>
      <x:c r="F115" t="n">
        <x:v>1</x:v>
      </x:c>
      <x:c r="G115" t="inlineStr">
        <x:is>
          <x:t xml:space="preserve">inconsistent_execution</x:t>
        </x:is>
      </x:c>
      <x:c r="H115" t="inlineStr">
        <x:is>
          <x:t xml:space="preserve">Culture Risk</x:t>
        </x:is>
      </x:c>
      <x:c r="I115" t="inlineStr">
        <x:is>
          <x:t xml:space="preserve">Add_Appeals_Process</x:t>
        </x:is>
      </x:c>
      <x:c r="J115" t="inlineStr">
        <x:is>
          <x:t xml:space="preserve">N</x:t>
        </x:is>
      </x:c>
    </x:row>
    <x:row r="116">
      <x:c r="A116" t="inlineStr">
        <x:is>
          <x:t xml:space="preserve">Executive</x:t>
        </x:is>
      </x:c>
      <x:c r="B116" t="inlineStr">
        <x:is>
          <x:t xml:space="preserve">EXCO-D4-Q02</x:t>
        </x:is>
      </x:c>
      <x:c r="C116" t="inlineStr">
        <x:is>
          <x:t xml:space="preserve">EXCO-D4-Q02-A3</x:t>
        </x:is>
      </x:c>
      <x:c r="D116" t="n">
        <x:v>3</x:v>
      </x:c>
      <x:c r="E116" t="inlineStr">
        <x:is>
          <x:t xml:space="preserve">There is a general HR grievance route, but it’s not designed for monitoring/investigation fairness.</x:t>
        </x:is>
      </x:c>
      <x:c r="F116" t="n">
        <x:v>2</x:v>
      </x:c>
      <x:c r="G116" t="inlineStr">
        <x:is>
          <x:t xml:space="preserve">paper_process</x:t>
        </x:is>
      </x:c>
      <x:c r="H116" t="inlineStr">
        <x:is>
          <x:t xml:space="preserve">Paper Dragon</x:t>
        </x:is>
      </x:c>
      <x:c r="I116" t="inlineStr">
        <x:is>
          <x:t xml:space="preserve">Design_Fairness_Process</x:t>
        </x:is>
      </x:c>
      <x:c r="J116" t="inlineStr">
        <x:is>
          <x:t xml:space="preserve">N</x:t>
        </x:is>
      </x:c>
    </x:row>
    <x:row r="117">
      <x:c r="A117" t="inlineStr">
        <x:is>
          <x:t xml:space="preserve">Executive</x:t>
        </x:is>
      </x:c>
      <x:c r="B117" t="inlineStr">
        <x:is>
          <x:t xml:space="preserve">EXCO-D4-Q02</x:t>
        </x:is>
      </x:c>
      <x:c r="C117" t="inlineStr">
        <x:is>
          <x:t xml:space="preserve">EXCO-D4-Q02-A4</x:t>
        </x:is>
      </x:c>
      <x:c r="D117" t="n">
        <x:v>4</x:v>
      </x:c>
      <x:c r="E117" t="inlineStr">
        <x:is>
          <x:t xml:space="preserve">Independent review exists (privacy/ombuds); outcomes are documented.</x:t>
        </x:is>
      </x:c>
      <x:c r="F117" t="n">
        <x:v>3</x:v>
      </x:c>
      <x:c r="G117" t="inlineStr">
        <x:is>
          <x:t xml:space="preserve">good_practice</x:t>
        </x:is>
      </x:c>
      <x:c r="I117" t="inlineStr">
        <x:is>
          <x:t xml:space="preserve">Request_Evidence</x:t>
        </x:is>
      </x:c>
      <x:c r="J117" t="inlineStr">
        <x:is>
          <x:t xml:space="preserve">Y</x:t>
        </x:is>
      </x:c>
    </x:row>
    <x:row r="118">
      <x:c r="A118" t="inlineStr">
        <x:is>
          <x:t xml:space="preserve">Executive</x:t>
        </x:is>
      </x:c>
      <x:c r="B118" t="inlineStr">
        <x:is>
          <x:t xml:space="preserve">EXCO-D4-Q02</x:t>
        </x:is>
      </x:c>
      <x:c r="C118" t="inlineStr">
        <x:is>
          <x:t xml:space="preserve">EXCO-D4-Q02-A5</x:t>
        </x:is>
      </x:c>
      <x:c r="D118" t="n">
        <x:v>5</x:v>
      </x:c>
      <x:c r="E118" t="inlineStr">
        <x:is>
          <x:t xml:space="preserve">Transparent multi-department appeal with audit trail and periodic review.</x:t>
        </x:is>
      </x:c>
      <x:c r="F118" t="n">
        <x:v>4</x:v>
      </x:c>
      <x:c r="G118" t="inlineStr">
        <x:is>
          <x:t xml:space="preserve">optimized</x:t>
        </x:is>
      </x:c>
      <x:c r="I118" t="inlineStr">
        <x:is>
          <x:t xml:space="preserve">Request_Evidence</x:t>
        </x:is>
      </x:c>
      <x:c r="J118" t="inlineStr">
        <x:is>
          <x:t xml:space="preserve">Y</x:t>
        </x:is>
      </x:c>
    </x:row>
    <x:row r="119">
      <x:c r="A119" t="inlineStr">
        <x:is>
          <x:t xml:space="preserve">Executive</x:t>
        </x:is>
      </x:c>
      <x:c r="B119" t="inlineStr">
        <x:is>
          <x:t xml:space="preserve">EXCO-D4-Q03</x:t>
        </x:is>
      </x:c>
      <x:c r="C119" t="inlineStr">
        <x:is>
          <x:t xml:space="preserve">EXCO-D4-Q03-A0</x:t>
        </x:is>
      </x:c>
      <x:c r="D119" t="n">
        <x:v>1</x:v>
      </x:c>
      <x:c r="E119" t="inlineStr">
        <x:is>
          <x:t xml:space="preserve">I don’t know / not sure.</x:t>
        </x:is>
      </x:c>
      <x:c r="F119" t="n">
        <x:v>0</x:v>
      </x:c>
      <x:c r="G119" t="inlineStr">
        <x:is>
          <x:t xml:space="preserve">unknown</x:t>
        </x:is>
      </x:c>
      <x:c r="H119" t="inlineStr">
        <x:is>
          <x:t xml:space="preserve">Unknown</x:t>
        </x:is>
      </x:c>
      <x:c r="I119" t="inlineStr">
        <x:is>
          <x:t xml:space="preserve">Manager_Enablement</x:t>
        </x:is>
      </x:c>
      <x:c r="J119" t="inlineStr">
        <x:is>
          <x:t xml:space="preserve">N</x:t>
        </x:is>
      </x:c>
    </x:row>
    <x:row r="120">
      <x:c r="A120" t="inlineStr">
        <x:is>
          <x:t xml:space="preserve">Executive</x:t>
        </x:is>
      </x:c>
      <x:c r="B120" t="inlineStr">
        <x:is>
          <x:t xml:space="preserve">EXCO-D4-Q03</x:t>
        </x:is>
      </x:c>
      <x:c r="C120" t="inlineStr">
        <x:is>
          <x:t xml:space="preserve">EXCO-D4-Q03-A1</x:t>
        </x:is>
      </x:c>
      <x:c r="D120" t="n">
        <x:v>2</x:v>
      </x:c>
      <x:c r="E120" t="inlineStr">
        <x:is>
          <x:t xml:space="preserve">There is no structured approach; issues are dealt with only after a serious event.</x:t>
        </x:is>
      </x:c>
      <x:c r="F120" t="n">
        <x:v>0</x:v>
      </x:c>
      <x:c r="G120" t="inlineStr">
        <x:is>
          <x:t xml:space="preserve">foundational_gap</x:t>
        </x:is>
      </x:c>
      <x:c r="H120" t="inlineStr">
        <x:is>
          <x:t xml:space="preserve">Culture Risk</x:t>
        </x:is>
      </x:c>
      <x:c r="I120" t="inlineStr">
        <x:is>
          <x:t xml:space="preserve">Manager_Enablement</x:t>
        </x:is>
      </x:c>
      <x:c r="J120" t="inlineStr">
        <x:is>
          <x:t xml:space="preserve">N</x:t>
        </x:is>
      </x:c>
    </x:row>
    <x:row r="121">
      <x:c r="A121" t="inlineStr">
        <x:is>
          <x:t xml:space="preserve">Executive</x:t>
        </x:is>
      </x:c>
      <x:c r="B121" t="inlineStr">
        <x:is>
          <x:t xml:space="preserve">EXCO-D4-Q03</x:t>
        </x:is>
      </x:c>
      <x:c r="C121" t="inlineStr">
        <x:is>
          <x:t xml:space="preserve">EXCO-D4-Q03-A2</x:t>
        </x:is>
      </x:c>
      <x:c r="D121" t="n">
        <x:v>3</x:v>
      </x:c>
      <x:c r="E121" t="inlineStr">
        <x:is>
          <x:t xml:space="preserve">Depends on the manager; some intervene well, others avoid it.</x:t>
        </x:is>
      </x:c>
      <x:c r="F121" t="n">
        <x:v>1</x:v>
      </x:c>
      <x:c r="G121" t="inlineStr">
        <x:is>
          <x:t xml:space="preserve">inconsistent_execution</x:t>
        </x:is>
      </x:c>
      <x:c r="H121" t="inlineStr">
        <x:is>
          <x:t xml:space="preserve">Operating Model Gap</x:t>
        </x:is>
      </x:c>
      <x:c r="I121" t="inlineStr">
        <x:is>
          <x:t xml:space="preserve">Manager_Training</x:t>
        </x:is>
      </x:c>
      <x:c r="J121" t="inlineStr">
        <x:is>
          <x:t xml:space="preserve">N</x:t>
        </x:is>
      </x:c>
    </x:row>
    <x:row r="122">
      <x:c r="A122" t="inlineStr">
        <x:is>
          <x:t xml:space="preserve">Executive</x:t>
        </x:is>
      </x:c>
      <x:c r="B122" t="inlineStr">
        <x:is>
          <x:t xml:space="preserve">EXCO-D4-Q03</x:t>
        </x:is>
      </x:c>
      <x:c r="C122" t="inlineStr">
        <x:is>
          <x:t xml:space="preserve">EXCO-D4-Q03-A3</x:t>
        </x:is>
      </x:c>
      <x:c r="D122" t="n">
        <x:v>4</x:v>
      </x:c>
      <x:c r="E122" t="inlineStr">
        <x:is>
          <x:t xml:space="preserve">HR provides guidance, but it’s not connected to insider risk or security concerns.</x:t>
        </x:is>
      </x:c>
      <x:c r="F122" t="n">
        <x:v>2</x:v>
      </x:c>
      <x:c r="G122" t="inlineStr">
        <x:is>
          <x:t xml:space="preserve">partial_maturity</x:t>
        </x:is>
      </x:c>
      <x:c r="I122" t="inlineStr">
        <x:is>
          <x:t xml:space="preserve">Integrate_HR_Security</x:t>
        </x:is>
      </x:c>
      <x:c r="J122" t="inlineStr">
        <x:is>
          <x:t xml:space="preserve">N</x:t>
        </x:is>
      </x:c>
    </x:row>
    <x:row r="123">
      <x:c r="A123" t="inlineStr">
        <x:is>
          <x:t xml:space="preserve">Executive</x:t>
        </x:is>
      </x:c>
      <x:c r="B123" t="inlineStr">
        <x:is>
          <x:t xml:space="preserve">EXCO-D4-Q03</x:t>
        </x:is>
      </x:c>
      <x:c r="C123" t="inlineStr">
        <x:is>
          <x:t xml:space="preserve">EXCO-D4-Q03-A4</x:t>
        </x:is>
      </x:c>
      <x:c r="D123" t="n">
        <x:v>5</x:v>
      </x:c>
      <x:c r="E123" t="inlineStr">
        <x:is>
          <x:t xml:space="preserve">Managers have clear guidance, escalation paths and support; interventions are tracked.</x:t>
        </x:is>
      </x:c>
      <x:c r="F123" t="n">
        <x:v>3</x:v>
      </x:c>
      <x:c r="G123" t="inlineStr">
        <x:is>
          <x:t xml:space="preserve">good_practice</x:t>
        </x:is>
      </x:c>
      <x:c r="I123" t="inlineStr">
        <x:is>
          <x:t xml:space="preserve">Request_Evidence</x:t>
        </x:is>
      </x:c>
      <x:c r="J123" t="inlineStr">
        <x:is>
          <x:t xml:space="preserve">Y</x:t>
        </x:is>
      </x:c>
    </x:row>
    <x:row r="124">
      <x:c r="A124" t="inlineStr">
        <x:is>
          <x:t xml:space="preserve">Executive</x:t>
        </x:is>
      </x:c>
      <x:c r="B124" t="inlineStr">
        <x:is>
          <x:t xml:space="preserve">EXCO-D4-Q03</x:t>
        </x:is>
      </x:c>
      <x:c r="C124" t="inlineStr">
        <x:is>
          <x:t xml:space="preserve">EXCO-D4-Q03-A5</x:t>
        </x:is>
      </x:c>
      <x:c r="D124" t="n">
        <x:v>6</x:v>
      </x:c>
      <x:c r="E124" t="inlineStr">
        <x:is>
          <x:t xml:space="preserve">Manager capability is measured; early interventions reduce repeat incidents; learning loops exist.</x:t>
        </x:is>
      </x:c>
      <x:c r="F124" t="n">
        <x:v>4</x:v>
      </x:c>
      <x:c r="G124" t="inlineStr">
        <x:is>
          <x:t xml:space="preserve">optimized</x:t>
        </x:is>
      </x:c>
      <x:c r="I124" t="inlineStr">
        <x:is>
          <x:t xml:space="preserve">Request_Evidence</x:t>
        </x:is>
      </x:c>
      <x:c r="J124" t="inlineStr">
        <x:is>
          <x:t xml:space="preserve">Y</x:t>
        </x:is>
      </x:c>
    </x:row>
    <x:row r="125">
      <x:c r="A125" t="inlineStr">
        <x:is>
          <x:t xml:space="preserve">Executive</x:t>
        </x:is>
      </x:c>
      <x:c r="B125" t="inlineStr">
        <x:is>
          <x:t xml:space="preserve">EXCO-D4-Q04</x:t>
        </x:is>
      </x:c>
      <x:c r="C125" t="inlineStr">
        <x:is>
          <x:t xml:space="preserve">EXCO-D4-Q04-A0</x:t>
        </x:is>
      </x:c>
      <x:c r="D125" t="n">
        <x:v>1</x:v>
      </x:c>
      <x:c r="E125" t="inlineStr">
        <x:is>
          <x:t xml:space="preserve">I don’t know / not sure.</x:t>
        </x:is>
      </x:c>
      <x:c r="F125" t="n">
        <x:v>0</x:v>
      </x:c>
      <x:c r="G125" t="inlineStr">
        <x:is>
          <x:t xml:space="preserve">unknown</x:t>
        </x:is>
      </x:c>
      <x:c r="H125" t="inlineStr">
        <x:is>
          <x:t xml:space="preserve">Unknown</x:t>
        </x:is>
      </x:c>
      <x:c r="I125" t="inlineStr">
        <x:is>
          <x:t xml:space="preserve">Culture_Workshop</x:t>
        </x:is>
      </x:c>
      <x:c r="J125" t="inlineStr">
        <x:is>
          <x:t xml:space="preserve">N</x:t>
        </x:is>
      </x:c>
    </x:row>
    <x:row r="126">
      <x:c r="A126" t="inlineStr">
        <x:is>
          <x:t xml:space="preserve">Executive</x:t>
        </x:is>
      </x:c>
      <x:c r="B126" t="inlineStr">
        <x:is>
          <x:t xml:space="preserve">EXCO-D4-Q04</x:t>
        </x:is>
      </x:c>
      <x:c r="C126" t="inlineStr">
        <x:is>
          <x:t xml:space="preserve">EXCO-D4-Q04-A1</x:t>
        </x:is>
      </x:c>
      <x:c r="D126" t="n">
        <x:v>2</x:v>
      </x:c>
      <x:c r="E126" t="inlineStr">
        <x:is>
          <x:t xml:space="preserve">We mainly focus on catching and punishing bad behaviour.</x:t>
        </x:is>
      </x:c>
      <x:c r="F126" t="n">
        <x:v>0</x:v>
      </x:c>
      <x:c r="G126" t="inlineStr">
        <x:is>
          <x:t xml:space="preserve">toxic_enforcer_signal</x:t>
        </x:is>
      </x:c>
      <x:c r="H126" t="inlineStr">
        <x:is>
          <x:t xml:space="preserve">Toxic Enforcer</x:t>
        </x:is>
      </x:c>
      <x:c r="I126" t="inlineStr">
        <x:is>
          <x:t xml:space="preserve">Behavioral_Design</x:t>
        </x:is>
      </x:c>
      <x:c r="J126" t="inlineStr">
        <x:is>
          <x:t xml:space="preserve">N</x:t>
        </x:is>
      </x:c>
    </x:row>
    <x:row r="127">
      <x:c r="A127" t="inlineStr">
        <x:is>
          <x:t xml:space="preserve">Executive</x:t>
        </x:is>
      </x:c>
      <x:c r="B127" t="inlineStr">
        <x:is>
          <x:t xml:space="preserve">EXCO-D4-Q04</x:t>
        </x:is>
      </x:c>
      <x:c r="C127" t="inlineStr">
        <x:is>
          <x:t xml:space="preserve">EXCO-D4-Q04-A2</x:t>
        </x:is>
      </x:c>
      <x:c r="D127" t="n">
        <x:v>3</x:v>
      </x:c>
      <x:c r="E127" t="inlineStr">
        <x:is>
          <x:t xml:space="preserve">Managers sometimes thank people informally, but nothing systematic exists.</x:t>
        </x:is>
      </x:c>
      <x:c r="F127" t="n">
        <x:v>1</x:v>
      </x:c>
      <x:c r="G127" t="inlineStr">
        <x:is>
          <x:t xml:space="preserve">informal_only</x:t>
        </x:is>
      </x:c>
      <x:c r="H127" t="inlineStr">
        <x:is>
          <x:t xml:space="preserve">Shadow Mature</x:t>
        </x:is>
      </x:c>
      <x:c r="I127" t="inlineStr">
        <x:is>
          <x:t xml:space="preserve">Formalize_Reinforcement</x:t>
        </x:is>
      </x:c>
      <x:c r="J127" t="inlineStr">
        <x:is>
          <x:t xml:space="preserve">N</x:t>
        </x:is>
      </x:c>
    </x:row>
    <x:row r="128">
      <x:c r="A128" t="inlineStr">
        <x:is>
          <x:t xml:space="preserve">Executive</x:t>
        </x:is>
      </x:c>
      <x:c r="B128" t="inlineStr">
        <x:is>
          <x:t xml:space="preserve">EXCO-D4-Q04</x:t>
        </x:is>
      </x:c>
      <x:c r="C128" t="inlineStr">
        <x:is>
          <x:t xml:space="preserve">EXCO-D4-Q04-A3</x:t>
        </x:is>
      </x:c>
      <x:c r="D128" t="n">
        <x:v>4</x:v>
      </x:c>
      <x:c r="E128" t="inlineStr">
        <x:is>
          <x:t xml:space="preserve">We do generic awareness communications, but behaviour change isn’t measured.</x:t>
        </x:is>
      </x:c>
      <x:c r="F128" t="n">
        <x:v>2</x:v>
      </x:c>
      <x:c r="G128" t="inlineStr">
        <x:is>
          <x:t xml:space="preserve">paper_process</x:t>
        </x:is>
      </x:c>
      <x:c r="H128" t="inlineStr">
        <x:is>
          <x:t xml:space="preserve">Paper Dragon</x:t>
        </x:is>
      </x:c>
      <x:c r="I128" t="inlineStr">
        <x:is>
          <x:t xml:space="preserve">Behavioral_Design</x:t>
        </x:is>
      </x:c>
      <x:c r="J128" t="inlineStr">
        <x:is>
          <x:t xml:space="preserve">N</x:t>
        </x:is>
      </x:c>
    </x:row>
    <x:row r="129">
      <x:c r="A129" t="inlineStr">
        <x:is>
          <x:t xml:space="preserve">Executive</x:t>
        </x:is>
      </x:c>
      <x:c r="B129" t="inlineStr">
        <x:is>
          <x:t xml:space="preserve">EXCO-D4-Q04</x:t>
        </x:is>
      </x:c>
      <x:c r="C129" t="inlineStr">
        <x:is>
          <x:t xml:space="preserve">EXCO-D4-Q04-A4</x:t>
        </x:is>
      </x:c>
      <x:c r="D129" t="n">
        <x:v>5</x:v>
      </x:c>
      <x:c r="E129" t="inlineStr">
        <x:is>
          <x:t xml:space="preserve">We recognise good reporting and measure participation/engagement.</x:t>
        </x:is>
      </x:c>
      <x:c r="F129" t="n">
        <x:v>3</x:v>
      </x:c>
      <x:c r="G129" t="inlineStr">
        <x:is>
          <x:t xml:space="preserve">good_practice</x:t>
        </x:is>
      </x:c>
      <x:c r="I129" t="inlineStr">
        <x:is>
          <x:t xml:space="preserve">Request_Evidence</x:t>
        </x:is>
      </x:c>
      <x:c r="J129" t="inlineStr">
        <x:is>
          <x:t xml:space="preserve">Y</x:t>
        </x:is>
      </x:c>
    </x:row>
    <x:row r="130">
      <x:c r="A130" t="inlineStr">
        <x:is>
          <x:t xml:space="preserve">Executive</x:t>
        </x:is>
      </x:c>
      <x:c r="B130" t="inlineStr">
        <x:is>
          <x:t xml:space="preserve">EXCO-D4-Q04</x:t>
        </x:is>
      </x:c>
      <x:c r="C130" t="inlineStr">
        <x:is>
          <x:t xml:space="preserve">EXCO-D4-Q04-A5</x:t>
        </x:is>
      </x:c>
      <x:c r="D130" t="n">
        <x:v>6</x:v>
      </x:c>
      <x:c r="E130" t="inlineStr">
        <x:is>
          <x:t xml:space="preserve">We run behavioural programs (nudges, simplification, incentives) with measurable outcomes.</x:t>
        </x:is>
      </x:c>
      <x:c r="F130" t="n">
        <x:v>4</x:v>
      </x:c>
      <x:c r="G130" t="inlineStr">
        <x:is>
          <x:t xml:space="preserve">optimized</x:t>
        </x:is>
      </x:c>
      <x:c r="I130" t="inlineStr">
        <x:is>
          <x:t xml:space="preserve">Request_Evidence</x:t>
        </x:is>
      </x:c>
      <x:c r="J130" t="inlineStr">
        <x:is>
          <x:t xml:space="preserve">Y</x:t>
        </x:is>
      </x:c>
    </x:row>
    <x:row r="131">
      <x:c r="A131" t="inlineStr">
        <x:is>
          <x:t xml:space="preserve">Executive</x:t>
        </x:is>
      </x:c>
      <x:c r="B131" t="inlineStr">
        <x:is>
          <x:t xml:space="preserve">EXCO-D5-Q01</x:t>
        </x:is>
      </x:c>
      <x:c r="C131" t="inlineStr">
        <x:is>
          <x:t xml:space="preserve">EXCO-D5-Q01-A0</x:t>
        </x:is>
      </x:c>
      <x:c r="D131" t="n">
        <x:v>1</x:v>
      </x:c>
      <x:c r="E131" t="inlineStr">
        <x:is>
          <x:t xml:space="preserve">I don’t know / not sure.</x:t>
        </x:is>
      </x:c>
      <x:c r="F131" t="n">
        <x:v>0</x:v>
      </x:c>
      <x:c r="G131" t="inlineStr">
        <x:is>
          <x:t xml:space="preserve">unknown</x:t>
        </x:is>
      </x:c>
      <x:c r="H131" t="inlineStr">
        <x:is>
          <x:t xml:space="preserve">Unknown</x:t>
        </x:is>
      </x:c>
      <x:c r="I131" t="inlineStr">
        <x:is>
          <x:t xml:space="preserve">Assess_Friction</x:t>
        </x:is>
      </x:c>
      <x:c r="J131" t="inlineStr">
        <x:is>
          <x:t xml:space="preserve">N</x:t>
        </x:is>
      </x:c>
    </x:row>
    <x:row r="132">
      <x:c r="A132" t="inlineStr">
        <x:is>
          <x:t xml:space="preserve">Executive</x:t>
        </x:is>
      </x:c>
      <x:c r="B132" t="inlineStr">
        <x:is>
          <x:t xml:space="preserve">EXCO-D5-Q01</x:t>
        </x:is>
      </x:c>
      <x:c r="C132" t="inlineStr">
        <x:is>
          <x:t xml:space="preserve">EXCO-D5-Q01-A1</x:t>
        </x:is>
      </x:c>
      <x:c r="D132" t="n">
        <x:v>2</x:v>
      </x:c>
      <x:c r="E132" t="inlineStr">
        <x:is>
          <x:t xml:space="preserve">High friction—controls frequently block normal work; people regularly use workarounds.</x:t>
        </x:is>
      </x:c>
      <x:c r="F132" t="n">
        <x:v>0</x:v>
      </x:c>
      <x:c r="G132" t="inlineStr">
        <x:is>
          <x:t xml:space="preserve">bypass_pressure</x:t>
        </x:is>
      </x:c>
      <x:c r="H132" t="inlineStr">
        <x:is>
          <x:t xml:space="preserve">Bypass Pressure</x:t>
        </x:is>
      </x:c>
      <x:c r="I132" t="inlineStr">
        <x:is>
          <x:t xml:space="preserve">Security_UX_Review</x:t>
        </x:is>
      </x:c>
      <x:c r="J132" t="inlineStr">
        <x:is>
          <x:t xml:space="preserve">N</x:t>
        </x:is>
      </x:c>
    </x:row>
    <x:row r="133">
      <x:c r="A133" t="inlineStr">
        <x:is>
          <x:t xml:space="preserve">Executive</x:t>
        </x:is>
      </x:c>
      <x:c r="B133" t="inlineStr">
        <x:is>
          <x:t xml:space="preserve">EXCO-D5-Q01</x:t>
        </x:is>
      </x:c>
      <x:c r="C133" t="inlineStr">
        <x:is>
          <x:t xml:space="preserve">EXCO-D5-Q01-A2</x:t>
        </x:is>
      </x:c>
      <x:c r="D133" t="n">
        <x:v>3</x:v>
      </x:c>
      <x:c r="E133" t="inlineStr">
        <x:is>
          <x:t xml:space="preserve">Moderate friction—workarounds happen in some teams or processes.</x:t>
        </x:is>
      </x:c>
      <x:c r="F133" t="n">
        <x:v>1</x:v>
      </x:c>
      <x:c r="G133" t="inlineStr">
        <x:is>
          <x:t xml:space="preserve">bypass_pressure</x:t>
        </x:is>
      </x:c>
      <x:c r="H133" t="inlineStr">
        <x:is>
          <x:t xml:space="preserve">Bypass Pressure</x:t>
        </x:is>
      </x:c>
      <x:c r="I133" t="inlineStr">
        <x:is>
          <x:t xml:space="preserve">Security_UX_Review</x:t>
        </x:is>
      </x:c>
      <x:c r="J133" t="inlineStr">
        <x:is>
          <x:t xml:space="preserve">N</x:t>
        </x:is>
      </x:c>
    </x:row>
    <x:row r="134">
      <x:c r="A134" t="inlineStr">
        <x:is>
          <x:t xml:space="preserve">Executive</x:t>
        </x:is>
      </x:c>
      <x:c r="B134" t="inlineStr">
        <x:is>
          <x:t xml:space="preserve">EXCO-D5-Q01</x:t>
        </x:is>
      </x:c>
      <x:c r="C134" t="inlineStr">
        <x:is>
          <x:t xml:space="preserve">EXCO-D5-Q01-A3</x:t>
        </x:is>
      </x:c>
      <x:c r="D134" t="n">
        <x:v>4</x:v>
      </x:c>
      <x:c r="E134" t="inlineStr">
        <x:is>
          <x:t xml:space="preserve">We think it’s fine, but we don’t measure exceptions, bypasses, or complaints.</x:t>
        </x:is>
      </x:c>
      <x:c r="F134" t="n">
        <x:v>2</x:v>
      </x:c>
      <x:c r="G134" t="inlineStr">
        <x:is>
          <x:t xml:space="preserve">blind_spot</x:t>
        </x:is>
      </x:c>
      <x:c r="H134" t="inlineStr">
        <x:is>
          <x:t xml:space="preserve">Paper Dragon</x:t>
        </x:is>
      </x:c>
      <x:c r="I134" t="inlineStr">
        <x:is>
          <x:t xml:space="preserve">Measure_Friction</x:t>
        </x:is>
      </x:c>
      <x:c r="J134" t="inlineStr">
        <x:is>
          <x:t xml:space="preserve">N</x:t>
        </x:is>
      </x:c>
    </x:row>
    <x:row r="135">
      <x:c r="A135" t="inlineStr">
        <x:is>
          <x:t xml:space="preserve">Executive</x:t>
        </x:is>
      </x:c>
      <x:c r="B135" t="inlineStr">
        <x:is>
          <x:t xml:space="preserve">EXCO-D5-Q01</x:t>
        </x:is>
      </x:c>
      <x:c r="C135" t="inlineStr">
        <x:is>
          <x:t xml:space="preserve">EXCO-D5-Q01-A4</x:t>
        </x:is>
      </x:c>
      <x:c r="D135" t="n">
        <x:v>5</x:v>
      </x:c>
      <x:c r="E135" t="inlineStr">
        <x:is>
          <x:t xml:space="preserve">Friction is monitored (exceptions, tickets, false positives) and we improve controls regularly.</x:t>
        </x:is>
      </x:c>
      <x:c r="F135" t="n">
        <x:v>3</x:v>
      </x:c>
      <x:c r="G135" t="inlineStr">
        <x:is>
          <x:t xml:space="preserve">good_practice</x:t>
        </x:is>
      </x:c>
      <x:c r="I135" t="inlineStr">
        <x:is>
          <x:t xml:space="preserve">Request_Evidence</x:t>
        </x:is>
      </x:c>
      <x:c r="J135" t="inlineStr">
        <x:is>
          <x:t xml:space="preserve">Y</x:t>
        </x:is>
      </x:c>
    </x:row>
    <x:row r="136">
      <x:c r="A136" t="inlineStr">
        <x:is>
          <x:t xml:space="preserve">Executive</x:t>
        </x:is>
      </x:c>
      <x:c r="B136" t="inlineStr">
        <x:is>
          <x:t xml:space="preserve">EXCO-D5-Q01</x:t>
        </x:is>
      </x:c>
      <x:c r="C136" t="inlineStr">
        <x:is>
          <x:t xml:space="preserve">EXCO-D5-Q01-A5</x:t>
        </x:is>
      </x:c>
      <x:c r="D136" t="n">
        <x:v>6</x:v>
      </x:c>
      <x:c r="E136" t="inlineStr">
        <x:is>
          <x:t xml:space="preserve">Controls are designed for usability; bypass signals are low and measured; improvements are continuous.</x:t>
        </x:is>
      </x:c>
      <x:c r="F136" t="n">
        <x:v>4</x:v>
      </x:c>
      <x:c r="G136" t="inlineStr">
        <x:is>
          <x:t xml:space="preserve">optimized</x:t>
        </x:is>
      </x:c>
      <x:c r="I136" t="inlineStr">
        <x:is>
          <x:t xml:space="preserve">Request_Evidence</x:t>
        </x:is>
      </x:c>
      <x:c r="J136" t="inlineStr">
        <x:is>
          <x:t xml:space="preserve">Y</x:t>
        </x:is>
      </x:c>
    </x:row>
    <x:row r="137">
      <x:c r="A137" t="inlineStr">
        <x:is>
          <x:t xml:space="preserve">Executive</x:t>
        </x:is>
      </x:c>
      <x:c r="B137" t="inlineStr">
        <x:is>
          <x:t xml:space="preserve">EXCO-D5-Q02</x:t>
        </x:is>
      </x:c>
      <x:c r="C137" t="inlineStr">
        <x:is>
          <x:t xml:space="preserve">EXCO-D5-Q02-A1</x:t>
        </x:is>
      </x:c>
      <x:c r="D137" t="n">
        <x:v>1</x:v>
      </x:c>
      <x:c r="E137" t="inlineStr">
        <x:is>
          <x:t xml:space="preserve">No—we only find out after incidents or audits.</x:t>
        </x:is>
      </x:c>
      <x:c r="F137" t="n">
        <x:v>0</x:v>
      </x:c>
      <x:c r="G137" t="inlineStr">
        <x:is>
          <x:t xml:space="preserve">bypass_pressure,visibility_gap</x:t>
        </x:is>
      </x:c>
      <x:c r="H137" t="inlineStr">
        <x:is>
          <x:t xml:space="preserve">Bypass Pressure</x:t>
        </x:is>
      </x:c>
      <x:c r="I137" t="inlineStr">
        <x:is>
          <x:t xml:space="preserve">ShadowIT_Discovery</x:t>
        </x:is>
      </x:c>
      <x:c r="J137" t="inlineStr">
        <x:is>
          <x:t xml:space="preserve">N</x:t>
        </x:is>
      </x:c>
    </x:row>
    <x:row r="138">
      <x:c r="A138" t="inlineStr">
        <x:is>
          <x:t xml:space="preserve">Executive</x:t>
        </x:is>
      </x:c>
      <x:c r="B138" t="inlineStr">
        <x:is>
          <x:t xml:space="preserve">EXCO-D5-Q02</x:t>
        </x:is>
      </x:c>
      <x:c r="C138" t="inlineStr">
        <x:is>
          <x:t xml:space="preserve">EXCO-D5-Q02-A2</x:t>
        </x:is>
      </x:c>
      <x:c r="D138" t="n">
        <x:v>2</x:v>
      </x:c>
      <x:c r="E138" t="inlineStr">
        <x:is>
          <x:t xml:space="preserve">We hear about it informally, but we don’t have a structured view of causes.</x:t>
        </x:is>
      </x:c>
      <x:c r="F138" t="n">
        <x:v>1</x:v>
      </x:c>
      <x:c r="G138" t="inlineStr">
        <x:is>
          <x:t xml:space="preserve">shadow_signal</x:t>
        </x:is>
      </x:c>
      <x:c r="H138" t="inlineStr">
        <x:is>
          <x:t xml:space="preserve">Shadow Mature</x:t>
        </x:is>
      </x:c>
      <x:c r="I138" t="inlineStr">
        <x:is>
          <x:t xml:space="preserve">ShadowIT_Discovery</x:t>
        </x:is>
      </x:c>
      <x:c r="J138" t="inlineStr">
        <x:is>
          <x:t xml:space="preserve">N</x:t>
        </x:is>
      </x:c>
    </x:row>
    <x:row r="139">
      <x:c r="A139" t="inlineStr">
        <x:is>
          <x:t xml:space="preserve">Executive</x:t>
        </x:is>
      </x:c>
      <x:c r="B139" t="inlineStr">
        <x:is>
          <x:t xml:space="preserve">EXCO-D5-Q02</x:t>
        </x:is>
      </x:c>
      <x:c r="C139" t="inlineStr">
        <x:is>
          <x:t xml:space="preserve">EXCO-D5-Q02-A3</x:t>
        </x:is>
      </x:c>
      <x:c r="D139" t="n">
        <x:v>3</x:v>
      </x:c>
      <x:c r="E139" t="inlineStr">
        <x:is>
          <x:t xml:space="preserve">We track some signals (tickets, audits), but visibility is incomplete.</x:t>
        </x:is>
      </x:c>
      <x:c r="F139" t="n">
        <x:v>2</x:v>
      </x:c>
      <x:c r="G139" t="inlineStr">
        <x:is>
          <x:t xml:space="preserve">partial_visibility</x:t>
        </x:is>
      </x:c>
      <x:c r="I139" t="inlineStr">
        <x:is>
          <x:t xml:space="preserve">Improve_Visibility</x:t>
        </x:is>
      </x:c>
      <x:c r="J139" t="inlineStr">
        <x:is>
          <x:t xml:space="preserve">N</x:t>
        </x:is>
      </x:c>
    </x:row>
    <x:row r="140">
      <x:c r="A140" t="inlineStr">
        <x:is>
          <x:t xml:space="preserve">Executive</x:t>
        </x:is>
      </x:c>
      <x:c r="B140" t="inlineStr">
        <x:is>
          <x:t xml:space="preserve">EXCO-D5-Q02</x:t>
        </x:is>
      </x:c>
      <x:c r="C140" t="inlineStr">
        <x:is>
          <x:t xml:space="preserve">EXCO-D5-Q02-A4</x:t>
        </x:is>
      </x:c>
      <x:c r="D140" t="n">
        <x:v>4</x:v>
      </x:c>
      <x:c r="E140" t="inlineStr">
        <x:is>
          <x:t xml:space="preserve">Yes—we track workarounds and address root causes (usability, process speed, missing tools).</x:t>
        </x:is>
      </x:c>
      <x:c r="F140" t="n">
        <x:v>3</x:v>
      </x:c>
      <x:c r="G140" t="inlineStr">
        <x:is>
          <x:t xml:space="preserve">good_practice</x:t>
        </x:is>
      </x:c>
      <x:c r="I140" t="inlineStr">
        <x:is>
          <x:t xml:space="preserve">Request_Evidence</x:t>
        </x:is>
      </x:c>
      <x:c r="J140" t="inlineStr">
        <x:is>
          <x:t xml:space="preserve">Y</x:t>
        </x:is>
      </x:c>
    </x:row>
    <x:row r="141">
      <x:c r="A141" t="inlineStr">
        <x:is>
          <x:t xml:space="preserve">Executive</x:t>
        </x:is>
      </x:c>
      <x:c r="B141" t="inlineStr">
        <x:is>
          <x:t xml:space="preserve">EXCO-D5-Q03</x:t>
        </x:is>
      </x:c>
      <x:c r="C141" t="inlineStr">
        <x:is>
          <x:t xml:space="preserve">EXCO-D5-Q03-A0</x:t>
        </x:is>
      </x:c>
      <x:c r="D141" t="n">
        <x:v>1</x:v>
      </x:c>
      <x:c r="E141" t="inlineStr">
        <x:is>
          <x:t xml:space="preserve">I don’t know / not sure.</x:t>
        </x:is>
      </x:c>
      <x:c r="F141" t="n">
        <x:v>0</x:v>
      </x:c>
      <x:c r="G141" t="inlineStr">
        <x:is>
          <x:t xml:space="preserve">unknown</x:t>
        </x:is>
      </x:c>
      <x:c r="H141" t="inlineStr">
        <x:is>
          <x:t xml:space="preserve">Unknown</x:t>
        </x:is>
      </x:c>
      <x:c r="I141" t="inlineStr">
        <x:is>
          <x:t xml:space="preserve">ShadowIT_Process</x:t>
        </x:is>
      </x:c>
      <x:c r="J141" t="inlineStr">
        <x:is>
          <x:t xml:space="preserve">N</x:t>
        </x:is>
      </x:c>
    </x:row>
    <x:row r="142">
      <x:c r="A142" t="inlineStr">
        <x:is>
          <x:t xml:space="preserve">Executive</x:t>
        </x:is>
      </x:c>
      <x:c r="B142" t="inlineStr">
        <x:is>
          <x:t xml:space="preserve">EXCO-D5-Q03</x:t>
        </x:is>
      </x:c>
      <x:c r="C142" t="inlineStr">
        <x:is>
          <x:t xml:space="preserve">EXCO-D5-Q03-A1</x:t>
        </x:is>
      </x:c>
      <x:c r="D142" t="n">
        <x:v>2</x:v>
      </x:c>
      <x:c r="E142" t="inlineStr">
        <x:is>
          <x:t xml:space="preserve">No—shadow IT is blocked/punished, but alternatives are not provided.</x:t>
        </x:is>
      </x:c>
      <x:c r="F142" t="n">
        <x:v>0</x:v>
      </x:c>
      <x:c r="G142" t="inlineStr">
        <x:is>
          <x:t xml:space="preserve">toxic_enforcer_signal,bypass_pressure</x:t>
        </x:is>
      </x:c>
      <x:c r="H142" t="inlineStr">
        <x:is>
          <x:t xml:space="preserve">Bypass Pressure</x:t>
        </x:is>
      </x:c>
      <x:c r="I142" t="inlineStr">
        <x:is>
          <x:t xml:space="preserve">Security_UX_Review</x:t>
        </x:is>
      </x:c>
      <x:c r="J142" t="inlineStr">
        <x:is>
          <x:t xml:space="preserve">N</x:t>
        </x:is>
      </x:c>
    </x:row>
    <x:row r="143">
      <x:c r="A143" t="inlineStr">
        <x:is>
          <x:t xml:space="preserve">Executive</x:t>
        </x:is>
      </x:c>
      <x:c r="B143" t="inlineStr">
        <x:is>
          <x:t xml:space="preserve">EXCO-D5-Q03</x:t>
        </x:is>
      </x:c>
      <x:c r="C143" t="inlineStr">
        <x:is>
          <x:t xml:space="preserve">EXCO-D5-Q03-A2</x:t>
        </x:is>
      </x:c>
      <x:c r="D143" t="n">
        <x:v>3</x:v>
      </x:c>
      <x:c r="E143" t="inlineStr">
        <x:is>
          <x:t xml:space="preserve">Sometimes—depends on the team; approvals are slow.</x:t>
        </x:is>
      </x:c>
      <x:c r="F143" t="n">
        <x:v>1</x:v>
      </x:c>
      <x:c r="G143" t="inlineStr">
        <x:is>
          <x:t xml:space="preserve">control_lag_high</x:t>
        </x:is>
      </x:c>
      <x:c r="H143" t="inlineStr">
        <x:is>
          <x:t xml:space="preserve">Control Lag</x:t>
        </x:is>
      </x:c>
      <x:c r="I143" t="inlineStr">
        <x:is>
          <x:t xml:space="preserve">Speed_Alternatives</x:t>
        </x:is>
      </x:c>
      <x:c r="J143" t="inlineStr">
        <x:is>
          <x:t xml:space="preserve">N</x:t>
        </x:is>
      </x:c>
    </x:row>
    <x:row r="144">
      <x:c r="A144" t="inlineStr">
        <x:is>
          <x:t xml:space="preserve">Executive</x:t>
        </x:is>
      </x:c>
      <x:c r="B144" t="inlineStr">
        <x:is>
          <x:t xml:space="preserve">EXCO-D5-Q03</x:t>
        </x:is>
      </x:c>
      <x:c r="C144" t="inlineStr">
        <x:is>
          <x:t xml:space="preserve">EXCO-D5-Q03-A3</x:t>
        </x:is>
      </x:c>
      <x:c r="D144" t="n">
        <x:v>4</x:v>
      </x:c>
      <x:c r="E144" t="inlineStr">
        <x:is>
          <x:t xml:space="preserve">We have a process, but it’s not measured (time-to-approve, adoption).</x:t>
        </x:is>
      </x:c>
      <x:c r="F144" t="n">
        <x:v>2</x:v>
      </x:c>
      <x:c r="G144" t="inlineStr">
        <x:is>
          <x:t xml:space="preserve">paper_process</x:t>
        </x:is>
      </x:c>
      <x:c r="H144" t="inlineStr">
        <x:is>
          <x:t xml:space="preserve">Paper Dragon</x:t>
        </x:is>
      </x:c>
      <x:c r="I144" t="inlineStr">
        <x:is>
          <x:t xml:space="preserve">Measure_Alt_Delivery</x:t>
        </x:is>
      </x:c>
      <x:c r="J144" t="inlineStr">
        <x:is>
          <x:t xml:space="preserve">N</x:t>
        </x:is>
      </x:c>
    </x:row>
    <x:row r="145">
      <x:c r="A145" t="inlineStr">
        <x:is>
          <x:t xml:space="preserve">Executive</x:t>
        </x:is>
      </x:c>
      <x:c r="B145" t="inlineStr">
        <x:is>
          <x:t xml:space="preserve">EXCO-D5-Q03</x:t>
        </x:is>
      </x:c>
      <x:c r="C145" t="inlineStr">
        <x:is>
          <x:t xml:space="preserve">EXCO-D5-Q03-A4</x:t>
        </x:is>
      </x:c>
      <x:c r="D145" t="n">
        <x:v>5</x:v>
      </x:c>
      <x:c r="E145" t="inlineStr">
        <x:is>
          <x:t xml:space="preserve">Yes—there is a fast review and rollout process; adoption is tracked.</x:t>
        </x:is>
      </x:c>
      <x:c r="F145" t="n">
        <x:v>3</x:v>
      </x:c>
      <x:c r="G145" t="inlineStr">
        <x:is>
          <x:t xml:space="preserve">good_practice</x:t>
        </x:is>
      </x:c>
      <x:c r="I145" t="inlineStr">
        <x:is>
          <x:t xml:space="preserve">Request_Evidence</x:t>
        </x:is>
      </x:c>
      <x:c r="J145" t="inlineStr">
        <x:is>
          <x:t xml:space="preserve">Y</x:t>
        </x:is>
      </x:c>
    </x:row>
    <x:row r="146">
      <x:c r="A146" t="inlineStr">
        <x:is>
          <x:t xml:space="preserve">Executive</x:t>
        </x:is>
      </x:c>
      <x:c r="B146" t="inlineStr">
        <x:is>
          <x:t xml:space="preserve">EXCO-D5-Q03</x:t>
        </x:is>
      </x:c>
      <x:c r="C146" t="inlineStr">
        <x:is>
          <x:t xml:space="preserve">EXCO-D5-Q03-A5</x:t>
        </x:is>
      </x:c>
      <x:c r="D146" t="n">
        <x:v>6</x:v>
      </x:c>
      <x:c r="E146" t="inlineStr">
        <x:is>
          <x:t xml:space="preserve">Yes—secure alternatives are delivered quickly (days), with continuous feedback and improvement.</x:t>
        </x:is>
      </x:c>
      <x:c r="F146" t="n">
        <x:v>4</x:v>
      </x:c>
      <x:c r="G146" t="inlineStr">
        <x:is>
          <x:t xml:space="preserve">optimized</x:t>
        </x:is>
      </x:c>
      <x:c r="I146" t="inlineStr">
        <x:is>
          <x:t xml:space="preserve">Request_Evidence</x:t>
        </x:is>
      </x:c>
      <x:c r="J146" t="inlineStr">
        <x:is>
          <x:t xml:space="preserve">Y</x:t>
        </x:is>
      </x:c>
    </x:row>
    <x:row r="147">
      <x:c r="A147" t="inlineStr">
        <x:is>
          <x:t xml:space="preserve">Executive</x:t>
        </x:is>
      </x:c>
      <x:c r="B147" t="inlineStr">
        <x:is>
          <x:t xml:space="preserve">EXCO-D6-Q01</x:t>
        </x:is>
      </x:c>
      <x:c r="C147" t="inlineStr">
        <x:is>
          <x:t xml:space="preserve">EXCO-D6-Q01-A0</x:t>
        </x:is>
      </x:c>
      <x:c r="D147" t="n">
        <x:v>1</x:v>
      </x:c>
      <x:c r="E147" t="inlineStr">
        <x:is>
          <x:t xml:space="preserve">I don’t know / not sure.</x:t>
        </x:is>
      </x:c>
      <x:c r="F147" t="n">
        <x:v>0</x:v>
      </x:c>
      <x:c r="G147" t="inlineStr">
        <x:is>
          <x:t xml:space="preserve">unknown</x:t>
        </x:is>
      </x:c>
      <x:c r="H147" t="inlineStr">
        <x:is>
          <x:t xml:space="preserve">Unknown</x:t>
        </x:is>
      </x:c>
      <x:c r="I147" t="inlineStr">
        <x:is>
          <x:t xml:space="preserve">Assess_Detection</x:t>
        </x:is>
      </x:c>
      <x:c r="J147" t="inlineStr">
        <x:is>
          <x:t xml:space="preserve">N</x:t>
        </x:is>
      </x:c>
    </x:row>
    <x:row r="148">
      <x:c r="A148" t="inlineStr">
        <x:is>
          <x:t xml:space="preserve">Executive</x:t>
        </x:is>
      </x:c>
      <x:c r="B148" t="inlineStr">
        <x:is>
          <x:t xml:space="preserve">EXCO-D6-Q01</x:t>
        </x:is>
      </x:c>
      <x:c r="C148" t="inlineStr">
        <x:is>
          <x:t xml:space="preserve">EXCO-D6-Q01-A1</x:t>
        </x:is>
      </x:c>
      <x:c r="D148" t="n">
        <x:v>2</x:v>
      </x:c>
      <x:c r="E148" t="inlineStr">
        <x:is>
          <x:t xml:space="preserve">Reactive—mostly investigated after a serious incident or tip-off.</x:t>
        </x:is>
      </x:c>
      <x:c r="F148" t="n">
        <x:v>0</x:v>
      </x:c>
      <x:c r="G148" t="inlineStr">
        <x:is>
          <x:t xml:space="preserve">foundational_gap</x:t>
        </x:is>
      </x:c>
      <x:c r="H148" t="inlineStr">
        <x:is>
          <x:t xml:space="preserve">Resilience Gap</x:t>
        </x:is>
      </x:c>
      <x:c r="I148" t="inlineStr">
        <x:is>
          <x:t xml:space="preserve">Build_Detection_Strategy</x:t>
        </x:is>
      </x:c>
      <x:c r="J148" t="inlineStr">
        <x:is>
          <x:t xml:space="preserve">N</x:t>
        </x:is>
      </x:c>
    </x:row>
    <x:row r="149">
      <x:c r="A149" t="inlineStr">
        <x:is>
          <x:t xml:space="preserve">Executive</x:t>
        </x:is>
      </x:c>
      <x:c r="B149" t="inlineStr">
        <x:is>
          <x:t xml:space="preserve">EXCO-D6-Q01</x:t>
        </x:is>
      </x:c>
      <x:c r="C149" t="inlineStr">
        <x:is>
          <x:t xml:space="preserve">EXCO-D6-Q01-A2</x:t>
        </x:is>
      </x:c>
      <x:c r="D149" t="n">
        <x:v>3</x:v>
      </x:c>
      <x:c r="E149" t="inlineStr">
        <x:is>
          <x:t xml:space="preserve">Ad-hoc—experienced individuals spot patterns, but it’s not systematic.</x:t>
        </x:is>
      </x:c>
      <x:c r="F149" t="n">
        <x:v>1</x:v>
      </x:c>
      <x:c r="G149" t="inlineStr">
        <x:is>
          <x:t xml:space="preserve">key_person_dependency,shadow_signal</x:t>
        </x:is>
      </x:c>
      <x:c r="H149" t="inlineStr">
        <x:is>
          <x:t xml:space="preserve">Shadow Mature</x:t>
        </x:is>
      </x:c>
      <x:c r="I149" t="inlineStr">
        <x:is>
          <x:t xml:space="preserve">Systematize_Detection</x:t>
        </x:is>
      </x:c>
      <x:c r="J149" t="inlineStr">
        <x:is>
          <x:t xml:space="preserve">N</x:t>
        </x:is>
      </x:c>
    </x:row>
    <x:row r="150">
      <x:c r="A150" t="inlineStr">
        <x:is>
          <x:t xml:space="preserve">Executive</x:t>
        </x:is>
      </x:c>
      <x:c r="B150" t="inlineStr">
        <x:is>
          <x:t xml:space="preserve">EXCO-D6-Q01</x:t>
        </x:is>
      </x:c>
      <x:c r="C150" t="inlineStr">
        <x:is>
          <x:t xml:space="preserve">EXCO-D6-Q01-A3</x:t>
        </x:is>
      </x:c>
      <x:c r="D150" t="n">
        <x:v>4</x:v>
      </x:c>
      <x:c r="E150" t="inlineStr">
        <x:is>
          <x:t xml:space="preserve">Rule-based monitoring exists (thresholds), but quality (false positives/coverage) is not measured.</x:t>
        </x:is>
      </x:c>
      <x:c r="F150" t="n">
        <x:v>2</x:v>
      </x:c>
      <x:c r="G150" t="inlineStr">
        <x:is>
          <x:t xml:space="preserve">paper_process</x:t>
        </x:is>
      </x:c>
      <x:c r="H150" t="inlineStr">
        <x:is>
          <x:t xml:space="preserve">Paper Dragon</x:t>
        </x:is>
      </x:c>
      <x:c r="I150" t="inlineStr">
        <x:is>
          <x:t xml:space="preserve">Improve_Metrics</x:t>
        </x:is>
      </x:c>
      <x:c r="J150" t="inlineStr">
        <x:is>
          <x:t xml:space="preserve">N</x:t>
        </x:is>
      </x:c>
    </x:row>
    <x:row r="151">
      <x:c r="A151" t="inlineStr">
        <x:is>
          <x:t xml:space="preserve">Executive</x:t>
        </x:is>
      </x:c>
      <x:c r="B151" t="inlineStr">
        <x:is>
          <x:t xml:space="preserve">EXCO-D6-Q01</x:t>
        </x:is>
      </x:c>
      <x:c r="C151" t="inlineStr">
        <x:is>
          <x:t xml:space="preserve">EXCO-D6-Q01-A4</x:t>
        </x:is>
      </x:c>
      <x:c r="D151" t="n">
        <x:v>5</x:v>
      </x:c>
      <x:c r="E151" t="inlineStr">
        <x:is>
          <x:t xml:space="preserve">Risk-based monitoring focuses on sensitive data/systems; detection quality is measured.</x:t>
        </x:is>
      </x:c>
      <x:c r="F151" t="n">
        <x:v>3</x:v>
      </x:c>
      <x:c r="G151" t="inlineStr">
        <x:is>
          <x:t xml:space="preserve">good_practice</x:t>
        </x:is>
      </x:c>
      <x:c r="I151" t="inlineStr">
        <x:is>
          <x:t xml:space="preserve">Request_Evidence</x:t>
        </x:is>
      </x:c>
      <x:c r="J151" t="inlineStr">
        <x:is>
          <x:t xml:space="preserve">Y</x:t>
        </x:is>
      </x:c>
    </x:row>
    <x:row r="152">
      <x:c r="A152" t="inlineStr">
        <x:is>
          <x:t xml:space="preserve">Executive</x:t>
        </x:is>
      </x:c>
      <x:c r="B152" t="inlineStr">
        <x:is>
          <x:t xml:space="preserve">EXCO-D6-Q01</x:t>
        </x:is>
      </x:c>
      <x:c r="C152" t="inlineStr">
        <x:is>
          <x:t xml:space="preserve">EXCO-D6-Q01-A5</x:t>
        </x:is>
      </x:c>
      <x:c r="D152" t="n">
        <x:v>6</x:v>
      </x:c>
      <x:c r="E152" t="inlineStr">
        <x:is>
          <x:t xml:space="preserve">Integrated detection combining multiple signals with continuous tuning and independent quality checks.</x:t>
        </x:is>
      </x:c>
      <x:c r="F152" t="n">
        <x:v>4</x:v>
      </x:c>
      <x:c r="G152" t="inlineStr">
        <x:is>
          <x:t xml:space="preserve">optimized</x:t>
        </x:is>
      </x:c>
      <x:c r="I152" t="inlineStr">
        <x:is>
          <x:t xml:space="preserve">Request_Evidence</x:t>
        </x:is>
      </x:c>
      <x:c r="J152" t="inlineStr">
        <x:is>
          <x:t xml:space="preserve">Y</x:t>
        </x:is>
      </x:c>
    </x:row>
    <x:row r="153">
      <x:c r="A153" t="inlineStr">
        <x:is>
          <x:t xml:space="preserve">Executive</x:t>
        </x:is>
      </x:c>
      <x:c r="B153" t="inlineStr">
        <x:is>
          <x:t xml:space="preserve">EXCO-D6-Q02</x:t>
        </x:is>
      </x:c>
      <x:c r="C153" t="inlineStr">
        <x:is>
          <x:t xml:space="preserve">EXCO-D6-Q02-A1</x:t>
        </x:is>
      </x:c>
      <x:c r="D153" t="n">
        <x:v>1</x:v>
      </x:c>
      <x:c r="E153" t="inlineStr">
        <x:is>
          <x:t xml:space="preserve">No—escalations are inconsistent or avoided.</x:t>
        </x:is>
      </x:c>
      <x:c r="F153" t="n">
        <x:v>0</x:v>
      </x:c>
      <x:c r="G153" t="inlineStr">
        <x:is>
          <x:t xml:space="preserve">foundational_gap</x:t>
        </x:is>
      </x:c>
      <x:c r="H153" t="inlineStr">
        <x:is>
          <x:t xml:space="preserve">Operating Model Gap</x:t>
        </x:is>
      </x:c>
      <x:c r="I153" t="inlineStr">
        <x:is>
          <x:t xml:space="preserve">Define_Escalation</x:t>
        </x:is>
      </x:c>
      <x:c r="J153" t="inlineStr">
        <x:is>
          <x:t xml:space="preserve">N</x:t>
        </x:is>
      </x:c>
    </x:row>
    <x:row r="154">
      <x:c r="A154" t="inlineStr">
        <x:is>
          <x:t xml:space="preserve">Executive</x:t>
        </x:is>
      </x:c>
      <x:c r="B154" t="inlineStr">
        <x:is>
          <x:t xml:space="preserve">EXCO-D6-Q02</x:t>
        </x:is>
      </x:c>
      <x:c r="C154" t="inlineStr">
        <x:is>
          <x:t xml:space="preserve">EXCO-D6-Q02-A2</x:t>
        </x:is>
      </x:c>
      <x:c r="D154" t="n">
        <x:v>2</x:v>
      </x:c>
      <x:c r="E154" t="inlineStr">
        <x:is>
          <x:t xml:space="preserve">Yes, but it depends on individuals and is not documented.</x:t>
        </x:is>
      </x:c>
      <x:c r="F154" t="n">
        <x:v>1</x:v>
      </x:c>
      <x:c r="G154" t="inlineStr">
        <x:is>
          <x:t xml:space="preserve">shadow_signal</x:t>
        </x:is>
      </x:c>
      <x:c r="H154" t="inlineStr">
        <x:is>
          <x:t xml:space="preserve">Shadow Mature</x:t>
        </x:is>
      </x:c>
      <x:c r="I154" t="inlineStr">
        <x:is>
          <x:t xml:space="preserve">Formalize_Escalation</x:t>
        </x:is>
      </x:c>
      <x:c r="J154" t="inlineStr">
        <x:is>
          <x:t xml:space="preserve">N</x:t>
        </x:is>
      </x:c>
    </x:row>
    <x:row r="155">
      <x:c r="A155" t="inlineStr">
        <x:is>
          <x:t xml:space="preserve">Executive</x:t>
        </x:is>
      </x:c>
      <x:c r="B155" t="inlineStr">
        <x:is>
          <x:t xml:space="preserve">EXCO-D6-Q02</x:t>
        </x:is>
      </x:c>
      <x:c r="C155" t="inlineStr">
        <x:is>
          <x:t xml:space="preserve">EXCO-D6-Q02-A3</x:t>
        </x:is>
      </x:c>
      <x:c r="D155" t="n">
        <x:v>3</x:v>
      </x:c>
      <x:c r="E155" t="inlineStr">
        <x:is>
          <x:t xml:space="preserve">Yes—there is a known path to escalate concerns and it is used consistently.</x:t>
        </x:is>
      </x:c>
      <x:c r="F155" t="n">
        <x:v>2</x:v>
      </x:c>
      <x:c r="G155" t="inlineStr">
        <x:is>
          <x:t xml:space="preserve">good_practice</x:t>
        </x:is>
      </x:c>
      <x:c r="I155" t="inlineStr">
        <x:is>
          <x:t xml:space="preserve">Request_Evidence</x:t>
        </x:is>
      </x:c>
      <x:c r="J155" t="inlineStr">
        <x:is>
          <x:t xml:space="preserve">Y</x:t>
        </x:is>
      </x:c>
      <x:c r="K155" t="inlineStr">
        <x:is>
          <x:t xml:space="preserve">Provide example of a recent escalation path (anonymised).</x:t>
        </x:is>
      </x:c>
    </x:row>
    <x:row r="156">
      <x:c r="A156" t="inlineStr">
        <x:is>
          <x:t xml:space="preserve">Executive</x:t>
        </x:is>
      </x:c>
      <x:c r="B156" t="inlineStr">
        <x:is>
          <x:t xml:space="preserve">EXCO-D6-Q02</x:t>
        </x:is>
      </x:c>
      <x:c r="C156" t="inlineStr">
        <x:is>
          <x:t xml:space="preserve">EXCO-D6-Q02-A4</x:t>
        </x:is>
      </x:c>
      <x:c r="D156" t="n">
        <x:v>4</x:v>
      </x:c>
      <x:c r="E156" t="inlineStr">
        <x:is>
          <x:t xml:space="preserve">Yes—and escalations are tracked with outcomes (time-to-triage, closure quality).</x:t>
        </x:is>
      </x:c>
      <x:c r="F156" t="n">
        <x:v>3</x:v>
      </x:c>
      <x:c r="G156" t="inlineStr">
        <x:is>
          <x:t xml:space="preserve">optimized</x:t>
        </x:is>
      </x:c>
      <x:c r="I156" t="inlineStr">
        <x:is>
          <x:t xml:space="preserve">Request_Evidence</x:t>
        </x:is>
      </x:c>
      <x:c r="J156" t="inlineStr">
        <x:is>
          <x:t xml:space="preserve">Y</x:t>
        </x:is>
      </x:c>
    </x:row>
    <x:row r="157">
      <x:c r="A157" t="inlineStr">
        <x:is>
          <x:t xml:space="preserve">Executive</x:t>
        </x:is>
      </x:c>
      <x:c r="B157" t="inlineStr">
        <x:is>
          <x:t xml:space="preserve">EXCO-D6-Q03</x:t>
        </x:is>
      </x:c>
      <x:c r="C157" t="inlineStr">
        <x:is>
          <x:t xml:space="preserve">EXCO-D6-Q03-A0</x:t>
        </x:is>
      </x:c>
      <x:c r="D157" t="n">
        <x:v>1</x:v>
      </x:c>
      <x:c r="E157" t="inlineStr">
        <x:is>
          <x:t xml:space="preserve">I don’t know / not sure.</x:t>
        </x:is>
      </x:c>
      <x:c r="F157" t="n">
        <x:v>0</x:v>
      </x:c>
      <x:c r="G157" t="inlineStr">
        <x:is>
          <x:t xml:space="preserve">unknown</x:t>
        </x:is>
      </x:c>
      <x:c r="H157" t="inlineStr">
        <x:is>
          <x:t xml:space="preserve">Unknown</x:t>
        </x:is>
      </x:c>
      <x:c r="I157" t="inlineStr">
        <x:is>
          <x:t xml:space="preserve">Legal_Defensibility_Audit</x:t>
        </x:is>
      </x:c>
      <x:c r="J157" t="inlineStr">
        <x:is>
          <x:t xml:space="preserve">N</x:t>
        </x:is>
      </x:c>
    </x:row>
    <x:row r="158">
      <x:c r="A158" t="inlineStr">
        <x:is>
          <x:t xml:space="preserve">Executive</x:t>
        </x:is>
      </x:c>
      <x:c r="B158" t="inlineStr">
        <x:is>
          <x:t xml:space="preserve">EXCO-D6-Q03</x:t>
        </x:is>
      </x:c>
      <x:c r="C158" t="inlineStr">
        <x:is>
          <x:t xml:space="preserve">EXCO-D6-Q03-A1</x:t>
        </x:is>
      </x:c>
      <x:c r="D158" t="n">
        <x:v>2</x:v>
      </x:c>
      <x:c r="E158" t="inlineStr">
        <x:is>
          <x:t xml:space="preserve">No—HR and Security share information informally when they think it’s needed.</x:t>
        </x:is>
      </x:c>
      <x:c r="F158" t="n">
        <x:v>0</x:v>
      </x:c>
      <x:c r="G158" t="inlineStr">
        <x:is>
          <x:t xml:space="preserve">legal_red_flag</x:t>
        </x:is>
      </x:c>
      <x:c r="H158" t="inlineStr">
        <x:is>
          <x:t xml:space="preserve">Legal Exposure</x:t>
        </x:is>
      </x:c>
      <x:c r="I158" t="inlineStr">
        <x:is>
          <x:t xml:space="preserve">Legal_Defensibility_Audit</x:t>
        </x:is>
      </x:c>
      <x:c r="J158" t="inlineStr">
        <x:is>
          <x:t xml:space="preserve">N</x:t>
        </x:is>
      </x:c>
    </x:row>
    <x:row r="159">
      <x:c r="A159" t="inlineStr">
        <x:is>
          <x:t xml:space="preserve">Executive</x:t>
        </x:is>
      </x:c>
      <x:c r="B159" t="inlineStr">
        <x:is>
          <x:t xml:space="preserve">EXCO-D6-Q03</x:t>
        </x:is>
      </x:c>
      <x:c r="C159" t="inlineStr">
        <x:is>
          <x:t xml:space="preserve">EXCO-D6-Q03-A2</x:t>
        </x:is>
      </x:c>
      <x:c r="D159" t="n">
        <x:v>3</x:v>
      </x:c>
      <x:c r="E159" t="inlineStr">
        <x:is>
          <x:t xml:space="preserve">Some sharing exists via spreadsheets/emails, but approvals and safeguards are unclear.</x:t>
        </x:is>
      </x:c>
      <x:c r="F159" t="n">
        <x:v>1</x:v>
      </x:c>
      <x:c r="G159" t="inlineStr">
        <x:is>
          <x:t xml:space="preserve">legal_red_flag</x:t>
        </x:is>
      </x:c>
      <x:c r="H159" t="inlineStr">
        <x:is>
          <x:t xml:space="preserve">Legal Exposure</x:t>
        </x:is>
      </x:c>
      <x:c r="I159" t="inlineStr">
        <x:is>
          <x:t xml:space="preserve">Legal_Defensibility_Audit</x:t>
        </x:is>
      </x:c>
      <x:c r="J159" t="inlineStr">
        <x:is>
          <x:t xml:space="preserve">N</x:t>
        </x:is>
      </x:c>
    </x:row>
    <x:row r="160">
      <x:c r="A160" t="inlineStr">
        <x:is>
          <x:t xml:space="preserve">Executive</x:t>
        </x:is>
      </x:c>
      <x:c r="B160" t="inlineStr">
        <x:is>
          <x:t xml:space="preserve">EXCO-D6-Q03</x:t>
        </x:is>
      </x:c>
      <x:c r="C160" t="inlineStr">
        <x:is>
          <x:t xml:space="preserve">EXCO-D6-Q03-A3</x:t>
        </x:is>
      </x:c>
      <x:c r="D160" t="n">
        <x:v>4</x:v>
      </x:c>
      <x:c r="E160" t="inlineStr">
        <x:is>
          <x:t xml:space="preserve">Governance exists, but practice varies by region or manager.</x:t>
        </x:is>
      </x:c>
      <x:c r="F160" t="n">
        <x:v>2</x:v>
      </x:c>
      <x:c r="G160" t="inlineStr">
        <x:is>
          <x:t xml:space="preserve">inconsistent_execution</x:t>
        </x:is>
      </x:c>
      <x:c r="H160" t="inlineStr">
        <x:is>
          <x:t xml:space="preserve">Operating Model Gap</x:t>
        </x:is>
      </x:c>
      <x:c r="I160" t="inlineStr">
        <x:is>
          <x:t xml:space="preserve">Standardize_Governance</x:t>
        </x:is>
      </x:c>
      <x:c r="J160" t="inlineStr">
        <x:is>
          <x:t xml:space="preserve">N</x:t>
        </x:is>
      </x:c>
    </x:row>
    <x:row r="161">
      <x:c r="A161" t="inlineStr">
        <x:is>
          <x:t xml:space="preserve">Executive</x:t>
        </x:is>
      </x:c>
      <x:c r="B161" t="inlineStr">
        <x:is>
          <x:t xml:space="preserve">EXCO-D6-Q03</x:t>
        </x:is>
      </x:c>
      <x:c r="C161" t="inlineStr">
        <x:is>
          <x:t xml:space="preserve">EXCO-D6-Q03-A4</x:t>
        </x:is>
      </x:c>
      <x:c r="D161" t="n">
        <x:v>5</x:v>
      </x:c>
      <x:c r="E161" t="inlineStr">
        <x:is>
          <x:t xml:space="preserve">Clear governance exists with approvals, minimisation, retention, and audit trails.</x:t>
        </x:is>
      </x:c>
      <x:c r="F161" t="n">
        <x:v>3</x:v>
      </x:c>
      <x:c r="G161" t="inlineStr">
        <x:is>
          <x:t xml:space="preserve">good_practice</x:t>
        </x:is>
      </x:c>
      <x:c r="I161" t="inlineStr">
        <x:is>
          <x:t xml:space="preserve">Request_Evidence</x:t>
        </x:is>
      </x:c>
      <x:c r="J161" t="inlineStr">
        <x:is>
          <x:t xml:space="preserve">Y</x:t>
        </x:is>
      </x:c>
    </x:row>
    <x:row r="162">
      <x:c r="A162" t="inlineStr">
        <x:is>
          <x:t xml:space="preserve">Executive</x:t>
        </x:is>
      </x:c>
      <x:c r="B162" t="inlineStr">
        <x:is>
          <x:t xml:space="preserve">EXCO-D6-Q03</x:t>
        </x:is>
      </x:c>
      <x:c r="C162" t="inlineStr">
        <x:is>
          <x:t xml:space="preserve">EXCO-D6-Q03-A5</x:t>
        </x:is>
      </x:c>
      <x:c r="D162" t="n">
        <x:v>6</x:v>
      </x:c>
      <x:c r="E162" t="inlineStr">
        <x:is>
          <x:t xml:space="preserve">Governance is mature and audited; role-based access and transparency safeguards are strong.</x:t>
        </x:is>
      </x:c>
      <x:c r="F162" t="n">
        <x:v>4</x:v>
      </x:c>
      <x:c r="G162" t="inlineStr">
        <x:is>
          <x:t xml:space="preserve">optimized</x:t>
        </x:is>
      </x:c>
      <x:c r="I162" t="inlineStr">
        <x:is>
          <x:t xml:space="preserve">Request_Evidence</x:t>
        </x:is>
      </x:c>
      <x:c r="J162" t="inlineStr">
        <x:is>
          <x:t xml:space="preserve">Y</x:t>
        </x:is>
      </x:c>
    </x:row>
    <x:row r="163">
      <x:c r="A163" t="inlineStr">
        <x:is>
          <x:t xml:space="preserve">Executive</x:t>
        </x:is>
      </x:c>
      <x:c r="B163" t="inlineStr">
        <x:is>
          <x:t xml:space="preserve">EXCO-D7-Q01</x:t>
        </x:is>
      </x:c>
      <x:c r="C163" t="inlineStr">
        <x:is>
          <x:t xml:space="preserve">EXCO-D7-Q01-A0</x:t>
        </x:is>
      </x:c>
      <x:c r="D163" t="n">
        <x:v>1</x:v>
      </x:c>
      <x:c r="E163" t="inlineStr">
        <x:is>
          <x:t xml:space="preserve">I don’t know / not sure.</x:t>
        </x:is>
      </x:c>
      <x:c r="F163" t="n">
        <x:v>0</x:v>
      </x:c>
      <x:c r="G163" t="inlineStr">
        <x:is>
          <x:t xml:space="preserve">unknown</x:t>
        </x:is>
      </x:c>
      <x:c r="H163" t="inlineStr">
        <x:is>
          <x:t xml:space="preserve">Unknown</x:t>
        </x:is>
      </x:c>
      <x:c r="I163" t="inlineStr">
        <x:is>
          <x:t xml:space="preserve">Assess_Case_Model</x:t>
        </x:is>
      </x:c>
      <x:c r="J163" t="inlineStr">
        <x:is>
          <x:t xml:space="preserve">N</x:t>
        </x:is>
      </x:c>
    </x:row>
    <x:row r="164">
      <x:c r="A164" t="inlineStr">
        <x:is>
          <x:t xml:space="preserve">Executive</x:t>
        </x:is>
      </x:c>
      <x:c r="B164" t="inlineStr">
        <x:is>
          <x:t xml:space="preserve">EXCO-D7-Q01</x:t>
        </x:is>
      </x:c>
      <x:c r="C164" t="inlineStr">
        <x:is>
          <x:t xml:space="preserve">EXCO-D7-Q01-A1</x:t>
        </x:is>
      </x:c>
      <x:c r="D164" t="n">
        <x:v>2</x:v>
      </x:c>
      <x:c r="E164" t="inlineStr">
        <x:is>
          <x:t xml:space="preserve">Siloed—teams act separately and information sharing is difficult.</x:t>
        </x:is>
      </x:c>
      <x:c r="F164" t="n">
        <x:v>0</x:v>
      </x:c>
      <x:c r="G164" t="inlineStr">
        <x:is>
          <x:t xml:space="preserve">siloed</x:t>
        </x:is>
      </x:c>
      <x:c r="H164" t="inlineStr">
        <x:is>
          <x:t xml:space="preserve">Resilience Gap</x:t>
        </x:is>
      </x:c>
      <x:c r="I164" t="inlineStr">
        <x:is>
          <x:t xml:space="preserve">Design_Case_Model</x:t>
        </x:is>
      </x:c>
      <x:c r="J164" t="inlineStr">
        <x:is>
          <x:t xml:space="preserve">N</x:t>
        </x:is>
      </x:c>
    </x:row>
    <x:row r="165">
      <x:c r="A165" t="inlineStr">
        <x:is>
          <x:t xml:space="preserve">Executive</x:t>
        </x:is>
      </x:c>
      <x:c r="B165" t="inlineStr">
        <x:is>
          <x:t xml:space="preserve">EXCO-D7-Q01</x:t>
        </x:is>
      </x:c>
      <x:c r="C165" t="inlineStr">
        <x:is>
          <x:t xml:space="preserve">EXCO-D7-Q01-A2</x:t>
        </x:is>
      </x:c>
      <x:c r="D165" t="n">
        <x:v>3</x:v>
      </x:c>
      <x:c r="E165" t="inlineStr">
        <x:is>
          <x:t xml:space="preserve">Ad-hoc—teams coordinate through email/chat when needed.</x:t>
        </x:is>
      </x:c>
      <x:c r="F165" t="n">
        <x:v>1</x:v>
      </x:c>
      <x:c r="G165" t="inlineStr">
        <x:is>
          <x:t xml:space="preserve">informal_only</x:t>
        </x:is>
      </x:c>
      <x:c r="H165" t="inlineStr">
        <x:is>
          <x:t xml:space="preserve">Shadow Mature</x:t>
        </x:is>
      </x:c>
      <x:c r="I165" t="inlineStr">
        <x:is>
          <x:t xml:space="preserve">Formalize_Case_Model</x:t>
        </x:is>
      </x:c>
      <x:c r="J165" t="inlineStr">
        <x:is>
          <x:t xml:space="preserve">N</x:t>
        </x:is>
      </x:c>
    </x:row>
    <x:row r="166">
      <x:c r="A166" t="inlineStr">
        <x:is>
          <x:t xml:space="preserve">Executive</x:t>
        </x:is>
      </x:c>
      <x:c r="B166" t="inlineStr">
        <x:is>
          <x:t xml:space="preserve">EXCO-D7-Q01</x:t>
        </x:is>
      </x:c>
      <x:c r="C166" t="inlineStr">
        <x:is>
          <x:t xml:space="preserve">EXCO-D7-Q01-A3</x:t>
        </x:is>
      </x:c>
      <x:c r="D166" t="n">
        <x:v>4</x:v>
      </x:c>
      <x:c r="E166" t="inlineStr">
        <x:is>
          <x:t xml:space="preserve">A process exists, but it’s generic (not tailored for insider cases) or inconsistently used.</x:t>
        </x:is>
      </x:c>
      <x:c r="F166" t="n">
        <x:v>2</x:v>
      </x:c>
      <x:c r="G166" t="inlineStr">
        <x:is>
          <x:t xml:space="preserve">paper_process</x:t>
        </x:is>
      </x:c>
      <x:c r="H166" t="inlineStr">
        <x:is>
          <x:t xml:space="preserve">Paper Dragon</x:t>
        </x:is>
      </x:c>
      <x:c r="I166" t="inlineStr">
        <x:is>
          <x:t xml:space="preserve">Insider_Playbooks</x:t>
        </x:is>
      </x:c>
      <x:c r="J166" t="inlineStr">
        <x:is>
          <x:t xml:space="preserve">N</x:t>
        </x:is>
      </x:c>
    </x:row>
    <x:row r="167">
      <x:c r="A167" t="inlineStr">
        <x:is>
          <x:t xml:space="preserve">Executive</x:t>
        </x:is>
      </x:c>
      <x:c r="B167" t="inlineStr">
        <x:is>
          <x:t xml:space="preserve">EXCO-D7-Q01</x:t>
        </x:is>
      </x:c>
      <x:c r="C167" t="inlineStr">
        <x:is>
          <x:t xml:space="preserve">EXCO-D7-Q01-A4</x:t>
        </x:is>
      </x:c>
      <x:c r="D167" t="n">
        <x:v>5</x:v>
      </x:c>
      <x:c r="E167" t="inlineStr">
        <x:is>
          <x:t xml:space="preserve">Predefined cross-functional taskforce exists with clear roles and decision points.</x:t>
        </x:is>
      </x:c>
      <x:c r="F167" t="n">
        <x:v>3</x:v>
      </x:c>
      <x:c r="G167" t="inlineStr">
        <x:is>
          <x:t xml:space="preserve">good_practice</x:t>
        </x:is>
      </x:c>
      <x:c r="I167" t="inlineStr">
        <x:is>
          <x:t xml:space="preserve">Request_Evidence</x:t>
        </x:is>
      </x:c>
      <x:c r="J167" t="inlineStr">
        <x:is>
          <x:t xml:space="preserve">Y</x:t>
        </x:is>
      </x:c>
    </x:row>
    <x:row r="168">
      <x:c r="A168" t="inlineStr">
        <x:is>
          <x:t xml:space="preserve">Executive</x:t>
        </x:is>
      </x:c>
      <x:c r="B168" t="inlineStr">
        <x:is>
          <x:t xml:space="preserve">EXCO-D7-Q01</x:t>
        </x:is>
      </x:c>
      <x:c r="C168" t="inlineStr">
        <x:is>
          <x:t xml:space="preserve">EXCO-D7-Q01-A5</x:t>
        </x:is>
      </x:c>
      <x:c r="D168" t="n">
        <x:v>6</x:v>
      </x:c>
      <x:c r="E168" t="inlineStr">
        <x:is>
          <x:t xml:space="preserve">Unified case management with metrics, quality checks, and documented learning loops.</x:t>
        </x:is>
      </x:c>
      <x:c r="F168" t="n">
        <x:v>4</x:v>
      </x:c>
      <x:c r="G168" t="inlineStr">
        <x:is>
          <x:t xml:space="preserve">optimized</x:t>
        </x:is>
      </x:c>
      <x:c r="I168" t="inlineStr">
        <x:is>
          <x:t xml:space="preserve">Request_Evidence</x:t>
        </x:is>
      </x:c>
      <x:c r="J168" t="inlineStr">
        <x:is>
          <x:t xml:space="preserve">Y</x:t>
        </x:is>
      </x:c>
    </x:row>
    <x:row r="169">
      <x:c r="A169" t="inlineStr">
        <x:is>
          <x:t xml:space="preserve">Executive</x:t>
        </x:is>
      </x:c>
      <x:c r="B169" t="inlineStr">
        <x:is>
          <x:t xml:space="preserve">EXCO-D7-Q02</x:t>
        </x:is>
      </x:c>
      <x:c r="C169" t="inlineStr">
        <x:is>
          <x:t xml:space="preserve">EXCO-D7-Q02-A1</x:t>
        </x:is>
      </x:c>
      <x:c r="D169" t="n">
        <x:v>1</x:v>
      </x:c>
      <x:c r="E169" t="inlineStr">
        <x:is>
          <x:t xml:space="preserve">No—coordination is slow and unclear; decisions get stuck.</x:t>
        </x:is>
      </x:c>
      <x:c r="F169" t="n">
        <x:v>0</x:v>
      </x:c>
      <x:c r="G169" t="inlineStr">
        <x:is>
          <x:t xml:space="preserve">foundational_gap</x:t>
        </x:is>
      </x:c>
      <x:c r="H169" t="inlineStr">
        <x:is>
          <x:t xml:space="preserve">Resilience Gap</x:t>
        </x:is>
      </x:c>
      <x:c r="I169" t="inlineStr">
        <x:is>
          <x:t xml:space="preserve">Design_Case_Model</x:t>
        </x:is>
      </x:c>
      <x:c r="J169" t="inlineStr">
        <x:is>
          <x:t xml:space="preserve">N</x:t>
        </x:is>
      </x:c>
    </x:row>
    <x:row r="170">
      <x:c r="A170" t="inlineStr">
        <x:is>
          <x:t xml:space="preserve">Executive</x:t>
        </x:is>
      </x:c>
      <x:c r="B170" t="inlineStr">
        <x:is>
          <x:t xml:space="preserve">EXCO-D7-Q02</x:t>
        </x:is>
      </x:c>
      <x:c r="C170" t="inlineStr">
        <x:is>
          <x:t xml:space="preserve">EXCO-D7-Q02-A2</x:t>
        </x:is>
      </x:c>
      <x:c r="D170" t="n">
        <x:v>2</x:v>
      </x:c>
      <x:c r="E170" t="inlineStr">
        <x:is>
          <x:t xml:space="preserve">Sometimes—depends on personal relationships; outcomes vary.</x:t>
        </x:is>
      </x:c>
      <x:c r="F170" t="n">
        <x:v>1</x:v>
      </x:c>
      <x:c r="G170" t="inlineStr">
        <x:is>
          <x:t xml:space="preserve">shadow_signal</x:t>
        </x:is>
      </x:c>
      <x:c r="H170" t="inlineStr">
        <x:is>
          <x:t xml:space="preserve">Shadow Mature</x:t>
        </x:is>
      </x:c>
      <x:c r="I170" t="inlineStr">
        <x:is>
          <x:t xml:space="preserve">Formalize_Case_Model</x:t>
        </x:is>
      </x:c>
      <x:c r="J170" t="inlineStr">
        <x:is>
          <x:t xml:space="preserve">N</x:t>
        </x:is>
      </x:c>
    </x:row>
    <x:row r="171">
      <x:c r="A171" t="inlineStr">
        <x:is>
          <x:t xml:space="preserve">Executive</x:t>
        </x:is>
      </x:c>
      <x:c r="B171" t="inlineStr">
        <x:is>
          <x:t xml:space="preserve">EXCO-D7-Q02</x:t>
        </x:is>
      </x:c>
      <x:c r="C171" t="inlineStr">
        <x:is>
          <x:t xml:space="preserve">EXCO-D7-Q02-A3</x:t>
        </x:is>
      </x:c>
      <x:c r="D171" t="n">
        <x:v>3</x:v>
      </x:c>
      <x:c r="E171" t="inlineStr">
        <x:is>
          <x:t xml:space="preserve">Yes—there is an understood way of working, even if not documented.</x:t>
        </x:is>
      </x:c>
      <x:c r="F171" t="n">
        <x:v>2</x:v>
      </x:c>
      <x:c r="G171" t="inlineStr">
        <x:is>
          <x:t xml:space="preserve">shadow_mature_signal</x:t>
        </x:is>
      </x:c>
      <x:c r="H171" t="inlineStr">
        <x:is>
          <x:t xml:space="preserve">Shadow Mature</x:t>
        </x:is>
      </x:c>
      <x:c r="I171" t="inlineStr">
        <x:is>
          <x:t xml:space="preserve">Capture_Playbook</x:t>
        </x:is>
      </x:c>
      <x:c r="J171" t="inlineStr">
        <x:is>
          <x:t xml:space="preserve">N</x:t>
        </x:is>
      </x:c>
    </x:row>
    <x:row r="172">
      <x:c r="A172" t="inlineStr">
        <x:is>
          <x:t xml:space="preserve">Executive</x:t>
        </x:is>
      </x:c>
      <x:c r="B172" t="inlineStr">
        <x:is>
          <x:t xml:space="preserve">EXCO-D7-Q02</x:t>
        </x:is>
      </x:c>
      <x:c r="C172" t="inlineStr">
        <x:is>
          <x:t xml:space="preserve">EXCO-D7-Q02-A4</x:t>
        </x:is>
      </x:c>
      <x:c r="D172" t="n">
        <x:v>4</x:v>
      </x:c>
      <x:c r="E172" t="inlineStr">
        <x:is>
          <x:t xml:space="preserve">Yes—and we can point to recent examples and decision logs.</x:t>
        </x:is>
      </x:c>
      <x:c r="F172" t="n">
        <x:v>3</x:v>
      </x:c>
      <x:c r="G172" t="inlineStr">
        <x:is>
          <x:t xml:space="preserve">good_practice</x:t>
        </x:is>
      </x:c>
      <x:c r="I172" t="inlineStr">
        <x:is>
          <x:t xml:space="preserve">Request_Evidence</x:t>
        </x:is>
      </x:c>
      <x:c r="J172" t="inlineStr">
        <x:is>
          <x:t xml:space="preserve">Y</x:t>
        </x:is>
      </x:c>
    </x:row>
    <x:row r="173">
      <x:c r="A173" t="inlineStr">
        <x:is>
          <x:t xml:space="preserve">Executive</x:t>
        </x:is>
      </x:c>
      <x:c r="B173" t="inlineStr">
        <x:is>
          <x:t xml:space="preserve">EXCO-D7-Q03</x:t>
        </x:is>
      </x:c>
      <x:c r="C173" t="inlineStr">
        <x:is>
          <x:t xml:space="preserve">EXCO-D7-Q03-A0</x:t>
        </x:is>
      </x:c>
      <x:c r="D173" t="n">
        <x:v>1</x:v>
      </x:c>
      <x:c r="E173" t="inlineStr">
        <x:is>
          <x:t xml:space="preserve">I don’t know / not sure.</x:t>
        </x:is>
      </x:c>
      <x:c r="F173" t="n">
        <x:v>0</x:v>
      </x:c>
      <x:c r="G173" t="inlineStr">
        <x:is>
          <x:t xml:space="preserve">unknown</x:t>
        </x:is>
      </x:c>
      <x:c r="H173" t="inlineStr">
        <x:is>
          <x:t xml:space="preserve">Unknown</x:t>
        </x:is>
      </x:c>
      <x:c r="I173" t="inlineStr">
        <x:is>
          <x:t xml:space="preserve">Plan_Exercises</x:t>
        </x:is>
      </x:c>
      <x:c r="J173" t="inlineStr">
        <x:is>
          <x:t xml:space="preserve">N</x:t>
        </x:is>
      </x:c>
    </x:row>
    <x:row r="174">
      <x:c r="A174" t="inlineStr">
        <x:is>
          <x:t xml:space="preserve">Executive</x:t>
        </x:is>
      </x:c>
      <x:c r="B174" t="inlineStr">
        <x:is>
          <x:t xml:space="preserve">EXCO-D7-Q03</x:t>
        </x:is>
      </x:c>
      <x:c r="C174" t="inlineStr">
        <x:is>
          <x:t xml:space="preserve">EXCO-D7-Q03-A1</x:t>
        </x:is>
      </x:c>
      <x:c r="D174" t="n">
        <x:v>2</x:v>
      </x:c>
      <x:c r="E174" t="inlineStr">
        <x:is>
          <x:t xml:space="preserve">No—we haven’t practised insider scenarios.</x:t>
        </x:is>
      </x:c>
      <x:c r="F174" t="n">
        <x:v>0</x:v>
      </x:c>
      <x:c r="G174" t="inlineStr">
        <x:is>
          <x:t xml:space="preserve">foundational_gap</x:t>
        </x:is>
      </x:c>
      <x:c r="H174" t="inlineStr">
        <x:is>
          <x:t xml:space="preserve">Resilience Gap</x:t>
        </x:is>
      </x:c>
      <x:c r="I174" t="inlineStr">
        <x:is>
          <x:t xml:space="preserve">Plan_Exercises</x:t>
        </x:is>
      </x:c>
      <x:c r="J174" t="inlineStr">
        <x:is>
          <x:t xml:space="preserve">N</x:t>
        </x:is>
      </x:c>
    </x:row>
    <x:row r="175">
      <x:c r="A175" t="inlineStr">
        <x:is>
          <x:t xml:space="preserve">Executive</x:t>
        </x:is>
      </x:c>
      <x:c r="B175" t="inlineStr">
        <x:is>
          <x:t xml:space="preserve">EXCO-D7-Q03</x:t>
        </x:is>
      </x:c>
      <x:c r="C175" t="inlineStr">
        <x:is>
          <x:t xml:space="preserve">EXCO-D7-Q03-A2</x:t>
        </x:is>
      </x:c>
      <x:c r="D175" t="n">
        <x:v>3</x:v>
      </x:c>
      <x:c r="E175" t="inlineStr">
        <x:is>
          <x:t xml:space="preserve">We’ve done a one-off exercise, but it didn’t lead to tracked improvements.</x:t>
        </x:is>
      </x:c>
      <x:c r="F175" t="n">
        <x:v>1</x:v>
      </x:c>
      <x:c r="G175" t="inlineStr">
        <x:is>
          <x:t xml:space="preserve">paper_process</x:t>
        </x:is>
      </x:c>
      <x:c r="H175" t="inlineStr">
        <x:is>
          <x:t xml:space="preserve">Paper Dragon</x:t>
        </x:is>
      </x:c>
      <x:c r="I175" t="inlineStr">
        <x:is>
          <x:t xml:space="preserve">Improve_Exercise_Loop</x:t>
        </x:is>
      </x:c>
      <x:c r="J175" t="inlineStr">
        <x:is>
          <x:t xml:space="preserve">N</x:t>
        </x:is>
      </x:c>
    </x:row>
    <x:row r="176">
      <x:c r="A176" t="inlineStr">
        <x:is>
          <x:t xml:space="preserve">Executive</x:t>
        </x:is>
      </x:c>
      <x:c r="B176" t="inlineStr">
        <x:is>
          <x:t xml:space="preserve">EXCO-D7-Q03</x:t>
        </x:is>
      </x:c>
      <x:c r="C176" t="inlineStr">
        <x:is>
          <x:t xml:space="preserve">EXCO-D7-Q03-A3</x:t>
        </x:is>
      </x:c>
      <x:c r="D176" t="n">
        <x:v>4</x:v>
      </x:c>
      <x:c r="E176" t="inlineStr">
        <x:is>
          <x:t xml:space="preserve">We practise occasionally and track actions, but completion is inconsistent.</x:t>
        </x:is>
      </x:c>
      <x:c r="F176" t="n">
        <x:v>2</x:v>
      </x:c>
      <x:c r="G176" t="inlineStr">
        <x:is>
          <x:t xml:space="preserve">inconsistent_execution</x:t>
        </x:is>
      </x:c>
      <x:c r="H176" t="inlineStr">
        <x:is>
          <x:t xml:space="preserve">Operating Model Gap</x:t>
        </x:is>
      </x:c>
      <x:c r="I176" t="inlineStr">
        <x:is>
          <x:t xml:space="preserve">Improve_Exercise_Loop</x:t>
        </x:is>
      </x:c>
      <x:c r="J176" t="inlineStr">
        <x:is>
          <x:t xml:space="preserve">N</x:t>
        </x:is>
      </x:c>
    </x:row>
    <x:row r="177">
      <x:c r="A177" t="inlineStr">
        <x:is>
          <x:t xml:space="preserve">Executive</x:t>
        </x:is>
      </x:c>
      <x:c r="B177" t="inlineStr">
        <x:is>
          <x:t xml:space="preserve">EXCO-D7-Q03</x:t>
        </x:is>
      </x:c>
      <x:c r="C177" t="inlineStr">
        <x:is>
          <x:t xml:space="preserve">EXCO-D7-Q03-A4</x:t>
        </x:is>
      </x:c>
      <x:c r="D177" t="n">
        <x:v>5</x:v>
      </x:c>
      <x:c r="E177" t="inlineStr">
        <x:is>
          <x:t xml:space="preserve">We practise at least annually and close out improvements with owners/dates.</x:t>
        </x:is>
      </x:c>
      <x:c r="F177" t="n">
        <x:v>3</x:v>
      </x:c>
      <x:c r="G177" t="inlineStr">
        <x:is>
          <x:t xml:space="preserve">good_practice</x:t>
        </x:is>
      </x:c>
      <x:c r="I177" t="inlineStr">
        <x:is>
          <x:t xml:space="preserve">Request_Evidence</x:t>
        </x:is>
      </x:c>
      <x:c r="J177" t="inlineStr">
        <x:is>
          <x:t xml:space="preserve">Y</x:t>
        </x:is>
      </x:c>
    </x:row>
    <x:row r="178">
      <x:c r="A178" t="inlineStr">
        <x:is>
          <x:t xml:space="preserve">Executive</x:t>
        </x:is>
      </x:c>
      <x:c r="B178" t="inlineStr">
        <x:is>
          <x:t xml:space="preserve">EXCO-D7-Q03</x:t>
        </x:is>
      </x:c>
      <x:c r="C178" t="inlineStr">
        <x:is>
          <x:t xml:space="preserve">EXCO-D7-Q03-A5</x:t>
        </x:is>
      </x:c>
      <x:c r="D178" t="n">
        <x:v>6</x:v>
      </x:c>
      <x:c r="E178" t="inlineStr">
        <x:is>
          <x:t xml:space="preserve">Exercises are scheduled; improvement completion is measured; results feed into roadmap.</x:t>
        </x:is>
      </x:c>
      <x:c r="F178" t="n">
        <x:v>4</x:v>
      </x:c>
      <x:c r="G178" t="inlineStr">
        <x:is>
          <x:t xml:space="preserve">optimized</x:t>
        </x:is>
      </x:c>
      <x:c r="I178" t="inlineStr">
        <x:is>
          <x:t xml:space="preserve">Request_Evidence</x:t>
        </x:is>
      </x:c>
      <x:c r="J178" t="inlineStr">
        <x:is>
          <x:t xml:space="preserve">Y</x:t>
        </x:is>
      </x:c>
    </x:row>
    <x:row r="179">
      <x:c r="A179" t="inlineStr">
        <x:is>
          <x:t xml:space="preserve">Executive</x:t>
        </x:is>
      </x:c>
      <x:c r="B179" t="inlineStr">
        <x:is>
          <x:t xml:space="preserve">EXCO-D7-Q04</x:t>
        </x:is>
      </x:c>
      <x:c r="C179" t="inlineStr">
        <x:is>
          <x:t xml:space="preserve">EXCO-D7-Q04-A0</x:t>
        </x:is>
      </x:c>
      <x:c r="D179" t="n">
        <x:v>1</x:v>
      </x:c>
      <x:c r="E179" t="inlineStr">
        <x:is>
          <x:t xml:space="preserve">I don’t know / not sure.</x:t>
        </x:is>
      </x:c>
      <x:c r="F179" t="n">
        <x:v>0</x:v>
      </x:c>
      <x:c r="G179" t="inlineStr">
        <x:is>
          <x:t xml:space="preserve">unknown</x:t>
        </x:is>
      </x:c>
      <x:c r="H179" t="inlineStr">
        <x:is>
          <x:t xml:space="preserve">Unknown</x:t>
        </x:is>
      </x:c>
      <x:c r="I179" t="inlineStr">
        <x:is>
          <x:t xml:space="preserve">Define_LE_Plan</x:t>
        </x:is>
      </x:c>
      <x:c r="J179" t="inlineStr">
        <x:is>
          <x:t xml:space="preserve">N</x:t>
        </x:is>
      </x:c>
    </x:row>
    <x:row r="180">
      <x:c r="A180" t="inlineStr">
        <x:is>
          <x:t xml:space="preserve">Executive</x:t>
        </x:is>
      </x:c>
      <x:c r="B180" t="inlineStr">
        <x:is>
          <x:t xml:space="preserve">EXCO-D7-Q04</x:t>
        </x:is>
      </x:c>
      <x:c r="C180" t="inlineStr">
        <x:is>
          <x:t xml:space="preserve">EXCO-D7-Q04-A1</x:t>
        </x:is>
      </x:c>
      <x:c r="D180" t="n">
        <x:v>2</x:v>
      </x:c>
      <x:c r="E180" t="inlineStr">
        <x:is>
          <x:t xml:space="preserve">No—we decide during a crisis.</x:t>
        </x:is>
      </x:c>
      <x:c r="F180" t="n">
        <x:v>0</x:v>
      </x:c>
      <x:c r="G180" t="inlineStr">
        <x:is>
          <x:t xml:space="preserve">foundational_gap</x:t>
        </x:is>
      </x:c>
      <x:c r="H180" t="inlineStr">
        <x:is>
          <x:t xml:space="preserve">Resilience Gap</x:t>
        </x:is>
      </x:c>
      <x:c r="I180" t="inlineStr">
        <x:is>
          <x:t xml:space="preserve">Define_LE_Plan</x:t>
        </x:is>
      </x:c>
      <x:c r="J180" t="inlineStr">
        <x:is>
          <x:t xml:space="preserve">N</x:t>
        </x:is>
      </x:c>
    </x:row>
    <x:row r="181">
      <x:c r="A181" t="inlineStr">
        <x:is>
          <x:t xml:space="preserve">Executive</x:t>
        </x:is>
      </x:c>
      <x:c r="B181" t="inlineStr">
        <x:is>
          <x:t xml:space="preserve">EXCO-D7-Q04</x:t>
        </x:is>
      </x:c>
      <x:c r="C181" t="inlineStr">
        <x:is>
          <x:t xml:space="preserve">EXCO-D7-Q04-A2</x:t>
        </x:is>
      </x:c>
      <x:c r="D181" t="n">
        <x:v>3</x:v>
      </x:c>
      <x:c r="E181" t="inlineStr">
        <x:is>
          <x:t xml:space="preserve">We have informal contacts, but no defined criteria or approvals.</x:t>
        </x:is>
      </x:c>
      <x:c r="F181" t="n">
        <x:v>1</x:v>
      </x:c>
      <x:c r="G181" t="inlineStr">
        <x:is>
          <x:t xml:space="preserve">ad_hoc</x:t>
        </x:is>
      </x:c>
      <x:c r="H181" t="inlineStr">
        <x:is>
          <x:t xml:space="preserve">Operating Model Gap</x:t>
        </x:is>
      </x:c>
      <x:c r="I181" t="inlineStr">
        <x:is>
          <x:t xml:space="preserve">Define_LE_Plan</x:t>
        </x:is>
      </x:c>
      <x:c r="J181" t="inlineStr">
        <x:is>
          <x:t xml:space="preserve">N</x:t>
        </x:is>
      </x:c>
    </x:row>
    <x:row r="182">
      <x:c r="A182" t="inlineStr">
        <x:is>
          <x:t xml:space="preserve">Executive</x:t>
        </x:is>
      </x:c>
      <x:c r="B182" t="inlineStr">
        <x:is>
          <x:t xml:space="preserve">EXCO-D7-Q04</x:t>
        </x:is>
      </x:c>
      <x:c r="C182" t="inlineStr">
        <x:is>
          <x:t xml:space="preserve">EXCO-D7-Q04-A3</x:t>
        </x:is>
      </x:c>
      <x:c r="D182" t="n">
        <x:v>4</x:v>
      </x:c>
      <x:c r="E182" t="inlineStr">
        <x:is>
          <x:t xml:space="preserve">A policy exists, but it is generic and not practised.</x:t>
        </x:is>
      </x:c>
      <x:c r="F182" t="n">
        <x:v>2</x:v>
      </x:c>
      <x:c r="G182" t="inlineStr">
        <x:is>
          <x:t xml:space="preserve">paper_process</x:t>
        </x:is>
      </x:c>
      <x:c r="H182" t="inlineStr">
        <x:is>
          <x:t xml:space="preserve">Paper Dragon</x:t>
        </x:is>
      </x:c>
      <x:c r="I182" t="inlineStr">
        <x:is>
          <x:t xml:space="preserve">Exercise_LE_Plan</x:t>
        </x:is>
      </x:c>
      <x:c r="J182" t="inlineStr">
        <x:is>
          <x:t xml:space="preserve">N</x:t>
        </x:is>
      </x:c>
    </x:row>
    <x:row r="183">
      <x:c r="A183" t="inlineStr">
        <x:is>
          <x:t xml:space="preserve">Executive</x:t>
        </x:is>
      </x:c>
      <x:c r="B183" t="inlineStr">
        <x:is>
          <x:t xml:space="preserve">EXCO-D7-Q04</x:t>
        </x:is>
      </x:c>
      <x:c r="C183" t="inlineStr">
        <x:is>
          <x:t xml:space="preserve">EXCO-D7-Q04-A4</x:t>
        </x:is>
      </x:c>
      <x:c r="D183" t="n">
        <x:v>5</x:v>
      </x:c>
      <x:c r="E183" t="inlineStr">
        <x:is>
          <x:t xml:space="preserve">Criteria and approvals are defined; communications roles are clear.</x:t>
        </x:is>
      </x:c>
      <x:c r="F183" t="n">
        <x:v>3</x:v>
      </x:c>
      <x:c r="G183" t="inlineStr">
        <x:is>
          <x:t xml:space="preserve">good_practice</x:t>
        </x:is>
      </x:c>
      <x:c r="I183" t="inlineStr">
        <x:is>
          <x:t xml:space="preserve">Request_Evidence</x:t>
        </x:is>
      </x:c>
      <x:c r="J183" t="inlineStr">
        <x:is>
          <x:t xml:space="preserve">Y</x:t>
        </x:is>
      </x:c>
    </x:row>
    <x:row r="184">
      <x:c r="A184" t="inlineStr">
        <x:is>
          <x:t xml:space="preserve">Executive</x:t>
        </x:is>
      </x:c>
      <x:c r="B184" t="inlineStr">
        <x:is>
          <x:t xml:space="preserve">EXCO-D7-Q04</x:t>
        </x:is>
      </x:c>
      <x:c r="C184" t="inlineStr">
        <x:is>
          <x:t xml:space="preserve">EXCO-D7-Q04-A5</x:t>
        </x:is>
      </x:c>
      <x:c r="D184" t="n">
        <x:v>6</x:v>
      </x:c>
      <x:c r="E184" t="inlineStr">
        <x:is>
          <x:t xml:space="preserve">Plan is integrated with crisis management; practised and improved regularly.</x:t>
        </x:is>
      </x:c>
      <x:c r="F184" t="n">
        <x:v>4</x:v>
      </x:c>
      <x:c r="G184" t="inlineStr">
        <x:is>
          <x:t xml:space="preserve">optimized</x:t>
        </x:is>
      </x:c>
      <x:c r="I184" t="inlineStr">
        <x:is>
          <x:t xml:space="preserve">Request_Evidence</x:t>
        </x:is>
      </x:c>
      <x:c r="J184" t="inlineStr">
        <x:is>
          <x:t xml:space="preserve">Y</x:t>
        </x:is>
      </x:c>
    </x:row>
    <x:row r="185">
      <x:c r="A185" t="inlineStr">
        <x:is>
          <x:t xml:space="preserve">Executive</x:t>
        </x:is>
      </x:c>
      <x:c r="B185" t="inlineStr">
        <x:is>
          <x:t xml:space="preserve">EXCO-D7-Q05</x:t>
        </x:is>
      </x:c>
      <x:c r="C185" t="inlineStr">
        <x:is>
          <x:t xml:space="preserve">EXCO-D7-Q05-A0</x:t>
        </x:is>
      </x:c>
      <x:c r="D185" t="n">
        <x:v>1</x:v>
      </x:c>
      <x:c r="E185" t="inlineStr">
        <x:is>
          <x:t xml:space="preserve">I don’t know / not sure.</x:t>
        </x:is>
      </x:c>
      <x:c r="F185" t="n">
        <x:v>0</x:v>
      </x:c>
      <x:c r="G185" t="inlineStr">
        <x:is>
          <x:t xml:space="preserve">unknown</x:t>
        </x:is>
      </x:c>
      <x:c r="H185" t="inlineStr">
        <x:is>
          <x:t xml:space="preserve">Unknown</x:t>
        </x:is>
      </x:c>
      <x:c r="I185" t="inlineStr">
        <x:is>
          <x:t xml:space="preserve">Create_Trust_Playbook</x:t>
        </x:is>
      </x:c>
      <x:c r="J185" t="inlineStr">
        <x:is>
          <x:t xml:space="preserve">N</x:t>
        </x:is>
      </x:c>
    </x:row>
    <x:row r="186">
      <x:c r="A186" t="inlineStr">
        <x:is>
          <x:t xml:space="preserve">Executive</x:t>
        </x:is>
      </x:c>
      <x:c r="B186" t="inlineStr">
        <x:is>
          <x:t xml:space="preserve">EXCO-D7-Q05</x:t>
        </x:is>
      </x:c>
      <x:c r="C186" t="inlineStr">
        <x:is>
          <x:t xml:space="preserve">EXCO-D7-Q05-A1</x:t>
        </x:is>
      </x:c>
      <x:c r="D186" t="n">
        <x:v>2</x:v>
      </x:c>
      <x:c r="E186" t="inlineStr">
        <x:is>
          <x:t xml:space="preserve">No—focus is only on technical fix and PR; trust is not addressed.</x:t>
        </x:is>
      </x:c>
      <x:c r="F186" t="n">
        <x:v>0</x:v>
      </x:c>
      <x:c r="G186" t="inlineStr">
        <x:is>
          <x:t xml:space="preserve">culture_risk</x:t>
        </x:is>
      </x:c>
      <x:c r="H186" t="inlineStr">
        <x:is>
          <x:t xml:space="preserve">Culture Risk</x:t>
        </x:is>
      </x:c>
      <x:c r="I186" t="inlineStr">
        <x:is>
          <x:t xml:space="preserve">Create_Trust_Playbook</x:t>
        </x:is>
      </x:c>
      <x:c r="J186" t="inlineStr">
        <x:is>
          <x:t xml:space="preserve">N</x:t>
        </x:is>
      </x:c>
    </x:row>
    <x:row r="187">
      <x:c r="A187" t="inlineStr">
        <x:is>
          <x:t xml:space="preserve">Executive</x:t>
        </x:is>
      </x:c>
      <x:c r="B187" t="inlineStr">
        <x:is>
          <x:t xml:space="preserve">EXCO-D7-Q05</x:t>
        </x:is>
      </x:c>
      <x:c r="C187" t="inlineStr">
        <x:is>
          <x:t xml:space="preserve">EXCO-D7-Q05-A2</x:t>
        </x:is>
      </x:c>
      <x:c r="D187" t="n">
        <x:v>3</x:v>
      </x:c>
      <x:c r="E187" t="inlineStr">
        <x:is>
          <x:t xml:space="preserve">Managers try to handle it informally, but there is no structured support.</x:t>
        </x:is>
      </x:c>
      <x:c r="F187" t="n">
        <x:v>1</x:v>
      </x:c>
      <x:c r="G187" t="inlineStr">
        <x:is>
          <x:t xml:space="preserve">informal_only</x:t>
        </x:is>
      </x:c>
      <x:c r="H187" t="inlineStr">
        <x:is>
          <x:t xml:space="preserve">Operating Model Gap</x:t>
        </x:is>
      </x:c>
      <x:c r="I187" t="inlineStr">
        <x:is>
          <x:t xml:space="preserve">Create_Trust_Playbook</x:t>
        </x:is>
      </x:c>
      <x:c r="J187" t="inlineStr">
        <x:is>
          <x:t xml:space="preserve">N</x:t>
        </x:is>
      </x:c>
    </x:row>
    <x:row r="188">
      <x:c r="A188" t="inlineStr">
        <x:is>
          <x:t xml:space="preserve">Executive</x:t>
        </x:is>
      </x:c>
      <x:c r="B188" t="inlineStr">
        <x:is>
          <x:t xml:space="preserve">EXCO-D7-Q05</x:t>
        </x:is>
      </x:c>
      <x:c r="C188" t="inlineStr">
        <x:is>
          <x:t xml:space="preserve">EXCO-D7-Q05-A3</x:t>
        </x:is>
      </x:c>
      <x:c r="D188" t="n">
        <x:v>4</x:v>
      </x:c>
      <x:c r="E188" t="inlineStr">
        <x:is>
          <x:t xml:space="preserve">We have some steps (comms, HR support), but it isn’t documented or measured.</x:t>
        </x:is>
      </x:c>
      <x:c r="F188" t="n">
        <x:v>2</x:v>
      </x:c>
      <x:c r="G188" t="inlineStr">
        <x:is>
          <x:t xml:space="preserve">paper_process</x:t>
        </x:is>
      </x:c>
      <x:c r="H188" t="inlineStr">
        <x:is>
          <x:t xml:space="preserve">Paper Dragon</x:t>
        </x:is>
      </x:c>
      <x:c r="I188" t="inlineStr">
        <x:is>
          <x:t xml:space="preserve">Formalize_Trust_Playbook</x:t>
        </x:is>
      </x:c>
      <x:c r="J188" t="inlineStr">
        <x:is>
          <x:t xml:space="preserve">N</x:t>
        </x:is>
      </x:c>
    </x:row>
    <x:row r="189">
      <x:c r="A189" t="inlineStr">
        <x:is>
          <x:t xml:space="preserve">Executive</x:t>
        </x:is>
      </x:c>
      <x:c r="B189" t="inlineStr">
        <x:is>
          <x:t xml:space="preserve">EXCO-D7-Q05</x:t>
        </x:is>
      </x:c>
      <x:c r="C189" t="inlineStr">
        <x:is>
          <x:t xml:space="preserve">EXCO-D7-Q05-A4</x:t>
        </x:is>
      </x:c>
      <x:c r="D189" t="n">
        <x:v>5</x:v>
      </x:c>
      <x:c r="E189" t="inlineStr">
        <x:is>
          <x:t xml:space="preserve">We have a documented trust restoration approach and apply it after incidents.</x:t>
        </x:is>
      </x:c>
      <x:c r="F189" t="n">
        <x:v>3</x:v>
      </x:c>
      <x:c r="G189" t="inlineStr">
        <x:is>
          <x:t xml:space="preserve">good_practice</x:t>
        </x:is>
      </x:c>
      <x:c r="I189" t="inlineStr">
        <x:is>
          <x:t xml:space="preserve">Request_Evidence</x:t>
        </x:is>
      </x:c>
      <x:c r="J189" t="inlineStr">
        <x:is>
          <x:t xml:space="preserve">Y</x:t>
        </x:is>
      </x:c>
    </x:row>
    <x:row r="190">
      <x:c r="A190" t="inlineStr">
        <x:is>
          <x:t xml:space="preserve">Executive</x:t>
        </x:is>
      </x:c>
      <x:c r="B190" t="inlineStr">
        <x:is>
          <x:t xml:space="preserve">EXCO-D7-Q05</x:t>
        </x:is>
      </x:c>
      <x:c r="C190" t="inlineStr">
        <x:is>
          <x:t xml:space="preserve">EXCO-D7-Q05-A5</x:t>
        </x:is>
      </x:c>
      <x:c r="D190" t="n">
        <x:v>6</x:v>
      </x:c>
      <x:c r="E190" t="inlineStr">
        <x:is>
          <x:t xml:space="preserve">We measure trust recovery (surveys, attrition, grievances) and improve controls accordingly.</x:t>
        </x:is>
      </x:c>
      <x:c r="F190" t="n">
        <x:v>4</x:v>
      </x:c>
      <x:c r="G190" t="inlineStr">
        <x:is>
          <x:t xml:space="preserve">optimized</x:t>
        </x:is>
      </x:c>
      <x:c r="I190" t="inlineStr">
        <x:is>
          <x:t xml:space="preserve">Request_Evidence</x:t>
        </x:is>
      </x:c>
      <x:c r="J190" t="inlineStr">
        <x:is>
          <x:t xml:space="preserve">Y</x:t>
        </x:is>
      </x:c>
    </x:row>
    <x:row r="191">
      <x:c r="A191" t="inlineStr">
        <x:is>
          <x:t xml:space="preserve">Executive</x:t>
        </x:is>
      </x:c>
      <x:c r="B191" t="inlineStr">
        <x:is>
          <x:t xml:space="preserve">EXCO-D8-Q01</x:t>
        </x:is>
      </x:c>
      <x:c r="C191" t="inlineStr">
        <x:is>
          <x:t xml:space="preserve">EXCO-D8-Q01-A0</x:t>
        </x:is>
      </x:c>
      <x:c r="D191" t="n">
        <x:v>1</x:v>
      </x:c>
      <x:c r="E191" t="inlineStr">
        <x:is>
          <x:t xml:space="preserve">I don’t know / not sure.</x:t>
        </x:is>
      </x:c>
      <x:c r="F191" t="n">
        <x:v>0</x:v>
      </x:c>
      <x:c r="G191" t="inlineStr">
        <x:is>
          <x:t xml:space="preserve">unknown</x:t>
        </x:is>
      </x:c>
      <x:c r="H191" t="inlineStr">
        <x:is>
          <x:t xml:space="preserve">Unknown</x:t>
        </x:is>
      </x:c>
      <x:c r="I191" t="inlineStr">
        <x:is>
          <x:t xml:space="preserve">Define_KPIs</x:t>
        </x:is>
      </x:c>
      <x:c r="J191" t="inlineStr">
        <x:is>
          <x:t xml:space="preserve">N</x:t>
        </x:is>
      </x:c>
    </x:row>
    <x:row r="192">
      <x:c r="A192" t="inlineStr">
        <x:is>
          <x:t xml:space="preserve">Executive</x:t>
        </x:is>
      </x:c>
      <x:c r="B192" t="inlineStr">
        <x:is>
          <x:t xml:space="preserve">EXCO-D8-Q01</x:t>
        </x:is>
      </x:c>
      <x:c r="C192" t="inlineStr">
        <x:is>
          <x:t xml:space="preserve">EXCO-D8-Q01-A1</x:t>
        </x:is>
      </x:c>
      <x:c r="D192" t="n">
        <x:v>2</x:v>
      </x:c>
      <x:c r="E192" t="inlineStr">
        <x:is>
          <x:t xml:space="preserve">It isn’t reported unless there is a crisis.</x:t>
        </x:is>
      </x:c>
      <x:c r="F192" t="n">
        <x:v>0</x:v>
      </x:c>
      <x:c r="G192" t="inlineStr">
        <x:is>
          <x:t xml:space="preserve">foundational_gap</x:t>
        </x:is>
      </x:c>
      <x:c r="H192" t="inlineStr">
        <x:is>
          <x:t xml:space="preserve">Operating Model Gap</x:t>
        </x:is>
      </x:c>
      <x:c r="I192" t="inlineStr">
        <x:is>
          <x:t xml:space="preserve">Define_KPIs</x:t>
        </x:is>
      </x:c>
      <x:c r="J192" t="inlineStr">
        <x:is>
          <x:t xml:space="preserve">N</x:t>
        </x:is>
      </x:c>
    </x:row>
    <x:row r="193">
      <x:c r="A193" t="inlineStr">
        <x:is>
          <x:t xml:space="preserve">Executive</x:t>
        </x:is>
      </x:c>
      <x:c r="B193" t="inlineStr">
        <x:is>
          <x:t xml:space="preserve">EXCO-D8-Q01</x:t>
        </x:is>
      </x:c>
      <x:c r="C193" t="inlineStr">
        <x:is>
          <x:t xml:space="preserve">EXCO-D8-Q01-A2</x:t>
        </x:is>
      </x:c>
      <x:c r="D193" t="n">
        <x:v>3</x:v>
      </x:c>
      <x:c r="E193" t="inlineStr">
        <x:is>
          <x:t xml:space="preserve">Reporting focuses on vanity numbers (e.g., number of alerts) without business meaning.</x:t>
        </x:is>
      </x:c>
      <x:c r="F193" t="n">
        <x:v>1</x:v>
      </x:c>
      <x:c r="G193" t="inlineStr">
        <x:is>
          <x:t xml:space="preserve">vanity_metrics</x:t>
        </x:is>
      </x:c>
      <x:c r="H193" t="inlineStr">
        <x:is>
          <x:t xml:space="preserve">Paper Dragon</x:t>
        </x:is>
      </x:c>
      <x:c r="I193" t="inlineStr">
        <x:is>
          <x:t xml:space="preserve">Upgrade_KPIs</x:t>
        </x:is>
      </x:c>
      <x:c r="J193" t="inlineStr">
        <x:is>
          <x:t xml:space="preserve">N</x:t>
        </x:is>
      </x:c>
    </x:row>
    <x:row r="194">
      <x:c r="A194" t="inlineStr">
        <x:is>
          <x:t xml:space="preserve">Executive</x:t>
        </x:is>
      </x:c>
      <x:c r="B194" t="inlineStr">
        <x:is>
          <x:t xml:space="preserve">EXCO-D8-Q01</x:t>
        </x:is>
      </x:c>
      <x:c r="C194" t="inlineStr">
        <x:is>
          <x:t xml:space="preserve">EXCO-D8-Q01-A3</x:t>
        </x:is>
      </x:c>
      <x:c r="D194" t="n">
        <x:v>4</x:v>
      </x:c>
      <x:c r="E194" t="inlineStr">
        <x:is>
          <x:t xml:space="preserve">Reporting focuses on compliance (‘we have policies’), not operational reality.</x:t>
        </x:is>
      </x:c>
      <x:c r="F194" t="n">
        <x:v>2</x:v>
      </x:c>
      <x:c r="G194" t="inlineStr">
        <x:is>
          <x:t xml:space="preserve">paper_dragon_signal</x:t>
        </x:is>
      </x:c>
      <x:c r="H194" t="inlineStr">
        <x:is>
          <x:t xml:space="preserve">Paper Dragon</x:t>
        </x:is>
      </x:c>
      <x:c r="I194" t="inlineStr">
        <x:is>
          <x:t xml:space="preserve">Upgrade_KPIs</x:t>
        </x:is>
      </x:c>
      <x:c r="J194" t="inlineStr">
        <x:is>
          <x:t xml:space="preserve">N</x:t>
        </x:is>
      </x:c>
    </x:row>
    <x:row r="195">
      <x:c r="A195" t="inlineStr">
        <x:is>
          <x:t xml:space="preserve">Executive</x:t>
        </x:is>
      </x:c>
      <x:c r="B195" t="inlineStr">
        <x:is>
          <x:t xml:space="preserve">EXCO-D8-Q01</x:t>
        </x:is>
      </x:c>
      <x:c r="C195" t="inlineStr">
        <x:is>
          <x:t xml:space="preserve">EXCO-D8-Q01-A4</x:t>
        </x:is>
      </x:c>
      <x:c r="D195" t="n">
        <x:v>5</x:v>
      </x:c>
      <x:c r="E195" t="inlineStr">
        <x:is>
          <x:t xml:space="preserve">We report useful operational KPIs at least quarterly and decisions/actions follow.</x:t>
        </x:is>
      </x:c>
      <x:c r="F195" t="n">
        <x:v>3</x:v>
      </x:c>
      <x:c r="G195" t="inlineStr">
        <x:is>
          <x:t xml:space="preserve">good_practice</x:t>
        </x:is>
      </x:c>
      <x:c r="I195" t="inlineStr">
        <x:is>
          <x:t xml:space="preserve">Request_Evidence</x:t>
        </x:is>
      </x:c>
      <x:c r="J195" t="inlineStr">
        <x:is>
          <x:t xml:space="preserve">Y</x:t>
        </x:is>
      </x:c>
    </x:row>
    <x:row r="196">
      <x:c r="A196" t="inlineStr">
        <x:is>
          <x:t xml:space="preserve">Executive</x:t>
        </x:is>
      </x:c>
      <x:c r="B196" t="inlineStr">
        <x:is>
          <x:t xml:space="preserve">EXCO-D8-Q01</x:t>
        </x:is>
      </x:c>
      <x:c r="C196" t="inlineStr">
        <x:is>
          <x:t xml:space="preserve">EXCO-D8-Q01-A5</x:t>
        </x:is>
      </x:c>
      <x:c r="D196" t="n">
        <x:v>6</x:v>
      </x:c>
      <x:c r="E196" t="inlineStr">
        <x:is>
          <x:t xml:space="preserve">Real-time or frequent dashboards tied to risk appetite; actions are tracked and outcomes measured.</x:t>
        </x:is>
      </x:c>
      <x:c r="F196" t="n">
        <x:v>4</x:v>
      </x:c>
      <x:c r="G196" t="inlineStr">
        <x:is>
          <x:t xml:space="preserve">optimized</x:t>
        </x:is>
      </x:c>
      <x:c r="I196" t="inlineStr">
        <x:is>
          <x:t xml:space="preserve">Request_Evidence</x:t>
        </x:is>
      </x:c>
      <x:c r="J196" t="inlineStr">
        <x:is>
          <x:t xml:space="preserve">Y</x:t>
        </x:is>
      </x:c>
    </x:row>
    <x:row r="197">
      <x:c r="A197" t="inlineStr">
        <x:is>
          <x:t xml:space="preserve">Executive</x:t>
        </x:is>
      </x:c>
      <x:c r="B197" t="inlineStr">
        <x:is>
          <x:t xml:space="preserve">EXCO-D8-Q02</x:t>
        </x:is>
      </x:c>
      <x:c r="C197" t="inlineStr">
        <x:is>
          <x:t xml:space="preserve">EXCO-D8-Q02-A1</x:t>
        </x:is>
      </x:c>
      <x:c r="D197" t="n">
        <x:v>1</x:v>
      </x:c>
      <x:c r="E197" t="inlineStr">
        <x:is>
          <x:t xml:space="preserve">No—near misses are not captured or discussed.</x:t>
        </x:is>
      </x:c>
      <x:c r="F197" t="n">
        <x:v>0</x:v>
      </x:c>
      <x:c r="G197" t="inlineStr">
        <x:is>
          <x:t xml:space="preserve">foundational_gap</x:t>
        </x:is>
      </x:c>
      <x:c r="H197" t="inlineStr">
        <x:is>
          <x:t xml:space="preserve">Operating Model Gap</x:t>
        </x:is>
      </x:c>
      <x:c r="I197" t="inlineStr">
        <x:is>
          <x:t xml:space="preserve">Create_NearMiss_Process</x:t>
        </x:is>
      </x:c>
      <x:c r="J197" t="inlineStr">
        <x:is>
          <x:t xml:space="preserve">N</x:t>
        </x:is>
      </x:c>
    </x:row>
    <x:row r="198">
      <x:c r="A198" t="inlineStr">
        <x:is>
          <x:t xml:space="preserve">Executive</x:t>
        </x:is>
      </x:c>
      <x:c r="B198" t="inlineStr">
        <x:is>
          <x:t xml:space="preserve">EXCO-D8-Q02</x:t>
        </x:is>
      </x:c>
      <x:c r="C198" t="inlineStr">
        <x:is>
          <x:t xml:space="preserve">EXCO-D8-Q02-A2</x:t>
        </x:is>
      </x:c>
      <x:c r="D198" t="n">
        <x:v>2</x:v>
      </x:c>
      <x:c r="E198" t="inlineStr">
        <x:is>
          <x:t xml:space="preserve">Sometimes informally, but we don’t track patterns or improvements.</x:t>
        </x:is>
      </x:c>
      <x:c r="F198" t="n">
        <x:v>1</x:v>
      </x:c>
      <x:c r="G198" t="inlineStr">
        <x:is>
          <x:t xml:space="preserve">shadow_signal</x:t>
        </x:is>
      </x:c>
      <x:c r="H198" t="inlineStr">
        <x:is>
          <x:t xml:space="preserve">Shadow Mature</x:t>
        </x:is>
      </x:c>
      <x:c r="I198" t="inlineStr">
        <x:is>
          <x:t xml:space="preserve">Formalize_NearMiss_Process</x:t>
        </x:is>
      </x:c>
      <x:c r="J198" t="inlineStr">
        <x:is>
          <x:t xml:space="preserve">N</x:t>
        </x:is>
      </x:c>
    </x:row>
    <x:row r="199">
      <x:c r="A199" t="inlineStr">
        <x:is>
          <x:t xml:space="preserve">Executive</x:t>
        </x:is>
      </x:c>
      <x:c r="B199" t="inlineStr">
        <x:is>
          <x:t xml:space="preserve">EXCO-D8-Q02</x:t>
        </x:is>
      </x:c>
      <x:c r="C199" t="inlineStr">
        <x:is>
          <x:t xml:space="preserve">EXCO-D8-Q02-A3</x:t>
        </x:is>
      </x:c>
      <x:c r="D199" t="n">
        <x:v>3</x:v>
      </x:c>
      <x:c r="E199" t="inlineStr">
        <x:is>
          <x:t xml:space="preserve">Yes—we review and document improvements, but completion is inconsistent.</x:t>
        </x:is>
      </x:c>
      <x:c r="F199" t="n">
        <x:v>2</x:v>
      </x:c>
      <x:c r="G199" t="inlineStr">
        <x:is>
          <x:t xml:space="preserve">inconsistent_execution</x:t>
        </x:is>
      </x:c>
      <x:c r="H199" t="inlineStr">
        <x:is>
          <x:t xml:space="preserve">Operating Model Gap</x:t>
        </x:is>
      </x:c>
      <x:c r="I199" t="inlineStr">
        <x:is>
          <x:t xml:space="preserve">Close_Learning_Loop</x:t>
        </x:is>
      </x:c>
      <x:c r="J199" t="inlineStr">
        <x:is>
          <x:t xml:space="preserve">N</x:t>
        </x:is>
      </x:c>
    </x:row>
    <x:row r="200">
      <x:c r="A200" t="inlineStr">
        <x:is>
          <x:t xml:space="preserve">Executive</x:t>
        </x:is>
      </x:c>
      <x:c r="B200" t="inlineStr">
        <x:is>
          <x:t xml:space="preserve">EXCO-D8-Q02</x:t>
        </x:is>
      </x:c>
      <x:c r="C200" t="inlineStr">
        <x:is>
          <x:t xml:space="preserve">EXCO-D8-Q02-A4</x:t>
        </x:is>
      </x:c>
      <x:c r="D200" t="n">
        <x:v>4</x:v>
      </x:c>
      <x:c r="E200" t="inlineStr">
        <x:is>
          <x:t xml:space="preserve">Yes—near misses feed into roadmap and are reported periodically.</x:t>
        </x:is>
      </x:c>
      <x:c r="F200" t="n">
        <x:v>3</x:v>
      </x:c>
      <x:c r="G200" t="inlineStr">
        <x:is>
          <x:t xml:space="preserve">good_practice</x:t>
        </x:is>
      </x:c>
      <x:c r="I200" t="inlineStr">
        <x:is>
          <x:t xml:space="preserve">Request_Evidence</x:t>
        </x:is>
      </x:c>
      <x:c r="J200" t="inlineStr">
        <x:is>
          <x:t xml:space="preserve">Y</x:t>
        </x:is>
      </x:c>
    </x:row>
    <x:row r="201">
      <x:c r="A201" t="inlineStr">
        <x:is>
          <x:t xml:space="preserve">Executive</x:t>
        </x:is>
      </x:c>
      <x:c r="B201" t="inlineStr">
        <x:is>
          <x:t xml:space="preserve">EXCO-D8-Q03</x:t>
        </x:is>
      </x:c>
      <x:c r="C201" t="inlineStr">
        <x:is>
          <x:t xml:space="preserve">EXCO-D8-Q03-A0</x:t>
        </x:is>
      </x:c>
      <x:c r="D201" t="n">
        <x:v>1</x:v>
      </x:c>
      <x:c r="E201" t="inlineStr">
        <x:is>
          <x:t xml:space="preserve">I don’t know / not sure.</x:t>
        </x:is>
      </x:c>
      <x:c r="F201" t="n">
        <x:v>0</x:v>
      </x:c>
      <x:c r="G201" t="inlineStr">
        <x:is>
          <x:t xml:space="preserve">unknown</x:t>
        </x:is>
      </x:c>
      <x:c r="H201" t="inlineStr">
        <x:is>
          <x:t xml:space="preserve">Unknown</x:t>
        </x:is>
      </x:c>
      <x:c r="I201" t="inlineStr">
        <x:is>
          <x:t xml:space="preserve">Define_Cadence</x:t>
        </x:is>
      </x:c>
      <x:c r="J201" t="inlineStr">
        <x:is>
          <x:t xml:space="preserve">N</x:t>
        </x:is>
      </x:c>
    </x:row>
    <x:row r="202">
      <x:c r="A202" t="inlineStr">
        <x:is>
          <x:t xml:space="preserve">Executive</x:t>
        </x:is>
      </x:c>
      <x:c r="B202" t="inlineStr">
        <x:is>
          <x:t xml:space="preserve">EXCO-D8-Q03</x:t>
        </x:is>
      </x:c>
      <x:c r="C202" t="inlineStr">
        <x:is>
          <x:t xml:space="preserve">EXCO-D8-Q03-A1</x:t>
        </x:is>
      </x:c>
      <x:c r="D202" t="n">
        <x:v>2</x:v>
      </x:c>
      <x:c r="E202" t="inlineStr">
        <x:is>
          <x:t xml:space="preserve">Never—only after serious incidents.</x:t>
        </x:is>
      </x:c>
      <x:c r="F202" t="n">
        <x:v>0</x:v>
      </x:c>
      <x:c r="G202" t="inlineStr">
        <x:is>
          <x:t xml:space="preserve">foundational_gap</x:t>
        </x:is>
      </x:c>
      <x:c r="H202" t="inlineStr">
        <x:is>
          <x:t xml:space="preserve">Operating Model Gap</x:t>
        </x:is>
      </x:c>
      <x:c r="I202" t="inlineStr">
        <x:is>
          <x:t xml:space="preserve">Set_Cadence</x:t>
        </x:is>
      </x:c>
      <x:c r="J202" t="inlineStr">
        <x:is>
          <x:t xml:space="preserve">N</x:t>
        </x:is>
      </x:c>
    </x:row>
    <x:row r="203">
      <x:c r="A203" t="inlineStr">
        <x:is>
          <x:t xml:space="preserve">Executive</x:t>
        </x:is>
      </x:c>
      <x:c r="B203" t="inlineStr">
        <x:is>
          <x:t xml:space="preserve">EXCO-D8-Q03</x:t>
        </x:is>
      </x:c>
      <x:c r="C203" t="inlineStr">
        <x:is>
          <x:t xml:space="preserve">EXCO-D8-Q03-A2</x:t>
        </x:is>
      </x:c>
      <x:c r="D203" t="n">
        <x:v>3</x:v>
      </x:c>
      <x:c r="E203" t="inlineStr">
        <x:is>
          <x:t xml:space="preserve">Occasional/on request (e.g., every few years).</x:t>
        </x:is>
      </x:c>
      <x:c r="F203" t="n">
        <x:v>1</x:v>
      </x:c>
      <x:c r="G203" t="inlineStr">
        <x:is>
          <x:t xml:space="preserve">low_cadence</x:t>
        </x:is>
      </x:c>
      <x:c r="H203" t="inlineStr">
        <x:is>
          <x:t xml:space="preserve">Operating Model Gap</x:t>
        </x:is>
      </x:c>
      <x:c r="I203" t="inlineStr">
        <x:is>
          <x:t xml:space="preserve">Set_Cadence</x:t>
        </x:is>
      </x:c>
      <x:c r="J203" t="inlineStr">
        <x:is>
          <x:t xml:space="preserve">N</x:t>
        </x:is>
      </x:c>
    </x:row>
    <x:row r="204">
      <x:c r="A204" t="inlineStr">
        <x:is>
          <x:t xml:space="preserve">Executive</x:t>
        </x:is>
      </x:c>
      <x:c r="B204" t="inlineStr">
        <x:is>
          <x:t xml:space="preserve">EXCO-D8-Q03</x:t>
        </x:is>
      </x:c>
      <x:c r="C204" t="inlineStr">
        <x:is>
          <x:t xml:space="preserve">EXCO-D8-Q03-A3</x:t>
        </x:is>
      </x:c>
      <x:c r="D204" t="n">
        <x:v>4</x:v>
      </x:c>
      <x:c r="E204" t="inlineStr">
        <x:is>
          <x:t xml:space="preserve">Annual ‘tick-box’ review with limited follow-up.</x:t>
        </x:is>
      </x:c>
      <x:c r="F204" t="n">
        <x:v>2</x:v>
      </x:c>
      <x:c r="G204" t="inlineStr">
        <x:is>
          <x:t xml:space="preserve">paper_process</x:t>
        </x:is>
      </x:c>
      <x:c r="H204" t="inlineStr">
        <x:is>
          <x:t xml:space="preserve">Paper Dragon</x:t>
        </x:is>
      </x:c>
      <x:c r="I204" t="inlineStr">
        <x:is>
          <x:t xml:space="preserve">Improve_Cadence</x:t>
        </x:is>
      </x:c>
      <x:c r="J204" t="inlineStr">
        <x:is>
          <x:t xml:space="preserve">N</x:t>
        </x:is>
      </x:c>
    </x:row>
    <x:row r="205">
      <x:c r="A205" t="inlineStr">
        <x:is>
          <x:t xml:space="preserve">Executive</x:t>
        </x:is>
      </x:c>
      <x:c r="B205" t="inlineStr">
        <x:is>
          <x:t xml:space="preserve">EXCO-D8-Q03</x:t>
        </x:is>
      </x:c>
      <x:c r="C205" t="inlineStr">
        <x:is>
          <x:t xml:space="preserve">EXCO-D8-Q03-A4</x:t>
        </x:is>
      </x:c>
      <x:c r="D205" t="n">
        <x:v>5</x:v>
      </x:c>
      <x:c r="E205" t="inlineStr">
        <x:is>
          <x:t xml:space="preserve">At least quarterly with tracked actions.</x:t>
        </x:is>
      </x:c>
      <x:c r="F205" t="n">
        <x:v>3</x:v>
      </x:c>
      <x:c r="G205" t="inlineStr">
        <x:is>
          <x:t xml:space="preserve">good_practice</x:t>
        </x:is>
      </x:c>
      <x:c r="I205" t="inlineStr">
        <x:is>
          <x:t xml:space="preserve">Request_Evidence</x:t>
        </x:is>
      </x:c>
      <x:c r="J205" t="inlineStr">
        <x:is>
          <x:t xml:space="preserve">Y</x:t>
        </x:is>
      </x:c>
    </x:row>
    <x:row r="206">
      <x:c r="A206" t="inlineStr">
        <x:is>
          <x:t xml:space="preserve">Executive</x:t>
        </x:is>
      </x:c>
      <x:c r="B206" t="inlineStr">
        <x:is>
          <x:t xml:space="preserve">EXCO-D8-Q03</x:t>
        </x:is>
      </x:c>
      <x:c r="C206" t="inlineStr">
        <x:is>
          <x:t xml:space="preserve">EXCO-D8-Q03-A5</x:t>
        </x:is>
      </x:c>
      <x:c r="D206" t="n">
        <x:v>6</x:v>
      </x:c>
      <x:c r="E206" t="inlineStr">
        <x:is>
          <x:t xml:space="preserve">Frequent review tied to risk appetite; actions and outcomes are continuously monitored.</x:t>
        </x:is>
      </x:c>
      <x:c r="F206" t="n">
        <x:v>4</x:v>
      </x:c>
      <x:c r="G206" t="inlineStr">
        <x:is>
          <x:t xml:space="preserve">optimized</x:t>
        </x:is>
      </x:c>
      <x:c r="I206" t="inlineStr">
        <x:is>
          <x:t xml:space="preserve">Request_Evidence</x:t>
        </x:is>
      </x:c>
      <x:c r="J206" t="inlineStr">
        <x:is>
          <x:t xml:space="preserve">Y</x:t>
        </x:is>
      </x:c>
    </x:row>
    <x:row r="207">
      <x:c r="A207" t="inlineStr">
        <x:is>
          <x:t xml:space="preserve">Executive</x:t>
        </x:is>
      </x:c>
      <x:c r="B207" t="inlineStr">
        <x:is>
          <x:t xml:space="preserve">EXCO-D8-Q04</x:t>
        </x:is>
      </x:c>
      <x:c r="C207" t="inlineStr">
        <x:is>
          <x:t xml:space="preserve">EXCO-D8-Q04-A0</x:t>
        </x:is>
      </x:c>
      <x:c r="D207" t="n">
        <x:v>1</x:v>
      </x:c>
      <x:c r="E207" t="inlineStr">
        <x:is>
          <x:t xml:space="preserve">I don’t know / not sure.</x:t>
        </x:is>
      </x:c>
      <x:c r="F207" t="n">
        <x:v>0</x:v>
      </x:c>
      <x:c r="G207" t="inlineStr">
        <x:is>
          <x:t xml:space="preserve">unknown</x:t>
        </x:is>
      </x:c>
      <x:c r="H207" t="inlineStr">
        <x:is>
          <x:t xml:space="preserve">Unknown</x:t>
        </x:is>
      </x:c>
      <x:c r="I207" t="inlineStr">
        <x:is>
          <x:t xml:space="preserve">Plan_Assurance</x:t>
        </x:is>
      </x:c>
      <x:c r="J207" t="inlineStr">
        <x:is>
          <x:t xml:space="preserve">N</x:t>
        </x:is>
      </x:c>
    </x:row>
    <x:row r="208">
      <x:c r="A208" t="inlineStr">
        <x:is>
          <x:t xml:space="preserve">Executive</x:t>
        </x:is>
      </x:c>
      <x:c r="B208" t="inlineStr">
        <x:is>
          <x:t xml:space="preserve">EXCO-D8-Q04</x:t>
        </x:is>
      </x:c>
      <x:c r="C208" t="inlineStr">
        <x:is>
          <x:t xml:space="preserve">EXCO-D8-Q04-A1</x:t>
        </x:is>
      </x:c>
      <x:c r="D208" t="n">
        <x:v>2</x:v>
      </x:c>
      <x:c r="E208" t="inlineStr">
        <x:is>
          <x:t xml:space="preserve">No—there is no independent review.</x:t>
        </x:is>
      </x:c>
      <x:c r="F208" t="n">
        <x:v>0</x:v>
      </x:c>
      <x:c r="G208" t="inlineStr">
        <x:is>
          <x:t xml:space="preserve">foundational_gap</x:t>
        </x:is>
      </x:c>
      <x:c r="H208" t="inlineStr">
        <x:is>
          <x:t xml:space="preserve">Paper Dragon</x:t>
        </x:is>
      </x:c>
      <x:c r="I208" t="inlineStr">
        <x:is>
          <x:t xml:space="preserve">Plan_Assurance</x:t>
        </x:is>
      </x:c>
      <x:c r="J208" t="inlineStr">
        <x:is>
          <x:t xml:space="preserve">N</x:t>
        </x:is>
      </x:c>
    </x:row>
    <x:row r="209">
      <x:c r="A209" t="inlineStr">
        <x:is>
          <x:t xml:space="preserve">Executive</x:t>
        </x:is>
      </x:c>
      <x:c r="B209" t="inlineStr">
        <x:is>
          <x:t xml:space="preserve">EXCO-D8-Q04</x:t>
        </x:is>
      </x:c>
      <x:c r="C209" t="inlineStr">
        <x:is>
          <x:t xml:space="preserve">EXCO-D8-Q04-A2</x:t>
        </x:is>
      </x:c>
      <x:c r="D209" t="n">
        <x:v>3</x:v>
      </x:c>
      <x:c r="E209" t="inlineStr">
        <x:is>
          <x:t xml:space="preserve">Ad-hoc reviews happen after incidents only.</x:t>
        </x:is>
      </x:c>
      <x:c r="F209" t="n">
        <x:v>1</x:v>
      </x:c>
      <x:c r="G209" t="inlineStr">
        <x:is>
          <x:t xml:space="preserve">reactive</x:t>
        </x:is>
      </x:c>
      <x:c r="H209" t="inlineStr">
        <x:is>
          <x:t xml:space="preserve">Paper Dragon</x:t>
        </x:is>
      </x:c>
      <x:c r="I209" t="inlineStr">
        <x:is>
          <x:t xml:space="preserve">Plan_Assurance</x:t>
        </x:is>
      </x:c>
      <x:c r="J209" t="inlineStr">
        <x:is>
          <x:t xml:space="preserve">N</x:t>
        </x:is>
      </x:c>
    </x:row>
    <x:row r="210">
      <x:c r="A210" t="inlineStr">
        <x:is>
          <x:t xml:space="preserve">Executive</x:t>
        </x:is>
      </x:c>
      <x:c r="B210" t="inlineStr">
        <x:is>
          <x:t xml:space="preserve">EXCO-D8-Q04</x:t>
        </x:is>
      </x:c>
      <x:c r="C210" t="inlineStr">
        <x:is>
          <x:t xml:space="preserve">EXCO-D8-Q04-A3</x:t>
        </x:is>
      </x:c>
      <x:c r="D210" t="n">
        <x:v>4</x:v>
      </x:c>
      <x:c r="E210" t="inlineStr">
        <x:is>
          <x:t xml:space="preserve">Internal audit reviews exist but focus mainly on policy compliance.</x:t>
        </x:is>
      </x:c>
      <x:c r="F210" t="n">
        <x:v>2</x:v>
      </x:c>
      <x:c r="G210" t="inlineStr">
        <x:is>
          <x:t xml:space="preserve">paper_process</x:t>
        </x:is>
      </x:c>
      <x:c r="H210" t="inlineStr">
        <x:is>
          <x:t xml:space="preserve">Paper Dragon</x:t>
        </x:is>
      </x:c>
      <x:c r="I210" t="inlineStr">
        <x:is>
          <x:t xml:space="preserve">Assurance_On_Reality</x:t>
        </x:is>
      </x:c>
      <x:c r="J210" t="inlineStr">
        <x:is>
          <x:t xml:space="preserve">N</x:t>
        </x:is>
      </x:c>
    </x:row>
    <x:row r="211">
      <x:c r="A211" t="inlineStr">
        <x:is>
          <x:t xml:space="preserve">Executive</x:t>
        </x:is>
      </x:c>
      <x:c r="B211" t="inlineStr">
        <x:is>
          <x:t xml:space="preserve">EXCO-D8-Q04</x:t>
        </x:is>
      </x:c>
      <x:c r="C211" t="inlineStr">
        <x:is>
          <x:t xml:space="preserve">EXCO-D8-Q04-A4</x:t>
        </x:is>
      </x:c>
      <x:c r="D211" t="n">
        <x:v>5</x:v>
      </x:c>
      <x:c r="E211" t="inlineStr">
        <x:is>
          <x:t xml:space="preserve">Independent review confirms operational reality (sampling of cases/logs/process usage).</x:t>
        </x:is>
      </x:c>
      <x:c r="F211" t="n">
        <x:v>3</x:v>
      </x:c>
      <x:c r="G211" t="inlineStr">
        <x:is>
          <x:t xml:space="preserve">good_practice</x:t>
        </x:is>
      </x:c>
      <x:c r="I211" t="inlineStr">
        <x:is>
          <x:t xml:space="preserve">Request_Evidence</x:t>
        </x:is>
      </x:c>
      <x:c r="J211" t="inlineStr">
        <x:is>
          <x:t xml:space="preserve">Y</x:t>
        </x:is>
      </x:c>
    </x:row>
    <x:row r="212">
      <x:c r="A212" t="inlineStr">
        <x:is>
          <x:t xml:space="preserve">Executive</x:t>
        </x:is>
      </x:c>
      <x:c r="B212" t="inlineStr">
        <x:is>
          <x:t xml:space="preserve">EXCO-D8-Q04</x:t>
        </x:is>
      </x:c>
      <x:c r="C212" t="inlineStr">
        <x:is>
          <x:t xml:space="preserve">EXCO-D8-Q04-A5</x:t>
        </x:is>
      </x:c>
      <x:c r="D212" t="n">
        <x:v>6</x:v>
      </x:c>
      <x:c r="E212" t="inlineStr">
        <x:is>
          <x:t xml:space="preserve">Regular independent assurance with sampling and remediation tracking; results inform investment.</x:t>
        </x:is>
      </x:c>
      <x:c r="F212" t="n">
        <x:v>4</x:v>
      </x:c>
      <x:c r="G212" t="inlineStr">
        <x:is>
          <x:t xml:space="preserve">optimized</x:t>
        </x:is>
      </x:c>
      <x:c r="I212" t="inlineStr">
        <x:is>
          <x:t xml:space="preserve">Request_Evidence</x:t>
        </x:is>
      </x:c>
      <x:c r="J212" t="inlineStr">
        <x:is>
          <x:t xml:space="preserve">Y</x:t>
        </x:is>
      </x:c>
    </x:row>
    <x:row r="213">
      <x:c r="A213" t="inlineStr">
        <x:is>
          <x:t xml:space="preserve">HR</x:t>
        </x:is>
      </x:c>
      <x:c r="B213" t="inlineStr">
        <x:is>
          <x:t xml:space="preserve">HR-D1-Q01</x:t>
        </x:is>
      </x:c>
      <x:c r="C213" t="inlineStr">
        <x:is>
          <x:t xml:space="preserve">HR-D1-Q01-A0</x:t>
        </x:is>
      </x:c>
      <x:c r="D213" t="n">
        <x:v>1</x:v>
      </x:c>
      <x:c r="E213" t="inlineStr">
        <x:is>
          <x:t xml:space="preserve">I don't know / Not sure.</x:t>
        </x:is>
      </x:c>
      <x:c r="F213" t="n">
        <x:v>0</x:v>
      </x:c>
      <x:c r="G213" t="inlineStr">
        <x:is>
          <x:t xml:space="preserve">low-confidence</x:t>
        </x:is>
      </x:c>
      <x:c r="H213" t="inlineStr">
        <x:is>
          <x:t xml:space="preserve">Operating Model Gap</x:t>
        </x:is>
      </x:c>
      <x:c r="I213" t="inlineStr">
        <x:is>
          <x:t xml:space="preserve">Clarify roles</x:t>
        </x:is>
      </x:c>
      <x:c r="J213" t="inlineStr">
        <x:is>
          <x:t xml:space="preserve">N</x:t>
        </x:is>
      </x:c>
    </x:row>
    <x:row r="214">
      <x:c r="A214" t="inlineStr">
        <x:is>
          <x:t xml:space="preserve">HR</x:t>
        </x:is>
      </x:c>
      <x:c r="B214" t="inlineStr">
        <x:is>
          <x:t xml:space="preserve">HR-D1-Q01</x:t>
        </x:is>
      </x:c>
      <x:c r="C214" t="inlineStr">
        <x:is>
          <x:t xml:space="preserve">HR-D1-Q01-A1</x:t>
        </x:is>
      </x:c>
      <x:c r="D214" t="n">
        <x:v>2</x:v>
      </x:c>
      <x:c r="E214" t="inlineStr">
        <x:is>
          <x:t xml:space="preserve">None: HR treats these as 'IT problems' unless there is a major incident.</x:t>
        </x:is>
      </x:c>
      <x:c r="F214" t="n">
        <x:v>0</x:v>
      </x:c>
      <x:c r="G214" t="inlineStr">
        <x:is>
          <x:t xml:space="preserve">paper_dragon_signal</x:t>
        </x:is>
      </x:c>
      <x:c r="H214" t="inlineStr">
        <x:is>
          <x:t xml:space="preserve">Operating Model Gap</x:t>
        </x:is>
      </x:c>
      <x:c r="I214" t="inlineStr">
        <x:is>
          <x:t xml:space="preserve">Define operating model</x:t>
        </x:is>
      </x:c>
      <x:c r="J214" t="inlineStr">
        <x:is>
          <x:t xml:space="preserve">N</x:t>
        </x:is>
      </x:c>
    </x:row>
    <x:row r="215">
      <x:c r="A215" t="inlineStr">
        <x:is>
          <x:t xml:space="preserve">HR</x:t>
        </x:is>
      </x:c>
      <x:c r="B215" t="inlineStr">
        <x:is>
          <x:t xml:space="preserve">HR-D1-Q01</x:t>
        </x:is>
      </x:c>
      <x:c r="C215" t="inlineStr">
        <x:is>
          <x:t xml:space="preserve">HR-D1-Q01-A2</x:t>
        </x:is>
      </x:c>
      <x:c r="D215" t="n">
        <x:v>3</x:v>
      </x:c>
      <x:c r="E215" t="inlineStr">
        <x:is>
          <x:t xml:space="preserve">Ad-hoc: HR coordinates only when Security/Legal asks (case-by-case).</x:t>
        </x:is>
      </x:c>
      <x:c r="F215" t="n">
        <x:v>1</x:v>
      </x:c>
      <x:c r="G215" t="inlineStr">
        <x:is>
          <x:t xml:space="preserve">shadow_mature_signal</x:t>
        </x:is>
      </x:c>
      <x:c r="H215" t="inlineStr">
        <x:is>
          <x:t xml:space="preserve">Operating Model Gap</x:t>
        </x:is>
      </x:c>
      <x:c r="I215" t="inlineStr">
        <x:is>
          <x:t xml:space="preserve">Define coordination cadence</x:t>
        </x:is>
      </x:c>
      <x:c r="J215" t="inlineStr">
        <x:is>
          <x:t xml:space="preserve">N</x:t>
        </x:is>
      </x:c>
      <x:c r="K215" t="inlineStr">
        <x:is>
          <x:t xml:space="preserve">Example: last case HR was involved in.</x:t>
        </x:is>
      </x:c>
    </x:row>
    <x:row r="216">
      <x:c r="A216" t="inlineStr">
        <x:is>
          <x:t xml:space="preserve">HR</x:t>
        </x:is>
      </x:c>
      <x:c r="B216" t="inlineStr">
        <x:is>
          <x:t xml:space="preserve">HR-D1-Q01</x:t>
        </x:is>
      </x:c>
      <x:c r="C216" t="inlineStr">
        <x:is>
          <x:t xml:space="preserve">HR-D1-Q01-A3</x:t>
        </x:is>
      </x:c>
      <x:c r="D216" t="n">
        <x:v>4</x:v>
      </x:c>
      <x:c r="E216" t="inlineStr">
        <x:is>
          <x:t xml:space="preserve">Defined: HR has a named contact and standard steps to coordinate with Security/Legal.</x:t>
        </x:is>
      </x:c>
      <x:c r="F216" t="n">
        <x:v>2</x:v>
      </x:c>
      <x:c r="H216" t="inlineStr">
        <x:is>
          <x:t xml:space="preserve">Operating Model Gap</x:t>
        </x:is>
      </x:c>
      <x:c r="I216" t="inlineStr">
        <x:is>
          <x:t xml:space="preserve">Standardize workflow</x:t>
        </x:is>
      </x:c>
      <x:c r="J216" t="inlineStr">
        <x:is>
          <x:t xml:space="preserve">N</x:t>
        </x:is>
      </x:c>
      <x:c r="K216" t="inlineStr">
        <x:is>
          <x:t xml:space="preserve">Share the role name/title and a short process description.</x:t>
        </x:is>
      </x:c>
    </x:row>
    <x:row r="217">
      <x:c r="A217" t="inlineStr">
        <x:is>
          <x:t xml:space="preserve">HR</x:t>
        </x:is>
      </x:c>
      <x:c r="B217" t="inlineStr">
        <x:is>
          <x:t xml:space="preserve">HR-D1-Q01</x:t>
        </x:is>
      </x:c>
      <x:c r="C217" t="inlineStr">
        <x:is>
          <x:t xml:space="preserve">HR-D1-Q01-A4</x:t>
        </x:is>
      </x:c>
      <x:c r="D217" t="n">
        <x:v>5</x:v>
      </x:c>
      <x:c r="E217" t="inlineStr">
        <x:is>
          <x:t xml:space="preserve">Managed: Regular cross-functional check-ins and agreed decision rights for people-risk cases.</x:t>
        </x:is>
      </x:c>
      <x:c r="F217" t="n">
        <x:v>3</x:v>
      </x:c>
      <x:c r="H217" t="inlineStr">
        <x:is>
          <x:t xml:space="preserve">Operating Model Gap</x:t>
        </x:is>
      </x:c>
      <x:c r="I217" t="inlineStr">
        <x:is>
          <x:t xml:space="preserve">Formalize governance</x:t>
        </x:is>
      </x:c>
      <x:c r="J217" t="inlineStr">
        <x:is>
          <x:t xml:space="preserve">N</x:t>
        </x:is>
      </x:c>
      <x:c r="K217" t="inlineStr">
        <x:is>
          <x:t xml:space="preserve">Evidence: meeting cadence, terms of reference.</x:t>
        </x:is>
      </x:c>
    </x:row>
    <x:row r="218">
      <x:c r="A218" t="inlineStr">
        <x:is>
          <x:t xml:space="preserve">HR</x:t>
        </x:is>
      </x:c>
      <x:c r="B218" t="inlineStr">
        <x:is>
          <x:t xml:space="preserve">HR-D1-Q01</x:t>
        </x:is>
      </x:c>
      <x:c r="C218" t="inlineStr">
        <x:is>
          <x:t xml:space="preserve">HR-D1-Q01-A5</x:t>
        </x:is>
      </x:c>
      <x:c r="D218" t="n">
        <x:v>6</x:v>
      </x:c>
      <x:c r="E218" t="inlineStr">
        <x:is>
          <x:t xml:space="preserve">Optimized: Exec sponsor expects HR/Security/Legal collaboration with KPIs and routine reporting.</x:t>
        </x:is>
      </x:c>
      <x:c r="F218" t="n">
        <x:v>4</x:v>
      </x:c>
      <x:c r="H218" t="inlineStr">
        <x:is>
          <x:t xml:space="preserve">Operating Model Gap</x:t>
        </x:is>
      </x:c>
      <x:c r="I218" t="inlineStr">
        <x:is>
          <x:t xml:space="preserve">Maintain governance</x:t>
        </x:is>
      </x:c>
      <x:c r="J218" t="inlineStr">
        <x:is>
          <x:t xml:space="preserve">N</x:t>
        </x:is>
      </x:c>
      <x:c r="K218" t="inlineStr">
        <x:is>
          <x:t xml:space="preserve">Evidence: KPI pack, steering charter.</x:t>
        </x:is>
      </x:c>
    </x:row>
    <x:row r="219">
      <x:c r="A219" t="inlineStr">
        <x:is>
          <x:t xml:space="preserve">HR</x:t>
        </x:is>
      </x:c>
      <x:c r="B219" t="inlineStr">
        <x:is>
          <x:t xml:space="preserve">HR-D1-Q02</x:t>
        </x:is>
      </x:c>
      <x:c r="C219" t="inlineStr">
        <x:is>
          <x:t xml:space="preserve">HR-D1-Q02-A1</x:t>
        </x:is>
      </x:c>
      <x:c r="D219" t="n">
        <x:v>1</x:v>
      </x:c>
      <x:c r="E219" t="inlineStr">
        <x:is>
          <x:t xml:space="preserve">No: HR and Security operate separately; coordination is slow or rare.</x:t>
        </x:is>
      </x:c>
      <x:c r="F219" t="n">
        <x:v>0</x:v>
      </x:c>
      <x:c r="G219" t="inlineStr">
        <x:is>
          <x:t xml:space="preserve">paper_dragon_signal</x:t>
        </x:is>
      </x:c>
      <x:c r="H219" t="inlineStr">
        <x:is>
          <x:t xml:space="preserve">Operating Model Gap</x:t>
        </x:is>
      </x:c>
      <x:c r="I219" t="inlineStr">
        <x:is>
          <x:t xml:space="preserve">Set coordination trigger</x:t>
        </x:is>
      </x:c>
      <x:c r="J219" t="inlineStr">
        <x:is>
          <x:t xml:space="preserve">N</x:t>
        </x:is>
      </x:c>
    </x:row>
    <x:row r="220">
      <x:c r="A220" t="inlineStr">
        <x:is>
          <x:t xml:space="preserve">HR</x:t>
        </x:is>
      </x:c>
      <x:c r="B220" t="inlineStr">
        <x:is>
          <x:t xml:space="preserve">HR-D1-Q02</x:t>
        </x:is>
      </x:c>
      <x:c r="C220" t="inlineStr">
        <x:is>
          <x:t xml:space="preserve">HR-D1-Q02-A2</x:t>
        </x:is>
      </x:c>
      <x:c r="D220" t="n">
        <x:v>2</x:v>
      </x:c>
      <x:c r="E220" t="inlineStr">
        <x:is>
          <x:t xml:space="preserve">Sometimes: depends on personal relationships; not consistent.</x:t>
        </x:is>
      </x:c>
      <x:c r="F220" t="n">
        <x:v>1</x:v>
      </x:c>
      <x:c r="G220" t="inlineStr">
        <x:is>
          <x:t xml:space="preserve">key_person_dependency,shadow_mature_signal</x:t>
        </x:is>
      </x:c>
      <x:c r="H220" t="inlineStr">
        <x:is>
          <x:t xml:space="preserve">Operating Model Gap</x:t>
        </x:is>
      </x:c>
      <x:c r="I220" t="inlineStr">
        <x:is>
          <x:t xml:space="preserve">Create standard escalation path</x:t>
        </x:is>
      </x:c>
      <x:c r="J220" t="inlineStr">
        <x:is>
          <x:t xml:space="preserve">N</x:t>
        </x:is>
      </x:c>
    </x:row>
    <x:row r="221">
      <x:c r="A221" t="inlineStr">
        <x:is>
          <x:t xml:space="preserve">HR</x:t>
        </x:is>
      </x:c>
      <x:c r="B221" t="inlineStr">
        <x:is>
          <x:t xml:space="preserve">HR-D1-Q02</x:t>
        </x:is>
      </x:c>
      <x:c r="C221" t="inlineStr">
        <x:is>
          <x:t xml:space="preserve">HR-D1-Q02-A3</x:t>
        </x:is>
      </x:c>
      <x:c r="D221" t="n">
        <x:v>3</x:v>
      </x:c>
      <x:c r="E221" t="inlineStr">
        <x:is>
          <x:t xml:space="preserve">Usually: HR and Security have an agreed way to connect within days.</x:t>
        </x:is>
      </x:c>
      <x:c r="F221" t="n">
        <x:v>2</x:v>
      </x:c>
      <x:c r="H221" t="inlineStr">
        <x:is>
          <x:t xml:space="preserve">Operating Model Gap</x:t>
        </x:is>
      </x:c>
      <x:c r="I221" t="inlineStr">
        <x:is>
          <x:t xml:space="preserve">Document escalation</x:t>
        </x:is>
      </x:c>
      <x:c r="J221" t="inlineStr">
        <x:is>
          <x:t xml:space="preserve">N</x:t>
        </x:is>
      </x:c>
      <x:c r="K221" t="inlineStr">
        <x:is>
          <x:t xml:space="preserve">Example: typical response time.</x:t>
        </x:is>
      </x:c>
    </x:row>
    <x:row r="222">
      <x:c r="A222" t="inlineStr">
        <x:is>
          <x:t xml:space="preserve">HR</x:t>
        </x:is>
      </x:c>
      <x:c r="B222" t="inlineStr">
        <x:is>
          <x:t xml:space="preserve">HR-D1-Q02</x:t>
        </x:is>
      </x:c>
      <x:c r="C222" t="inlineStr">
        <x:is>
          <x:t xml:space="preserve">HR-D1-Q02-A4</x:t>
        </x:is>
      </x:c>
      <x:c r="D222" t="n">
        <x:v>4</x:v>
      </x:c>
      <x:c r="E222" t="inlineStr">
        <x:is>
          <x:t xml:space="preserve">Yes: HR and Security coordinate within 24–48 hours for relevant concerns.</x:t>
        </x:is>
      </x:c>
      <x:c r="F222" t="n">
        <x:v>3</x:v>
      </x:c>
      <x:c r="H222" t="inlineStr">
        <x:is>
          <x:t xml:space="preserve">Operating Model Gap</x:t>
        </x:is>
      </x:c>
      <x:c r="I222" t="inlineStr">
        <x:is>
          <x:t xml:space="preserve">Maintain and test workflow</x:t>
        </x:is>
      </x:c>
      <x:c r="J222" t="inlineStr">
        <x:is>
          <x:t xml:space="preserve">N</x:t>
        </x:is>
      </x:c>
      <x:c r="K222" t="inlineStr">
        <x:is>
          <x:t xml:space="preserve">Evidence: redacted case timeline or process.</x:t>
        </x:is>
      </x:c>
    </x:row>
    <x:row r="223">
      <x:c r="A223" t="inlineStr">
        <x:is>
          <x:t xml:space="preserve">HR</x:t>
        </x:is>
      </x:c>
      <x:c r="B223" t="inlineStr">
        <x:is>
          <x:t xml:space="preserve">HR-D1-Q03</x:t>
        </x:is>
      </x:c>
      <x:c r="C223" t="inlineStr">
        <x:is>
          <x:t xml:space="preserve">HR-D1-Q03-A1</x:t>
        </x:is>
      </x:c>
      <x:c r="D223" t="n">
        <x:v>1</x:v>
      </x:c>
      <x:c r="E223" t="inlineStr">
        <x:is>
          <x:t xml:space="preserve">No one: responsibilities are split and unclear.</x:t>
        </x:is>
      </x:c>
      <x:c r="F223" t="n">
        <x:v>0</x:v>
      </x:c>
      <x:c r="G223" t="inlineStr">
        <x:is>
          <x:t xml:space="preserve">paper_dragon_signal</x:t>
        </x:is>
      </x:c>
      <x:c r="H223" t="inlineStr">
        <x:is>
          <x:t xml:space="preserve">Operating Model Gap</x:t>
        </x:is>
      </x:c>
      <x:c r="I223" t="inlineStr">
        <x:is>
          <x:t xml:space="preserve">Assign accountable owner</x:t>
        </x:is>
      </x:c>
      <x:c r="J223" t="inlineStr">
        <x:is>
          <x:t xml:space="preserve">N</x:t>
        </x:is>
      </x:c>
    </x:row>
    <x:row r="224">
      <x:c r="A224" t="inlineStr">
        <x:is>
          <x:t xml:space="preserve">HR</x:t>
        </x:is>
      </x:c>
      <x:c r="B224" t="inlineStr">
        <x:is>
          <x:t xml:space="preserve">HR-D1-Q03</x:t>
        </x:is>
      </x:c>
      <x:c r="C224" t="inlineStr">
        <x:is>
          <x:t xml:space="preserve">HR-D1-Q03-A2</x:t>
        </x:is>
      </x:c>
      <x:c r="D224" t="n">
        <x:v>2</x:v>
      </x:c>
      <x:c r="E224" t="inlineStr">
        <x:is>
          <x:t xml:space="preserve">Informal: a senior HR person handles it when needed, but it’s not in their role/KPIs.</x:t>
        </x:is>
      </x:c>
      <x:c r="F224" t="n">
        <x:v>1</x:v>
      </x:c>
      <x:c r="G224" t="inlineStr">
        <x:is>
          <x:t xml:space="preserve">key_person_dependency</x:t>
        </x:is>
      </x:c>
      <x:c r="H224" t="inlineStr">
        <x:is>
          <x:t xml:space="preserve">Operating Model Gap</x:t>
        </x:is>
      </x:c>
      <x:c r="I224" t="inlineStr">
        <x:is>
          <x:t xml:space="preserve">Formalize accountability</x:t>
        </x:is>
      </x:c>
      <x:c r="J224" t="inlineStr">
        <x:is>
          <x:t xml:space="preserve">N</x:t>
        </x:is>
      </x:c>
    </x:row>
    <x:row r="225">
      <x:c r="A225" t="inlineStr">
        <x:is>
          <x:t xml:space="preserve">HR</x:t>
        </x:is>
      </x:c>
      <x:c r="B225" t="inlineStr">
        <x:is>
          <x:t xml:space="preserve">HR-D1-Q03</x:t>
        </x:is>
      </x:c>
      <x:c r="C225" t="inlineStr">
        <x:is>
          <x:t xml:space="preserve">HR-D1-Q03-A3</x:t>
        </x:is>
      </x:c>
      <x:c r="D225" t="n">
        <x:v>3</x:v>
      </x:c>
      <x:c r="E225" t="inlineStr">
        <x:is>
          <x:t xml:space="preserve">Named: a role is responsible, with documented remit.</x:t>
        </x:is>
      </x:c>
      <x:c r="F225" t="n">
        <x:v>2</x:v>
      </x:c>
      <x:c r="H225" t="inlineStr">
        <x:is>
          <x:t xml:space="preserve">Operating Model Gap</x:t>
        </x:is>
      </x:c>
      <x:c r="I225" t="inlineStr">
        <x:is>
          <x:t xml:space="preserve">Define KPIs</x:t>
        </x:is>
      </x:c>
      <x:c r="J225" t="inlineStr">
        <x:is>
          <x:t xml:space="preserve">N</x:t>
        </x:is>
      </x:c>
      <x:c r="K225" t="inlineStr">
        <x:is>
          <x:t xml:space="preserve">Evidence: role description or RACI.</x:t>
        </x:is>
      </x:c>
    </x:row>
    <x:row r="226">
      <x:c r="A226" t="inlineStr">
        <x:is>
          <x:t xml:space="preserve">HR</x:t>
        </x:is>
      </x:c>
      <x:c r="B226" t="inlineStr">
        <x:is>
          <x:t xml:space="preserve">HR-D1-Q03</x:t>
        </x:is>
      </x:c>
      <x:c r="C226" t="inlineStr">
        <x:is>
          <x:t xml:space="preserve">HR-D1-Q03-A4</x:t>
        </x:is>
      </x:c>
      <x:c r="D226" t="n">
        <x:v>4</x:v>
      </x:c>
      <x:c r="E226" t="inlineStr">
        <x:is>
          <x:t xml:space="preserve">Named + empowered: role has decision rights and access to Legal/Security support.</x:t>
        </x:is>
      </x:c>
      <x:c r="F226" t="n">
        <x:v>3</x:v>
      </x:c>
      <x:c r="H226" t="inlineStr">
        <x:is>
          <x:t xml:space="preserve">Operating Model Gap</x:t>
        </x:is>
      </x:c>
      <x:c r="I226" t="inlineStr">
        <x:is>
          <x:t xml:space="preserve">Maintain operating model</x:t>
        </x:is>
      </x:c>
      <x:c r="J226" t="inlineStr">
        <x:is>
          <x:t xml:space="preserve">N</x:t>
        </x:is>
      </x:c>
      <x:c r="K226" t="inlineStr">
        <x:is>
          <x:t xml:space="preserve">Evidence: RACI + escalation path.</x:t>
        </x:is>
      </x:c>
    </x:row>
    <x:row r="227">
      <x:c r="A227" t="inlineStr">
        <x:is>
          <x:t xml:space="preserve">HR</x:t>
        </x:is>
      </x:c>
      <x:c r="B227" t="inlineStr">
        <x:is>
          <x:t xml:space="preserve">HR-D1-Q03</x:t>
        </x:is>
      </x:c>
      <x:c r="C227" t="inlineStr">
        <x:is>
          <x:t xml:space="preserve">HR-D1-Q03-A5</x:t>
        </x:is>
      </x:c>
      <x:c r="D227" t="n">
        <x:v>5</x:v>
      </x:c>
      <x:c r="E227" t="inlineStr">
        <x:is>
          <x:t xml:space="preserve">Governed: accountability embedded in HR KPIs and reviewed with exec sponsor.</x:t>
        </x:is>
      </x:c>
      <x:c r="F227" t="n">
        <x:v>4</x:v>
      </x:c>
      <x:c r="H227" t="inlineStr">
        <x:is>
          <x:t xml:space="preserve">Operating Model Gap</x:t>
        </x:is>
      </x:c>
      <x:c r="I227" t="inlineStr">
        <x:is>
          <x:t xml:space="preserve">Maintain governance cadence</x:t>
        </x:is>
      </x:c>
      <x:c r="J227" t="inlineStr">
        <x:is>
          <x:t xml:space="preserve">N</x:t>
        </x:is>
      </x:c>
      <x:c r="K227" t="inlineStr">
        <x:is>
          <x:t xml:space="preserve">Evidence: KPI pack / steering minutes.</x:t>
        </x:is>
      </x:c>
    </x:row>
    <x:row r="228">
      <x:c r="A228" t="inlineStr">
        <x:is>
          <x:t xml:space="preserve">HR</x:t>
        </x:is>
      </x:c>
      <x:c r="B228" t="inlineStr">
        <x:is>
          <x:t xml:space="preserve">HR-D1-Q04</x:t>
        </x:is>
      </x:c>
      <x:c r="C228" t="inlineStr">
        <x:is>
          <x:t xml:space="preserve">HR-D1-Q04-A1</x:t>
        </x:is>
      </x:c>
      <x:c r="D228" t="n">
        <x:v>1</x:v>
      </x:c>
      <x:c r="E228" t="inlineStr">
        <x:is>
          <x:t xml:space="preserve">None: every case is handled differently.</x:t>
        </x:is>
      </x:c>
      <x:c r="F228" t="n">
        <x:v>0</x:v>
      </x:c>
      <x:c r="G228" t="inlineStr">
        <x:is>
          <x:t xml:space="preserve">paper_dragon_signal</x:t>
        </x:is>
      </x:c>
      <x:c r="H228" t="inlineStr">
        <x:is>
          <x:t xml:space="preserve">Operating Model Gap</x:t>
        </x:is>
      </x:c>
      <x:c r="I228" t="inlineStr">
        <x:is>
          <x:t xml:space="preserve">Create case workflow</x:t>
        </x:is>
      </x:c>
      <x:c r="J228" t="inlineStr">
        <x:is>
          <x:t xml:space="preserve">N</x:t>
        </x:is>
      </x:c>
    </x:row>
    <x:row r="229">
      <x:c r="A229" t="inlineStr">
        <x:is>
          <x:t xml:space="preserve">HR</x:t>
        </x:is>
      </x:c>
      <x:c r="B229" t="inlineStr">
        <x:is>
          <x:t xml:space="preserve">HR-D1-Q04</x:t>
        </x:is>
      </x:c>
      <x:c r="C229" t="inlineStr">
        <x:is>
          <x:t xml:space="preserve">HR-D1-Q04-A2</x:t>
        </x:is>
      </x:c>
      <x:c r="D229" t="n">
        <x:v>2</x:v>
      </x:c>
      <x:c r="E229" t="inlineStr">
        <x:is>
          <x:t xml:space="preserve">Ad-hoc: teams collaborate via email/chats; decisions are unclear.</x:t>
        </x:is>
      </x:c>
      <x:c r="F229" t="n">
        <x:v>1</x:v>
      </x:c>
      <x:c r="G229" t="inlineStr">
        <x:is>
          <x:t xml:space="preserve">shadow_mature_signal</x:t>
        </x:is>
      </x:c>
      <x:c r="H229" t="inlineStr">
        <x:is>
          <x:t xml:space="preserve">Operating Model Gap</x:t>
        </x:is>
      </x:c>
      <x:c r="I229" t="inlineStr">
        <x:is>
          <x:t xml:space="preserve">Define roles &amp; steps</x:t>
        </x:is>
      </x:c>
      <x:c r="J229" t="inlineStr">
        <x:is>
          <x:t xml:space="preserve">N</x:t>
        </x:is>
      </x:c>
      <x:c r="K229" t="inlineStr">
        <x:is>
          <x:t xml:space="preserve">Example: last case workflow.</x:t>
        </x:is>
      </x:c>
    </x:row>
    <x:row r="230">
      <x:c r="A230" t="inlineStr">
        <x:is>
          <x:t xml:space="preserve">HR</x:t>
        </x:is>
      </x:c>
      <x:c r="B230" t="inlineStr">
        <x:is>
          <x:t xml:space="preserve">HR-D1-Q04</x:t>
        </x:is>
      </x:c>
      <x:c r="C230" t="inlineStr">
        <x:is>
          <x:t xml:space="preserve">HR-D1-Q04-A3</x:t>
        </x:is>
      </x:c>
      <x:c r="D230" t="n">
        <x:v>3</x:v>
      </x:c>
      <x:c r="E230" t="inlineStr">
        <x:is>
          <x:t xml:space="preserve">Documented: workflow exists but not always followed.</x:t>
        </x:is>
      </x:c>
      <x:c r="F230" t="n">
        <x:v>2</x:v>
      </x:c>
      <x:c r="H230" t="inlineStr">
        <x:is>
          <x:t xml:space="preserve">Operating Model Gap</x:t>
        </x:is>
      </x:c>
      <x:c r="I230" t="inlineStr">
        <x:is>
          <x:t xml:space="preserve">Improve adherence</x:t>
        </x:is>
      </x:c>
      <x:c r="J230" t="inlineStr">
        <x:is>
          <x:t xml:space="preserve">N</x:t>
        </x:is>
      </x:c>
      <x:c r="K230" t="inlineStr">
        <x:is>
          <x:t xml:space="preserve">Evidence: workflow doc, training.</x:t>
        </x:is>
      </x:c>
    </x:row>
    <x:row r="231">
      <x:c r="A231" t="inlineStr">
        <x:is>
          <x:t xml:space="preserve">HR</x:t>
        </x:is>
      </x:c>
      <x:c r="B231" t="inlineStr">
        <x:is>
          <x:t xml:space="preserve">HR-D1-Q04</x:t>
        </x:is>
      </x:c>
      <x:c r="C231" t="inlineStr">
        <x:is>
          <x:t xml:space="preserve">HR-D1-Q04-A4</x:t>
        </x:is>
      </x:c>
      <x:c r="D231" t="n">
        <x:v>4</x:v>
      </x:c>
      <x:c r="E231" t="inlineStr">
        <x:is>
          <x:t xml:space="preserve">Used: consistently followed with privacy/legal checkpoints.</x:t>
        </x:is>
      </x:c>
      <x:c r="F231" t="n">
        <x:v>3</x:v>
      </x:c>
      <x:c r="H231" t="inlineStr">
        <x:is>
          <x:t xml:space="preserve">Legal Exposure</x:t>
        </x:is>
      </x:c>
      <x:c r="I231" t="inlineStr">
        <x:is>
          <x:t xml:space="preserve">Maintain and audit workflow</x:t>
        </x:is>
      </x:c>
      <x:c r="J231" t="inlineStr">
        <x:is>
          <x:t xml:space="preserve">N</x:t>
        </x:is>
      </x:c>
      <x:c r="K231" t="inlineStr">
        <x:is>
          <x:t xml:space="preserve">Evidence: redacted case checklist.</x:t>
        </x:is>
      </x:c>
    </x:row>
    <x:row r="232">
      <x:c r="A232" t="inlineStr">
        <x:is>
          <x:t xml:space="preserve">HR</x:t>
        </x:is>
      </x:c>
      <x:c r="B232" t="inlineStr">
        <x:is>
          <x:t xml:space="preserve">HR-D1-Q04</x:t>
        </x:is>
      </x:c>
      <x:c r="C232" t="inlineStr">
        <x:is>
          <x:t xml:space="preserve">HR-D1-Q04-A5</x:t>
        </x:is>
      </x:c>
      <x:c r="D232" t="n">
        <x:v>5</x:v>
      </x:c>
      <x:c r="E232" t="inlineStr">
        <x:is>
          <x:t xml:space="preserve">Audited: tested/audited and improved after cases or exercises.</x:t>
        </x:is>
      </x:c>
      <x:c r="F232" t="n">
        <x:v>4</x:v>
      </x:c>
      <x:c r="H232" t="inlineStr">
        <x:is>
          <x:t xml:space="preserve">Legal Exposure</x:t>
        </x:is>
      </x:c>
      <x:c r="I232" t="inlineStr">
        <x:is>
          <x:t xml:space="preserve">Continue assurance</x:t>
        </x:is>
      </x:c>
      <x:c r="J232" t="inlineStr">
        <x:is>
          <x:t xml:space="preserve">N</x:t>
        </x:is>
      </x:c>
      <x:c r="K232" t="inlineStr">
        <x:is>
          <x:t xml:space="preserve">Evidence: audit/exercise notes.</x:t>
        </x:is>
      </x:c>
    </x:row>
    <x:row r="233">
      <x:c r="A233" t="inlineStr">
        <x:is>
          <x:t xml:space="preserve">HR</x:t>
        </x:is>
      </x:c>
      <x:c r="B233" t="inlineStr">
        <x:is>
          <x:t xml:space="preserve">HR-D2-Q05</x:t>
        </x:is>
      </x:c>
      <x:c r="C233" t="inlineStr">
        <x:is>
          <x:t xml:space="preserve">HR-D2-Q05-A0</x:t>
        </x:is>
      </x:c>
      <x:c r="D233" t="n">
        <x:v>1</x:v>
      </x:c>
      <x:c r="E233" t="inlineStr">
        <x:is>
          <x:t xml:space="preserve">I don't know / Not sure.</x:t>
        </x:is>
      </x:c>
      <x:c r="F233" t="n">
        <x:v>0</x:v>
      </x:c>
      <x:c r="G233" t="inlineStr">
        <x:is>
          <x:t xml:space="preserve">low-confidence</x:t>
        </x:is>
      </x:c>
      <x:c r="H233" t="inlineStr">
        <x:is>
          <x:t xml:space="preserve">Culture Risk</x:t>
        </x:is>
      </x:c>
      <x:c r="I233" t="inlineStr">
        <x:is>
          <x:t xml:space="preserve">Clarify channels</x:t>
        </x:is>
      </x:c>
      <x:c r="J233" t="inlineStr">
        <x:is>
          <x:t xml:space="preserve">N</x:t>
        </x:is>
      </x:c>
    </x:row>
    <x:row r="234">
      <x:c r="A234" t="inlineStr">
        <x:is>
          <x:t xml:space="preserve">HR</x:t>
        </x:is>
      </x:c>
      <x:c r="B234" t="inlineStr">
        <x:is>
          <x:t xml:space="preserve">HR-D2-Q05</x:t>
        </x:is>
      </x:c>
      <x:c r="C234" t="inlineStr">
        <x:is>
          <x:t xml:space="preserve">HR-D2-Q05-A1</x:t>
        </x:is>
      </x:c>
      <x:c r="D234" t="n">
        <x:v>2</x:v>
      </x:c>
      <x:c r="E234" t="inlineStr">
        <x:is>
          <x:t xml:space="preserve">No: people mostly stay silent or only talk informally.</x:t>
        </x:is>
      </x:c>
      <x:c r="F234" t="n">
        <x:v>0</x:v>
      </x:c>
      <x:c r="G234" t="inlineStr">
        <x:is>
          <x:t xml:space="preserve">culture_risk,toxic_enforcer_signal</x:t>
        </x:is>
      </x:c>
      <x:c r="H234" t="inlineStr">
        <x:is>
          <x:t xml:space="preserve">Culture Risk</x:t>
        </x:is>
      </x:c>
      <x:c r="I234" t="inlineStr">
        <x:is>
          <x:t xml:space="preserve">Design protected reporting</x:t>
        </x:is>
      </x:c>
      <x:c r="J234" t="inlineStr">
        <x:is>
          <x:t xml:space="preserve">N</x:t>
        </x:is>
      </x:c>
    </x:row>
    <x:row r="235">
      <x:c r="A235" t="inlineStr">
        <x:is>
          <x:t xml:space="preserve">HR</x:t>
        </x:is>
      </x:c>
      <x:c r="B235" t="inlineStr">
        <x:is>
          <x:t xml:space="preserve">HR-D2-Q05</x:t>
        </x:is>
      </x:c>
      <x:c r="C235" t="inlineStr">
        <x:is>
          <x:t xml:space="preserve">HR-D2-Q05-A2</x:t>
        </x:is>
      </x:c>
      <x:c r="D235" t="n">
        <x:v>3</x:v>
      </x:c>
      <x:c r="E235" t="inlineStr">
        <x:is>
          <x:t xml:space="preserve">Basic: a channel exists, but people fear consequences or don't trust it.</x:t>
        </x:is>
      </x:c>
      <x:c r="F235" t="n">
        <x:v>1</x:v>
      </x:c>
      <x:c r="G235" t="inlineStr">
        <x:is>
          <x:t xml:space="preserve">culture_risk</x:t>
        </x:is>
      </x:c>
      <x:c r="H235" t="inlineStr">
        <x:is>
          <x:t xml:space="preserve">Culture Risk</x:t>
        </x:is>
      </x:c>
      <x:c r="I235" t="inlineStr">
        <x:is>
          <x:t xml:space="preserve">Improve trust &amp; protections</x:t>
        </x:is>
      </x:c>
      <x:c r="J235" t="inlineStr">
        <x:is>
          <x:t xml:space="preserve">N</x:t>
        </x:is>
      </x:c>
      <x:c r="K235" t="inlineStr">
        <x:is>
          <x:t xml:space="preserve">Evidence: channel description, communications.</x:t>
        </x:is>
      </x:c>
    </x:row>
    <x:row r="236">
      <x:c r="A236" t="inlineStr">
        <x:is>
          <x:t xml:space="preserve">HR</x:t>
        </x:is>
      </x:c>
      <x:c r="B236" t="inlineStr">
        <x:is>
          <x:t xml:space="preserve">HR-D2-Q05</x:t>
        </x:is>
      </x:c>
      <x:c r="C236" t="inlineStr">
        <x:is>
          <x:t xml:space="preserve">HR-D2-Q05-A3</x:t>
        </x:is>
      </x:c>
      <x:c r="D236" t="n">
        <x:v>4</x:v>
      </x:c>
      <x:c r="E236" t="inlineStr">
        <x:is>
          <x:t xml:space="preserve">Defined: multiple channels exist and non-retaliation is communicated, but quality varies.</x:t>
        </x:is>
      </x:c>
      <x:c r="F236" t="n">
        <x:v>2</x:v>
      </x:c>
      <x:c r="H236" t="inlineStr">
        <x:is>
          <x:t xml:space="preserve">Culture Risk</x:t>
        </x:is>
      </x:c>
      <x:c r="I236" t="inlineStr">
        <x:is>
          <x:t xml:space="preserve">Strengthen triage &amp; feedback</x:t>
        </x:is>
      </x:c>
      <x:c r="J236" t="inlineStr">
        <x:is>
          <x:t xml:space="preserve">N</x:t>
        </x:is>
      </x:c>
      <x:c r="K236" t="inlineStr">
        <x:is>
          <x:t xml:space="preserve">Evidence: policy + comms.</x:t>
        </x:is>
      </x:c>
    </x:row>
    <x:row r="237">
      <x:c r="A237" t="inlineStr">
        <x:is>
          <x:t xml:space="preserve">HR</x:t>
        </x:is>
      </x:c>
      <x:c r="B237" t="inlineStr">
        <x:is>
          <x:t xml:space="preserve">HR-D2-Q05</x:t>
        </x:is>
      </x:c>
      <x:c r="C237" t="inlineStr">
        <x:is>
          <x:t xml:space="preserve">HR-D2-Q05-A4</x:t>
        </x:is>
      </x:c>
      <x:c r="D237" t="n">
        <x:v>5</x:v>
      </x:c>
      <x:c r="E237" t="inlineStr">
        <x:is>
          <x:t xml:space="preserve">Trusted: channels are used; confidentiality respected; retaliation investigated.</x:t>
        </x:is>
      </x:c>
      <x:c r="F237" t="n">
        <x:v>3</x:v>
      </x:c>
      <x:c r="H237" t="inlineStr">
        <x:is>
          <x:t xml:space="preserve">Culture Risk</x:t>
        </x:is>
      </x:c>
      <x:c r="I237" t="inlineStr">
        <x:is>
          <x:t xml:space="preserve">Maintain and measure trust</x:t>
        </x:is>
      </x:c>
      <x:c r="J237" t="inlineStr">
        <x:is>
          <x:t xml:space="preserve">N</x:t>
        </x:is>
      </x:c>
      <x:c r="K237" t="inlineStr">
        <x:is>
          <x:t xml:space="preserve">Evidence: anonymized metrics on reports/retaliation.</x:t>
        </x:is>
      </x:c>
    </x:row>
    <x:row r="238">
      <x:c r="A238" t="inlineStr">
        <x:is>
          <x:t xml:space="preserve">HR</x:t>
        </x:is>
      </x:c>
      <x:c r="B238" t="inlineStr">
        <x:is>
          <x:t xml:space="preserve">HR-D2-Q05</x:t>
        </x:is>
      </x:c>
      <x:c r="C238" t="inlineStr">
        <x:is>
          <x:t xml:space="preserve">HR-D2-Q05-A5</x:t>
        </x:is>
      </x:c>
      <x:c r="D238" t="n">
        <x:v>6</x:v>
      </x:c>
      <x:c r="E238" t="inlineStr">
        <x:is>
          <x:t xml:space="preserve">High trust: people report early; outcomes drive improvements; trust is measured.</x:t>
        </x:is>
      </x:c>
      <x:c r="F238" t="n">
        <x:v>4</x:v>
      </x:c>
      <x:c r="H238" t="inlineStr">
        <x:is>
          <x:t xml:space="preserve">Culture Risk</x:t>
        </x:is>
      </x:c>
      <x:c r="I238" t="inlineStr">
        <x:is>
          <x:t xml:space="preserve">Maintain maturity</x:t>
        </x:is>
      </x:c>
      <x:c r="J238" t="inlineStr">
        <x:is>
          <x:t xml:space="preserve">N</x:t>
        </x:is>
      </x:c>
      <x:c r="K238" t="inlineStr">
        <x:is>
          <x:t xml:space="preserve">Evidence: trends + action plans.</x:t>
        </x:is>
      </x:c>
    </x:row>
    <x:row r="239">
      <x:c r="A239" t="inlineStr">
        <x:is>
          <x:t xml:space="preserve">HR</x:t>
        </x:is>
      </x:c>
      <x:c r="B239" t="inlineStr">
        <x:is>
          <x:t xml:space="preserve">HR-D2-Q06</x:t>
        </x:is>
      </x:c>
      <x:c r="C239" t="inlineStr">
        <x:is>
          <x:t xml:space="preserve">HR-D2-Q06-A1</x:t>
        </x:is>
      </x:c>
      <x:c r="D239" t="n">
        <x:v>1</x:v>
      </x:c>
      <x:c r="E239" t="inlineStr">
        <x:is>
          <x:t xml:space="preserve">They usually aren’t raised; people avoid speaking up.</x:t>
        </x:is>
      </x:c>
      <x:c r="F239" t="n">
        <x:v>0</x:v>
      </x:c>
      <x:c r="G239" t="inlineStr">
        <x:is>
          <x:t xml:space="preserve">culture_risk</x:t>
        </x:is>
      </x:c>
      <x:c r="H239" t="inlineStr">
        <x:is>
          <x:t xml:space="preserve">Culture Risk</x:t>
        </x:is>
      </x:c>
      <x:c r="I239" t="inlineStr">
        <x:is>
          <x:t xml:space="preserve">Implement channels</x:t>
        </x:is>
      </x:c>
      <x:c r="J239" t="inlineStr">
        <x:is>
          <x:t xml:space="preserve">N</x:t>
        </x:is>
      </x:c>
    </x:row>
    <x:row r="240">
      <x:c r="A240" t="inlineStr">
        <x:is>
          <x:t xml:space="preserve">HR</x:t>
        </x:is>
      </x:c>
      <x:c r="B240" t="inlineStr">
        <x:is>
          <x:t xml:space="preserve">HR-D2-Q06</x:t>
        </x:is>
      </x:c>
      <x:c r="C240" t="inlineStr">
        <x:is>
          <x:t xml:space="preserve">HR-D2-Q06-A2</x:t>
        </x:is>
      </x:c>
      <x:c r="D240" t="n">
        <x:v>2</x:v>
      </x:c>
      <x:c r="E240" t="inlineStr">
        <x:is>
          <x:t xml:space="preserve">Only to a trusted manager/HR contact; depends on relationships.</x:t>
        </x:is>
      </x:c>
      <x:c r="F240" t="n">
        <x:v>1</x:v>
      </x:c>
      <x:c r="G240" t="inlineStr">
        <x:is>
          <x:t xml:space="preserve">key_person_dependency</x:t>
        </x:is>
      </x:c>
      <x:c r="H240" t="inlineStr">
        <x:is>
          <x:t xml:space="preserve">Culture Risk</x:t>
        </x:is>
      </x:c>
      <x:c r="I240" t="inlineStr">
        <x:is>
          <x:t xml:space="preserve">Create consistent process</x:t>
        </x:is>
      </x:c>
      <x:c r="J240" t="inlineStr">
        <x:is>
          <x:t xml:space="preserve">N</x:t>
        </x:is>
      </x:c>
    </x:row>
    <x:row r="241">
      <x:c r="A241" t="inlineStr">
        <x:is>
          <x:t xml:space="preserve">HR</x:t>
        </x:is>
      </x:c>
      <x:c r="B241" t="inlineStr">
        <x:is>
          <x:t xml:space="preserve">HR-D2-Q06</x:t>
        </x:is>
      </x:c>
      <x:c r="C241" t="inlineStr">
        <x:is>
          <x:t xml:space="preserve">HR-D2-Q06-A3</x:t>
        </x:is>
      </x:c>
      <x:c r="D241" t="n">
        <x:v>3</x:v>
      </x:c>
      <x:c r="E241" t="inlineStr">
        <x:is>
          <x:t xml:space="preserve">Sometimes reported, but follow-up is inconsistent and not documented.</x:t>
        </x:is>
      </x:c>
      <x:c r="F241" t="n">
        <x:v>2</x:v>
      </x:c>
      <x:c r="G241" t="inlineStr">
        <x:is>
          <x:t xml:space="preserve">shadow_mature_signal</x:t>
        </x:is>
      </x:c>
      <x:c r="H241" t="inlineStr">
        <x:is>
          <x:t xml:space="preserve">Operating Model Gap</x:t>
        </x:is>
      </x:c>
      <x:c r="I241" t="inlineStr">
        <x:is>
          <x:t xml:space="preserve">Standardize triage</x:t>
        </x:is>
      </x:c>
      <x:c r="J241" t="inlineStr">
        <x:is>
          <x:t xml:space="preserve">N</x:t>
        </x:is>
      </x:c>
    </x:row>
    <x:row r="242">
      <x:c r="A242" t="inlineStr">
        <x:is>
          <x:t xml:space="preserve">HR</x:t>
        </x:is>
      </x:c>
      <x:c r="B242" t="inlineStr">
        <x:is>
          <x:t xml:space="preserve">HR-D2-Q06</x:t>
        </x:is>
      </x:c>
      <x:c r="C242" t="inlineStr">
        <x:is>
          <x:t xml:space="preserve">HR-D2-Q06-A4</x:t>
        </x:is>
      </x:c>
      <x:c r="D242" t="n">
        <x:v>4</x:v>
      </x:c>
      <x:c r="E242" t="inlineStr">
        <x:is>
          <x:t xml:space="preserve">Raised and acted on quickly even if informal; patterns discussed.</x:t>
        </x:is>
      </x:c>
      <x:c r="F242" t="n">
        <x:v>3</x:v>
      </x:c>
      <x:c r="G242" t="inlineStr">
        <x:is>
          <x:t xml:space="preserve">shadow_mature_signal</x:t>
        </x:is>
      </x:c>
      <x:c r="H242" t="inlineStr">
        <x:is>
          <x:t xml:space="preserve">Culture Risk</x:t>
        </x:is>
      </x:c>
      <x:c r="I242" t="inlineStr">
        <x:is>
          <x:t xml:space="preserve">Formalize without harming trust</x:t>
        </x:is>
      </x:c>
      <x:c r="J242" t="inlineStr">
        <x:is>
          <x:t xml:space="preserve">N</x:t>
        </x:is>
      </x:c>
      <x:c r="K242" t="inlineStr">
        <x:is>
          <x:t xml:space="preserve">Example: concerns per quarter.</x:t>
        </x:is>
      </x:c>
    </x:row>
    <x:row r="243">
      <x:c r="A243" t="inlineStr">
        <x:is>
          <x:t xml:space="preserve">HR</x:t>
        </x:is>
      </x:c>
      <x:c r="B243" t="inlineStr">
        <x:is>
          <x:t xml:space="preserve">HR-D2-Q07</x:t>
        </x:is>
      </x:c>
      <x:c r="C243" t="inlineStr">
        <x:is>
          <x:t xml:space="preserve">HR-D2-Q07-A1</x:t>
        </x:is>
      </x:c>
      <x:c r="D243" t="n">
        <x:v>1</x:v>
      </x:c>
      <x:c r="E243" t="inlineStr">
        <x:is>
          <x:t xml:space="preserve">No explicit protection; handled like any other conflict.</x:t>
        </x:is>
      </x:c>
      <x:c r="F243" t="n">
        <x:v>0</x:v>
      </x:c>
      <x:c r="G243" t="inlineStr">
        <x:is>
          <x:t xml:space="preserve">legal_exposure,culture_risk</x:t>
        </x:is>
      </x:c>
      <x:c r="H243" t="inlineStr">
        <x:is>
          <x:t xml:space="preserve">Legal Exposure</x:t>
        </x:is>
      </x:c>
      <x:c r="I243" t="inlineStr">
        <x:is>
          <x:t xml:space="preserve">Define non-retaliation policy</x:t>
        </x:is>
      </x:c>
      <x:c r="J243" t="inlineStr">
        <x:is>
          <x:t xml:space="preserve">N</x:t>
        </x:is>
      </x:c>
    </x:row>
    <x:row r="244">
      <x:c r="A244" t="inlineStr">
        <x:is>
          <x:t xml:space="preserve">HR</x:t>
        </x:is>
      </x:c>
      <x:c r="B244" t="inlineStr">
        <x:is>
          <x:t xml:space="preserve">HR-D2-Q07</x:t>
        </x:is>
      </x:c>
      <x:c r="C244" t="inlineStr">
        <x:is>
          <x:t xml:space="preserve">HR-D2-Q07-A2</x:t>
        </x:is>
      </x:c>
      <x:c r="D244" t="n">
        <x:v>2</x:v>
      </x:c>
      <x:c r="E244" t="inlineStr">
        <x:is>
          <x:t xml:space="preserve">Policy exists but not well-known; enforcement inconsistent.</x:t>
        </x:is>
      </x:c>
      <x:c r="F244" t="n">
        <x:v>1</x:v>
      </x:c>
      <x:c r="G244" t="inlineStr">
        <x:is>
          <x:t xml:space="preserve">paper_dragon_signal</x:t>
        </x:is>
      </x:c>
      <x:c r="H244" t="inlineStr">
        <x:is>
          <x:t xml:space="preserve">Paper Dragon</x:t>
        </x:is>
      </x:c>
      <x:c r="I244" t="inlineStr">
        <x:is>
          <x:t xml:space="preserve">Improve training &amp; enforcement</x:t>
        </x:is>
      </x:c>
      <x:c r="J244" t="inlineStr">
        <x:is>
          <x:t xml:space="preserve">N</x:t>
        </x:is>
      </x:c>
      <x:c r="K244" t="inlineStr">
        <x:is>
          <x:t xml:space="preserve">Evidence: policy and comms.</x:t>
        </x:is>
      </x:c>
    </x:row>
    <x:row r="245">
      <x:c r="A245" t="inlineStr">
        <x:is>
          <x:t xml:space="preserve">HR</x:t>
        </x:is>
      </x:c>
      <x:c r="B245" t="inlineStr">
        <x:is>
          <x:t xml:space="preserve">HR-D2-Q07</x:t>
        </x:is>
      </x:c>
      <x:c r="C245" t="inlineStr">
        <x:is>
          <x:t xml:space="preserve">HR-D2-Q07-A3</x:t>
        </x:is>
      </x:c>
      <x:c r="D245" t="n">
        <x:v>3</x:v>
      </x:c>
      <x:c r="E245" t="inlineStr">
        <x:is>
          <x:t xml:space="preserve">Managers trained; retaliation checks part of investigations.</x:t>
        </x:is>
      </x:c>
      <x:c r="F245" t="n">
        <x:v>2</x:v>
      </x:c>
      <x:c r="H245" t="inlineStr">
        <x:is>
          <x:t xml:space="preserve">Culture Risk</x:t>
        </x:is>
      </x:c>
      <x:c r="I245" t="inlineStr">
        <x:is>
          <x:t xml:space="preserve">Improve monitoring &amp; metrics</x:t>
        </x:is>
      </x:c>
      <x:c r="J245" t="inlineStr">
        <x:is>
          <x:t xml:space="preserve">N</x:t>
        </x:is>
      </x:c>
      <x:c r="K245" t="inlineStr">
        <x:is>
          <x:t xml:space="preserve">Evidence: training completion.</x:t>
        </x:is>
      </x:c>
    </x:row>
    <x:row r="246">
      <x:c r="A246" t="inlineStr">
        <x:is>
          <x:t xml:space="preserve">HR</x:t>
        </x:is>
      </x:c>
      <x:c r="B246" t="inlineStr">
        <x:is>
          <x:t xml:space="preserve">HR-D2-Q07</x:t>
        </x:is>
      </x:c>
      <x:c r="C246" t="inlineStr">
        <x:is>
          <x:t xml:space="preserve">HR-D2-Q07-A4</x:t>
        </x:is>
      </x:c>
      <x:c r="D246" t="n">
        <x:v>4</x:v>
      </x:c>
      <x:c r="E246" t="inlineStr">
        <x:is>
          <x:t xml:space="preserve">Active monitoring: retaliation claims tracked and escalated; outcomes documented.</x:t>
        </x:is>
      </x:c>
      <x:c r="F246" t="n">
        <x:v>3</x:v>
      </x:c>
      <x:c r="H246" t="inlineStr">
        <x:is>
          <x:t xml:space="preserve">Culture Risk</x:t>
        </x:is>
      </x:c>
      <x:c r="I246" t="inlineStr">
        <x:is>
          <x:t xml:space="preserve">Maintain assurance</x:t>
        </x:is>
      </x:c>
      <x:c r="J246" t="inlineStr">
        <x:is>
          <x:t xml:space="preserve">N</x:t>
        </x:is>
      </x:c>
      <x:c r="K246" t="inlineStr">
        <x:is>
          <x:t xml:space="preserve">Evidence: anonymized retaliation metrics.</x:t>
        </x:is>
      </x:c>
    </x:row>
    <x:row r="247">
      <x:c r="A247" t="inlineStr">
        <x:is>
          <x:t xml:space="preserve">HR</x:t>
        </x:is>
      </x:c>
      <x:c r="B247" t="inlineStr">
        <x:is>
          <x:t xml:space="preserve">HR-D2-Q07</x:t>
        </x:is>
      </x:c>
      <x:c r="C247" t="inlineStr">
        <x:is>
          <x:t xml:space="preserve">HR-D2-Q07-A5</x:t>
        </x:is>
      </x:c>
      <x:c r="D247" t="n">
        <x:v>5</x:v>
      </x:c>
      <x:c r="E247" t="inlineStr">
        <x:is>
          <x:t xml:space="preserve">Independent oversight reviews retaliation handling.</x:t>
        </x:is>
      </x:c>
      <x:c r="F247" t="n">
        <x:v>4</x:v>
      </x:c>
      <x:c r="H247" t="inlineStr">
        <x:is>
          <x:t xml:space="preserve">Culture Risk</x:t>
        </x:is>
      </x:c>
      <x:c r="I247" t="inlineStr">
        <x:is>
          <x:t xml:space="preserve">Maintain oversight</x:t>
        </x:is>
      </x:c>
      <x:c r="J247" t="inlineStr">
        <x:is>
          <x:t xml:space="preserve">N</x:t>
        </x:is>
      </x:c>
      <x:c r="K247" t="inlineStr">
        <x:is>
          <x:t xml:space="preserve">Evidence: oversight process.</x:t>
        </x:is>
      </x:c>
    </x:row>
    <x:row r="248">
      <x:c r="A248" t="inlineStr">
        <x:is>
          <x:t xml:space="preserve">HR</x:t>
        </x:is>
      </x:c>
      <x:c r="B248" t="inlineStr">
        <x:is>
          <x:t xml:space="preserve">HR-D2-Q08</x:t>
        </x:is>
      </x:c>
      <x:c r="C248" t="inlineStr">
        <x:is>
          <x:t xml:space="preserve">HR-D2-Q08-A1</x:t>
        </x:is>
      </x:c>
      <x:c r="D248" t="n">
        <x:v>1</x:v>
      </x:c>
      <x:c r="E248" t="inlineStr">
        <x:is>
          <x:t xml:space="preserve">Unclear: reporters often hear nothing back.</x:t>
        </x:is>
      </x:c>
      <x:c r="F248" t="n">
        <x:v>0</x:v>
      </x:c>
      <x:c r="G248" t="inlineStr">
        <x:is>
          <x:t xml:space="preserve">culture_risk</x:t>
        </x:is>
      </x:c>
      <x:c r="H248" t="inlineStr">
        <x:is>
          <x:t xml:space="preserve">Culture Risk</x:t>
        </x:is>
      </x:c>
      <x:c r="I248" t="inlineStr">
        <x:is>
          <x:t xml:space="preserve">Define SLAs and tracking</x:t>
        </x:is>
      </x:c>
      <x:c r="J248" t="inlineStr">
        <x:is>
          <x:t xml:space="preserve">N</x:t>
        </x:is>
      </x:c>
    </x:row>
    <x:row r="249">
      <x:c r="A249" t="inlineStr">
        <x:is>
          <x:t xml:space="preserve">HR</x:t>
        </x:is>
      </x:c>
      <x:c r="B249" t="inlineStr">
        <x:is>
          <x:t xml:space="preserve">HR-D2-Q08</x:t>
        </x:is>
      </x:c>
      <x:c r="C249" t="inlineStr">
        <x:is>
          <x:t xml:space="preserve">HR-D2-Q08-A2</x:t>
        </x:is>
      </x:c>
      <x:c r="D249" t="n">
        <x:v>2</x:v>
      </x:c>
      <x:c r="E249" t="inlineStr">
        <x:is>
          <x:t xml:space="preserve">Slow: depends on workload; no tracking.</x:t>
        </x:is>
      </x:c>
      <x:c r="F249" t="n">
        <x:v>1</x:v>
      </x:c>
      <x:c r="G249" t="inlineStr">
        <x:is>
          <x:t xml:space="preserve">operating_model_gap</x:t>
        </x:is>
      </x:c>
      <x:c r="H249" t="inlineStr">
        <x:is>
          <x:t xml:space="preserve">Operating Model Gap</x:t>
        </x:is>
      </x:c>
      <x:c r="I249" t="inlineStr">
        <x:is>
          <x:t xml:space="preserve">Introduce case tracking</x:t>
        </x:is>
      </x:c>
      <x:c r="J249" t="inlineStr">
        <x:is>
          <x:t xml:space="preserve">N</x:t>
        </x:is>
      </x:c>
    </x:row>
    <x:row r="250">
      <x:c r="A250" t="inlineStr">
        <x:is>
          <x:t xml:space="preserve">HR</x:t>
        </x:is>
      </x:c>
      <x:c r="B250" t="inlineStr">
        <x:is>
          <x:t xml:space="preserve">HR-D2-Q08</x:t>
        </x:is>
      </x:c>
      <x:c r="C250" t="inlineStr">
        <x:is>
          <x:t xml:space="preserve">HR-D2-Q08-A3</x:t>
        </x:is>
      </x:c>
      <x:c r="D250" t="n">
        <x:v>3</x:v>
      </x:c>
      <x:c r="E250" t="inlineStr">
        <x:is>
          <x:t xml:space="preserve">Basic: acknowledgement within ~1–2 weeks; tracking not consistent.</x:t>
        </x:is>
      </x:c>
      <x:c r="F250" t="n">
        <x:v>2</x:v>
      </x:c>
      <x:c r="H250" t="inlineStr">
        <x:is>
          <x:t xml:space="preserve">Operating Model Gap</x:t>
        </x:is>
      </x:c>
      <x:c r="I250" t="inlineStr">
        <x:is>
          <x:t xml:space="preserve">Improve SLAs</x:t>
        </x:is>
      </x:c>
      <x:c r="J250" t="inlineStr">
        <x:is>
          <x:t xml:space="preserve">N</x:t>
        </x:is>
      </x:c>
      <x:c r="K250" t="inlineStr">
        <x:is>
          <x:t xml:space="preserve">Evidence: redacted timestamps.</x:t>
        </x:is>
      </x:c>
    </x:row>
    <x:row r="251">
      <x:c r="A251" t="inlineStr">
        <x:is>
          <x:t xml:space="preserve">HR</x:t>
        </x:is>
      </x:c>
      <x:c r="B251" t="inlineStr">
        <x:is>
          <x:t xml:space="preserve">HR-D2-Q08</x:t>
        </x:is>
      </x:c>
      <x:c r="C251" t="inlineStr">
        <x:is>
          <x:t xml:space="preserve">HR-D2-Q08-A4</x:t>
        </x:is>
      </x:c>
      <x:c r="D251" t="n">
        <x:v>4</x:v>
      </x:c>
      <x:c r="E251" t="inlineStr">
        <x:is>
          <x:t xml:space="preserve">Managed: acknowledgement within 2–3 days; triage within a week; documented routing.</x:t>
        </x:is>
      </x:c>
      <x:c r="F251" t="n">
        <x:v>3</x:v>
      </x:c>
      <x:c r="H251" t="inlineStr">
        <x:is>
          <x:t xml:space="preserve">Operating Model Gap</x:t>
        </x:is>
      </x:c>
      <x:c r="I251" t="inlineStr">
        <x:is>
          <x:t xml:space="preserve">Maintain and monitor</x:t>
        </x:is>
      </x:c>
      <x:c r="J251" t="inlineStr">
        <x:is>
          <x:t xml:space="preserve">N</x:t>
        </x:is>
      </x:c>
      <x:c r="K251" t="inlineStr">
        <x:is>
          <x:t xml:space="preserve">Evidence: workflow metrics.</x:t>
        </x:is>
      </x:c>
    </x:row>
    <x:row r="252">
      <x:c r="A252" t="inlineStr">
        <x:is>
          <x:t xml:space="preserve">HR</x:t>
        </x:is>
      </x:c>
      <x:c r="B252" t="inlineStr">
        <x:is>
          <x:t xml:space="preserve">HR-D2-Q08</x:t>
        </x:is>
      </x:c>
      <x:c r="C252" t="inlineStr">
        <x:is>
          <x:t xml:space="preserve">HR-D2-Q08-A5</x:t>
        </x:is>
      </x:c>
      <x:c r="D252" t="n">
        <x:v>5</x:v>
      </x:c>
      <x:c r="E252" t="inlineStr">
        <x:is>
          <x:t xml:space="preserve">Optimized: SLAs monitored; backlog managed; appropriate status updates provided.</x:t>
        </x:is>
      </x:c>
      <x:c r="F252" t="n">
        <x:v>4</x:v>
      </x:c>
      <x:c r="H252" t="inlineStr">
        <x:is>
          <x:t xml:space="preserve">Operating Model Gap</x:t>
        </x:is>
      </x:c>
      <x:c r="I252" t="inlineStr">
        <x:is>
          <x:t xml:space="preserve">Continuous improvement</x:t>
        </x:is>
      </x:c>
      <x:c r="J252" t="inlineStr">
        <x:is>
          <x:t xml:space="preserve">N</x:t>
        </x:is>
      </x:c>
      <x:c r="K252" t="inlineStr">
        <x:is>
          <x:t xml:space="preserve">Evidence: anonymized KPI dashboard.</x:t>
        </x:is>
      </x:c>
    </x:row>
    <x:row r="253">
      <x:c r="A253" t="inlineStr">
        <x:is>
          <x:t xml:space="preserve">HR</x:t>
        </x:is>
      </x:c>
      <x:c r="B253" t="inlineStr">
        <x:is>
          <x:t xml:space="preserve">HR-D3-Q09</x:t>
        </x:is>
      </x:c>
      <x:c r="C253" t="inlineStr">
        <x:is>
          <x:t xml:space="preserve">HR-D3-Q09-A0</x:t>
        </x:is>
      </x:c>
      <x:c r="D253" t="n">
        <x:v>1</x:v>
      </x:c>
      <x:c r="E253" t="inlineStr">
        <x:is>
          <x:t xml:space="preserve">I don't know / Not sure.</x:t>
        </x:is>
      </x:c>
      <x:c r="F253" t="n">
        <x:v>0</x:v>
      </x:c>
      <x:c r="G253" t="inlineStr">
        <x:is>
          <x:t xml:space="preserve">low-confidence</x:t>
        </x:is>
      </x:c>
      <x:c r="H253" t="inlineStr">
        <x:is>
          <x:t xml:space="preserve">Culture Risk</x:t>
        </x:is>
      </x:c>
      <x:c r="I253" t="inlineStr">
        <x:is>
          <x:t xml:space="preserve">Clarify manager support</x:t>
        </x:is>
      </x:c>
      <x:c r="J253" t="inlineStr">
        <x:is>
          <x:t xml:space="preserve">N</x:t>
        </x:is>
      </x:c>
    </x:row>
    <x:row r="254">
      <x:c r="A254" t="inlineStr">
        <x:is>
          <x:t xml:space="preserve">HR</x:t>
        </x:is>
      </x:c>
      <x:c r="B254" t="inlineStr">
        <x:is>
          <x:t xml:space="preserve">HR-D3-Q09</x:t>
        </x:is>
      </x:c>
      <x:c r="C254" t="inlineStr">
        <x:is>
          <x:t xml:space="preserve">HR-D3-Q09-A1</x:t>
        </x:is>
      </x:c>
      <x:c r="D254" t="n">
        <x:v>2</x:v>
      </x:c>
      <x:c r="E254" t="inlineStr">
        <x:is>
          <x:t xml:space="preserve">No: managers handle issues individually; escalation is rare or avoided.</x:t>
        </x:is>
      </x:c>
      <x:c r="F254" t="n">
        <x:v>0</x:v>
      </x:c>
      <x:c r="G254" t="inlineStr">
        <x:is>
          <x:t xml:space="preserve">culture_risk</x:t>
        </x:is>
      </x:c>
      <x:c r="H254" t="inlineStr">
        <x:is>
          <x:t xml:space="preserve">Culture Risk</x:t>
        </x:is>
      </x:c>
      <x:c r="I254" t="inlineStr">
        <x:is>
          <x:t xml:space="preserve">Design escalation pathways</x:t>
        </x:is>
      </x:c>
      <x:c r="J254" t="inlineStr">
        <x:is>
          <x:t xml:space="preserve">N</x:t>
        </x:is>
      </x:c>
    </x:row>
    <x:row r="255">
      <x:c r="A255" t="inlineStr">
        <x:is>
          <x:t xml:space="preserve">HR</x:t>
        </x:is>
      </x:c>
      <x:c r="B255" t="inlineStr">
        <x:is>
          <x:t xml:space="preserve">HR-D3-Q09</x:t>
        </x:is>
      </x:c>
      <x:c r="C255" t="inlineStr">
        <x:is>
          <x:t xml:space="preserve">HR-D3-Q09-A2</x:t>
        </x:is>
      </x:c>
      <x:c r="D255" t="n">
        <x:v>3</x:v>
      </x:c>
      <x:c r="E255" t="inlineStr">
        <x:is>
          <x:t xml:space="preserve">Ad-hoc: some escalate, others don’t; no shared guidance.</x:t>
        </x:is>
      </x:c>
      <x:c r="F255" t="n">
        <x:v>1</x:v>
      </x:c>
      <x:c r="G255" t="inlineStr">
        <x:is>
          <x:t xml:space="preserve">key_person_dependency</x:t>
        </x:is>
      </x:c>
      <x:c r="H255" t="inlineStr">
        <x:is>
          <x:t xml:space="preserve">Operating Model Gap</x:t>
        </x:is>
      </x:c>
      <x:c r="I255" t="inlineStr">
        <x:is>
          <x:t xml:space="preserve">Standardize guidance</x:t>
        </x:is>
      </x:c>
      <x:c r="J255" t="inlineStr">
        <x:is>
          <x:t xml:space="preserve">N</x:t>
        </x:is>
      </x:c>
    </x:row>
    <x:row r="256">
      <x:c r="A256" t="inlineStr">
        <x:is>
          <x:t xml:space="preserve">HR</x:t>
        </x:is>
      </x:c>
      <x:c r="B256" t="inlineStr">
        <x:is>
          <x:t xml:space="preserve">HR-D3-Q09</x:t>
        </x:is>
      </x:c>
      <x:c r="C256" t="inlineStr">
        <x:is>
          <x:t xml:space="preserve">HR-D3-Q09-A3</x:t>
        </x:is>
      </x:c>
      <x:c r="D256" t="n">
        <x:v>4</x:v>
      </x:c>
      <x:c r="E256" t="inlineStr">
        <x:is>
          <x:t xml:space="preserve">Defined: guidance exists but training is limited.</x:t>
        </x:is>
      </x:c>
      <x:c r="F256" t="n">
        <x:v>2</x:v>
      </x:c>
      <x:c r="G256" t="inlineStr">
        <x:is>
          <x:t xml:space="preserve">paper_dragon_signal</x:t>
        </x:is>
      </x:c>
      <x:c r="H256" t="inlineStr">
        <x:is>
          <x:t xml:space="preserve">Paper Dragon</x:t>
        </x:is>
      </x:c>
      <x:c r="I256" t="inlineStr">
        <x:is>
          <x:t xml:space="preserve">Expand training</x:t>
        </x:is>
      </x:c>
      <x:c r="J256" t="inlineStr">
        <x:is>
          <x:t xml:space="preserve">N</x:t>
        </x:is>
      </x:c>
      <x:c r="K256" t="inlineStr">
        <x:is>
          <x:t xml:space="preserve">Evidence: guidance doc.</x:t>
        </x:is>
      </x:c>
    </x:row>
    <x:row r="257">
      <x:c r="A257" t="inlineStr">
        <x:is>
          <x:t xml:space="preserve">HR</x:t>
        </x:is>
      </x:c>
      <x:c r="B257" t="inlineStr">
        <x:is>
          <x:t xml:space="preserve">HR-D3-Q09</x:t>
        </x:is>
      </x:c>
      <x:c r="C257" t="inlineStr">
        <x:is>
          <x:t xml:space="preserve">HR-D3-Q09-A4</x:t>
        </x:is>
      </x:c>
      <x:c r="D257" t="n">
        <x:v>5</x:v>
      </x:c>
      <x:c r="E257" t="inlineStr">
        <x:is>
          <x:t xml:space="preserve">Trained: managers receive training and use a clear escalation path.</x:t>
        </x:is>
      </x:c>
      <x:c r="F257" t="n">
        <x:v>3</x:v>
      </x:c>
      <x:c r="H257" t="inlineStr">
        <x:is>
          <x:t xml:space="preserve">Culture Risk</x:t>
        </x:is>
      </x:c>
      <x:c r="I257" t="inlineStr">
        <x:is>
          <x:t xml:space="preserve">Maintain training cadence</x:t>
        </x:is>
      </x:c>
      <x:c r="J257" t="inlineStr">
        <x:is>
          <x:t xml:space="preserve">N</x:t>
        </x:is>
      </x:c>
      <x:c r="K257" t="inlineStr">
        <x:is>
          <x:t xml:space="preserve">Evidence: training completion.</x:t>
        </x:is>
      </x:c>
    </x:row>
    <x:row r="258">
      <x:c r="A258" t="inlineStr">
        <x:is>
          <x:t xml:space="preserve">HR</x:t>
        </x:is>
      </x:c>
      <x:c r="B258" t="inlineStr">
        <x:is>
          <x:t xml:space="preserve">HR-D3-Q09</x:t>
        </x:is>
      </x:c>
      <x:c r="C258" t="inlineStr">
        <x:is>
          <x:t xml:space="preserve">HR-D3-Q09-A5</x:t>
        </x:is>
      </x:c>
      <x:c r="D258" t="n">
        <x:v>6</x:v>
      </x:c>
      <x:c r="E258" t="inlineStr">
        <x:is>
          <x:t xml:space="preserve">Embedded: escalation expectations in manager KPIs; audited for consistency.</x:t>
        </x:is>
      </x:c>
      <x:c r="F258" t="n">
        <x:v>4</x:v>
      </x:c>
      <x:c r="H258" t="inlineStr">
        <x:is>
          <x:t xml:space="preserve">Culture Risk</x:t>
        </x:is>
      </x:c>
      <x:c r="I258" t="inlineStr">
        <x:is>
          <x:t xml:space="preserve">Maintain assurance</x:t>
        </x:is>
      </x:c>
      <x:c r="J258" t="inlineStr">
        <x:is>
          <x:t xml:space="preserve">N</x:t>
        </x:is>
      </x:c>
      <x:c r="K258" t="inlineStr">
        <x:is>
          <x:t xml:space="preserve">Evidence: KPI or audit outputs.</x:t>
        </x:is>
      </x:c>
    </x:row>
    <x:row r="259">
      <x:c r="A259" t="inlineStr">
        <x:is>
          <x:t xml:space="preserve">HR</x:t>
        </x:is>
      </x:c>
      <x:c r="B259" t="inlineStr">
        <x:is>
          <x:t xml:space="preserve">HR-D3-Q10</x:t>
        </x:is>
      </x:c>
      <x:c r="C259" t="inlineStr">
        <x:is>
          <x:t xml:space="preserve">HR-D3-Q10-A1</x:t>
        </x:is>
      </x:c>
      <x:c r="D259" t="n">
        <x:v>1</x:v>
      </x:c>
      <x:c r="E259" t="inlineStr">
        <x:is>
          <x:t xml:space="preserve">No: escalation unclear; handled locally or ignored.</x:t>
        </x:is>
      </x:c>
      <x:c r="F259" t="n">
        <x:v>0</x:v>
      </x:c>
      <x:c r="G259" t="inlineStr">
        <x:is>
          <x:t xml:space="preserve">culture_risk</x:t>
        </x:is>
      </x:c>
      <x:c r="H259" t="inlineStr">
        <x:is>
          <x:t xml:space="preserve">Operating Model Gap</x:t>
        </x:is>
      </x:c>
      <x:c r="I259" t="inlineStr">
        <x:is>
          <x:t xml:space="preserve">Define escalation route</x:t>
        </x:is>
      </x:c>
      <x:c r="J259" t="inlineStr">
        <x:is>
          <x:t xml:space="preserve">N</x:t>
        </x:is>
      </x:c>
    </x:row>
    <x:row r="260">
      <x:c r="A260" t="inlineStr">
        <x:is>
          <x:t xml:space="preserve">HR</x:t>
        </x:is>
      </x:c>
      <x:c r="B260" t="inlineStr">
        <x:is>
          <x:t xml:space="preserve">HR-D3-Q10</x:t>
        </x:is>
      </x:c>
      <x:c r="C260" t="inlineStr">
        <x:is>
          <x:t xml:space="preserve">HR-D3-Q10-A2</x:t>
        </x:is>
      </x:c>
      <x:c r="D260" t="n">
        <x:v>2</x:v>
      </x:c>
      <x:c r="E260" t="inlineStr">
        <x:is>
          <x:t xml:space="preserve">Sometimes: depends on networks; not documented.</x:t>
        </x:is>
      </x:c>
      <x:c r="F260" t="n">
        <x:v>1</x:v>
      </x:c>
      <x:c r="G260" t="inlineStr">
        <x:is>
          <x:t xml:space="preserve">key_person_dependency,shadow_mature_signal</x:t>
        </x:is>
      </x:c>
      <x:c r="H260" t="inlineStr">
        <x:is>
          <x:t xml:space="preserve">Operating Model Gap</x:t>
        </x:is>
      </x:c>
      <x:c r="I260" t="inlineStr">
        <x:is>
          <x:t xml:space="preserve">Document and socialize path</x:t>
        </x:is>
      </x:c>
      <x:c r="J260" t="inlineStr">
        <x:is>
          <x:t xml:space="preserve">N</x:t>
        </x:is>
      </x:c>
    </x:row>
    <x:row r="261">
      <x:c r="A261" t="inlineStr">
        <x:is>
          <x:t xml:space="preserve">HR</x:t>
        </x:is>
      </x:c>
      <x:c r="B261" t="inlineStr">
        <x:is>
          <x:t xml:space="preserve">HR-D3-Q10</x:t>
        </x:is>
      </x:c>
      <x:c r="C261" t="inlineStr">
        <x:is>
          <x:t xml:space="preserve">HR-D3-Q10-A3</x:t>
        </x:is>
      </x:c>
      <x:c r="D261" t="n">
        <x:v>3</x:v>
      </x:c>
      <x:c r="E261" t="inlineStr">
        <x:is>
          <x:t xml:space="preserve">Yes, usually: managers know contacts and escalate within a reasonable time.</x:t>
        </x:is>
      </x:c>
      <x:c r="F261" t="n">
        <x:v>2</x:v>
      </x:c>
      <x:c r="G261" t="inlineStr">
        <x:is>
          <x:t xml:space="preserve">shadow_mature_signal</x:t>
        </x:is>
      </x:c>
      <x:c r="H261" t="inlineStr">
        <x:is>
          <x:t xml:space="preserve">Operating Model Gap</x:t>
        </x:is>
      </x:c>
      <x:c r="I261" t="inlineStr">
        <x:is>
          <x:t xml:space="preserve">Formalize and measure</x:t>
        </x:is>
      </x:c>
      <x:c r="J261" t="inlineStr">
        <x:is>
          <x:t xml:space="preserve">N</x:t>
        </x:is>
      </x:c>
      <x:c r="K261" t="inlineStr">
        <x:is>
          <x:t xml:space="preserve">Typical time to escalate.</x:t>
        </x:is>
      </x:c>
    </x:row>
    <x:row r="262">
      <x:c r="A262" t="inlineStr">
        <x:is>
          <x:t xml:space="preserve">HR</x:t>
        </x:is>
      </x:c>
      <x:c r="B262" t="inlineStr">
        <x:is>
          <x:t xml:space="preserve">HR-D3-Q10</x:t>
        </x:is>
      </x:c>
      <x:c r="C262" t="inlineStr">
        <x:is>
          <x:t xml:space="preserve">HR-D3-Q10-A4</x:t>
        </x:is>
      </x:c>
      <x:c r="D262" t="n">
        <x:v>4</x:v>
      </x:c>
      <x:c r="E262" t="inlineStr">
        <x:is>
          <x:t xml:space="preserve">Yes, consistently: escalation is used and tracked (without over-monitoring).</x:t>
        </x:is>
      </x:c>
      <x:c r="F262" t="n">
        <x:v>3</x:v>
      </x:c>
      <x:c r="H262" t="inlineStr">
        <x:is>
          <x:t xml:space="preserve">Operating Model Gap</x:t>
        </x:is>
      </x:c>
      <x:c r="I262" t="inlineStr">
        <x:is>
          <x:t xml:space="preserve">Maintain tracking</x:t>
        </x:is>
      </x:c>
      <x:c r="J262" t="inlineStr">
        <x:is>
          <x:t xml:space="preserve">N</x:t>
        </x:is>
      </x:c>
      <x:c r="K262" t="inlineStr">
        <x:is>
          <x:t xml:space="preserve">Evidence: anonymized escalation metrics.</x:t>
        </x:is>
      </x:c>
    </x:row>
    <x:row r="263">
      <x:c r="A263" t="inlineStr">
        <x:is>
          <x:t xml:space="preserve">HR</x:t>
        </x:is>
      </x:c>
      <x:c r="B263" t="inlineStr">
        <x:is>
          <x:t xml:space="preserve">HR-D3-Q11</x:t>
        </x:is>
      </x:c>
      <x:c r="C263" t="inlineStr">
        <x:is>
          <x:t xml:space="preserve">HR-D3-Q11-A1</x:t>
        </x:is>
      </x:c>
      <x:c r="D263" t="n">
        <x:v>1</x:v>
      </x:c>
      <x:c r="E263" t="inlineStr">
        <x:is>
          <x:t xml:space="preserve">No measurement; leadership relies on anecdotes.</x:t>
        </x:is>
      </x:c>
      <x:c r="F263" t="n">
        <x:v>0</x:v>
      </x:c>
      <x:c r="G263" t="inlineStr">
        <x:is>
          <x:t xml:space="preserve">culture_risk</x:t>
        </x:is>
      </x:c>
      <x:c r="H263" t="inlineStr">
        <x:is>
          <x:t xml:space="preserve">Culture Risk</x:t>
        </x:is>
      </x:c>
      <x:c r="I263" t="inlineStr">
        <x:is>
          <x:t xml:space="preserve">Introduce measurement</x:t>
        </x:is>
      </x:c>
      <x:c r="J263" t="inlineStr">
        <x:is>
          <x:t xml:space="preserve">N</x:t>
        </x:is>
      </x:c>
    </x:row>
    <x:row r="264">
      <x:c r="A264" t="inlineStr">
        <x:is>
          <x:t xml:space="preserve">HR</x:t>
        </x:is>
      </x:c>
      <x:c r="B264" t="inlineStr">
        <x:is>
          <x:t xml:space="preserve">HR-D3-Q11</x:t>
        </x:is>
      </x:c>
      <x:c r="C264" t="inlineStr">
        <x:is>
          <x:t xml:space="preserve">HR-D3-Q11-A2</x:t>
        </x:is>
      </x:c>
      <x:c r="D264" t="n">
        <x:v>2</x:v>
      </x:c>
      <x:c r="E264" t="inlineStr">
        <x:is>
          <x:t xml:space="preserve">Occasional survey; results not acted on.</x:t>
        </x:is>
      </x:c>
      <x:c r="F264" t="n">
        <x:v>1</x:v>
      </x:c>
      <x:c r="G264" t="inlineStr">
        <x:is>
          <x:t xml:space="preserve">paper_dragon_signal</x:t>
        </x:is>
      </x:c>
      <x:c r="H264" t="inlineStr">
        <x:is>
          <x:t xml:space="preserve">Paper Dragon</x:t>
        </x:is>
      </x:c>
      <x:c r="I264" t="inlineStr">
        <x:is>
          <x:t xml:space="preserve">Create action plan cycle</x:t>
        </x:is>
      </x:c>
      <x:c r="J264" t="inlineStr">
        <x:is>
          <x:t xml:space="preserve">N</x:t>
        </x:is>
      </x:c>
      <x:c r="K264" t="inlineStr">
        <x:is>
          <x:t xml:space="preserve">Evidence: last survey date.</x:t>
        </x:is>
      </x:c>
    </x:row>
    <x:row r="265">
      <x:c r="A265" t="inlineStr">
        <x:is>
          <x:t xml:space="preserve">HR</x:t>
        </x:is>
      </x:c>
      <x:c r="B265" t="inlineStr">
        <x:is>
          <x:t xml:space="preserve">HR-D3-Q11</x:t>
        </x:is>
      </x:c>
      <x:c r="C265" t="inlineStr">
        <x:is>
          <x:t xml:space="preserve">HR-D3-Q11-A3</x:t>
        </x:is>
      </x:c>
      <x:c r="D265" t="n">
        <x:v>3</x:v>
      </x:c>
      <x:c r="E265" t="inlineStr">
        <x:is>
          <x:t xml:space="preserve">Regular survey; some actions taken; follow-through varies.</x:t>
        </x:is>
      </x:c>
      <x:c r="F265" t="n">
        <x:v>2</x:v>
      </x:c>
      <x:c r="H265" t="inlineStr">
        <x:is>
          <x:t xml:space="preserve">Culture Risk</x:t>
        </x:is>
      </x:c>
      <x:c r="I265" t="inlineStr">
        <x:is>
          <x:t xml:space="preserve">Strengthen action tracking</x:t>
        </x:is>
      </x:c>
      <x:c r="J265" t="inlineStr">
        <x:is>
          <x:t xml:space="preserve">N</x:t>
        </x:is>
      </x:c>
      <x:c r="K265" t="inlineStr">
        <x:is>
          <x:t xml:space="preserve">Evidence: action plan examples.</x:t>
        </x:is>
      </x:c>
    </x:row>
    <x:row r="266">
      <x:c r="A266" t="inlineStr">
        <x:is>
          <x:t xml:space="preserve">HR</x:t>
        </x:is>
      </x:c>
      <x:c r="B266" t="inlineStr">
        <x:is>
          <x:t xml:space="preserve">HR-D3-Q11</x:t>
        </x:is>
      </x:c>
      <x:c r="C266" t="inlineStr">
        <x:is>
          <x:t xml:space="preserve">HR-D3-Q11-A4</x:t>
        </x:is>
      </x:c>
      <x:c r="D266" t="n">
        <x:v>4</x:v>
      </x:c>
      <x:c r="E266" t="inlineStr">
        <x:is>
          <x:t xml:space="preserve">Measured + managed: results drive actions and progress is communicated.</x:t>
        </x:is>
      </x:c>
      <x:c r="F266" t="n">
        <x:v>3</x:v>
      </x:c>
      <x:c r="H266" t="inlineStr">
        <x:is>
          <x:t xml:space="preserve">Culture Risk</x:t>
        </x:is>
      </x:c>
      <x:c r="I266" t="inlineStr">
        <x:is>
          <x:t xml:space="preserve">Maintain cadence</x:t>
        </x:is>
      </x:c>
      <x:c r="J266" t="inlineStr">
        <x:is>
          <x:t xml:space="preserve">N</x:t>
        </x:is>
      </x:c>
      <x:c r="K266" t="inlineStr">
        <x:is>
          <x:t xml:space="preserve">Evidence: action tracker.</x:t>
        </x:is>
      </x:c>
    </x:row>
    <x:row r="267">
      <x:c r="A267" t="inlineStr">
        <x:is>
          <x:t xml:space="preserve">HR</x:t>
        </x:is>
      </x:c>
      <x:c r="B267" t="inlineStr">
        <x:is>
          <x:t xml:space="preserve">HR-D3-Q11</x:t>
        </x:is>
      </x:c>
      <x:c r="C267" t="inlineStr">
        <x:is>
          <x:t xml:space="preserve">HR-D3-Q11-A5</x:t>
        </x:is>
      </x:c>
      <x:c r="D267" t="n">
        <x:v>5</x:v>
      </x:c>
      <x:c r="E267" t="inlineStr">
        <x:is>
          <x:t xml:space="preserve">Optimized: metrics tied to leadership objectives and continuous improvement.</x:t>
        </x:is>
      </x:c>
      <x:c r="F267" t="n">
        <x:v>4</x:v>
      </x:c>
      <x:c r="H267" t="inlineStr">
        <x:is>
          <x:t xml:space="preserve">Culture Risk</x:t>
        </x:is>
      </x:c>
      <x:c r="I267" t="inlineStr">
        <x:is>
          <x:t xml:space="preserve">Maintain maturity</x:t>
        </x:is>
      </x:c>
      <x:c r="J267" t="inlineStr">
        <x:is>
          <x:t xml:space="preserve">N</x:t>
        </x:is>
      </x:c>
      <x:c r="K267" t="inlineStr">
        <x:is>
          <x:t xml:space="preserve">Evidence: KPI trends.</x:t>
        </x:is>
      </x:c>
    </x:row>
    <x:row r="268">
      <x:c r="A268" t="inlineStr">
        <x:is>
          <x:t xml:space="preserve">HR</x:t>
        </x:is>
      </x:c>
      <x:c r="B268" t="inlineStr">
        <x:is>
          <x:t xml:space="preserve">HR-D3-Q12</x:t>
        </x:is>
      </x:c>
      <x:c r="C268" t="inlineStr">
        <x:is>
          <x:t xml:space="preserve">HR-D3-Q12-A1</x:t>
        </x:is>
      </x:c>
      <x:c r="D268" t="n">
        <x:v>1</x:v>
      </x:c>
      <x:c r="E268" t="inlineStr">
        <x:is>
          <x:t xml:space="preserve">Punitive: only bad behavior highlighted; people avoid reporting.</x:t>
        </x:is>
      </x:c>
      <x:c r="F268" t="n">
        <x:v>0</x:v>
      </x:c>
      <x:c r="G268" t="inlineStr">
        <x:is>
          <x:t xml:space="preserve">toxic_enforcer_signal,culture_risk</x:t>
        </x:is>
      </x:c>
      <x:c r="H268" t="inlineStr">
        <x:is>
          <x:t xml:space="preserve">Culture Risk</x:t>
        </x:is>
      </x:c>
      <x:c r="I268" t="inlineStr">
        <x:is>
          <x:t xml:space="preserve">Shift to positive reinforcement</x:t>
        </x:is>
      </x:c>
      <x:c r="J268" t="inlineStr">
        <x:is>
          <x:t xml:space="preserve">N</x:t>
        </x:is>
      </x:c>
    </x:row>
    <x:row r="269">
      <x:c r="A269" t="inlineStr">
        <x:is>
          <x:t xml:space="preserve">HR</x:t>
        </x:is>
      </x:c>
      <x:c r="B269" t="inlineStr">
        <x:is>
          <x:t xml:space="preserve">HR-D3-Q12</x:t>
        </x:is>
      </x:c>
      <x:c r="C269" t="inlineStr">
        <x:is>
          <x:t xml:space="preserve">HR-D3-Q12-A2</x:t>
        </x:is>
      </x:c>
      <x:c r="D269" t="n">
        <x:v>2</x:v>
      </x:c>
      <x:c r="E269" t="inlineStr">
        <x:is>
          <x:t xml:space="preserve">Informal thanks by managers; no consistent approach.</x:t>
        </x:is>
      </x:c>
      <x:c r="F269" t="n">
        <x:v>1</x:v>
      </x:c>
      <x:c r="G269" t="inlineStr">
        <x:is>
          <x:t xml:space="preserve">key_person_dependency</x:t>
        </x:is>
      </x:c>
      <x:c r="H269" t="inlineStr">
        <x:is>
          <x:t xml:space="preserve">Culture Risk</x:t>
        </x:is>
      </x:c>
      <x:c r="I269" t="inlineStr">
        <x:is>
          <x:t xml:space="preserve">Create lightweight recognition</x:t>
        </x:is>
      </x:c>
      <x:c r="J269" t="inlineStr">
        <x:is>
          <x:t xml:space="preserve">N</x:t>
        </x:is>
      </x:c>
    </x:row>
    <x:row r="270">
      <x:c r="A270" t="inlineStr">
        <x:is>
          <x:t xml:space="preserve">HR</x:t>
        </x:is>
      </x:c>
      <x:c r="B270" t="inlineStr">
        <x:is>
          <x:t xml:space="preserve">HR-D3-Q12</x:t>
        </x:is>
      </x:c>
      <x:c r="C270" t="inlineStr">
        <x:is>
          <x:t xml:space="preserve">HR-D3-Q12-A3</x:t>
        </x:is>
      </x:c>
      <x:c r="D270" t="n">
        <x:v>3</x:v>
      </x:c>
      <x:c r="E270" t="inlineStr">
        <x:is>
          <x:t xml:space="preserve">Campaigns exist but limited ongoing reinforcement.</x:t>
        </x:is>
      </x:c>
      <x:c r="F270" t="n">
        <x:v>2</x:v>
      </x:c>
      <x:c r="G270" t="inlineStr">
        <x:is>
          <x:t xml:space="preserve">paper_dragon_signal</x:t>
        </x:is>
      </x:c>
      <x:c r="H270" t="inlineStr">
        <x:is>
          <x:t xml:space="preserve">Paper Dragon</x:t>
        </x:is>
      </x:c>
      <x:c r="I270" t="inlineStr">
        <x:is>
          <x:t xml:space="preserve">Build continuous reinforcement</x:t>
        </x:is>
      </x:c>
      <x:c r="J270" t="inlineStr">
        <x:is>
          <x:t xml:space="preserve">N</x:t>
        </x:is>
      </x:c>
    </x:row>
    <x:row r="271">
      <x:c r="A271" t="inlineStr">
        <x:is>
          <x:t xml:space="preserve">HR</x:t>
        </x:is>
      </x:c>
      <x:c r="B271" t="inlineStr">
        <x:is>
          <x:t xml:space="preserve">HR-D3-Q12</x:t>
        </x:is>
      </x:c>
      <x:c r="C271" t="inlineStr">
        <x:is>
          <x:t xml:space="preserve">HR-D3-Q12-A4</x:t>
        </x:is>
      </x:c>
      <x:c r="D271" t="n">
        <x:v>4</x:v>
      </x:c>
      <x:c r="E271" t="inlineStr">
        <x:is>
          <x:t xml:space="preserve">Formal recognition for reporting concerns/near-misses; lessons shared.</x:t>
        </x:is>
      </x:c>
      <x:c r="F271" t="n">
        <x:v>3</x:v>
      </x:c>
      <x:c r="H271" t="inlineStr">
        <x:is>
          <x:t xml:space="preserve">Culture Risk</x:t>
        </x:is>
      </x:c>
      <x:c r="I271" t="inlineStr">
        <x:is>
          <x:t xml:space="preserve">Maintain and measure</x:t>
        </x:is>
      </x:c>
      <x:c r="J271" t="inlineStr">
        <x:is>
          <x:t xml:space="preserve">N</x:t>
        </x:is>
      </x:c>
      <x:c r="K271" t="inlineStr">
        <x:is>
          <x:t xml:space="preserve">Evidence: comms examples.</x:t>
        </x:is>
      </x:c>
    </x:row>
    <x:row r="272">
      <x:c r="A272" t="inlineStr">
        <x:is>
          <x:t xml:space="preserve">HR</x:t>
        </x:is>
      </x:c>
      <x:c r="B272" t="inlineStr">
        <x:is>
          <x:t xml:space="preserve">HR-D3-Q12</x:t>
        </x:is>
      </x:c>
      <x:c r="C272" t="inlineStr">
        <x:is>
          <x:t xml:space="preserve">HR-D3-Q12-A5</x:t>
        </x:is>
      </x:c>
      <x:c r="D272" t="n">
        <x:v>5</x:v>
      </x:c>
      <x:c r="E272" t="inlineStr">
        <x:is>
          <x:t xml:space="preserve">Mutual accountability; reporting is normal and psychologically safe.</x:t>
        </x:is>
      </x:c>
      <x:c r="F272" t="n">
        <x:v>4</x:v>
      </x:c>
      <x:c r="H272" t="inlineStr">
        <x:is>
          <x:t xml:space="preserve">Culture Risk</x:t>
        </x:is>
      </x:c>
      <x:c r="I272" t="inlineStr">
        <x:is>
          <x:t xml:space="preserve">Maintain maturity</x:t>
        </x:is>
      </x:c>
      <x:c r="J272" t="inlineStr">
        <x:is>
          <x:t xml:space="preserve">N</x:t>
        </x:is>
      </x:c>
      <x:c r="K272" t="inlineStr">
        <x:is>
          <x:t xml:space="preserve">Evidence: survey + reporting trends.</x:t>
        </x:is>
      </x:c>
    </x:row>
    <x:row r="273">
      <x:c r="A273" t="inlineStr">
        <x:is>
          <x:t xml:space="preserve">HR</x:t>
        </x:is>
      </x:c>
      <x:c r="B273" t="inlineStr">
        <x:is>
          <x:t xml:space="preserve">HR-D4-Q13</x:t>
        </x:is>
      </x:c>
      <x:c r="C273" t="inlineStr">
        <x:is>
          <x:t xml:space="preserve">HR-D4-Q13-A0</x:t>
        </x:is>
      </x:c>
      <x:c r="D273" t="n">
        <x:v>1</x:v>
      </x:c>
      <x:c r="E273" t="inlineStr">
        <x:is>
          <x:t xml:space="preserve">I don't know / Not sure.</x:t>
        </x:is>
      </x:c>
      <x:c r="F273" t="n">
        <x:v>0</x:v>
      </x:c>
      <x:c r="G273" t="inlineStr">
        <x:is>
          <x:t xml:space="preserve">low-confidence</x:t>
        </x:is>
      </x:c>
      <x:c r="H273" t="inlineStr">
        <x:is>
          <x:t xml:space="preserve">Operating Model Gap</x:t>
        </x:is>
      </x:c>
      <x:c r="I273" t="inlineStr">
        <x:is>
          <x:t xml:space="preserve">Clarify JML process</x:t>
        </x:is>
      </x:c>
      <x:c r="J273" t="inlineStr">
        <x:is>
          <x:t xml:space="preserve">N</x:t>
        </x:is>
      </x:c>
    </x:row>
    <x:row r="274">
      <x:c r="A274" t="inlineStr">
        <x:is>
          <x:t xml:space="preserve">HR</x:t>
        </x:is>
      </x:c>
      <x:c r="B274" t="inlineStr">
        <x:is>
          <x:t xml:space="preserve">HR-D4-Q13</x:t>
        </x:is>
      </x:c>
      <x:c r="C274" t="inlineStr">
        <x:is>
          <x:t xml:space="preserve">HR-D4-Q13-A1</x:t>
        </x:is>
      </x:c>
      <x:c r="D274" t="n">
        <x:v>2</x:v>
      </x:c>
      <x:c r="E274" t="inlineStr">
        <x:is>
          <x:t xml:space="preserve">Unreliable: access often stays too long or changes are missed.</x:t>
        </x:is>
      </x:c>
      <x:c r="F274" t="n">
        <x:v>0</x:v>
      </x:c>
      <x:c r="G274" t="inlineStr">
        <x:is>
          <x:t xml:space="preserve">control_lag,bypass_pressure</x:t>
        </x:is>
      </x:c>
      <x:c r="H274" t="inlineStr">
        <x:is>
          <x:t xml:space="preserve">Control Lag</x:t>
        </x:is>
      </x:c>
      <x:c r="I274" t="inlineStr">
        <x:is>
          <x:t xml:space="preserve">Stabilize JML</x:t>
        </x:is>
      </x:c>
      <x:c r="J274" t="inlineStr">
        <x:is>
          <x:t xml:space="preserve">N</x:t>
        </x:is>
      </x:c>
    </x:row>
    <x:row r="275">
      <x:c r="A275" t="inlineStr">
        <x:is>
          <x:t xml:space="preserve">HR</x:t>
        </x:is>
      </x:c>
      <x:c r="B275" t="inlineStr">
        <x:is>
          <x:t xml:space="preserve">HR-D4-Q13</x:t>
        </x:is>
      </x:c>
      <x:c r="C275" t="inlineStr">
        <x:is>
          <x:t xml:space="preserve">HR-D4-Q13-A2</x:t>
        </x:is>
      </x:c>
      <x:c r="D275" t="n">
        <x:v>3</x:v>
      </x:c>
      <x:c r="E275" t="inlineStr">
        <x:is>
          <x:t xml:space="preserve">Basic: HR notifies IT by email/spreadsheet; timeliness varies.</x:t>
        </x:is>
      </x:c>
      <x:c r="F275" t="n">
        <x:v>1</x:v>
      </x:c>
      <x:c r="G275" t="inlineStr">
        <x:is>
          <x:t xml:space="preserve">shadow_mature_signal</x:t>
        </x:is>
      </x:c>
      <x:c r="H275" t="inlineStr">
        <x:is>
          <x:t xml:space="preserve">Operating Model Gap</x:t>
        </x:is>
      </x:c>
      <x:c r="I275" t="inlineStr">
        <x:is>
          <x:t xml:space="preserve">Standardize and track</x:t>
        </x:is>
      </x:c>
      <x:c r="J275" t="inlineStr">
        <x:is>
          <x:t xml:space="preserve">N</x:t>
        </x:is>
      </x:c>
    </x:row>
    <x:row r="276">
      <x:c r="A276" t="inlineStr">
        <x:is>
          <x:t xml:space="preserve">HR</x:t>
        </x:is>
      </x:c>
      <x:c r="B276" t="inlineStr">
        <x:is>
          <x:t xml:space="preserve">HR-D4-Q13</x:t>
        </x:is>
      </x:c>
      <x:c r="C276" t="inlineStr">
        <x:is>
          <x:t xml:space="preserve">HR-D4-Q13-A3</x:t>
        </x:is>
      </x:c>
      <x:c r="D276" t="n">
        <x:v>4</x:v>
      </x:c>
      <x:c r="E276" t="inlineStr">
        <x:is>
          <x:t xml:space="preserve">Defined: standard forms/HRIS triggers; most changes processed within days.</x:t>
        </x:is>
      </x:c>
      <x:c r="F276" t="n">
        <x:v>2</x:v>
      </x:c>
      <x:c r="H276" t="inlineStr">
        <x:is>
          <x:t xml:space="preserve">Operating Model Gap</x:t>
        </x:is>
      </x:c>
      <x:c r="I276" t="inlineStr">
        <x:is>
          <x:t xml:space="preserve">Improve SLAs</x:t>
        </x:is>
      </x:c>
      <x:c r="J276" t="inlineStr">
        <x:is>
          <x:t xml:space="preserve">N</x:t>
        </x:is>
      </x:c>
      <x:c r="K276" t="inlineStr">
        <x:is>
          <x:t xml:space="preserve">Evidence: process or SLA.</x:t>
        </x:is>
      </x:c>
    </x:row>
    <x:row r="277">
      <x:c r="A277" t="inlineStr">
        <x:is>
          <x:t xml:space="preserve">HR</x:t>
        </x:is>
      </x:c>
      <x:c r="B277" t="inlineStr">
        <x:is>
          <x:t xml:space="preserve">HR-D4-Q13</x:t>
        </x:is>
      </x:c>
      <x:c r="C277" t="inlineStr">
        <x:is>
          <x:t xml:space="preserve">HR-D4-Q13-A4</x:t>
        </x:is>
      </x:c>
      <x:c r="D277" t="n">
        <x:v>5</x:v>
      </x:c>
      <x:c r="E277" t="inlineStr">
        <x:is>
          <x:t xml:space="preserve">Managed: SLAs monitored; leaver removal time-bound and audited.</x:t>
        </x:is>
      </x:c>
      <x:c r="F277" t="n">
        <x:v>3</x:v>
      </x:c>
      <x:c r="H277" t="inlineStr">
        <x:is>
          <x:t xml:space="preserve">Operating Model Gap</x:t>
        </x:is>
      </x:c>
      <x:c r="I277" t="inlineStr">
        <x:is>
          <x:t xml:space="preserve">Maintain assurance</x:t>
        </x:is>
      </x:c>
      <x:c r="J277" t="inlineStr">
        <x:is>
          <x:t xml:space="preserve">N</x:t>
        </x:is>
      </x:c>
      <x:c r="K277" t="inlineStr">
        <x:is>
          <x:t xml:space="preserve">Evidence: audit sample.</x:t>
        </x:is>
      </x:c>
    </x:row>
    <x:row r="278">
      <x:c r="A278" t="inlineStr">
        <x:is>
          <x:t xml:space="preserve">HR</x:t>
        </x:is>
      </x:c>
      <x:c r="B278" t="inlineStr">
        <x:is>
          <x:t xml:space="preserve">HR-D4-Q13</x:t>
        </x:is>
      </x:c>
      <x:c r="C278" t="inlineStr">
        <x:is>
          <x:t xml:space="preserve">HR-D4-Q13-A5</x:t>
        </x:is>
      </x:c>
      <x:c r="D278" t="n">
        <x:v>6</x:v>
      </x:c>
      <x:c r="E278" t="inlineStr">
        <x:is>
          <x:t xml:space="preserve">Optimized: near-real-time updates for critical roles; exceptions controlled.</x:t>
        </x:is>
      </x:c>
      <x:c r="F278" t="n">
        <x:v>4</x:v>
      </x:c>
      <x:c r="H278" t="inlineStr">
        <x:is>
          <x:t xml:space="preserve">Operating Model Gap</x:t>
        </x:is>
      </x:c>
      <x:c r="I278" t="inlineStr">
        <x:is>
          <x:t xml:space="preserve">Maintain maturity</x:t>
        </x:is>
      </x:c>
      <x:c r="J278" t="inlineStr">
        <x:is>
          <x:t xml:space="preserve">N</x:t>
        </x:is>
      </x:c>
      <x:c r="K278" t="inlineStr">
        <x:is>
          <x:t xml:space="preserve">Evidence: timeliness metrics.</x:t>
        </x:is>
      </x:c>
    </x:row>
    <x:row r="279">
      <x:c r="A279" t="inlineStr">
        <x:is>
          <x:t xml:space="preserve">HR</x:t>
        </x:is>
      </x:c>
      <x:c r="B279" t="inlineStr">
        <x:is>
          <x:t xml:space="preserve">HR-D4-Q14</x:t>
        </x:is>
      </x:c>
      <x:c r="C279" t="inlineStr">
        <x:is>
          <x:t xml:space="preserve">HR-D4-Q14-A1</x:t>
        </x:is>
      </x:c>
      <x:c r="D279" t="n">
        <x:v>1</x:v>
      </x:c>
      <x:c r="E279" t="inlineStr">
        <x:is>
          <x:t xml:space="preserve">Not reliable; depends on someone noticing.</x:t>
        </x:is>
      </x:c>
      <x:c r="F279" t="n">
        <x:v>0</x:v>
      </x:c>
      <x:c r="G279" t="inlineStr">
        <x:is>
          <x:t xml:space="preserve">control_lag</x:t>
        </x:is>
      </x:c>
      <x:c r="H279" t="inlineStr">
        <x:is>
          <x:t xml:space="preserve">Control Lag</x:t>
        </x:is>
      </x:c>
      <x:c r="I279" t="inlineStr">
        <x:is>
          <x:t xml:space="preserve">Implement leaver checklist</x:t>
        </x:is>
      </x:c>
      <x:c r="J279" t="inlineStr">
        <x:is>
          <x:t xml:space="preserve">N</x:t>
        </x:is>
      </x:c>
    </x:row>
    <x:row r="280">
      <x:c r="A280" t="inlineStr">
        <x:is>
          <x:t xml:space="preserve">HR</x:t>
        </x:is>
      </x:c>
      <x:c r="B280" t="inlineStr">
        <x:is>
          <x:t xml:space="preserve">HR-D4-Q14</x:t>
        </x:is>
      </x:c>
      <x:c r="C280" t="inlineStr">
        <x:is>
          <x:t xml:space="preserve">HR-D4-Q14-A2</x:t>
        </x:is>
      </x:c>
      <x:c r="D280" t="n">
        <x:v>2</x:v>
      </x:c>
      <x:c r="E280" t="inlineStr">
        <x:is>
          <x:t xml:space="preserve">Managers/HR call IT when they remember; timing varies widely.</x:t>
        </x:is>
      </x:c>
      <x:c r="F280" t="n">
        <x:v>1</x:v>
      </x:c>
      <x:c r="G280" t="inlineStr">
        <x:is>
          <x:t xml:space="preserve">key_person_dependency,shadow_mature_signal</x:t>
        </x:is>
      </x:c>
      <x:c r="H280" t="inlineStr">
        <x:is>
          <x:t xml:space="preserve">Control Lag</x:t>
        </x:is>
      </x:c>
      <x:c r="I280" t="inlineStr">
        <x:is>
          <x:t xml:space="preserve">Create triggers and SLAs</x:t>
        </x:is>
      </x:c>
      <x:c r="J280" t="inlineStr">
        <x:is>
          <x:t xml:space="preserve">N</x:t>
        </x:is>
      </x:c>
    </x:row>
    <x:row r="281">
      <x:c r="A281" t="inlineStr">
        <x:is>
          <x:t xml:space="preserve">HR</x:t>
        </x:is>
      </x:c>
      <x:c r="B281" t="inlineStr">
        <x:is>
          <x:t xml:space="preserve">HR-D4-Q14</x:t>
        </x:is>
      </x:c>
      <x:c r="C281" t="inlineStr">
        <x:is>
          <x:t xml:space="preserve">HR-D4-Q14-A3</x:t>
        </x:is>
      </x:c>
      <x:c r="D281" t="n">
        <x:v>3</x:v>
      </x:c>
      <x:c r="E281" t="inlineStr">
        <x:is>
          <x:t xml:space="preserve">HR sends a daily/weekly leaver list; not always complete.</x:t>
        </x:is>
      </x:c>
      <x:c r="F281" t="n">
        <x:v>2</x:v>
      </x:c>
      <x:c r="H281" t="inlineStr">
        <x:is>
          <x:t xml:space="preserve">Operating Model Gap</x:t>
        </x:is>
      </x:c>
      <x:c r="I281" t="inlineStr">
        <x:is>
          <x:t xml:space="preserve">Improve completeness</x:t>
        </x:is>
      </x:c>
      <x:c r="J281" t="inlineStr">
        <x:is>
          <x:t xml:space="preserve">N</x:t>
        </x:is>
      </x:c>
      <x:c r="K281" t="inlineStr">
        <x:is>
          <x:t xml:space="preserve">Evidence: sample leaver list.</x:t>
        </x:is>
      </x:c>
    </x:row>
    <x:row r="282">
      <x:c r="A282" t="inlineStr">
        <x:is>
          <x:t xml:space="preserve">HR</x:t>
        </x:is>
      </x:c>
      <x:c r="B282" t="inlineStr">
        <x:is>
          <x:t xml:space="preserve">HR-D4-Q14</x:t>
        </x:is>
      </x:c>
      <x:c r="C282" t="inlineStr">
        <x:is>
          <x:t xml:space="preserve">HR-D4-Q14-A4</x:t>
        </x:is>
      </x:c>
      <x:c r="D282" t="n">
        <x:v>4</x:v>
      </x:c>
      <x:c r="E282" t="inlineStr">
        <x:is>
          <x:t xml:space="preserve">Consistent same-day/next-day removal for most cases.</x:t>
        </x:is>
      </x:c>
      <x:c r="F282" t="n">
        <x:v>3</x:v>
      </x:c>
      <x:c r="H282" t="inlineStr">
        <x:is>
          <x:t xml:space="preserve">Operating Model Gap</x:t>
        </x:is>
      </x:c>
      <x:c r="I282" t="inlineStr">
        <x:is>
          <x:t xml:space="preserve">Formalize and audit</x:t>
        </x:is>
      </x:c>
      <x:c r="J282" t="inlineStr">
        <x:is>
          <x:t xml:space="preserve">N</x:t>
        </x:is>
      </x:c>
      <x:c r="K282" t="inlineStr">
        <x:is>
          <x:t xml:space="preserve">Evidence: ticket timestamps (redacted).</x:t>
        </x:is>
      </x:c>
    </x:row>
    <x:row r="283">
      <x:c r="A283" t="inlineStr">
        <x:is>
          <x:t xml:space="preserve">HR</x:t>
        </x:is>
      </x:c>
      <x:c r="B283" t="inlineStr">
        <x:is>
          <x:t xml:space="preserve">HR-D4-Q15</x:t>
        </x:is>
      </x:c>
      <x:c r="C283" t="inlineStr">
        <x:is>
          <x:t xml:space="preserve">HR-D4-Q15-A1</x:t>
        </x:is>
      </x:c>
      <x:c r="D283" t="n">
        <x:v>1</x:v>
      </x:c>
      <x:c r="E283" t="inlineStr">
        <x:is>
          <x:t xml:space="preserve">No: all departures treated the same.</x:t>
        </x:is>
      </x:c>
      <x:c r="F283" t="n">
        <x:v>0</x:v>
      </x:c>
      <x:c r="G283" t="inlineStr">
        <x:is>
          <x:t xml:space="preserve">control_lag</x:t>
        </x:is>
      </x:c>
      <x:c r="H283" t="inlineStr">
        <x:is>
          <x:t xml:space="preserve">Control Lag</x:t>
        </x:is>
      </x:c>
      <x:c r="I283" t="inlineStr">
        <x:is>
          <x:t xml:space="preserve">Define risk-based leaver process</x:t>
        </x:is>
      </x:c>
      <x:c r="J283" t="inlineStr">
        <x:is>
          <x:t xml:space="preserve">N</x:t>
        </x:is>
      </x:c>
    </x:row>
    <x:row r="284">
      <x:c r="A284" t="inlineStr">
        <x:is>
          <x:t xml:space="preserve">HR</x:t>
        </x:is>
      </x:c>
      <x:c r="B284" t="inlineStr">
        <x:is>
          <x:t xml:space="preserve">HR-D4-Q15</x:t>
        </x:is>
      </x:c>
      <x:c r="C284" t="inlineStr">
        <x:is>
          <x:t xml:space="preserve">HR-D4-Q15-A2</x:t>
        </x:is>
      </x:c>
      <x:c r="D284" t="n">
        <x:v>2</x:v>
      </x:c>
      <x:c r="E284" t="inlineStr">
        <x:is>
          <x:t xml:space="preserve">Ad-hoc: extra checks sometimes happen; no criteria.</x:t>
        </x:is>
      </x:c>
      <x:c r="F284" t="n">
        <x:v>1</x:v>
      </x:c>
      <x:c r="G284" t="inlineStr">
        <x:is>
          <x:t xml:space="preserve">shadow_mature_signal</x:t>
        </x:is>
      </x:c>
      <x:c r="H284" t="inlineStr">
        <x:is>
          <x:t xml:space="preserve">Operating Model Gap</x:t>
        </x:is>
      </x:c>
      <x:c r="I284" t="inlineStr">
        <x:is>
          <x:t xml:space="preserve">Define criteria and approvals</x:t>
        </x:is>
      </x:c>
      <x:c r="J284" t="inlineStr">
        <x:is>
          <x:t xml:space="preserve">N</x:t>
        </x:is>
      </x:c>
    </x:row>
    <x:row r="285">
      <x:c r="A285" t="inlineStr">
        <x:is>
          <x:t xml:space="preserve">HR</x:t>
        </x:is>
      </x:c>
      <x:c r="B285" t="inlineStr">
        <x:is>
          <x:t xml:space="preserve">HR-D4-Q15</x:t>
        </x:is>
      </x:c>
      <x:c r="C285" t="inlineStr">
        <x:is>
          <x:t xml:space="preserve">HR-D4-Q15-A3</x:t>
        </x:is>
      </x:c>
      <x:c r="D285" t="n">
        <x:v>3</x:v>
      </x:c>
      <x:c r="E285" t="inlineStr">
        <x:is>
          <x:t xml:space="preserve">Criteria exist but execution inconsistent.</x:t>
        </x:is>
      </x:c>
      <x:c r="F285" t="n">
        <x:v>2</x:v>
      </x:c>
      <x:c r="G285" t="inlineStr">
        <x:is>
          <x:t xml:space="preserve">paper_dragon_signal</x:t>
        </x:is>
      </x:c>
      <x:c r="H285" t="inlineStr">
        <x:is>
          <x:t xml:space="preserve">Paper Dragon</x:t>
        </x:is>
      </x:c>
      <x:c r="I285" t="inlineStr">
        <x:is>
          <x:t xml:space="preserve">Improve adherence</x:t>
        </x:is>
      </x:c>
      <x:c r="J285" t="inlineStr">
        <x:is>
          <x:t xml:space="preserve">N</x:t>
        </x:is>
      </x:c>
      <x:c r="K285" t="inlineStr">
        <x:is>
          <x:t xml:space="preserve">Evidence: criteria list.</x:t>
        </x:is>
      </x:c>
    </x:row>
    <x:row r="286">
      <x:c r="A286" t="inlineStr">
        <x:is>
          <x:t xml:space="preserve">HR</x:t>
        </x:is>
      </x:c>
      <x:c r="B286" t="inlineStr">
        <x:is>
          <x:t xml:space="preserve">HR-D4-Q15</x:t>
        </x:is>
      </x:c>
      <x:c r="C286" t="inlineStr">
        <x:is>
          <x:t xml:space="preserve">HR-D4-Q15-A4</x:t>
        </x:is>
      </x:c>
      <x:c r="D286" t="n">
        <x:v>4</x:v>
      </x:c>
      <x:c r="E286" t="inlineStr">
        <x:is>
          <x:t xml:space="preserve">Risk-based steps applied consistently and proportionately.</x:t>
        </x:is>
      </x:c>
      <x:c r="F286" t="n">
        <x:v>3</x:v>
      </x:c>
      <x:c r="H286" t="inlineStr">
        <x:is>
          <x:t xml:space="preserve">Control Lag</x:t>
        </x:is>
      </x:c>
      <x:c r="I286" t="inlineStr">
        <x:is>
          <x:t xml:space="preserve">Maintain and audit</x:t>
        </x:is>
      </x:c>
      <x:c r="J286" t="inlineStr">
        <x:is>
          <x:t xml:space="preserve">N</x:t>
        </x:is>
      </x:c>
      <x:c r="K286" t="inlineStr">
        <x:is>
          <x:t xml:space="preserve">Evidence: checklist sample.</x:t>
        </x:is>
      </x:c>
    </x:row>
    <x:row r="287">
      <x:c r="A287" t="inlineStr">
        <x:is>
          <x:t xml:space="preserve">HR</x:t>
        </x:is>
      </x:c>
      <x:c r="B287" t="inlineStr">
        <x:is>
          <x:t xml:space="preserve">HR-D4-Q15</x:t>
        </x:is>
      </x:c>
      <x:c r="C287" t="inlineStr">
        <x:is>
          <x:t xml:space="preserve">HR-D4-Q15-A5</x:t>
        </x:is>
      </x:c>
      <x:c r="D287" t="n">
        <x:v>5</x:v>
      </x:c>
      <x:c r="E287" t="inlineStr">
        <x:is>
          <x:t xml:space="preserve">Optimized: rapid access changes + comms + legal/privacy review when needed.</x:t>
        </x:is>
      </x:c>
      <x:c r="F287" t="n">
        <x:v>4</x:v>
      </x:c>
      <x:c r="H287" t="inlineStr">
        <x:is>
          <x:t xml:space="preserve">Legal Exposure</x:t>
        </x:is>
      </x:c>
      <x:c r="I287" t="inlineStr">
        <x:is>
          <x:t xml:space="preserve">Maintain maturity</x:t>
        </x:is>
      </x:c>
      <x:c r="J287" t="inlineStr">
        <x:is>
          <x:t xml:space="preserve">N</x:t>
        </x:is>
      </x:c>
      <x:c r="K287" t="inlineStr">
        <x:is>
          <x:t xml:space="preserve">Evidence: playbook.</x:t>
        </x:is>
      </x:c>
    </x:row>
    <x:row r="288">
      <x:c r="A288" t="inlineStr">
        <x:is>
          <x:t xml:space="preserve">HR</x:t>
        </x:is>
      </x:c>
      <x:c r="B288" t="inlineStr">
        <x:is>
          <x:t xml:space="preserve">HR-D4-Q16</x:t>
        </x:is>
      </x:c>
      <x:c r="C288" t="inlineStr">
        <x:is>
          <x:t xml:space="preserve">HR-D4-Q16-A1</x:t>
        </x:is>
      </x:c>
      <x:c r="D288" t="n">
        <x:v>1</x:v>
      </x:c>
      <x:c r="E288" t="inlineStr">
        <x:is>
          <x:t xml:space="preserve">We don't address this explicitly.</x:t>
        </x:is>
      </x:c>
      <x:c r="F288" t="n">
        <x:v>0</x:v>
      </x:c>
      <x:c r="G288" t="inlineStr">
        <x:is>
          <x:t xml:space="preserve">legal_exposure</x:t>
        </x:is>
      </x:c>
      <x:c r="H288" t="inlineStr">
        <x:is>
          <x:t xml:space="preserve">Legal Exposure</x:t>
        </x:is>
      </x:c>
      <x:c r="I288" t="inlineStr">
        <x:is>
          <x:t xml:space="preserve">Add plain-language offboarding comms</x:t>
        </x:is>
      </x:c>
      <x:c r="J288" t="inlineStr">
        <x:is>
          <x:t xml:space="preserve">N</x:t>
        </x:is>
      </x:c>
    </x:row>
    <x:row r="289">
      <x:c r="A289" t="inlineStr">
        <x:is>
          <x:t xml:space="preserve">HR</x:t>
        </x:is>
      </x:c>
      <x:c r="B289" t="inlineStr">
        <x:is>
          <x:t xml:space="preserve">HR-D4-Q16</x:t>
        </x:is>
      </x:c>
      <x:c r="C289" t="inlineStr">
        <x:is>
          <x:t xml:space="preserve">HR-D4-Q16-A2</x:t>
        </x:is>
      </x:c>
      <x:c r="D289" t="n">
        <x:v>2</x:v>
      </x:c>
      <x:c r="E289" t="inlineStr">
        <x:is>
          <x:t xml:space="preserve">Buried in contracts/policies; no explicit conversation.</x:t>
        </x:is>
      </x:c>
      <x:c r="F289" t="n">
        <x:v>1</x:v>
      </x:c>
      <x:c r="G289" t="inlineStr">
        <x:is>
          <x:t xml:space="preserve">paper_dragon_signal</x:t>
        </x:is>
      </x:c>
      <x:c r="H289" t="inlineStr">
        <x:is>
          <x:t xml:space="preserve">Paper Dragon</x:t>
        </x:is>
      </x:c>
      <x:c r="I289" t="inlineStr">
        <x:is>
          <x:t xml:space="preserve">Improve clarity and acknowledgment</x:t>
        </x:is>
      </x:c>
      <x:c r="J289" t="inlineStr">
        <x:is>
          <x:t xml:space="preserve">N</x:t>
        </x:is>
      </x:c>
      <x:c r="K289" t="inlineStr">
        <x:is>
          <x:t xml:space="preserve">Evidence: clause reference.</x:t>
        </x:is>
      </x:c>
    </x:row>
    <x:row r="290">
      <x:c r="A290" t="inlineStr">
        <x:is>
          <x:t xml:space="preserve">HR</x:t>
        </x:is>
      </x:c>
      <x:c r="B290" t="inlineStr">
        <x:is>
          <x:t xml:space="preserve">HR-D4-Q16</x:t>
        </x:is>
      </x:c>
      <x:c r="C290" t="inlineStr">
        <x:is>
          <x:t xml:space="preserve">HR-D4-Q16-A3</x:t>
        </x:is>
      </x:c>
      <x:c r="D290" t="n">
        <x:v>3</x:v>
      </x:c>
      <x:c r="E290" t="inlineStr">
        <x:is>
          <x:t xml:space="preserve">Exit reminder exists but not consistently documented.</x:t>
        </x:is>
      </x:c>
      <x:c r="F290" t="n">
        <x:v>2</x:v>
      </x:c>
      <x:c r="H290" t="inlineStr">
        <x:is>
          <x:t xml:space="preserve">Legal Exposure</x:t>
        </x:is>
      </x:c>
      <x:c r="I290" t="inlineStr">
        <x:is>
          <x:t xml:space="preserve">Standardize exit acknowledgment</x:t>
        </x:is>
      </x:c>
      <x:c r="J290" t="inlineStr">
        <x:is>
          <x:t xml:space="preserve">N</x:t>
        </x:is>
      </x:c>
    </x:row>
    <x:row r="291">
      <x:c r="A291" t="inlineStr">
        <x:is>
          <x:t xml:space="preserve">HR</x:t>
        </x:is>
      </x:c>
      <x:c r="B291" t="inlineStr">
        <x:is>
          <x:t xml:space="preserve">HR-D4-Q16</x:t>
        </x:is>
      </x:c>
      <x:c r="C291" t="inlineStr">
        <x:is>
          <x:t xml:space="preserve">HR-D4-Q16-A4</x:t>
        </x:is>
      </x:c>
      <x:c r="D291" t="n">
        <x:v>4</x:v>
      </x:c>
      <x:c r="E291" t="inlineStr">
        <x:is>
          <x:t xml:space="preserve">Exit checklist with acknowledgement and asset/data return steps.</x:t>
        </x:is>
      </x:c>
      <x:c r="F291" t="n">
        <x:v>3</x:v>
      </x:c>
      <x:c r="H291" t="inlineStr">
        <x:is>
          <x:t xml:space="preserve">Legal Exposure</x:t>
        </x:is>
      </x:c>
      <x:c r="I291" t="inlineStr">
        <x:is>
          <x:t xml:space="preserve">Maintain adherence</x:t>
        </x:is>
      </x:c>
      <x:c r="J291" t="inlineStr">
        <x:is>
          <x:t xml:space="preserve">N</x:t>
        </x:is>
      </x:c>
      <x:c r="K291" t="inlineStr">
        <x:is>
          <x:t xml:space="preserve">Evidence: checklist template.</x:t>
        </x:is>
      </x:c>
    </x:row>
    <x:row r="292">
      <x:c r="A292" t="inlineStr">
        <x:is>
          <x:t xml:space="preserve">HR</x:t>
        </x:is>
      </x:c>
      <x:c r="B292" t="inlineStr">
        <x:is>
          <x:t xml:space="preserve">HR-D4-Q16</x:t>
        </x:is>
      </x:c>
      <x:c r="C292" t="inlineStr">
        <x:is>
          <x:t xml:space="preserve">HR-D4-Q16-A5</x:t>
        </x:is>
      </x:c>
      <x:c r="D292" t="n">
        <x:v>5</x:v>
      </x:c>
      <x:c r="E292" t="inlineStr">
        <x:is>
          <x:t xml:space="preserve">Optimized: tailored reminders for high-risk roles + verified return/handover.</x:t>
        </x:is>
      </x:c>
      <x:c r="F292" t="n">
        <x:v>4</x:v>
      </x:c>
      <x:c r="H292" t="inlineStr">
        <x:is>
          <x:t xml:space="preserve">Legal Exposure</x:t>
        </x:is>
      </x:c>
      <x:c r="I292" t="inlineStr">
        <x:is>
          <x:t xml:space="preserve">Maintain maturity</x:t>
        </x:is>
      </x:c>
      <x:c r="J292" t="inlineStr">
        <x:is>
          <x:t xml:space="preserve">N</x:t>
        </x:is>
      </x:c>
      <x:c r="K292" t="inlineStr">
        <x:is>
          <x:t xml:space="preserve">Evidence: role-based checklist.</x:t>
        </x:is>
      </x:c>
    </x:row>
    <x:row r="293">
      <x:c r="A293" t="inlineStr">
        <x:is>
          <x:t xml:space="preserve">HR</x:t>
        </x:is>
      </x:c>
      <x:c r="B293" t="inlineStr">
        <x:is>
          <x:t xml:space="preserve">HR-D5-Q17</x:t>
        </x:is>
      </x:c>
      <x:c r="C293" t="inlineStr">
        <x:is>
          <x:t xml:space="preserve">HR-D5-Q17-A0</x:t>
        </x:is>
      </x:c>
      <x:c r="D293" t="n">
        <x:v>1</x:v>
      </x:c>
      <x:c r="E293" t="inlineStr">
        <x:is>
          <x:t xml:space="preserve">I don't know / Not sure.</x:t>
        </x:is>
      </x:c>
      <x:c r="F293" t="n">
        <x:v>0</x:v>
      </x:c>
      <x:c r="G293" t="inlineStr">
        <x:is>
          <x:t xml:space="preserve">low-confidence</x:t>
        </x:is>
      </x:c>
      <x:c r="H293" t="inlineStr">
        <x:is>
          <x:t xml:space="preserve">Bypass Pressure</x:t>
        </x:is>
      </x:c>
      <x:c r="I293" t="inlineStr">
        <x:is>
          <x:t xml:space="preserve">Clarify bypass signals</x:t>
        </x:is>
      </x:c>
      <x:c r="J293" t="inlineStr">
        <x:is>
          <x:t xml:space="preserve">N</x:t>
        </x:is>
      </x:c>
    </x:row>
    <x:row r="294">
      <x:c r="A294" t="inlineStr">
        <x:is>
          <x:t xml:space="preserve">HR</x:t>
        </x:is>
      </x:c>
      <x:c r="B294" t="inlineStr">
        <x:is>
          <x:t xml:space="preserve">HR-D5-Q17</x:t>
        </x:is>
      </x:c>
      <x:c r="C294" t="inlineStr">
        <x:is>
          <x:t xml:space="preserve">HR-D5-Q17-A1</x:t>
        </x:is>
      </x:c>
      <x:c r="D294" t="n">
        <x:v>2</x:v>
      </x:c>
      <x:c r="E294" t="inlineStr">
        <x:is>
          <x:t xml:space="preserve">No process: workarounds happen and are 'normal'.</x:t>
        </x:is>
      </x:c>
      <x:c r="F294" t="n">
        <x:v>0</x:v>
      </x:c>
      <x:c r="G294" t="inlineStr">
        <x:is>
          <x:t xml:space="preserve">bypass_pressure</x:t>
        </x:is>
      </x:c>
      <x:c r="H294" t="inlineStr">
        <x:is>
          <x:t xml:space="preserve">Bypass Pressure</x:t>
        </x:is>
      </x:c>
      <x:c r="I294" t="inlineStr">
        <x:is>
          <x:t xml:space="preserve">Implement friction intake</x:t>
        </x:is>
      </x:c>
      <x:c r="J294" t="inlineStr">
        <x:is>
          <x:t xml:space="preserve">N</x:t>
        </x:is>
      </x:c>
    </x:row>
    <x:row r="295">
      <x:c r="A295" t="inlineStr">
        <x:is>
          <x:t xml:space="preserve">HR</x:t>
        </x:is>
      </x:c>
      <x:c r="B295" t="inlineStr">
        <x:is>
          <x:t xml:space="preserve">HR-D5-Q17</x:t>
        </x:is>
      </x:c>
      <x:c r="C295" t="inlineStr">
        <x:is>
          <x:t xml:space="preserve">HR-D5-Q17-A2</x:t>
        </x:is>
      </x:c>
      <x:c r="D295" t="n">
        <x:v>3</x:v>
      </x:c>
      <x:c r="E295" t="inlineStr">
        <x:is>
          <x:t xml:space="preserve">Ad-hoc: complaints handled case-by-case; root causes rarely fixed.</x:t>
        </x:is>
      </x:c>
      <x:c r="F295" t="n">
        <x:v>1</x:v>
      </x:c>
      <x:c r="G295" t="inlineStr">
        <x:is>
          <x:t xml:space="preserve">shadow_mature_signal</x:t>
        </x:is>
      </x:c>
      <x:c r="H295" t="inlineStr">
        <x:is>
          <x:t xml:space="preserve">Bypass Pressure</x:t>
        </x:is>
      </x:c>
      <x:c r="I295" t="inlineStr">
        <x:is>
          <x:t xml:space="preserve">Create backlog and owners</x:t>
        </x:is>
      </x:c>
      <x:c r="J295" t="inlineStr">
        <x:is>
          <x:t xml:space="preserve">N</x:t>
        </x:is>
      </x:c>
    </x:row>
    <x:row r="296">
      <x:c r="A296" t="inlineStr">
        <x:is>
          <x:t xml:space="preserve">HR</x:t>
        </x:is>
      </x:c>
      <x:c r="B296" t="inlineStr">
        <x:is>
          <x:t xml:space="preserve">HR-D5-Q17</x:t>
        </x:is>
      </x:c>
      <x:c r="C296" t="inlineStr">
        <x:is>
          <x:t xml:space="preserve">HR-D5-Q17-A3</x:t>
        </x:is>
      </x:c>
      <x:c r="D296" t="n">
        <x:v>4</x:v>
      </x:c>
      <x:c r="E296" t="inlineStr">
        <x:is>
          <x:t xml:space="preserve">Defined: a channel exists; some fixes prioritised.</x:t>
        </x:is>
      </x:c>
      <x:c r="F296" t="n">
        <x:v>2</x:v>
      </x:c>
      <x:c r="H296" t="inlineStr">
        <x:is>
          <x:t xml:space="preserve">Bypass Pressure</x:t>
        </x:is>
      </x:c>
      <x:c r="I296" t="inlineStr">
        <x:is>
          <x:t xml:space="preserve">Strengthen prioritisation</x:t>
        </x:is>
      </x:c>
      <x:c r="J296" t="inlineStr">
        <x:is>
          <x:t xml:space="preserve">N</x:t>
        </x:is>
      </x:c>
      <x:c r="K296" t="inlineStr">
        <x:is>
          <x:t xml:space="preserve">Evidence: tickets/backlog.</x:t>
        </x:is>
      </x:c>
    </x:row>
    <x:row r="297">
      <x:c r="A297" t="inlineStr">
        <x:is>
          <x:t xml:space="preserve">HR</x:t>
        </x:is>
      </x:c>
      <x:c r="B297" t="inlineStr">
        <x:is>
          <x:t xml:space="preserve">HR-D5-Q17</x:t>
        </x:is>
      </x:c>
      <x:c r="C297" t="inlineStr">
        <x:is>
          <x:t xml:space="preserve">HR-D5-Q17-A4</x:t>
        </x:is>
      </x:c>
      <x:c r="D297" t="n">
        <x:v>5</x:v>
      </x:c>
      <x:c r="E297" t="inlineStr">
        <x:is>
          <x:t xml:space="preserve">Managed: friction metrics tracked; fixes reduce repeated workarounds.</x:t>
        </x:is>
      </x:c>
      <x:c r="F297" t="n">
        <x:v>3</x:v>
      </x:c>
      <x:c r="H297" t="inlineStr">
        <x:is>
          <x:t xml:space="preserve">Bypass Pressure</x:t>
        </x:is>
      </x:c>
      <x:c r="I297" t="inlineStr">
        <x:is>
          <x:t xml:space="preserve">Maintain metrics</x:t>
        </x:is>
      </x:c>
      <x:c r="J297" t="inlineStr">
        <x:is>
          <x:t xml:space="preserve">N</x:t>
        </x:is>
      </x:c>
      <x:c r="K297" t="inlineStr">
        <x:is>
          <x:t xml:space="preserve">Evidence: before/after examples.</x:t>
        </x:is>
      </x:c>
    </x:row>
    <x:row r="298">
      <x:c r="A298" t="inlineStr">
        <x:is>
          <x:t xml:space="preserve">HR</x:t>
        </x:is>
      </x:c>
      <x:c r="B298" t="inlineStr">
        <x:is>
          <x:t xml:space="preserve">HR-D5-Q17</x:t>
        </x:is>
      </x:c>
      <x:c r="C298" t="inlineStr">
        <x:is>
          <x:t xml:space="preserve">HR-D5-Q17-A5</x:t>
        </x:is>
      </x:c>
      <x:c r="D298" t="n">
        <x:v>6</x:v>
      </x:c>
      <x:c r="E298" t="inlineStr">
        <x:is>
          <x:t xml:space="preserve">Optimized: low bypass pressure; usability designed in; exceptions rare/time-bound.</x:t>
        </x:is>
      </x:c>
      <x:c r="F298" t="n">
        <x:v>4</x:v>
      </x:c>
      <x:c r="H298" t="inlineStr">
        <x:is>
          <x:t xml:space="preserve">Bypass Pressure</x:t>
        </x:is>
      </x:c>
      <x:c r="I298" t="inlineStr">
        <x:is>
          <x:t xml:space="preserve">Maintain maturity</x:t>
        </x:is>
      </x:c>
      <x:c r="J298" t="inlineStr">
        <x:is>
          <x:t xml:space="preserve">N</x:t>
        </x:is>
      </x:c>
      <x:c r="K298" t="inlineStr">
        <x:is>
          <x:t xml:space="preserve">Evidence: exception rates.</x:t>
        </x:is>
      </x:c>
    </x:row>
    <x:row r="299">
      <x:c r="A299" t="inlineStr">
        <x:is>
          <x:t xml:space="preserve">HR</x:t>
        </x:is>
      </x:c>
      <x:c r="B299" t="inlineStr">
        <x:is>
          <x:t xml:space="preserve">HR-D5-Q18</x:t>
        </x:is>
      </x:c>
      <x:c r="C299" t="inlineStr">
        <x:is>
          <x:t xml:space="preserve">HR-D5-Q18-A1</x:t>
        </x:is>
      </x:c>
      <x:c r="D299" t="n">
        <x:v>1</x:v>
      </x:c>
      <x:c r="E299" t="inlineStr">
        <x:is>
          <x:t xml:space="preserve">No: bypass discovered only after incidents/audits.</x:t>
        </x:is>
      </x:c>
      <x:c r="F299" t="n">
        <x:v>0</x:v>
      </x:c>
      <x:c r="G299" t="inlineStr">
        <x:is>
          <x:t xml:space="preserve">bypass_pressure,paper_dragon_signal</x:t>
        </x:is>
      </x:c>
      <x:c r="H299" t="inlineStr">
        <x:is>
          <x:t xml:space="preserve">Bypass Pressure</x:t>
        </x:is>
      </x:c>
      <x:c r="I299" t="inlineStr">
        <x:is>
          <x:t xml:space="preserve">Create feedback loop</x:t>
        </x:is>
      </x:c>
      <x:c r="J299" t="inlineStr">
        <x:is>
          <x:t xml:space="preserve">N</x:t>
        </x:is>
      </x:c>
    </x:row>
    <x:row r="300">
      <x:c r="A300" t="inlineStr">
        <x:is>
          <x:t xml:space="preserve">HR</x:t>
        </x:is>
      </x:c>
      <x:c r="B300" t="inlineStr">
        <x:is>
          <x:t xml:space="preserve">HR-D5-Q18</x:t>
        </x:is>
      </x:c>
      <x:c r="C300" t="inlineStr">
        <x:is>
          <x:t xml:space="preserve">HR-D5-Q18-A2</x:t>
        </x:is>
      </x:c>
      <x:c r="D300" t="n">
        <x:v>2</x:v>
      </x:c>
      <x:c r="E300" t="inlineStr">
        <x:is>
          <x:t xml:space="preserve">Sometimes: managers/HR hear about it; actions vary.</x:t>
        </x:is>
      </x:c>
      <x:c r="F300" t="n">
        <x:v>1</x:v>
      </x:c>
      <x:c r="G300" t="inlineStr">
        <x:is>
          <x:t xml:space="preserve">key_person_dependency</x:t>
        </x:is>
      </x:c>
      <x:c r="H300" t="inlineStr">
        <x:is>
          <x:t xml:space="preserve">Bypass Pressure</x:t>
        </x:is>
      </x:c>
      <x:c r="I300" t="inlineStr">
        <x:is>
          <x:t xml:space="preserve">Define triage and fixes</x:t>
        </x:is>
      </x:c>
      <x:c r="J300" t="inlineStr">
        <x:is>
          <x:t xml:space="preserve">N</x:t>
        </x:is>
      </x:c>
    </x:row>
    <x:row r="301">
      <x:c r="A301" t="inlineStr">
        <x:is>
          <x:t xml:space="preserve">HR</x:t>
        </x:is>
      </x:c>
      <x:c r="B301" t="inlineStr">
        <x:is>
          <x:t xml:space="preserve">HR-D5-Q18</x:t>
        </x:is>
      </x:c>
      <x:c r="C301" t="inlineStr">
        <x:is>
          <x:t xml:space="preserve">HR-D5-Q18-A3</x:t>
        </x:is>
      </x:c>
      <x:c r="D301" t="n">
        <x:v>3</x:v>
      </x:c>
      <x:c r="E301" t="inlineStr">
        <x:is>
          <x:t xml:space="preserve">Usually: signals collected and discussed; some fixes implemented.</x:t>
        </x:is>
      </x:c>
      <x:c r="F301" t="n">
        <x:v>2</x:v>
      </x:c>
      <x:c r="H301" t="inlineStr">
        <x:is>
          <x:t xml:space="preserve">Bypass Pressure</x:t>
        </x:is>
      </x:c>
      <x:c r="I301" t="inlineStr">
        <x:is>
          <x:t xml:space="preserve">Formalize backlog</x:t>
        </x:is>
      </x:c>
      <x:c r="J301" t="inlineStr">
        <x:is>
          <x:t xml:space="preserve">N</x:t>
        </x:is>
      </x:c>
    </x:row>
    <x:row r="302">
      <x:c r="A302" t="inlineStr">
        <x:is>
          <x:t xml:space="preserve">HR</x:t>
        </x:is>
      </x:c>
      <x:c r="B302" t="inlineStr">
        <x:is>
          <x:t xml:space="preserve">HR-D5-Q18</x:t>
        </x:is>
      </x:c>
      <x:c r="C302" t="inlineStr">
        <x:is>
          <x:t xml:space="preserve">HR-D5-Q18-A4</x:t>
        </x:is>
      </x:c>
      <x:c r="D302" t="n">
        <x:v>4</x:v>
      </x:c>
      <x:c r="E302" t="inlineStr">
        <x:is>
          <x:t xml:space="preserve">Yes: consistent intake, root-cause analysis, and prioritised remediation.</x:t>
        </x:is>
      </x:c>
      <x:c r="F302" t="n">
        <x:v>3</x:v>
      </x:c>
      <x:c r="H302" t="inlineStr">
        <x:is>
          <x:t xml:space="preserve">Bypass Pressure</x:t>
        </x:is>
      </x:c>
      <x:c r="I302" t="inlineStr">
        <x:is>
          <x:t xml:space="preserve">Maintain and measure</x:t>
        </x:is>
      </x:c>
      <x:c r="J302" t="inlineStr">
        <x:is>
          <x:t xml:space="preserve">N</x:t>
        </x:is>
      </x:c>
      <x:c r="K302" t="inlineStr">
        <x:is>
          <x:t xml:space="preserve">Evidence: RCA examples.</x:t>
        </x:is>
      </x:c>
    </x:row>
    <x:row r="303">
      <x:c r="A303" t="inlineStr">
        <x:is>
          <x:t xml:space="preserve">HR</x:t>
        </x:is>
      </x:c>
      <x:c r="B303" t="inlineStr">
        <x:is>
          <x:t xml:space="preserve">HR-D5-Q19</x:t>
        </x:is>
      </x:c>
      <x:c r="C303" t="inlineStr">
        <x:is>
          <x:t xml:space="preserve">HR-D5-Q19-A1</x:t>
        </x:is>
      </x:c>
      <x:c r="D303" t="n">
        <x:v>1</x:v>
      </x:c>
      <x:c r="E303" t="inlineStr">
        <x:is>
          <x:t xml:space="preserve">No: exceptions are informal and not tracked.</x:t>
        </x:is>
      </x:c>
      <x:c r="F303" t="n">
        <x:v>0</x:v>
      </x:c>
      <x:c r="G303" t="inlineStr">
        <x:is>
          <x:t xml:space="preserve">bypass_pressure</x:t>
        </x:is>
      </x:c>
      <x:c r="H303" t="inlineStr">
        <x:is>
          <x:t xml:space="preserve">Bypass Pressure</x:t>
        </x:is>
      </x:c>
      <x:c r="I303" t="inlineStr">
        <x:is>
          <x:t xml:space="preserve">Introduce exception register</x:t>
        </x:is>
      </x:c>
      <x:c r="J303" t="inlineStr">
        <x:is>
          <x:t xml:space="preserve">N</x:t>
        </x:is>
      </x:c>
    </x:row>
    <x:row r="304">
      <x:c r="A304" t="inlineStr">
        <x:is>
          <x:t xml:space="preserve">HR</x:t>
        </x:is>
      </x:c>
      <x:c r="B304" t="inlineStr">
        <x:is>
          <x:t xml:space="preserve">HR-D5-Q19</x:t>
        </x:is>
      </x:c>
      <x:c r="C304" t="inlineStr">
        <x:is>
          <x:t xml:space="preserve">HR-D5-Q19-A2</x:t>
        </x:is>
      </x:c>
      <x:c r="D304" t="n">
        <x:v>2</x:v>
      </x:c>
      <x:c r="E304" t="inlineStr">
        <x:is>
          <x:t xml:space="preserve">Some tracking, but no expiry/review; exceptions accumulate.</x:t>
        </x:is>
      </x:c>
      <x:c r="F304" t="n">
        <x:v>1</x:v>
      </x:c>
      <x:c r="G304" t="inlineStr">
        <x:is>
          <x:t xml:space="preserve">paper_dragon_signal</x:t>
        </x:is>
      </x:c>
      <x:c r="H304" t="inlineStr">
        <x:is>
          <x:t xml:space="preserve">Paper Dragon</x:t>
        </x:is>
      </x:c>
      <x:c r="I304" t="inlineStr">
        <x:is>
          <x:t xml:space="preserve">Add expiry and review cadence</x:t>
        </x:is>
      </x:c>
      <x:c r="J304" t="inlineStr">
        <x:is>
          <x:t xml:space="preserve">N</x:t>
        </x:is>
      </x:c>
    </x:row>
    <x:row r="305">
      <x:c r="A305" t="inlineStr">
        <x:is>
          <x:t xml:space="preserve">HR</x:t>
        </x:is>
      </x:c>
      <x:c r="B305" t="inlineStr">
        <x:is>
          <x:t xml:space="preserve">HR-D5-Q19</x:t>
        </x:is>
      </x:c>
      <x:c r="C305" t="inlineStr">
        <x:is>
          <x:t xml:space="preserve">HR-D5-Q19-A3</x:t>
        </x:is>
      </x:c>
      <x:c r="D305" t="n">
        <x:v>3</x:v>
      </x:c>
      <x:c r="E305" t="inlineStr">
        <x:is>
          <x:t xml:space="preserve">Register exists; most exceptions have owners/expiry, but reviews inconsistent.</x:t>
        </x:is>
      </x:c>
      <x:c r="F305" t="n">
        <x:v>2</x:v>
      </x:c>
      <x:c r="H305" t="inlineStr">
        <x:is>
          <x:t xml:space="preserve">Bypass Pressure</x:t>
        </x:is>
      </x:c>
      <x:c r="I305" t="inlineStr">
        <x:is>
          <x:t xml:space="preserve">Improve governance cadence</x:t>
        </x:is>
      </x:c>
      <x:c r="J305" t="inlineStr">
        <x:is>
          <x:t xml:space="preserve">N</x:t>
        </x:is>
      </x:c>
      <x:c r="K305" t="inlineStr">
        <x:is>
          <x:t xml:space="preserve">Evidence: register sample.</x:t>
        </x:is>
      </x:c>
    </x:row>
    <x:row r="306">
      <x:c r="A306" t="inlineStr">
        <x:is>
          <x:t xml:space="preserve">HR</x:t>
        </x:is>
      </x:c>
      <x:c r="B306" t="inlineStr">
        <x:is>
          <x:t xml:space="preserve">HR-D5-Q19</x:t>
        </x:is>
      </x:c>
      <x:c r="C306" t="inlineStr">
        <x:is>
          <x:t xml:space="preserve">HR-D5-Q19-A4</x:t>
        </x:is>
      </x:c>
      <x:c r="D306" t="n">
        <x:v>4</x:v>
      </x:c>
      <x:c r="E306" t="inlineStr">
        <x:is>
          <x:t xml:space="preserve">Tracked + reviewed; exceptions reduced over time.</x:t>
        </x:is>
      </x:c>
      <x:c r="F306" t="n">
        <x:v>3</x:v>
      </x:c>
      <x:c r="H306" t="inlineStr">
        <x:is>
          <x:t xml:space="preserve">Bypass Pressure</x:t>
        </x:is>
      </x:c>
      <x:c r="I306" t="inlineStr">
        <x:is>
          <x:t xml:space="preserve">Maintain governance</x:t>
        </x:is>
      </x:c>
      <x:c r="J306" t="inlineStr">
        <x:is>
          <x:t xml:space="preserve">N</x:t>
        </x:is>
      </x:c>
      <x:c r="K306" t="inlineStr">
        <x:is>
          <x:t xml:space="preserve">Evidence: trend metrics.</x:t>
        </x:is>
      </x:c>
    </x:row>
    <x:row r="307">
      <x:c r="A307" t="inlineStr">
        <x:is>
          <x:t xml:space="preserve">HR</x:t>
        </x:is>
      </x:c>
      <x:c r="B307" t="inlineStr">
        <x:is>
          <x:t xml:space="preserve">HR-D5-Q19</x:t>
        </x:is>
      </x:c>
      <x:c r="C307" t="inlineStr">
        <x:is>
          <x:t xml:space="preserve">HR-D5-Q19-A5</x:t>
        </x:is>
      </x:c>
      <x:c r="D307" t="n">
        <x:v>5</x:v>
      </x:c>
      <x:c r="E307" t="inlineStr">
        <x:is>
          <x:t xml:space="preserve">Optimized: exceptions rare; systemic fixes remove need for bypass.</x:t>
        </x:is>
      </x:c>
      <x:c r="F307" t="n">
        <x:v>4</x:v>
      </x:c>
      <x:c r="H307" t="inlineStr">
        <x:is>
          <x:t xml:space="preserve">Bypass Pressure</x:t>
        </x:is>
      </x:c>
      <x:c r="I307" t="inlineStr">
        <x:is>
          <x:t xml:space="preserve">Maintain maturity</x:t>
        </x:is>
      </x:c>
      <x:c r="J307" t="inlineStr">
        <x:is>
          <x:t xml:space="preserve">N</x:t>
        </x:is>
      </x:c>
      <x:c r="K307" t="inlineStr">
        <x:is>
          <x:t xml:space="preserve">Evidence: low exception rate.</x:t>
        </x:is>
      </x:c>
    </x:row>
    <x:row r="308">
      <x:c r="A308" t="inlineStr">
        <x:is>
          <x:t xml:space="preserve">HR</x:t>
        </x:is>
      </x:c>
      <x:c r="B308" t="inlineStr">
        <x:is>
          <x:t xml:space="preserve">HR-D6-Q20</x:t>
        </x:is>
      </x:c>
      <x:c r="C308" t="inlineStr">
        <x:is>
          <x:t xml:space="preserve">HR-D6-Q20-A0</x:t>
        </x:is>
      </x:c>
      <x:c r="D308" t="n">
        <x:v>1</x:v>
      </x:c>
      <x:c r="E308" t="inlineStr">
        <x:is>
          <x:t xml:space="preserve">I don't know / Not sure.</x:t>
        </x:is>
      </x:c>
      <x:c r="F308" t="n">
        <x:v>0</x:v>
      </x:c>
      <x:c r="G308" t="inlineStr">
        <x:is>
          <x:t xml:space="preserve">low-confidence</x:t>
        </x:is>
      </x:c>
      <x:c r="H308" t="inlineStr">
        <x:is>
          <x:t xml:space="preserve">Control Lag</x:t>
        </x:is>
      </x:c>
      <x:c r="I308" t="inlineStr">
        <x:is>
          <x:t xml:space="preserve">Clarify change-event process</x:t>
        </x:is>
      </x:c>
      <x:c r="J308" t="inlineStr">
        <x:is>
          <x:t xml:space="preserve">N</x:t>
        </x:is>
      </x:c>
    </x:row>
    <x:row r="309">
      <x:c r="A309" t="inlineStr">
        <x:is>
          <x:t xml:space="preserve">HR</x:t>
        </x:is>
      </x:c>
      <x:c r="B309" t="inlineStr">
        <x:is>
          <x:t xml:space="preserve">HR-D6-Q20</x:t>
        </x:is>
      </x:c>
      <x:c r="C309" t="inlineStr">
        <x:is>
          <x:t xml:space="preserve">HR-D6-Q20-A1</x:t>
        </x:is>
      </x:c>
      <x:c r="D309" t="n">
        <x:v>2</x:v>
      </x:c>
      <x:c r="E309" t="inlineStr">
        <x:is>
          <x:t xml:space="preserve">Static: controls rarely change; respond after issues appear.</x:t>
        </x:is>
      </x:c>
      <x:c r="F309" t="n">
        <x:v>0</x:v>
      </x:c>
      <x:c r="G309" t="inlineStr">
        <x:is>
          <x:t xml:space="preserve">control_lag</x:t>
        </x:is>
      </x:c>
      <x:c r="H309" t="inlineStr">
        <x:is>
          <x:t xml:space="preserve">Control Lag</x:t>
        </x:is>
      </x:c>
      <x:c r="I309" t="inlineStr">
        <x:is>
          <x:t xml:space="preserve">Introduce change-event checklist</x:t>
        </x:is>
      </x:c>
      <x:c r="J309" t="inlineStr">
        <x:is>
          <x:t xml:space="preserve">N</x:t>
        </x:is>
      </x:c>
    </x:row>
    <x:row r="310">
      <x:c r="A310" t="inlineStr">
        <x:is>
          <x:t xml:space="preserve">HR</x:t>
        </x:is>
      </x:c>
      <x:c r="B310" t="inlineStr">
        <x:is>
          <x:t xml:space="preserve">HR-D6-Q20</x:t>
        </x:is>
      </x:c>
      <x:c r="C310" t="inlineStr">
        <x:is>
          <x:t xml:space="preserve">HR-D6-Q20-A2</x:t>
        </x:is>
      </x:c>
      <x:c r="D310" t="n">
        <x:v>3</x:v>
      </x:c>
      <x:c r="E310" t="inlineStr">
        <x:is>
          <x:t xml:space="preserve">Manual: HR informs others, but timing varies; no checklist.</x:t>
        </x:is>
      </x:c>
      <x:c r="F310" t="n">
        <x:v>1</x:v>
      </x:c>
      <x:c r="G310" t="inlineStr">
        <x:is>
          <x:t xml:space="preserve">shadow_mature_signal</x:t>
        </x:is>
      </x:c>
      <x:c r="H310" t="inlineStr">
        <x:is>
          <x:t xml:space="preserve">Control Lag</x:t>
        </x:is>
      </x:c>
      <x:c r="I310" t="inlineStr">
        <x:is>
          <x:t xml:space="preserve">Standardize and measure lag</x:t>
        </x:is>
      </x:c>
      <x:c r="J310" t="inlineStr">
        <x:is>
          <x:t xml:space="preserve">N</x:t>
        </x:is>
      </x:c>
    </x:row>
    <x:row r="311">
      <x:c r="A311" t="inlineStr">
        <x:is>
          <x:t xml:space="preserve">HR</x:t>
        </x:is>
      </x:c>
      <x:c r="B311" t="inlineStr">
        <x:is>
          <x:t xml:space="preserve">HR-D6-Q20</x:t>
        </x:is>
      </x:c>
      <x:c r="C311" t="inlineStr">
        <x:is>
          <x:t xml:space="preserve">HR-D6-Q20-A3</x:t>
        </x:is>
      </x:c>
      <x:c r="D311" t="n">
        <x:v>4</x:v>
      </x:c>
      <x:c r="E311" t="inlineStr">
        <x:is>
          <x:t xml:space="preserve">Defined: process exists; critical updates happen within weeks.</x:t>
        </x:is>
      </x:c>
      <x:c r="F311" t="n">
        <x:v>2</x:v>
      </x:c>
      <x:c r="H311" t="inlineStr">
        <x:is>
          <x:t xml:space="preserve">Control Lag</x:t>
        </x:is>
      </x:c>
      <x:c r="I311" t="inlineStr">
        <x:is>
          <x:t xml:space="preserve">Reduce lag for critical roles</x:t>
        </x:is>
      </x:c>
      <x:c r="J311" t="inlineStr">
        <x:is>
          <x:t xml:space="preserve">N</x:t>
        </x:is>
      </x:c>
      <x:c r="K311" t="inlineStr">
        <x:is>
          <x:t xml:space="preserve">Evidence: checklist/comms.</x:t>
        </x:is>
      </x:c>
    </x:row>
    <x:row r="312">
      <x:c r="A312" t="inlineStr">
        <x:is>
          <x:t xml:space="preserve">HR</x:t>
        </x:is>
      </x:c>
      <x:c r="B312" t="inlineStr">
        <x:is>
          <x:t xml:space="preserve">HR-D6-Q20</x:t>
        </x:is>
      </x:c>
      <x:c r="C312" t="inlineStr">
        <x:is>
          <x:t xml:space="preserve">HR-D6-Q20-A4</x:t>
        </x:is>
      </x:c>
      <x:c r="D312" t="n">
        <x:v>5</x:v>
      </x:c>
      <x:c r="E312" t="inlineStr">
        <x:is>
          <x:t xml:space="preserve">Managed: critical updates happen within days; responsibilities clear.</x:t>
        </x:is>
      </x:c>
      <x:c r="F312" t="n">
        <x:v>3</x:v>
      </x:c>
      <x:c r="H312" t="inlineStr">
        <x:is>
          <x:t xml:space="preserve">Control Lag</x:t>
        </x:is>
      </x:c>
      <x:c r="I312" t="inlineStr">
        <x:is>
          <x:t xml:space="preserve">Maintain and test</x:t>
        </x:is>
      </x:c>
      <x:c r="J312" t="inlineStr">
        <x:is>
          <x:t xml:space="preserve">N</x:t>
        </x:is>
      </x:c>
      <x:c r="K312" t="inlineStr">
        <x:is>
          <x:t xml:space="preserve">Evidence: timelines from recent event.</x:t>
        </x:is>
      </x:c>
    </x:row>
    <x:row r="313">
      <x:c r="A313" t="inlineStr">
        <x:is>
          <x:t xml:space="preserve">HR</x:t>
        </x:is>
      </x:c>
      <x:c r="B313" t="inlineStr">
        <x:is>
          <x:t xml:space="preserve">HR-D6-Q20</x:t>
        </x:is>
      </x:c>
      <x:c r="C313" t="inlineStr">
        <x:is>
          <x:t xml:space="preserve">HR-D6-Q20-A5</x:t>
        </x:is>
      </x:c>
      <x:c r="D313" t="n">
        <x:v>6</x:v>
      </x:c>
      <x:c r="E313" t="inlineStr">
        <x:is>
          <x:t xml:space="preserve">Optimized: triggers and measurable lag; lessons learned applied each event.</x:t>
        </x:is>
      </x:c>
      <x:c r="F313" t="n">
        <x:v>4</x:v>
      </x:c>
      <x:c r="H313" t="inlineStr">
        <x:is>
          <x:t xml:space="preserve">Control Lag</x:t>
        </x:is>
      </x:c>
      <x:c r="I313" t="inlineStr">
        <x:is>
          <x:t xml:space="preserve">Continuous improvement</x:t>
        </x:is>
      </x:c>
      <x:c r="J313" t="inlineStr">
        <x:is>
          <x:t xml:space="preserve">N</x:t>
        </x:is>
      </x:c>
      <x:c r="K313" t="inlineStr">
        <x:is>
          <x:t xml:space="preserve">Evidence: lag metrics.</x:t>
        </x:is>
      </x:c>
    </x:row>
    <x:row r="314">
      <x:c r="A314" t="inlineStr">
        <x:is>
          <x:t xml:space="preserve">HR</x:t>
        </x:is>
      </x:c>
      <x:c r="B314" t="inlineStr">
        <x:is>
          <x:t xml:space="preserve">HR-D6-Q21</x:t>
        </x:is>
      </x:c>
      <x:c r="C314" t="inlineStr">
        <x:is>
          <x:t xml:space="preserve">HR-D6-Q21-A1</x:t>
        </x:is>
      </x:c>
      <x:c r="D314" t="n">
        <x:v>1</x:v>
      </x:c>
      <x:c r="E314" t="inlineStr">
        <x:is>
          <x:t xml:space="preserve">Unreliable: updates are late or incomplete.</x:t>
        </x:is>
      </x:c>
      <x:c r="F314" t="n">
        <x:v>0</x:v>
      </x:c>
      <x:c r="G314" t="inlineStr">
        <x:is>
          <x:t xml:space="preserve">control_lag</x:t>
        </x:is>
      </x:c>
      <x:c r="H314" t="inlineStr">
        <x:is>
          <x:t xml:space="preserve">Control Lag</x:t>
        </x:is>
      </x:c>
      <x:c r="I314" t="inlineStr">
        <x:is>
          <x:t xml:space="preserve">Improve timeliness</x:t>
        </x:is>
      </x:c>
      <x:c r="J314" t="inlineStr">
        <x:is>
          <x:t xml:space="preserve">N</x:t>
        </x:is>
      </x:c>
    </x:row>
    <x:row r="315">
      <x:c r="A315" t="inlineStr">
        <x:is>
          <x:t xml:space="preserve">HR</x:t>
        </x:is>
      </x:c>
      <x:c r="B315" t="inlineStr">
        <x:is>
          <x:t xml:space="preserve">HR-D6-Q21</x:t>
        </x:is>
      </x:c>
      <x:c r="C315" t="inlineStr">
        <x:is>
          <x:t xml:space="preserve">HR-D6-Q21-A2</x:t>
        </x:is>
      </x:c>
      <x:c r="D315" t="n">
        <x:v>2</x:v>
      </x:c>
      <x:c r="E315" t="inlineStr">
        <x:is>
          <x:t xml:space="preserve">Email/spreadsheets: provided but often delayed.</x:t>
        </x:is>
      </x:c>
      <x:c r="F315" t="n">
        <x:v>1</x:v>
      </x:c>
      <x:c r="G315" t="inlineStr">
        <x:is>
          <x:t xml:space="preserve">shadow_mature_signal</x:t>
        </x:is>
      </x:c>
      <x:c r="H315" t="inlineStr">
        <x:is>
          <x:t xml:space="preserve">Control Lag</x:t>
        </x:is>
      </x:c>
      <x:c r="I315" t="inlineStr">
        <x:is>
          <x:t xml:space="preserve">Create standard cadence</x:t>
        </x:is>
      </x:c>
      <x:c r="J315" t="inlineStr">
        <x:is>
          <x:t xml:space="preserve">N</x:t>
        </x:is>
      </x:c>
    </x:row>
    <x:row r="316">
      <x:c r="A316" t="inlineStr">
        <x:is>
          <x:t xml:space="preserve">HR</x:t>
        </x:is>
      </x:c>
      <x:c r="B316" t="inlineStr">
        <x:is>
          <x:t xml:space="preserve">HR-D6-Q21</x:t>
        </x:is>
      </x:c>
      <x:c r="C316" t="inlineStr">
        <x:is>
          <x:t xml:space="preserve">HR-D6-Q21-A3</x:t>
        </x:is>
      </x:c>
      <x:c r="D316" t="n">
        <x:v>3</x:v>
      </x:c>
      <x:c r="E316" t="inlineStr">
        <x:is>
          <x:t xml:space="preserve">Regular cadence; still delays for urgent changes.</x:t>
        </x:is>
      </x:c>
      <x:c r="F316" t="n">
        <x:v>2</x:v>
      </x:c>
      <x:c r="H316" t="inlineStr">
        <x:is>
          <x:t xml:space="preserve">Control Lag</x:t>
        </x:is>
      </x:c>
      <x:c r="I316" t="inlineStr">
        <x:is>
          <x:t xml:space="preserve">Add urgent escalation</x:t>
        </x:is>
      </x:c>
      <x:c r="J316" t="inlineStr">
        <x:is>
          <x:t xml:space="preserve">N</x:t>
        </x:is>
      </x:c>
    </x:row>
    <x:row r="317">
      <x:c r="A317" t="inlineStr">
        <x:is>
          <x:t xml:space="preserve">HR</x:t>
        </x:is>
      </x:c>
      <x:c r="B317" t="inlineStr">
        <x:is>
          <x:t xml:space="preserve">HR-D6-Q21</x:t>
        </x:is>
      </x:c>
      <x:c r="C317" t="inlineStr">
        <x:is>
          <x:t xml:space="preserve">HR-D6-Q21-A4</x:t>
        </x:is>
      </x:c>
      <x:c r="D317" t="n">
        <x:v>4</x:v>
      </x:c>
      <x:c r="E317" t="inlineStr">
        <x:is>
          <x:t xml:space="preserve">Timely: critical updates within 24–48 hours with clear ownership.</x:t>
        </x:is>
      </x:c>
      <x:c r="F317" t="n">
        <x:v>3</x:v>
      </x:c>
      <x:c r="H317" t="inlineStr">
        <x:is>
          <x:t xml:space="preserve">Control Lag</x:t>
        </x:is>
      </x:c>
      <x:c r="I317" t="inlineStr">
        <x:is>
          <x:t xml:space="preserve">Maintain</x:t>
        </x:is>
      </x:c>
      <x:c r="J317" t="inlineStr">
        <x:is>
          <x:t xml:space="preserve">N</x:t>
        </x:is>
      </x:c>
      <x:c r="K317" t="inlineStr">
        <x:is>
          <x:t xml:space="preserve">Evidence: sample comms.</x:t>
        </x:is>
      </x:c>
    </x:row>
    <x:row r="318">
      <x:c r="A318" t="inlineStr">
        <x:is>
          <x:t xml:space="preserve">HR</x:t>
        </x:is>
      </x:c>
      <x:c r="B318" t="inlineStr">
        <x:is>
          <x:t xml:space="preserve">HR-D6-Q22</x:t>
        </x:is>
      </x:c>
      <x:c r="C318" t="inlineStr">
        <x:is>
          <x:t xml:space="preserve">HR-D6-Q22-A1</x:t>
        </x:is>
      </x:c>
      <x:c r="D318" t="n">
        <x:v>1</x:v>
      </x:c>
      <x:c r="E318" t="inlineStr">
        <x:is>
          <x:t xml:space="preserve">No checklist; teams improvise each time.</x:t>
        </x:is>
      </x:c>
      <x:c r="F318" t="n">
        <x:v>0</x:v>
      </x:c>
      <x:c r="G318" t="inlineStr">
        <x:is>
          <x:t xml:space="preserve">control_lag</x:t>
        </x:is>
      </x:c>
      <x:c r="H318" t="inlineStr">
        <x:is>
          <x:t xml:space="preserve">Control Lag</x:t>
        </x:is>
      </x:c>
      <x:c r="I318" t="inlineStr">
        <x:is>
          <x:t xml:space="preserve">Create checklist</x:t>
        </x:is>
      </x:c>
      <x:c r="J318" t="inlineStr">
        <x:is>
          <x:t xml:space="preserve">N</x:t>
        </x:is>
      </x:c>
    </x:row>
    <x:row r="319">
      <x:c r="A319" t="inlineStr">
        <x:is>
          <x:t xml:space="preserve">HR</x:t>
        </x:is>
      </x:c>
      <x:c r="B319" t="inlineStr">
        <x:is>
          <x:t xml:space="preserve">HR-D6-Q22</x:t>
        </x:is>
      </x:c>
      <x:c r="C319" t="inlineStr">
        <x:is>
          <x:t xml:space="preserve">HR-D6-Q22-A2</x:t>
        </x:is>
      </x:c>
      <x:c r="D319" t="n">
        <x:v>2</x:v>
      </x:c>
      <x:c r="E319" t="inlineStr">
        <x:is>
          <x:t xml:space="preserve">Checklist exists but not used consistently.</x:t>
        </x:is>
      </x:c>
      <x:c r="F319" t="n">
        <x:v>1</x:v>
      </x:c>
      <x:c r="G319" t="inlineStr">
        <x:is>
          <x:t xml:space="preserve">paper_dragon_signal</x:t>
        </x:is>
      </x:c>
      <x:c r="H319" t="inlineStr">
        <x:is>
          <x:t xml:space="preserve">Paper Dragon</x:t>
        </x:is>
      </x:c>
      <x:c r="I319" t="inlineStr">
        <x:is>
          <x:t xml:space="preserve">Embed into change management</x:t>
        </x:is>
      </x:c>
      <x:c r="J319" t="inlineStr">
        <x:is>
          <x:t xml:space="preserve">N</x:t>
        </x:is>
      </x:c>
      <x:c r="K319" t="inlineStr">
        <x:is>
          <x:t xml:space="preserve">Evidence: checklist doc.</x:t>
        </x:is>
      </x:c>
    </x:row>
    <x:row r="320">
      <x:c r="A320" t="inlineStr">
        <x:is>
          <x:t xml:space="preserve">HR</x:t>
        </x:is>
      </x:c>
      <x:c r="B320" t="inlineStr">
        <x:is>
          <x:t xml:space="preserve">HR-D6-Q22</x:t>
        </x:is>
      </x:c>
      <x:c r="C320" t="inlineStr">
        <x:is>
          <x:t xml:space="preserve">HR-D6-Q22-A3</x:t>
        </x:is>
      </x:c>
      <x:c r="D320" t="n">
        <x:v>3</x:v>
      </x:c>
      <x:c r="E320" t="inlineStr">
        <x:is>
          <x:t xml:space="preserve">Used for major events, not smaller re-orgs.</x:t>
        </x:is>
      </x:c>
      <x:c r="F320" t="n">
        <x:v>2</x:v>
      </x:c>
      <x:c r="H320" t="inlineStr">
        <x:is>
          <x:t xml:space="preserve">Control Lag</x:t>
        </x:is>
      </x:c>
      <x:c r="I320" t="inlineStr">
        <x:is>
          <x:t xml:space="preserve">Expand scope and automate</x:t>
        </x:is>
      </x:c>
      <x:c r="J320" t="inlineStr">
        <x:is>
          <x:t xml:space="preserve">N</x:t>
        </x:is>
      </x:c>
    </x:row>
    <x:row r="321">
      <x:c r="A321" t="inlineStr">
        <x:is>
          <x:t xml:space="preserve">HR</x:t>
        </x:is>
      </x:c>
      <x:c r="B321" t="inlineStr">
        <x:is>
          <x:t xml:space="preserve">HR-D6-Q22</x:t>
        </x:is>
      </x:c>
      <x:c r="C321" t="inlineStr">
        <x:is>
          <x:t xml:space="preserve">HR-D6-Q22-A4</x:t>
        </x:is>
      </x:c>
      <x:c r="D321" t="n">
        <x:v>4</x:v>
      </x:c>
      <x:c r="E321" t="inlineStr">
        <x:is>
          <x:t xml:space="preserve">Used consistently; ownership clear; post-event review occurs.</x:t>
        </x:is>
      </x:c>
      <x:c r="F321" t="n">
        <x:v>3</x:v>
      </x:c>
      <x:c r="H321" t="inlineStr">
        <x:is>
          <x:t xml:space="preserve">Control Lag</x:t>
        </x:is>
      </x:c>
      <x:c r="I321" t="inlineStr">
        <x:is>
          <x:t xml:space="preserve">Maintain and improve</x:t>
        </x:is>
      </x:c>
      <x:c r="J321" t="inlineStr">
        <x:is>
          <x:t xml:space="preserve">N</x:t>
        </x:is>
      </x:c>
      <x:c r="K321" t="inlineStr">
        <x:is>
          <x:t xml:space="preserve">Evidence: post-event review notes.</x:t>
        </x:is>
      </x:c>
    </x:row>
    <x:row r="322">
      <x:c r="A322" t="inlineStr">
        <x:is>
          <x:t xml:space="preserve">HR</x:t>
        </x:is>
      </x:c>
      <x:c r="B322" t="inlineStr">
        <x:is>
          <x:t xml:space="preserve">HR-D6-Q22</x:t>
        </x:is>
      </x:c>
      <x:c r="C322" t="inlineStr">
        <x:is>
          <x:t xml:space="preserve">HR-D6-Q22-A5</x:t>
        </x:is>
      </x:c>
      <x:c r="D322" t="n">
        <x:v>5</x:v>
      </x:c>
      <x:c r="E322" t="inlineStr">
        <x:is>
          <x:t xml:space="preserve">Optimized: checklist integrated into workflows with measurable control-lag targets.</x:t>
        </x:is>
      </x:c>
      <x:c r="F322" t="n">
        <x:v>4</x:v>
      </x:c>
      <x:c r="H322" t="inlineStr">
        <x:is>
          <x:t xml:space="preserve">Control Lag</x:t>
        </x:is>
      </x:c>
      <x:c r="I322" t="inlineStr">
        <x:is>
          <x:t xml:space="preserve">Maintain maturity</x:t>
        </x:is>
      </x:c>
      <x:c r="J322" t="inlineStr">
        <x:is>
          <x:t xml:space="preserve">N</x:t>
        </x:is>
      </x:c>
      <x:c r="K322" t="inlineStr">
        <x:is>
          <x:t xml:space="preserve">Evidence: lag KPI.</x:t>
        </x:is>
      </x:c>
    </x:row>
    <x:row r="323">
      <x:c r="A323" t="inlineStr">
        <x:is>
          <x:t xml:space="preserve">HR</x:t>
        </x:is>
      </x:c>
      <x:c r="B323" t="inlineStr">
        <x:is>
          <x:t xml:space="preserve">HR-D7-Q23</x:t>
        </x:is>
      </x:c>
      <x:c r="C323" t="inlineStr">
        <x:is>
          <x:t xml:space="preserve">HR-D7-Q23-A0</x:t>
        </x:is>
      </x:c>
      <x:c r="D323" t="n">
        <x:v>1</x:v>
      </x:c>
      <x:c r="E323" t="inlineStr">
        <x:is>
          <x:t xml:space="preserve">I don't know / Not sure.</x:t>
        </x:is>
      </x:c>
      <x:c r="F323" t="n">
        <x:v>0</x:v>
      </x:c>
      <x:c r="G323" t="inlineStr">
        <x:is>
          <x:t xml:space="preserve">low-confidence</x:t>
        </x:is>
      </x:c>
      <x:c r="H323" t="inlineStr">
        <x:is>
          <x:t xml:space="preserve">Legal Exposure</x:t>
        </x:is>
      </x:c>
      <x:c r="I323" t="inlineStr">
        <x:is>
          <x:t xml:space="preserve">Clarify process</x:t>
        </x:is>
      </x:c>
      <x:c r="J323" t="inlineStr">
        <x:is>
          <x:t xml:space="preserve">N</x:t>
        </x:is>
      </x:c>
    </x:row>
    <x:row r="324">
      <x:c r="A324" t="inlineStr">
        <x:is>
          <x:t xml:space="preserve">HR</x:t>
        </x:is>
      </x:c>
      <x:c r="B324" t="inlineStr">
        <x:is>
          <x:t xml:space="preserve">HR-D7-Q23</x:t>
        </x:is>
      </x:c>
      <x:c r="C324" t="inlineStr">
        <x:is>
          <x:t xml:space="preserve">HR-D7-Q23-A1</x:t>
        </x:is>
      </x:c>
      <x:c r="D324" t="n">
        <x:v>2</x:v>
      </x:c>
      <x:c r="E324" t="inlineStr">
        <x:is>
          <x:t xml:space="preserve">No: handled ad-hoc; differs by team/manager.</x:t>
        </x:is>
      </x:c>
      <x:c r="F324" t="n">
        <x:v>0</x:v>
      </x:c>
      <x:c r="G324" t="inlineStr">
        <x:is>
          <x:t xml:space="preserve">legal_exposure</x:t>
        </x:is>
      </x:c>
      <x:c r="H324" t="inlineStr">
        <x:is>
          <x:t xml:space="preserve">Operating Model Gap</x:t>
        </x:is>
      </x:c>
      <x:c r="I324" t="inlineStr">
        <x:is>
          <x:t xml:space="preserve">Define investigation process</x:t>
        </x:is>
      </x:c>
      <x:c r="J324" t="inlineStr">
        <x:is>
          <x:t xml:space="preserve">N</x:t>
        </x:is>
      </x:c>
    </x:row>
    <x:row r="325">
      <x:c r="A325" t="inlineStr">
        <x:is>
          <x:t xml:space="preserve">HR</x:t>
        </x:is>
      </x:c>
      <x:c r="B325" t="inlineStr">
        <x:is>
          <x:t xml:space="preserve">HR-D7-Q23</x:t>
        </x:is>
      </x:c>
      <x:c r="C325" t="inlineStr">
        <x:is>
          <x:t xml:space="preserve">HR-D7-Q23-A2</x:t>
        </x:is>
      </x:c>
      <x:c r="D325" t="n">
        <x:v>3</x:v>
      </x:c>
      <x:c r="E325" t="inlineStr">
        <x:is>
          <x:t xml:space="preserve">Partial: HR handles most; Security/Legal involved only sometimes.</x:t>
        </x:is>
      </x:c>
      <x:c r="F325" t="n">
        <x:v>1</x:v>
      </x:c>
      <x:c r="G325" t="inlineStr">
        <x:is>
          <x:t xml:space="preserve">shadow_mature_signal</x:t>
        </x:is>
      </x:c>
      <x:c r="H325" t="inlineStr">
        <x:is>
          <x:t xml:space="preserve">Operating Model Gap</x:t>
        </x:is>
      </x:c>
      <x:c r="I325" t="inlineStr">
        <x:is>
          <x:t xml:space="preserve">Define escalation and roles</x:t>
        </x:is>
      </x:c>
      <x:c r="J325" t="inlineStr">
        <x:is>
          <x:t xml:space="preserve">N</x:t>
        </x:is>
      </x:c>
    </x:row>
    <x:row r="326">
      <x:c r="A326" t="inlineStr">
        <x:is>
          <x:t xml:space="preserve">HR</x:t>
        </x:is>
      </x:c>
      <x:c r="B326" t="inlineStr">
        <x:is>
          <x:t xml:space="preserve">HR-D7-Q23</x:t>
        </x:is>
      </x:c>
      <x:c r="C326" t="inlineStr">
        <x:is>
          <x:t xml:space="preserve">HR-D7-Q23-A3</x:t>
        </x:is>
      </x:c>
      <x:c r="D326" t="n">
        <x:v>4</x:v>
      </x:c>
      <x:c r="E326" t="inlineStr">
        <x:is>
          <x:t xml:space="preserve">Documented: process exists but adherence varies; outcomes inconsistently recorded.</x:t>
        </x:is>
      </x:c>
      <x:c r="F326" t="n">
        <x:v>2</x:v>
      </x:c>
      <x:c r="G326" t="inlineStr">
        <x:is>
          <x:t xml:space="preserve">paper_dragon_signal</x:t>
        </x:is>
      </x:c>
      <x:c r="H326" t="inlineStr">
        <x:is>
          <x:t xml:space="preserve">Paper Dragon</x:t>
        </x:is>
      </x:c>
      <x:c r="I326" t="inlineStr">
        <x:is>
          <x:t xml:space="preserve">Improve adherence and tracking</x:t>
        </x:is>
      </x:c>
      <x:c r="J326" t="inlineStr">
        <x:is>
          <x:t xml:space="preserve">N</x:t>
        </x:is>
      </x:c>
      <x:c r="K326" t="inlineStr">
        <x:is>
          <x:t xml:space="preserve">Evidence: process doc.</x:t>
        </x:is>
      </x:c>
    </x:row>
    <x:row r="327">
      <x:c r="A327" t="inlineStr">
        <x:is>
          <x:t xml:space="preserve">HR</x:t>
        </x:is>
      </x:c>
      <x:c r="B327" t="inlineStr">
        <x:is>
          <x:t xml:space="preserve">HR-D7-Q23</x:t>
        </x:is>
      </x:c>
      <x:c r="C327" t="inlineStr">
        <x:is>
          <x:t xml:space="preserve">HR-D7-Q23-A4</x:t>
        </x:is>
      </x:c>
      <x:c r="D327" t="n">
        <x:v>5</x:v>
      </x:c>
      <x:c r="E327" t="inlineStr">
        <x:is>
          <x:t xml:space="preserve">Managed: consistently followed with privacy/legal checkpoints.</x:t>
        </x:is>
      </x:c>
      <x:c r="F327" t="n">
        <x:v>3</x:v>
      </x:c>
      <x:c r="H327" t="inlineStr">
        <x:is>
          <x:t xml:space="preserve">Legal Exposure</x:t>
        </x:is>
      </x:c>
      <x:c r="I327" t="inlineStr">
        <x:is>
          <x:t xml:space="preserve">Maintain and audit</x:t>
        </x:is>
      </x:c>
      <x:c r="J327" t="inlineStr">
        <x:is>
          <x:t xml:space="preserve">N</x:t>
        </x:is>
      </x:c>
      <x:c r="K327" t="inlineStr">
        <x:is>
          <x:t xml:space="preserve">Evidence: redacted checklist.</x:t>
        </x:is>
      </x:c>
    </x:row>
    <x:row r="328">
      <x:c r="A328" t="inlineStr">
        <x:is>
          <x:t xml:space="preserve">HR</x:t>
        </x:is>
      </x:c>
      <x:c r="B328" t="inlineStr">
        <x:is>
          <x:t xml:space="preserve">HR-D7-Q23</x:t>
        </x:is>
      </x:c>
      <x:c r="C328" t="inlineStr">
        <x:is>
          <x:t xml:space="preserve">HR-D7-Q23-A5</x:t>
        </x:is>
      </x:c>
      <x:c r="D328" t="n">
        <x:v>6</x:v>
      </x:c>
      <x:c r="E328" t="inlineStr">
        <x:is>
          <x:t xml:space="preserve">Optimized: audited; staff trained; lessons learned feed improvements.</x:t>
        </x:is>
      </x:c>
      <x:c r="F328" t="n">
        <x:v>4</x:v>
      </x:c>
      <x:c r="H328" t="inlineStr">
        <x:is>
          <x:t xml:space="preserve">Legal Exposure</x:t>
        </x:is>
      </x:c>
      <x:c r="I328" t="inlineStr">
        <x:is>
          <x:t xml:space="preserve">Continuous improvement</x:t>
        </x:is>
      </x:c>
      <x:c r="J328" t="inlineStr">
        <x:is>
          <x:t xml:space="preserve">N</x:t>
        </x:is>
      </x:c>
      <x:c r="K328" t="inlineStr">
        <x:is>
          <x:t xml:space="preserve">Evidence: audit/exercise outputs.</x:t>
        </x:is>
      </x:c>
    </x:row>
    <x:row r="329">
      <x:c r="A329" t="inlineStr">
        <x:is>
          <x:t xml:space="preserve">HR</x:t>
        </x:is>
      </x:c>
      <x:c r="B329" t="inlineStr">
        <x:is>
          <x:t xml:space="preserve">HR-D7-Q24</x:t>
        </x:is>
      </x:c>
      <x:c r="C329" t="inlineStr">
        <x:is>
          <x:t xml:space="preserve">HR-D7-Q24-A1</x:t>
        </x:is>
      </x:c>
      <x:c r="D329" t="n">
        <x:v>1</x:v>
      </x:c>
      <x:c r="E329" t="inlineStr">
        <x:is>
          <x:t xml:space="preserve">Decisions informal; confidentiality not clearly managed.</x:t>
        </x:is>
      </x:c>
      <x:c r="F329" t="n">
        <x:v>0</x:v>
      </x:c>
      <x:c r="G329" t="inlineStr">
        <x:is>
          <x:t xml:space="preserve">legal_exposure</x:t>
        </x:is>
      </x:c>
      <x:c r="H329" t="inlineStr">
        <x:is>
          <x:t xml:space="preserve">Legal Exposure</x:t>
        </x:is>
      </x:c>
      <x:c r="I329" t="inlineStr">
        <x:is>
          <x:t xml:space="preserve">Introduce approvals and boundaries</x:t>
        </x:is>
      </x:c>
      <x:c r="J329" t="inlineStr">
        <x:is>
          <x:t xml:space="preserve">N</x:t>
        </x:is>
      </x:c>
    </x:row>
    <x:row r="330">
      <x:c r="A330" t="inlineStr">
        <x:is>
          <x:t xml:space="preserve">HR</x:t>
        </x:is>
      </x:c>
      <x:c r="B330" t="inlineStr">
        <x:is>
          <x:t xml:space="preserve">HR-D7-Q24</x:t>
        </x:is>
      </x:c>
      <x:c r="C330" t="inlineStr">
        <x:is>
          <x:t xml:space="preserve">HR-D7-Q24-A2</x:t>
        </x:is>
      </x:c>
      <x:c r="D330" t="n">
        <x:v>2</x:v>
      </x:c>
      <x:c r="E330" t="inlineStr">
        <x:is>
          <x:t xml:space="preserve">HR decides; documentation limited.</x:t>
        </x:is>
      </x:c>
      <x:c r="F330" t="n">
        <x:v>1</x:v>
      </x:c>
      <x:c r="G330" t="inlineStr">
        <x:is>
          <x:t xml:space="preserve">paper_dragon_signal</x:t>
        </x:is>
      </x:c>
      <x:c r="H330" t="inlineStr">
        <x:is>
          <x:t xml:space="preserve">Paper Dragon</x:t>
        </x:is>
      </x:c>
      <x:c r="I330" t="inlineStr">
        <x:is>
          <x:t xml:space="preserve">Strengthen documentation</x:t>
        </x:is>
      </x:c>
      <x:c r="J330" t="inlineStr">
        <x:is>
          <x:t xml:space="preserve">N</x:t>
        </x:is>
      </x:c>
    </x:row>
    <x:row r="331">
      <x:c r="A331" t="inlineStr">
        <x:is>
          <x:t xml:space="preserve">HR</x:t>
        </x:is>
      </x:c>
      <x:c r="B331" t="inlineStr">
        <x:is>
          <x:t xml:space="preserve">HR-D7-Q24</x:t>
        </x:is>
      </x:c>
      <x:c r="C331" t="inlineStr">
        <x:is>
          <x:t xml:space="preserve">HR-D7-Q24-A3</x:t>
        </x:is>
      </x:c>
      <x:c r="D331" t="n">
        <x:v>3</x:v>
      </x:c>
      <x:c r="E331" t="inlineStr">
        <x:is>
          <x:t xml:space="preserve">HR and Legal decide; Security inputs; decisions documented sometimes.</x:t>
        </x:is>
      </x:c>
      <x:c r="F331" t="n">
        <x:v>2</x:v>
      </x:c>
      <x:c r="H331" t="inlineStr">
        <x:is>
          <x:t xml:space="preserve">Legal Exposure</x:t>
        </x:is>
      </x:c>
      <x:c r="I331" t="inlineStr">
        <x:is>
          <x:t xml:space="preserve">Standardize approvals</x:t>
        </x:is>
      </x:c>
      <x:c r="J331" t="inlineStr">
        <x:is>
          <x:t xml:space="preserve">N</x:t>
        </x:is>
      </x:c>
    </x:row>
    <x:row r="332">
      <x:c r="A332" t="inlineStr">
        <x:is>
          <x:t xml:space="preserve">HR</x:t>
        </x:is>
      </x:c>
      <x:c r="B332" t="inlineStr">
        <x:is>
          <x:t xml:space="preserve">HR-D7-Q24</x:t>
        </x:is>
      </x:c>
      <x:c r="C332" t="inlineStr">
        <x:is>
          <x:t xml:space="preserve">HR-D7-Q24-A4</x:t>
        </x:is>
      </x:c>
      <x:c r="D332" t="n">
        <x:v>4</x:v>
      </x:c>
      <x:c r="E332" t="inlineStr">
        <x:is>
          <x:t xml:space="preserve">Clear approvals and confidentiality rules exist, even if workflow informal.</x:t>
        </x:is>
      </x:c>
      <x:c r="F332" t="n">
        <x:v>3</x:v>
      </x:c>
      <x:c r="G332" t="inlineStr">
        <x:is>
          <x:t xml:space="preserve">shadow_mature_signal</x:t>
        </x:is>
      </x:c>
      <x:c r="H332" t="inlineStr">
        <x:is>
          <x:t xml:space="preserve">Legal Exposure</x:t>
        </x:is>
      </x:c>
      <x:c r="I332" t="inlineStr">
        <x:is>
          <x:t xml:space="preserve">Formalize workflow</x:t>
        </x:is>
      </x:c>
      <x:c r="J332" t="inlineStr">
        <x:is>
          <x:t xml:space="preserve">N</x:t>
        </x:is>
      </x:c>
      <x:c r="K332" t="inlineStr">
        <x:is>
          <x:t xml:space="preserve">Evidence: approval checklist.</x:t>
        </x:is>
      </x:c>
    </x:row>
    <x:row r="333">
      <x:c r="A333" t="inlineStr">
        <x:is>
          <x:t xml:space="preserve">HR</x:t>
        </x:is>
      </x:c>
      <x:c r="B333" t="inlineStr">
        <x:is>
          <x:t xml:space="preserve">HR-D7-Q25</x:t>
        </x:is>
      </x:c>
      <x:c r="C333" t="inlineStr">
        <x:is>
          <x:t xml:space="preserve">HR-D7-Q25-A1</x:t>
        </x:is>
      </x:c>
      <x:c r="D333" t="n">
        <x:v>1</x:v>
      </x:c>
      <x:c r="E333" t="inlineStr">
        <x:is>
          <x:t xml:space="preserve">No recourse; decisions are final.</x:t>
        </x:is>
      </x:c>
      <x:c r="F333" t="n">
        <x:v>0</x:v>
      </x:c>
      <x:c r="G333" t="inlineStr">
        <x:is>
          <x:t xml:space="preserve">toxic_enforcer_signal</x:t>
        </x:is>
      </x:c>
      <x:c r="H333" t="inlineStr">
        <x:is>
          <x:t xml:space="preserve">Toxic Enforcer</x:t>
        </x:is>
      </x:c>
      <x:c r="I333" t="inlineStr">
        <x:is>
          <x:t xml:space="preserve">Implement appeal route</x:t>
        </x:is>
      </x:c>
      <x:c r="J333" t="inlineStr">
        <x:is>
          <x:t xml:space="preserve">N</x:t>
        </x:is>
      </x:c>
    </x:row>
    <x:row r="334">
      <x:c r="A334" t="inlineStr">
        <x:is>
          <x:t xml:space="preserve">HR</x:t>
        </x:is>
      </x:c>
      <x:c r="B334" t="inlineStr">
        <x:is>
          <x:t xml:space="preserve">HR-D7-Q25</x:t>
        </x:is>
      </x:c>
      <x:c r="C334" t="inlineStr">
        <x:is>
          <x:t xml:space="preserve">HR-D7-Q25-A2</x:t>
        </x:is>
      </x:c>
      <x:c r="D334" t="n">
        <x:v>2</x:v>
      </x:c>
      <x:c r="E334" t="inlineStr">
        <x:is>
          <x:t xml:space="preserve">Informal: complain to a manager; outcomes vary.</x:t>
        </x:is>
      </x:c>
      <x:c r="F334" t="n">
        <x:v>1</x:v>
      </x:c>
      <x:c r="G334" t="inlineStr">
        <x:is>
          <x:t xml:space="preserve">culture_risk</x:t>
        </x:is>
      </x:c>
      <x:c r="H334" t="inlineStr">
        <x:is>
          <x:t xml:space="preserve">Culture Risk</x:t>
        </x:is>
      </x:c>
      <x:c r="I334" t="inlineStr">
        <x:is>
          <x:t xml:space="preserve">Create consistent review</x:t>
        </x:is>
      </x:c>
      <x:c r="J334" t="inlineStr">
        <x:is>
          <x:t xml:space="preserve">N</x:t>
        </x:is>
      </x:c>
    </x:row>
    <x:row r="335">
      <x:c r="A335" t="inlineStr">
        <x:is>
          <x:t xml:space="preserve">HR</x:t>
        </x:is>
      </x:c>
      <x:c r="B335" t="inlineStr">
        <x:is>
          <x:t xml:space="preserve">HR-D7-Q25</x:t>
        </x:is>
      </x:c>
      <x:c r="C335" t="inlineStr">
        <x:is>
          <x:t xml:space="preserve">HR-D7-Q25-A3</x:t>
        </x:is>
      </x:c>
      <x:c r="D335" t="n">
        <x:v>3</x:v>
      </x:c>
      <x:c r="E335" t="inlineStr">
        <x:is>
          <x:t xml:space="preserve">General grievance process exists, but not tailored to monitoring/investigations.</x:t>
        </x:is>
      </x:c>
      <x:c r="F335" t="n">
        <x:v>2</x:v>
      </x:c>
      <x:c r="H335" t="inlineStr">
        <x:is>
          <x:t xml:space="preserve">Culture Risk</x:t>
        </x:is>
      </x:c>
      <x:c r="I335" t="inlineStr">
        <x:is>
          <x:t xml:space="preserve">Define independent review</x:t>
        </x:is>
      </x:c>
      <x:c r="J335" t="inlineStr">
        <x:is>
          <x:t xml:space="preserve">N</x:t>
        </x:is>
      </x:c>
      <x:c r="K335" t="inlineStr">
        <x:is>
          <x:t xml:space="preserve">Evidence: grievance process.</x:t>
        </x:is>
      </x:c>
    </x:row>
    <x:row r="336">
      <x:c r="A336" t="inlineStr">
        <x:is>
          <x:t xml:space="preserve">HR</x:t>
        </x:is>
      </x:c>
      <x:c r="B336" t="inlineStr">
        <x:is>
          <x:t xml:space="preserve">HR-D7-Q25</x:t>
        </x:is>
      </x:c>
      <x:c r="C336" t="inlineStr">
        <x:is>
          <x:t xml:space="preserve">HR-D7-Q25-A4</x:t>
        </x:is>
      </x:c>
      <x:c r="D336" t="n">
        <x:v>4</x:v>
      </x:c>
      <x:c r="E336" t="inlineStr">
        <x:is>
          <x:t xml:space="preserve">Independent check exists (privacy/ombuds) for sensitive cases.</x:t>
        </x:is>
      </x:c>
      <x:c r="F336" t="n">
        <x:v>3</x:v>
      </x:c>
      <x:c r="H336" t="inlineStr">
        <x:is>
          <x:t xml:space="preserve">Culture Risk</x:t>
        </x:is>
      </x:c>
      <x:c r="I336" t="inlineStr">
        <x:is>
          <x:t xml:space="preserve">Maintain oversight</x:t>
        </x:is>
      </x:c>
      <x:c r="J336" t="inlineStr">
        <x:is>
          <x:t xml:space="preserve">N</x:t>
        </x:is>
      </x:c>
      <x:c r="K336" t="inlineStr">
        <x:is>
          <x:t xml:space="preserve">Evidence: review workflow.</x:t>
        </x:is>
      </x:c>
    </x:row>
    <x:row r="337">
      <x:c r="A337" t="inlineStr">
        <x:is>
          <x:t xml:space="preserve">HR</x:t>
        </x:is>
      </x:c>
      <x:c r="B337" t="inlineStr">
        <x:is>
          <x:t xml:space="preserve">HR-D7-Q25</x:t>
        </x:is>
      </x:c>
      <x:c r="C337" t="inlineStr">
        <x:is>
          <x:t xml:space="preserve">HR-D7-Q25-A5</x:t>
        </x:is>
      </x:c>
      <x:c r="D337" t="n">
        <x:v>5</x:v>
      </x:c>
      <x:c r="E337" t="inlineStr">
        <x:is>
          <x:t xml:space="preserve">Transparent, multi-function review with audit trail and feedback loops.</x:t>
        </x:is>
      </x:c>
      <x:c r="F337" t="n">
        <x:v>4</x:v>
      </x:c>
      <x:c r="H337" t="inlineStr">
        <x:is>
          <x:t xml:space="preserve">Culture Risk</x:t>
        </x:is>
      </x:c>
      <x:c r="I337" t="inlineStr">
        <x:is>
          <x:t xml:space="preserve">Maintain maturity</x:t>
        </x:is>
      </x:c>
      <x:c r="J337" t="inlineStr">
        <x:is>
          <x:t xml:space="preserve">N</x:t>
        </x:is>
      </x:c>
      <x:c r="K337" t="inlineStr">
        <x:is>
          <x:t xml:space="preserve">Evidence: audit trail sample.</x:t>
        </x:is>
      </x:c>
    </x:row>
    <x:row r="338">
      <x:c r="A338" t="inlineStr">
        <x:is>
          <x:t xml:space="preserve">HR</x:t>
        </x:is>
      </x:c>
      <x:c r="B338" t="inlineStr">
        <x:is>
          <x:t xml:space="preserve">HR-D7-Q26</x:t>
        </x:is>
      </x:c>
      <x:c r="C338" t="inlineStr">
        <x:is>
          <x:t xml:space="preserve">HR-D7-Q26-A1</x:t>
        </x:is>
      </x:c>
      <x:c r="D338" t="n">
        <x:v>1</x:v>
      </x:c>
      <x:c r="E338" t="inlineStr">
        <x:is>
          <x:t xml:space="preserve">No: cases close with no learning loop.</x:t>
        </x:is>
      </x:c>
      <x:c r="F338" t="n">
        <x:v>0</x:v>
      </x:c>
      <x:c r="G338" t="inlineStr">
        <x:is>
          <x:t xml:space="preserve">paper_dragon_signal</x:t>
        </x:is>
      </x:c>
      <x:c r="H338" t="inlineStr">
        <x:is>
          <x:t xml:space="preserve">Paper Dragon</x:t>
        </x:is>
      </x:c>
      <x:c r="I338" t="inlineStr">
        <x:is>
          <x:t xml:space="preserve">Create lessons-learned process</x:t>
        </x:is>
      </x:c>
      <x:c r="J338" t="inlineStr">
        <x:is>
          <x:t xml:space="preserve">N</x:t>
        </x:is>
      </x:c>
    </x:row>
    <x:row r="339">
      <x:c r="A339" t="inlineStr">
        <x:is>
          <x:t xml:space="preserve">HR</x:t>
        </x:is>
      </x:c>
      <x:c r="B339" t="inlineStr">
        <x:is>
          <x:t xml:space="preserve">HR-D7-Q26</x:t>
        </x:is>
      </x:c>
      <x:c r="C339" t="inlineStr">
        <x:is>
          <x:t xml:space="preserve">HR-D7-Q26-A2</x:t>
        </x:is>
      </x:c>
      <x:c r="D339" t="n">
        <x:v>2</x:v>
      </x:c>
      <x:c r="E339" t="inlineStr">
        <x:is>
          <x:t xml:space="preserve">Sometimes: lessons discussed informally.</x:t>
        </x:is>
      </x:c>
      <x:c r="F339" t="n">
        <x:v>1</x:v>
      </x:c>
      <x:c r="G339" t="inlineStr">
        <x:is>
          <x:t xml:space="preserve">shadow_mature_signal</x:t>
        </x:is>
      </x:c>
      <x:c r="H339" t="inlineStr">
        <x:is>
          <x:t xml:space="preserve">Operating Model Gap</x:t>
        </x:is>
      </x:c>
      <x:c r="I339" t="inlineStr">
        <x:is>
          <x:t xml:space="preserve">Document and assign actions</x:t>
        </x:is>
      </x:c>
      <x:c r="J339" t="inlineStr">
        <x:is>
          <x:t xml:space="preserve">N</x:t>
        </x:is>
      </x:c>
    </x:row>
    <x:row r="340">
      <x:c r="A340" t="inlineStr">
        <x:is>
          <x:t xml:space="preserve">HR</x:t>
        </x:is>
      </x:c>
      <x:c r="B340" t="inlineStr">
        <x:is>
          <x:t xml:space="preserve">HR-D7-Q26</x:t>
        </x:is>
      </x:c>
      <x:c r="C340" t="inlineStr">
        <x:is>
          <x:t xml:space="preserve">HR-D7-Q26-A3</x:t>
        </x:is>
      </x:c>
      <x:c r="D340" t="n">
        <x:v>3</x:v>
      </x:c>
      <x:c r="E340" t="inlineStr">
        <x:is>
          <x:t xml:space="preserve">Defined: post-case review exists but actions not tracked to completion.</x:t>
        </x:is>
      </x:c>
      <x:c r="F340" t="n">
        <x:v>2</x:v>
      </x:c>
      <x:c r="H340" t="inlineStr">
        <x:is>
          <x:t xml:space="preserve">Operating Model Gap</x:t>
        </x:is>
      </x:c>
      <x:c r="I340" t="inlineStr">
        <x:is>
          <x:t xml:space="preserve">Track action completion</x:t>
        </x:is>
      </x:c>
      <x:c r="J340" t="inlineStr">
        <x:is>
          <x:t xml:space="preserve">N</x:t>
        </x:is>
      </x:c>
      <x:c r="K340" t="inlineStr">
        <x:is>
          <x:t xml:space="preserve">Evidence: action log.</x:t>
        </x:is>
      </x:c>
    </x:row>
    <x:row r="341">
      <x:c r="A341" t="inlineStr">
        <x:is>
          <x:t xml:space="preserve">HR</x:t>
        </x:is>
      </x:c>
      <x:c r="B341" t="inlineStr">
        <x:is>
          <x:t xml:space="preserve">HR-D7-Q26</x:t>
        </x:is>
      </x:c>
      <x:c r="C341" t="inlineStr">
        <x:is>
          <x:t xml:space="preserve">HR-D7-Q26-A4</x:t>
        </x:is>
      </x:c>
      <x:c r="D341" t="n">
        <x:v>4</x:v>
      </x:c>
      <x:c r="E341" t="inlineStr">
        <x:is>
          <x:t xml:space="preserve">Managed: improvements tracked and communicated; repeat issues reduce.</x:t>
        </x:is>
      </x:c>
      <x:c r="F341" t="n">
        <x:v>3</x:v>
      </x:c>
      <x:c r="H341" t="inlineStr">
        <x:is>
          <x:t xml:space="preserve">Operating Model Gap</x:t>
        </x:is>
      </x:c>
      <x:c r="I341" t="inlineStr">
        <x:is>
          <x:t xml:space="preserve">Maintain metrics</x:t>
        </x:is>
      </x:c>
      <x:c r="J341" t="inlineStr">
        <x:is>
          <x:t xml:space="preserve">N</x:t>
        </x:is>
      </x:c>
      <x:c r="K341" t="inlineStr">
        <x:is>
          <x:t xml:space="preserve">Evidence: before/after examples.</x:t>
        </x:is>
      </x:c>
    </x:row>
    <x:row r="342">
      <x:c r="A342" t="inlineStr">
        <x:is>
          <x:t xml:space="preserve">HR</x:t>
        </x:is>
      </x:c>
      <x:c r="B342" t="inlineStr">
        <x:is>
          <x:t xml:space="preserve">HR-D7-Q26</x:t>
        </x:is>
      </x:c>
      <x:c r="C342" t="inlineStr">
        <x:is>
          <x:t xml:space="preserve">HR-D7-Q26-A5</x:t>
        </x:is>
      </x:c>
      <x:c r="D342" t="n">
        <x:v>5</x:v>
      </x:c>
      <x:c r="E342" t="inlineStr">
        <x:is>
          <x:t xml:space="preserve">Optimized: continuous improvement; trust and outcomes both measured.</x:t>
        </x:is>
      </x:c>
      <x:c r="F342" t="n">
        <x:v>4</x:v>
      </x:c>
      <x:c r="H342" t="inlineStr">
        <x:is>
          <x:t xml:space="preserve">Culture Risk</x:t>
        </x:is>
      </x:c>
      <x:c r="I342" t="inlineStr">
        <x:is>
          <x:t xml:space="preserve">Maintain maturity</x:t>
        </x:is>
      </x:c>
      <x:c r="J342" t="inlineStr">
        <x:is>
          <x:t xml:space="preserve">N</x:t>
        </x:is>
      </x:c>
      <x:c r="K342" t="inlineStr">
        <x:is>
          <x:t xml:space="preserve">Evidence: KPIs + survey trends.</x:t>
        </x:is>
      </x:c>
    </x:row>
    <x:row r="343">
      <x:c r="A343" t="inlineStr">
        <x:is>
          <x:t xml:space="preserve">HR</x:t>
        </x:is>
      </x:c>
      <x:c r="B343" t="inlineStr">
        <x:is>
          <x:t xml:space="preserve">HR-D8-Q27</x:t>
        </x:is>
      </x:c>
      <x:c r="C343" t="inlineStr">
        <x:is>
          <x:t xml:space="preserve">HR-D8-Q27-A0</x:t>
        </x:is>
      </x:c>
      <x:c r="D343" t="n">
        <x:v>1</x:v>
      </x:c>
      <x:c r="E343" t="inlineStr">
        <x:is>
          <x:t xml:space="preserve">I don't know / Not sure.</x:t>
        </x:is>
      </x:c>
      <x:c r="F343" t="n">
        <x:v>0</x:v>
      </x:c>
      <x:c r="G343" t="inlineStr">
        <x:is>
          <x:t xml:space="preserve">low-confidence</x:t>
        </x:is>
      </x:c>
      <x:c r="H343" t="inlineStr">
        <x:is>
          <x:t xml:space="preserve">Operating Model Gap</x:t>
        </x:is>
      </x:c>
      <x:c r="I343" t="inlineStr">
        <x:is>
          <x:t xml:space="preserve">Clarify reporting</x:t>
        </x:is>
      </x:c>
      <x:c r="J343" t="inlineStr">
        <x:is>
          <x:t xml:space="preserve">N</x:t>
        </x:is>
      </x:c>
    </x:row>
    <x:row r="344">
      <x:c r="A344" t="inlineStr">
        <x:is>
          <x:t xml:space="preserve">HR</x:t>
        </x:is>
      </x:c>
      <x:c r="B344" t="inlineStr">
        <x:is>
          <x:t xml:space="preserve">HR-D8-Q27</x:t>
        </x:is>
      </x:c>
      <x:c r="C344" t="inlineStr">
        <x:is>
          <x:t xml:space="preserve">HR-D8-Q27-A1</x:t>
        </x:is>
      </x:c>
      <x:c r="D344" t="n">
        <x:v>2</x:v>
      </x:c>
      <x:c r="E344" t="inlineStr">
        <x:is>
          <x:t xml:space="preserve">None: HR does not report on these topics.</x:t>
        </x:is>
      </x:c>
      <x:c r="F344" t="n">
        <x:v>0</x:v>
      </x:c>
      <x:c r="G344" t="inlineStr">
        <x:is>
          <x:t xml:space="preserve">paper_dragon_signal</x:t>
        </x:is>
      </x:c>
      <x:c r="H344" t="inlineStr">
        <x:is>
          <x:t xml:space="preserve">Paper Dragon</x:t>
        </x:is>
      </x:c>
      <x:c r="I344" t="inlineStr">
        <x:is>
          <x:t xml:space="preserve">Introduce leadership reporting</x:t>
        </x:is>
      </x:c>
      <x:c r="J344" t="inlineStr">
        <x:is>
          <x:t xml:space="preserve">N</x:t>
        </x:is>
      </x:c>
    </x:row>
    <x:row r="345">
      <x:c r="A345" t="inlineStr">
        <x:is>
          <x:t xml:space="preserve">HR</x:t>
        </x:is>
      </x:c>
      <x:c r="B345" t="inlineStr">
        <x:is>
          <x:t xml:space="preserve">HR-D8-Q27</x:t>
        </x:is>
      </x:c>
      <x:c r="C345" t="inlineStr">
        <x:is>
          <x:t xml:space="preserve">HR-D8-Q27-A2</x:t>
        </x:is>
      </x:c>
      <x:c r="D345" t="n">
        <x:v>3</x:v>
      </x:c>
      <x:c r="E345" t="inlineStr">
        <x:is>
          <x:t xml:space="preserve">Ad-hoc: only after incidents or external pressure.</x:t>
        </x:is>
      </x:c>
      <x:c r="F345" t="n">
        <x:v>1</x:v>
      </x:c>
      <x:c r="G345" t="inlineStr">
        <x:is>
          <x:t xml:space="preserve">control_lag</x:t>
        </x:is>
      </x:c>
      <x:c r="H345" t="inlineStr">
        <x:is>
          <x:t xml:space="preserve">Control Lag</x:t>
        </x:is>
      </x:c>
      <x:c r="I345" t="inlineStr">
        <x:is>
          <x:t xml:space="preserve">Create regular cadence</x:t>
        </x:is>
      </x:c>
      <x:c r="J345" t="inlineStr">
        <x:is>
          <x:t xml:space="preserve">N</x:t>
        </x:is>
      </x:c>
    </x:row>
    <x:row r="346">
      <x:c r="A346" t="inlineStr">
        <x:is>
          <x:t xml:space="preserve">HR</x:t>
        </x:is>
      </x:c>
      <x:c r="B346" t="inlineStr">
        <x:is>
          <x:t xml:space="preserve">HR-D8-Q27</x:t>
        </x:is>
      </x:c>
      <x:c r="C346" t="inlineStr">
        <x:is>
          <x:t xml:space="preserve">HR-D8-Q27-A3</x:t>
        </x:is>
      </x:c>
      <x:c r="D346" t="n">
        <x:v>4</x:v>
      </x:c>
      <x:c r="E346" t="inlineStr">
        <x:is>
          <x:t xml:space="preserve">Basic: occasional updates on policy/training; limited on culture/themes.</x:t>
        </x:is>
      </x:c>
      <x:c r="F346" t="n">
        <x:v>2</x:v>
      </x:c>
      <x:c r="H346" t="inlineStr">
        <x:is>
          <x:t xml:space="preserve">Operating Model Gap</x:t>
        </x:is>
      </x:c>
      <x:c r="I346" t="inlineStr">
        <x:is>
          <x:t xml:space="preserve">Expand to themes + actions</x:t>
        </x:is>
      </x:c>
      <x:c r="J346" t="inlineStr">
        <x:is>
          <x:t xml:space="preserve">N</x:t>
        </x:is>
      </x:c>
      <x:c r="K346" t="inlineStr">
        <x:is>
          <x:t xml:space="preserve">Evidence: slide pack example.</x:t>
        </x:is>
      </x:c>
    </x:row>
    <x:row r="347">
      <x:c r="A347" t="inlineStr">
        <x:is>
          <x:t xml:space="preserve">HR</x:t>
        </x:is>
      </x:c>
      <x:c r="B347" t="inlineStr">
        <x:is>
          <x:t xml:space="preserve">HR-D8-Q27</x:t>
        </x:is>
      </x:c>
      <x:c r="C347" t="inlineStr">
        <x:is>
          <x:t xml:space="preserve">HR-D8-Q27-A4</x:t>
        </x:is>
      </x:c>
      <x:c r="D347" t="n">
        <x:v>5</x:v>
      </x:c>
      <x:c r="E347" t="inlineStr">
        <x:is>
          <x:t xml:space="preserve">Managed: quarterly dashboards covering culture, retaliation, and improvement actions.</x:t>
        </x:is>
      </x:c>
      <x:c r="F347" t="n">
        <x:v>3</x:v>
      </x:c>
      <x:c r="H347" t="inlineStr">
        <x:is>
          <x:t xml:space="preserve">Operating Model Gap</x:t>
        </x:is>
      </x:c>
      <x:c r="I347" t="inlineStr">
        <x:is>
          <x:t xml:space="preserve">Maintain and improve</x:t>
        </x:is>
      </x:c>
      <x:c r="J347" t="inlineStr">
        <x:is>
          <x:t xml:space="preserve">N</x:t>
        </x:is>
      </x:c>
      <x:c r="K347" t="inlineStr">
        <x:is>
          <x:t xml:space="preserve">Evidence: KPI dashboard.</x:t>
        </x:is>
      </x:c>
    </x:row>
    <x:row r="348">
      <x:c r="A348" t="inlineStr">
        <x:is>
          <x:t xml:space="preserve">HR</x:t>
        </x:is>
      </x:c>
      <x:c r="B348" t="inlineStr">
        <x:is>
          <x:t xml:space="preserve">HR-D8-Q27</x:t>
        </x:is>
      </x:c>
      <x:c r="C348" t="inlineStr">
        <x:is>
          <x:t xml:space="preserve">HR-D8-Q27-A5</x:t>
        </x:is>
      </x:c>
      <x:c r="D348" t="n">
        <x:v>6</x:v>
      </x:c>
      <x:c r="E348" t="inlineStr">
        <x:is>
          <x:t xml:space="preserve">Optimized: trends + leading indicators tracked and linked to outcomes.</x:t>
        </x:is>
      </x:c>
      <x:c r="F348" t="n">
        <x:v>4</x:v>
      </x:c>
      <x:c r="H348" t="inlineStr">
        <x:is>
          <x:t xml:space="preserve">Culture Risk</x:t>
        </x:is>
      </x:c>
      <x:c r="I348" t="inlineStr">
        <x:is>
          <x:t xml:space="preserve">Maintain maturity</x:t>
        </x:is>
      </x:c>
      <x:c r="J348" t="inlineStr">
        <x:is>
          <x:t xml:space="preserve">N</x:t>
        </x:is>
      </x:c>
      <x:c r="K348" t="inlineStr">
        <x:is>
          <x:t xml:space="preserve">Evidence: trend charts + outcomes.</x:t>
        </x:is>
      </x:c>
    </x:row>
    <x:row r="349">
      <x:c r="A349" t="inlineStr">
        <x:is>
          <x:t xml:space="preserve">HR</x:t>
        </x:is>
      </x:c>
      <x:c r="B349" t="inlineStr">
        <x:is>
          <x:t xml:space="preserve">HR-D8-Q28</x:t>
        </x:is>
      </x:c>
      <x:c r="C349" t="inlineStr">
        <x:is>
          <x:t xml:space="preserve">HR-D8-Q28-A1</x:t>
        </x:is>
      </x:c>
      <x:c r="D349" t="n">
        <x:v>1</x:v>
      </x:c>
      <x:c r="E349" t="inlineStr">
        <x:is>
          <x:t xml:space="preserve">No: only serious cases or formal complaints are tracked.</x:t>
        </x:is>
      </x:c>
      <x:c r="F349" t="n">
        <x:v>0</x:v>
      </x:c>
      <x:c r="G349" t="inlineStr">
        <x:is>
          <x:t xml:space="preserve">paper_dragon_signal</x:t>
        </x:is>
      </x:c>
      <x:c r="H349" t="inlineStr">
        <x:is>
          <x:t xml:space="preserve">Paper Dragon</x:t>
        </x:is>
      </x:c>
      <x:c r="I349" t="inlineStr">
        <x:is>
          <x:t xml:space="preserve">Add near-miss learning loop</x:t>
        </x:is>
      </x:c>
      <x:c r="J349" t="inlineStr">
        <x:is>
          <x:t xml:space="preserve">N</x:t>
        </x:is>
      </x:c>
    </x:row>
    <x:row r="350">
      <x:c r="A350" t="inlineStr">
        <x:is>
          <x:t xml:space="preserve">HR</x:t>
        </x:is>
      </x:c>
      <x:c r="B350" t="inlineStr">
        <x:is>
          <x:t xml:space="preserve">HR-D8-Q28</x:t>
        </x:is>
      </x:c>
      <x:c r="C350" t="inlineStr">
        <x:is>
          <x:t xml:space="preserve">HR-D8-Q28-A2</x:t>
        </x:is>
      </x:c>
      <x:c r="D350" t="n">
        <x:v>2</x:v>
      </x:c>
      <x:c r="E350" t="inlineStr">
        <x:is>
          <x:t xml:space="preserve">Informal: talked about, but nothing tracked.</x:t>
        </x:is>
      </x:c>
      <x:c r="F350" t="n">
        <x:v>1</x:v>
      </x:c>
      <x:c r="G350" t="inlineStr">
        <x:is>
          <x:t xml:space="preserve">shadow_mature_signal</x:t>
        </x:is>
      </x:c>
      <x:c r="H350" t="inlineStr">
        <x:is>
          <x:t xml:space="preserve">Culture Risk</x:t>
        </x:is>
      </x:c>
      <x:c r="I350" t="inlineStr">
        <x:is>
          <x:t xml:space="preserve">Create privacy-safe tracking</x:t>
        </x:is>
      </x:c>
      <x:c r="J350" t="inlineStr">
        <x:is>
          <x:t xml:space="preserve">N</x:t>
        </x:is>
      </x:c>
    </x:row>
    <x:row r="351">
      <x:c r="A351" t="inlineStr">
        <x:is>
          <x:t xml:space="preserve">HR</x:t>
        </x:is>
      </x:c>
      <x:c r="B351" t="inlineStr">
        <x:is>
          <x:t xml:space="preserve">HR-D8-Q28</x:t>
        </x:is>
      </x:c>
      <x:c r="C351" t="inlineStr">
        <x:is>
          <x:t xml:space="preserve">HR-D8-Q28-A3</x:t>
        </x:is>
      </x:c>
      <x:c r="D351" t="n">
        <x:v>3</x:v>
      </x:c>
      <x:c r="E351" t="inlineStr">
        <x:is>
          <x:t xml:space="preserve">Sometimes tracked in aggregate; used for learning/training.</x:t>
        </x:is>
      </x:c>
      <x:c r="F351" t="n">
        <x:v>2</x:v>
      </x:c>
      <x:c r="H351" t="inlineStr">
        <x:is>
          <x:t xml:space="preserve">Culture Risk</x:t>
        </x:is>
      </x:c>
      <x:c r="I351" t="inlineStr">
        <x:is>
          <x:t xml:space="preserve">Improve consistency</x:t>
        </x:is>
      </x:c>
      <x:c r="J351" t="inlineStr">
        <x:is>
          <x:t xml:space="preserve">N</x:t>
        </x:is>
      </x:c>
      <x:c r="K351" t="inlineStr">
        <x:is>
          <x:t xml:space="preserve">Evidence: anonymized examples.</x:t>
        </x:is>
      </x:c>
    </x:row>
    <x:row r="352">
      <x:c r="A352" t="inlineStr">
        <x:is>
          <x:t xml:space="preserve">HR</x:t>
        </x:is>
      </x:c>
      <x:c r="B352" t="inlineStr">
        <x:is>
          <x:t xml:space="preserve">HR-D8-Q28</x:t>
        </x:is>
      </x:c>
      <x:c r="C352" t="inlineStr">
        <x:is>
          <x:t xml:space="preserve">HR-D8-Q28-A4</x:t>
        </x:is>
      </x:c>
      <x:c r="D352" t="n">
        <x:v>4</x:v>
      </x:c>
      <x:c r="E352" t="inlineStr">
        <x:is>
          <x:t xml:space="preserve">Tracked as leading indicators; reinforces positive culture and reduces repeats.</x:t>
        </x:is>
      </x:c>
      <x:c r="F352" t="n">
        <x:v>3</x:v>
      </x:c>
      <x:c r="H352" t="inlineStr">
        <x:is>
          <x:t xml:space="preserve">Culture Risk</x:t>
        </x:is>
      </x:c>
      <x:c r="I352" t="inlineStr">
        <x:is>
          <x:t xml:space="preserve">Maintain</x:t>
        </x:is>
      </x:c>
      <x:c r="J352" t="inlineStr">
        <x:is>
          <x:t xml:space="preserve">N</x:t>
        </x:is>
      </x:c>
      <x:c r="K352" t="inlineStr">
        <x:is>
          <x:t xml:space="preserve">Evidence: dashboard indicator.</x:t>
        </x:is>
      </x:c>
    </x:row>
    <x:row r="353">
      <x:c r="A353" t="inlineStr">
        <x:is>
          <x:t xml:space="preserve">HR</x:t>
        </x:is>
      </x:c>
      <x:c r="B353" t="inlineStr">
        <x:is>
          <x:t xml:space="preserve">HR-D8-Q29</x:t>
        </x:is>
      </x:c>
      <x:c r="C353" t="inlineStr">
        <x:is>
          <x:t xml:space="preserve">HR-D8-Q29-A1</x:t>
        </x:is>
      </x:c>
      <x:c r="D353" t="n">
        <x:v>1</x:v>
      </x:c>
      <x:c r="E353" t="inlineStr">
        <x:is>
          <x:t xml:space="preserve">No metrics: we can't tell how fast or consistent we are.</x:t>
        </x:is>
      </x:c>
      <x:c r="F353" t="n">
        <x:v>0</x:v>
      </x:c>
      <x:c r="G353" t="inlineStr">
        <x:is>
          <x:t xml:space="preserve">operating_model_gap</x:t>
        </x:is>
      </x:c>
      <x:c r="H353" t="inlineStr">
        <x:is>
          <x:t xml:space="preserve">Operating Model Gap</x:t>
        </x:is>
      </x:c>
      <x:c r="I353" t="inlineStr">
        <x:is>
          <x:t xml:space="preserve">Introduce case metrics</x:t>
        </x:is>
      </x:c>
      <x:c r="J353" t="inlineStr">
        <x:is>
          <x:t xml:space="preserve">N</x:t>
        </x:is>
      </x:c>
    </x:row>
    <x:row r="354">
      <x:c r="A354" t="inlineStr">
        <x:is>
          <x:t xml:space="preserve">HR</x:t>
        </x:is>
      </x:c>
      <x:c r="B354" t="inlineStr">
        <x:is>
          <x:t xml:space="preserve">HR-D8-Q29</x:t>
        </x:is>
      </x:c>
      <x:c r="C354" t="inlineStr">
        <x:is>
          <x:t xml:space="preserve">HR-D8-Q29-A2</x:t>
        </x:is>
      </x:c>
      <x:c r="D354" t="n">
        <x:v>2</x:v>
      </x:c>
      <x:c r="E354" t="inlineStr">
        <x:is>
          <x:t xml:space="preserve">Some metrics exist but not used for improvement.</x:t>
        </x:is>
      </x:c>
      <x:c r="F354" t="n">
        <x:v>1</x:v>
      </x:c>
      <x:c r="G354" t="inlineStr">
        <x:is>
          <x:t xml:space="preserve">paper_dragon_signal</x:t>
        </x:is>
      </x:c>
      <x:c r="H354" t="inlineStr">
        <x:is>
          <x:t xml:space="preserve">Paper Dragon</x:t>
        </x:is>
      </x:c>
      <x:c r="I354" t="inlineStr">
        <x:is>
          <x:t xml:space="preserve">Use metrics for improvement</x:t>
        </x:is>
      </x:c>
      <x:c r="J354" t="inlineStr">
        <x:is>
          <x:t xml:space="preserve">N</x:t>
        </x:is>
      </x:c>
    </x:row>
    <x:row r="355">
      <x:c r="A355" t="inlineStr">
        <x:is>
          <x:t xml:space="preserve">HR</x:t>
        </x:is>
      </x:c>
      <x:c r="B355" t="inlineStr">
        <x:is>
          <x:t xml:space="preserve">HR-D8-Q29</x:t>
        </x:is>
      </x:c>
      <x:c r="C355" t="inlineStr">
        <x:is>
          <x:t xml:space="preserve">HR-D8-Q29-A3</x:t>
        </x:is>
      </x:c>
      <x:c r="D355" t="n">
        <x:v>3</x:v>
      </x:c>
      <x:c r="E355" t="inlineStr">
        <x:is>
          <x:t xml:space="preserve">Basic metrics tracked; improvement actions occasional.</x:t>
        </x:is>
      </x:c>
      <x:c r="F355" t="n">
        <x:v>2</x:v>
      </x:c>
      <x:c r="H355" t="inlineStr">
        <x:is>
          <x:t xml:space="preserve">Operating Model Gap</x:t>
        </x:is>
      </x:c>
      <x:c r="I355" t="inlineStr">
        <x:is>
          <x:t xml:space="preserve">Set targets and review cadence</x:t>
        </x:is>
      </x:c>
      <x:c r="J355" t="inlineStr">
        <x:is>
          <x:t xml:space="preserve">N</x:t>
        </x:is>
      </x:c>
      <x:c r="K355" t="inlineStr">
        <x:is>
          <x:t xml:space="preserve">Evidence: KPI list.</x:t>
        </x:is>
      </x:c>
    </x:row>
    <x:row r="356">
      <x:c r="A356" t="inlineStr">
        <x:is>
          <x:t xml:space="preserve">HR</x:t>
        </x:is>
      </x:c>
      <x:c r="B356" t="inlineStr">
        <x:is>
          <x:t xml:space="preserve">HR-D8-Q29</x:t>
        </x:is>
      </x:c>
      <x:c r="C356" t="inlineStr">
        <x:is>
          <x:t xml:space="preserve">HR-D8-Q29-A4</x:t>
        </x:is>
      </x:c>
      <x:c r="D356" t="n">
        <x:v>4</x:v>
      </x:c>
      <x:c r="E356" t="inlineStr">
        <x:is>
          <x:t xml:space="preserve">Managed: targets set; metrics reviewed; backlog/quality addressed.</x:t>
        </x:is>
      </x:c>
      <x:c r="F356" t="n">
        <x:v>3</x:v>
      </x:c>
      <x:c r="H356" t="inlineStr">
        <x:is>
          <x:t xml:space="preserve">Operating Model Gap</x:t>
        </x:is>
      </x:c>
      <x:c r="I356" t="inlineStr">
        <x:is>
          <x:t xml:space="preserve">Maintain and refine</x:t>
        </x:is>
      </x:c>
      <x:c r="J356" t="inlineStr">
        <x:is>
          <x:t xml:space="preserve">N</x:t>
        </x:is>
      </x:c>
      <x:c r="K356" t="inlineStr">
        <x:is>
          <x:t xml:space="preserve">Evidence: dashboard + meeting notes.</x:t>
        </x:is>
      </x:c>
    </x:row>
    <x:row r="357">
      <x:c r="A357" t="inlineStr">
        <x:is>
          <x:t xml:space="preserve">HR</x:t>
        </x:is>
      </x:c>
      <x:c r="B357" t="inlineStr">
        <x:is>
          <x:t xml:space="preserve">HR-D8-Q29</x:t>
        </x:is>
      </x:c>
      <x:c r="C357" t="inlineStr">
        <x:is>
          <x:t xml:space="preserve">HR-D8-Q29-A5</x:t>
        </x:is>
      </x:c>
      <x:c r="D357" t="n">
        <x:v>5</x:v>
      </x:c>
      <x:c r="E357" t="inlineStr">
        <x:is>
          <x:t xml:space="preserve">Optimized: metrics linked to trust outcomes and continuous improvement.</x:t>
        </x:is>
      </x:c>
      <x:c r="F357" t="n">
        <x:v>4</x:v>
      </x:c>
      <x:c r="H357" t="inlineStr">
        <x:is>
          <x:t xml:space="preserve">Culture Risk</x:t>
        </x:is>
      </x:c>
      <x:c r="I357" t="inlineStr">
        <x:is>
          <x:t xml:space="preserve">Maintain maturity</x:t>
        </x:is>
      </x:c>
      <x:c r="J357" t="inlineStr">
        <x:is>
          <x:t xml:space="preserve">N</x:t>
        </x:is>
      </x:c>
      <x:c r="K357" t="inlineStr">
        <x:is>
          <x:t xml:space="preserve">Evidence: KPI trends + actions.</x:t>
        </x:is>
      </x:c>
    </x:row>
    <x:row r="358">
      <x:c r="A358" t="inlineStr">
        <x:is>
          <x:t xml:space="preserve">Security</x:t>
        </x:is>
      </x:c>
      <x:c r="B358" t="inlineStr">
        <x:is>
          <x:t xml:space="preserve">SEC-D1-Q01</x:t>
        </x:is>
      </x:c>
      <x:c r="C358" t="inlineStr">
        <x:is>
          <x:t xml:space="preserve">SEC-D1-Q01-A0</x:t>
        </x:is>
      </x:c>
      <x:c r="D358" t="n">
        <x:v>1</x:v>
      </x:c>
      <x:c r="E358" t="inlineStr">
        <x:is>
          <x:t xml:space="preserve">I don't know / not sure.</x:t>
        </x:is>
      </x:c>
      <x:c r="F358" t="n">
        <x:v>0</x:v>
      </x:c>
      <x:c r="G358" t="inlineStr">
        <x:is>
          <x:t xml:space="preserve">unknown</x:t>
        </x:is>
      </x:c>
      <x:c r="H358" t="inlineStr">
        <x:is>
          <x:t xml:space="preserve">Unknown</x:t>
        </x:is>
      </x:c>
      <x:c r="I358" t="inlineStr">
        <x:is>
          <x:t xml:space="preserve">Assess_Case_Model</x:t>
        </x:is>
      </x:c>
      <x:c r="J358" t="inlineStr">
        <x:is>
          <x:t xml:space="preserve">N</x:t>
        </x:is>
      </x:c>
    </x:row>
    <x:row r="359">
      <x:c r="A359" t="inlineStr">
        <x:is>
          <x:t xml:space="preserve">Security</x:t>
        </x:is>
      </x:c>
      <x:c r="B359" t="inlineStr">
        <x:is>
          <x:t xml:space="preserve">SEC-D1-Q01</x:t>
        </x:is>
      </x:c>
      <x:c r="C359" t="inlineStr">
        <x:is>
          <x:t xml:space="preserve">SEC-D1-Q01-A1</x:t>
        </x:is>
      </x:c>
      <x:c r="D359" t="n">
        <x:v>2</x:v>
      </x:c>
      <x:c r="E359" t="inlineStr">
        <x:is>
          <x:t xml:space="preserve">No one monitors for internal misuse; we mainly react after incidents.</x:t>
        </x:is>
      </x:c>
      <x:c r="F359" t="n">
        <x:v>0</x:v>
      </x:c>
      <x:c r="G359" t="inlineStr">
        <x:is>
          <x:t xml:space="preserve">paper_dragon_signal</x:t>
        </x:is>
      </x:c>
      <x:c r="H359" t="inlineStr">
        <x:is>
          <x:t xml:space="preserve">Paper Dragon</x:t>
        </x:is>
      </x:c>
      <x:c r="I359" t="inlineStr">
        <x:is>
          <x:t xml:space="preserve">Build_Detection_Strategy</x:t>
        </x:is>
      </x:c>
      <x:c r="J359" t="inlineStr">
        <x:is>
          <x:t xml:space="preserve">N</x:t>
        </x:is>
      </x:c>
    </x:row>
    <x:row r="360">
      <x:c r="A360" t="inlineStr">
        <x:is>
          <x:t xml:space="preserve">Security</x:t>
        </x:is>
      </x:c>
      <x:c r="B360" t="inlineStr">
        <x:is>
          <x:t xml:space="preserve">SEC-D1-Q01</x:t>
        </x:is>
      </x:c>
      <x:c r="C360" t="inlineStr">
        <x:is>
          <x:t xml:space="preserve">SEC-D1-Q01-A2</x:t>
        </x:is>
      </x:c>
      <x:c r="D360" t="n">
        <x:v>3</x:v>
      </x:c>
      <x:c r="E360" t="inlineStr">
        <x:is>
          <x:t xml:space="preserve">Ad‑hoc: an IT admin/manager checks logs only when something feels wrong.</x:t>
        </x:is>
      </x:c>
      <x:c r="F360" t="n">
        <x:v>1</x:v>
      </x:c>
      <x:c r="G360" t="inlineStr">
        <x:is>
          <x:t xml:space="preserve">shadow_mature_signal</x:t>
        </x:is>
      </x:c>
      <x:c r="H360" t="inlineStr">
        <x:is>
          <x:t xml:space="preserve">Shadow Mature</x:t>
        </x:is>
      </x:c>
      <x:c r="I360" t="inlineStr">
        <x:is>
          <x:t xml:space="preserve">Capture_Informal_Practices</x:t>
        </x:is>
      </x:c>
      <x:c r="J360" t="inlineStr">
        <x:is>
          <x:t xml:space="preserve">N</x:t>
        </x:is>
      </x:c>
      <x:c r="K360" t="inlineStr">
        <x:is>
          <x:t xml:space="preserve">Example of an ad‑hoc review or incident note.</x:t>
        </x:is>
      </x:c>
    </x:row>
    <x:row r="361">
      <x:c r="A361" t="inlineStr">
        <x:is>
          <x:t xml:space="preserve">Security</x:t>
        </x:is>
      </x:c>
      <x:c r="B361" t="inlineStr">
        <x:is>
          <x:t xml:space="preserve">SEC-D1-Q01</x:t>
        </x:is>
      </x:c>
      <x:c r="C361" t="inlineStr">
        <x:is>
          <x:t xml:space="preserve">SEC-D1-Q01-A3</x:t>
        </x:is>
      </x:c>
      <x:c r="D361" t="n">
        <x:v>4</x:v>
      </x:c>
      <x:c r="E361" t="inlineStr">
        <x:is>
          <x:t xml:space="preserve">Partial: SOC/IT reviews some alerts, but not consistently or not for key systems.</x:t>
        </x:is>
      </x:c>
      <x:c r="F361" t="n">
        <x:v>2</x:v>
      </x:c>
      <x:c r="H361" t="inlineStr">
        <x:is>
          <x:t xml:space="preserve">Operating Model Gap</x:t>
        </x:is>
      </x:c>
      <x:c r="I361" t="inlineStr">
        <x:is>
          <x:t xml:space="preserve">Assess_Detection</x:t>
        </x:is>
      </x:c>
      <x:c r="J361" t="inlineStr">
        <x:is>
          <x:t xml:space="preserve">N</x:t>
        </x:is>
      </x:c>
      <x:c r="K361" t="inlineStr">
        <x:is>
          <x:t xml:space="preserve">List monitored systems and who reviews them.</x:t>
        </x:is>
      </x:c>
    </x:row>
    <x:row r="362">
      <x:c r="A362" t="inlineStr">
        <x:is>
          <x:t xml:space="preserve">Security</x:t>
        </x:is>
      </x:c>
      <x:c r="B362" t="inlineStr">
        <x:is>
          <x:t xml:space="preserve">SEC-D1-Q01</x:t>
        </x:is>
      </x:c>
      <x:c r="C362" t="inlineStr">
        <x:is>
          <x:t xml:space="preserve">SEC-D1-Q01-A4</x:t>
        </x:is>
      </x:c>
      <x:c r="D362" t="n">
        <x:v>5</x:v>
      </x:c>
      <x:c r="E362" t="inlineStr">
        <x:is>
          <x:t xml:space="preserve">Defined: named team monitors agreed key systems with a regular cadence and documented handoffs.</x:t>
        </x:is>
      </x:c>
      <x:c r="F362" t="n">
        <x:v>3</x:v>
      </x:c>
      <x:c r="H362" t="inlineStr">
        <x:is>
          <x:t xml:space="preserve">Operating Model Gap</x:t>
        </x:is>
      </x:c>
      <x:c r="I362" t="inlineStr">
        <x:is>
          <x:t xml:space="preserve">Assess_Case_Model</x:t>
        </x:is>
      </x:c>
      <x:c r="J362" t="inlineStr">
        <x:is>
          <x:t xml:space="preserve">Y</x:t>
        </x:is>
      </x:c>
      <x:c r="K362" t="inlineStr">
        <x:is>
          <x:t xml:space="preserve">Runbook/SOP + sample ticket (redacted).</x:t>
        </x:is>
      </x:c>
    </x:row>
    <x:row r="363">
      <x:c r="A363" t="inlineStr">
        <x:is>
          <x:t xml:space="preserve">Security</x:t>
        </x:is>
      </x:c>
      <x:c r="B363" t="inlineStr">
        <x:is>
          <x:t xml:space="preserve">SEC-D1-Q01</x:t>
        </x:is>
      </x:c>
      <x:c r="C363" t="inlineStr">
        <x:is>
          <x:t xml:space="preserve">SEC-D1-Q01-A5</x:t>
        </x:is>
      </x:c>
      <x:c r="D363" t="n">
        <x:v>6</x:v>
      </x:c>
      <x:c r="E363" t="inlineStr">
        <x:is>
          <x:t xml:space="preserve">Optimized: monitoring is embedded in SOC/case management with SLAs and quality checks.</x:t>
        </x:is>
      </x:c>
      <x:c r="F363" t="n">
        <x:v>4</x:v>
      </x:c>
      <x:c r="H363" t="inlineStr">
        <x:is>
          <x:t xml:space="preserve">Resilience Gap</x:t>
        </x:is>
      </x:c>
      <x:c r="I363" t="inlineStr">
        <x:is>
          <x:t xml:space="preserve">Improve_Metrics</x:t>
        </x:is>
      </x:c>
      <x:c r="J363" t="inlineStr">
        <x:is>
          <x:t xml:space="preserve">Y</x:t>
        </x:is>
      </x:c>
      <x:c r="K363" t="inlineStr">
        <x:is>
          <x:t xml:space="preserve">SLA + recent quality/accuracy report.</x:t>
        </x:is>
      </x:c>
    </x:row>
    <x:row r="364">
      <x:c r="A364" t="inlineStr">
        <x:is>
          <x:t xml:space="preserve">Security</x:t>
        </x:is>
      </x:c>
      <x:c r="B364" t="inlineStr">
        <x:is>
          <x:t xml:space="preserve">SEC-D1-Q02</x:t>
        </x:is>
      </x:c>
      <x:c r="C364" t="inlineStr">
        <x:is>
          <x:t xml:space="preserve">SEC-D1-Q02-A1</x:t>
        </x:is>
      </x:c>
      <x:c r="D364" t="n">
        <x:v>1</x:v>
      </x:c>
      <x:c r="E364" t="inlineStr">
        <x:is>
          <x:t xml:space="preserve">No — we focus on external threats; insiders are out of scope.</x:t>
        </x:is>
      </x:c>
      <x:c r="F364" t="n">
        <x:v>0</x:v>
      </x:c>
      <x:c r="G364" t="inlineStr">
        <x:is>
          <x:t xml:space="preserve">paper_dragon_signal</x:t>
        </x:is>
      </x:c>
      <x:c r="H364" t="inlineStr">
        <x:is>
          <x:t xml:space="preserve">Paper Dragon</x:t>
        </x:is>
      </x:c>
      <x:c r="I364" t="inlineStr">
        <x:is>
          <x:t xml:space="preserve">Build_Detection_Strategy</x:t>
        </x:is>
      </x:c>
      <x:c r="J364" t="inlineStr">
        <x:is>
          <x:t xml:space="preserve">N</x:t>
        </x:is>
      </x:c>
    </x:row>
    <x:row r="365">
      <x:c r="A365" t="inlineStr">
        <x:is>
          <x:t xml:space="preserve">Security</x:t>
        </x:is>
      </x:c>
      <x:c r="B365" t="inlineStr">
        <x:is>
          <x:t xml:space="preserve">SEC-D1-Q02</x:t>
        </x:is>
      </x:c>
      <x:c r="C365" t="inlineStr">
        <x:is>
          <x:t xml:space="preserve">SEC-D1-Q02-A2</x:t>
        </x:is>
      </x:c>
      <x:c r="D365" t="n">
        <x:v>2</x:v>
      </x:c>
      <x:c r="E365" t="inlineStr">
        <x:is>
          <x:t xml:space="preserve">Sometimes — a few experienced admins notice issues, but it depends on individuals.</x:t>
        </x:is>
      </x:c>
      <x:c r="F365" t="n">
        <x:v>2</x:v>
      </x:c>
      <x:c r="G365" t="inlineStr">
        <x:is>
          <x:t xml:space="preserve">shadow_mature_signal</x:t>
        </x:is>
      </x:c>
      <x:c r="H365" t="inlineStr">
        <x:is>
          <x:t xml:space="preserve">Shadow Mature</x:t>
        </x:is>
      </x:c>
      <x:c r="I365" t="inlineStr">
        <x:is>
          <x:t xml:space="preserve">Capture_Informal_Practices</x:t>
        </x:is>
      </x:c>
      <x:c r="J365" t="inlineStr">
        <x:is>
          <x:t xml:space="preserve">N</x:t>
        </x:is>
      </x:c>
      <x:c r="K365" t="inlineStr">
        <x:is>
          <x:t xml:space="preserve">Name typical signals and frequency.</x:t>
        </x:is>
      </x:c>
    </x:row>
    <x:row r="366">
      <x:c r="A366" t="inlineStr">
        <x:is>
          <x:t xml:space="preserve">Security</x:t>
        </x:is>
      </x:c>
      <x:c r="B366" t="inlineStr">
        <x:is>
          <x:t xml:space="preserve">SEC-D1-Q02</x:t>
        </x:is>
      </x:c>
      <x:c r="C366" t="inlineStr">
        <x:is>
          <x:t xml:space="preserve">SEC-D1-Q02-A3</x:t>
        </x:is>
      </x:c>
      <x:c r="D366" t="n">
        <x:v>3</x:v>
      </x:c>
      <x:c r="E366" t="inlineStr">
        <x:is>
          <x:t xml:space="preserve">Yes — a repeatable routine exists (even if informal) for reviewing a short list of high‑risk signals.</x:t>
        </x:is>
      </x:c>
      <x:c r="F366" t="n">
        <x:v>3</x:v>
      </x:c>
      <x:c r="G366" t="inlineStr">
        <x:is>
          <x:t xml:space="preserve">shadow_mature_signal</x:t>
        </x:is>
      </x:c>
      <x:c r="H366" t="inlineStr">
        <x:is>
          <x:t xml:space="preserve">Shadow Mature</x:t>
        </x:is>
      </x:c>
      <x:c r="I366" t="inlineStr">
        <x:is>
          <x:t xml:space="preserve">Align_Policy_To_Reality</x:t>
        </x:is>
      </x:c>
      <x:c r="J366" t="inlineStr">
        <x:is>
          <x:t xml:space="preserve">Y</x:t>
        </x:is>
      </x:c>
      <x:c r="K366" t="inlineStr">
        <x:is>
          <x:t xml:space="preserve">Short list of signals + example review note.</x:t>
        </x:is>
      </x:c>
    </x:row>
    <x:row r="367">
      <x:c r="A367" t="inlineStr">
        <x:is>
          <x:t xml:space="preserve">Security</x:t>
        </x:is>
      </x:c>
      <x:c r="B367" t="inlineStr">
        <x:is>
          <x:t xml:space="preserve">SEC-D1-Q03</x:t>
        </x:is>
      </x:c>
      <x:c r="C367" t="inlineStr">
        <x:is>
          <x:t xml:space="preserve">SEC-D1-Q03-A1</x:t>
        </x:is>
      </x:c>
      <x:c r="D367" t="n">
        <x:v>1</x:v>
      </x:c>
      <x:c r="E367" t="inlineStr">
        <x:is>
          <x:t xml:space="preserve">No workflow; decisions are improvised each time.</x:t>
        </x:is>
      </x:c>
      <x:c r="F367" t="n">
        <x:v>0</x:v>
      </x:c>
      <x:c r="H367" t="inlineStr">
        <x:is>
          <x:t xml:space="preserve">Operating Model Gap</x:t>
        </x:is>
      </x:c>
      <x:c r="I367" t="inlineStr">
        <x:is>
          <x:t xml:space="preserve">Assess_Case_Model</x:t>
        </x:is>
      </x:c>
      <x:c r="J367" t="inlineStr">
        <x:is>
          <x:t xml:space="preserve">N</x:t>
        </x:is>
      </x:c>
    </x:row>
    <x:row r="368">
      <x:c r="A368" t="inlineStr">
        <x:is>
          <x:t xml:space="preserve">Security</x:t>
        </x:is>
      </x:c>
      <x:c r="B368" t="inlineStr">
        <x:is>
          <x:t xml:space="preserve">SEC-D1-Q03</x:t>
        </x:is>
      </x:c>
      <x:c r="C368" t="inlineStr">
        <x:is>
          <x:t xml:space="preserve">SEC-D1-Q03-A2</x:t>
        </x:is>
      </x:c>
      <x:c r="D368" t="n">
        <x:v>2</x:v>
      </x:c>
      <x:c r="E368" t="inlineStr">
        <x:is>
          <x:t xml:space="preserve">Some notes exist, but they are outdated or rarely followed.</x:t>
        </x:is>
      </x:c>
      <x:c r="F368" t="n">
        <x:v>1</x:v>
      </x:c>
      <x:c r="G368" t="inlineStr">
        <x:is>
          <x:t xml:space="preserve">paper_dragon_signal</x:t>
        </x:is>
      </x:c>
      <x:c r="H368" t="inlineStr">
        <x:is>
          <x:t xml:space="preserve">Paper Dragon</x:t>
        </x:is>
      </x:c>
      <x:c r="I368" t="inlineStr">
        <x:is>
          <x:t xml:space="preserve">Align_Policy_To_Reality</x:t>
        </x:is>
      </x:c>
      <x:c r="J368" t="inlineStr">
        <x:is>
          <x:t xml:space="preserve">N</x:t>
        </x:is>
      </x:c>
    </x:row>
    <x:row r="369">
      <x:c r="A369" t="inlineStr">
        <x:is>
          <x:t xml:space="preserve">Security</x:t>
        </x:is>
      </x:c>
      <x:c r="B369" t="inlineStr">
        <x:is>
          <x:t xml:space="preserve">SEC-D1-Q03</x:t>
        </x:is>
      </x:c>
      <x:c r="C369" t="inlineStr">
        <x:is>
          <x:t xml:space="preserve">SEC-D1-Q03-A3</x:t>
        </x:is>
      </x:c>
      <x:c r="D369" t="n">
        <x:v>3</x:v>
      </x:c>
      <x:c r="E369" t="inlineStr">
        <x:is>
          <x:t xml:space="preserve">Workflow exists and is used for most cases, but cross‑functional steps are unclear.</x:t>
        </x:is>
      </x:c>
      <x:c r="F369" t="n">
        <x:v>2</x:v>
      </x:c>
      <x:c r="H369" t="inlineStr">
        <x:is>
          <x:t xml:space="preserve">Operating Model Gap</x:t>
        </x:is>
      </x:c>
      <x:c r="I369" t="inlineStr">
        <x:is>
          <x:t xml:space="preserve">Assess_Case_Model</x:t>
        </x:is>
      </x:c>
      <x:c r="J369" t="inlineStr">
        <x:is>
          <x:t xml:space="preserve">Y</x:t>
        </x:is>
      </x:c>
      <x:c r="K369" t="inlineStr">
        <x:is>
          <x:t xml:space="preserve">Workflow + 1 recent example case (redacted).</x:t>
        </x:is>
      </x:c>
    </x:row>
    <x:row r="370">
      <x:c r="A370" t="inlineStr">
        <x:is>
          <x:t xml:space="preserve">Security</x:t>
        </x:is>
      </x:c>
      <x:c r="B370" t="inlineStr">
        <x:is>
          <x:t xml:space="preserve">SEC-D1-Q03</x:t>
        </x:is>
      </x:c>
      <x:c r="C370" t="inlineStr">
        <x:is>
          <x:t xml:space="preserve">SEC-D1-Q03-A4</x:t>
        </x:is>
      </x:c>
      <x:c r="D370" t="n">
        <x:v>4</x:v>
      </x:c>
      <x:c r="E370" t="inlineStr">
        <x:is>
          <x:t xml:space="preserve">Workflow is documented, trained, and includes clear HR/Legal touchpoints and time targets.</x:t>
        </x:is>
      </x:c>
      <x:c r="F370" t="n">
        <x:v>3</x:v>
      </x:c>
      <x:c r="H370" t="inlineStr">
        <x:is>
          <x:t xml:space="preserve">Resilience Gap</x:t>
        </x:is>
      </x:c>
      <x:c r="I370" t="inlineStr">
        <x:is>
          <x:t xml:space="preserve">Insider_Playbooks</x:t>
        </x:is>
      </x:c>
      <x:c r="J370" t="inlineStr">
        <x:is>
          <x:t xml:space="preserve">Y</x:t>
        </x:is>
      </x:c>
      <x:c r="K370" t="inlineStr">
        <x:is>
          <x:t xml:space="preserve">Workflow + training record + sample case.</x:t>
        </x:is>
      </x:c>
    </x:row>
    <x:row r="371">
      <x:c r="A371" t="inlineStr">
        <x:is>
          <x:t xml:space="preserve">Security</x:t>
        </x:is>
      </x:c>
      <x:c r="B371" t="inlineStr">
        <x:is>
          <x:t xml:space="preserve">SEC-D1-Q03</x:t>
        </x:is>
      </x:c>
      <x:c r="C371" t="inlineStr">
        <x:is>
          <x:t xml:space="preserve">SEC-D1-Q03-A5</x:t>
        </x:is>
      </x:c>
      <x:c r="D371" t="n">
        <x:v>5</x:v>
      </x:c>
      <x:c r="E371" t="inlineStr">
        <x:is>
          <x:t xml:space="preserve">Workflow is integrated into case management with metrics and periodic quality reviews.</x:t>
        </x:is>
      </x:c>
      <x:c r="F371" t="n">
        <x:v>4</x:v>
      </x:c>
      <x:c r="H371" t="inlineStr">
        <x:is>
          <x:t xml:space="preserve">Resilience Gap</x:t>
        </x:is>
      </x:c>
      <x:c r="I371" t="inlineStr">
        <x:is>
          <x:t xml:space="preserve">Improve_Metrics</x:t>
        </x:is>
      </x:c>
      <x:c r="J371" t="inlineStr">
        <x:is>
          <x:t xml:space="preserve">Y</x:t>
        </x:is>
      </x:c>
      <x:c r="K371" t="inlineStr">
        <x:is>
          <x:t xml:space="preserve">Dashboard screenshot (redacted).</x:t>
        </x:is>
      </x:c>
    </x:row>
    <x:row r="372">
      <x:c r="A372" t="inlineStr">
        <x:is>
          <x:t xml:space="preserve">Security</x:t>
        </x:is>
      </x:c>
      <x:c r="B372" t="inlineStr">
        <x:is>
          <x:t xml:space="preserve">SEC-D2-Q04</x:t>
        </x:is>
      </x:c>
      <x:c r="C372" t="inlineStr">
        <x:is>
          <x:t xml:space="preserve">SEC-D2-Q04-A0</x:t>
        </x:is>
      </x:c>
      <x:c r="D372" t="n">
        <x:v>1</x:v>
      </x:c>
      <x:c r="E372" t="inlineStr">
        <x:is>
          <x:t xml:space="preserve">I don't know / not sure.</x:t>
        </x:is>
      </x:c>
      <x:c r="F372" t="n">
        <x:v>0</x:v>
      </x:c>
      <x:c r="G372" t="inlineStr">
        <x:is>
          <x:t xml:space="preserve">unknown</x:t>
        </x:is>
      </x:c>
      <x:c r="H372" t="inlineStr">
        <x:is>
          <x:t xml:space="preserve">Unknown</x:t>
        </x:is>
      </x:c>
      <x:c r="I372" t="inlineStr">
        <x:is>
          <x:t xml:space="preserve">Improve_Visibility</x:t>
        </x:is>
      </x:c>
      <x:c r="J372" t="inlineStr">
        <x:is>
          <x:t xml:space="preserve">N</x:t>
        </x:is>
      </x:c>
    </x:row>
    <x:row r="373">
      <x:c r="A373" t="inlineStr">
        <x:is>
          <x:t xml:space="preserve">Security</x:t>
        </x:is>
      </x:c>
      <x:c r="B373" t="inlineStr">
        <x:is>
          <x:t xml:space="preserve">SEC-D2-Q04</x:t>
        </x:is>
      </x:c>
      <x:c r="C373" t="inlineStr">
        <x:is>
          <x:t xml:space="preserve">SEC-D2-Q04-A1</x:t>
        </x:is>
      </x:c>
      <x:c r="D373" t="n">
        <x:v>2</x:v>
      </x:c>
      <x:c r="E373" t="inlineStr">
        <x:is>
          <x:t xml:space="preserve">No — we cannot reliably see access/sharing for key systems.</x:t>
        </x:is>
      </x:c>
      <x:c r="F373" t="n">
        <x:v>0</x:v>
      </x:c>
      <x:c r="G373" t="inlineStr">
        <x:is>
          <x:t xml:space="preserve">visibility_gap</x:t>
        </x:is>
      </x:c>
      <x:c r="H373" t="inlineStr">
        <x:is>
          <x:t xml:space="preserve">Visibility Gap</x:t>
        </x:is>
      </x:c>
      <x:c r="I373" t="inlineStr">
        <x:is>
          <x:t xml:space="preserve">Improve_Visibility</x:t>
        </x:is>
      </x:c>
      <x:c r="J373" t="inlineStr">
        <x:is>
          <x:t xml:space="preserve">N</x:t>
        </x:is>
      </x:c>
    </x:row>
    <x:row r="374">
      <x:c r="A374" t="inlineStr">
        <x:is>
          <x:t xml:space="preserve">Security</x:t>
        </x:is>
      </x:c>
      <x:c r="B374" t="inlineStr">
        <x:is>
          <x:t xml:space="preserve">SEC-D2-Q04</x:t>
        </x:is>
      </x:c>
      <x:c r="C374" t="inlineStr">
        <x:is>
          <x:t xml:space="preserve">SEC-D2-Q04-A2</x:t>
        </x:is>
      </x:c>
      <x:c r="D374" t="n">
        <x:v>3</x:v>
      </x:c>
      <x:c r="E374" t="inlineStr">
        <x:is>
          <x:t xml:space="preserve">Partial — logs exist for some systems, but retention is short or inconsistent.</x:t>
        </x:is>
      </x:c>
      <x:c r="F374" t="n">
        <x:v>2</x:v>
      </x:c>
      <x:c r="H374" t="inlineStr">
        <x:is>
          <x:t xml:space="preserve">Visibility Gap</x:t>
        </x:is>
      </x:c>
      <x:c r="I374" t="inlineStr">
        <x:is>
          <x:t xml:space="preserve">Assess_Detection</x:t>
        </x:is>
      </x:c>
      <x:c r="J374" t="inlineStr">
        <x:is>
          <x:t xml:space="preserve">N</x:t>
        </x:is>
      </x:c>
      <x:c r="K374" t="inlineStr">
        <x:is>
          <x:t xml:space="preserve">List covered systems + retention.</x:t>
        </x:is>
      </x:c>
    </x:row>
    <x:row r="375">
      <x:c r="A375" t="inlineStr">
        <x:is>
          <x:t xml:space="preserve">Security</x:t>
        </x:is>
      </x:c>
      <x:c r="B375" t="inlineStr">
        <x:is>
          <x:t xml:space="preserve">SEC-D2-Q04</x:t>
        </x:is>
      </x:c>
      <x:c r="C375" t="inlineStr">
        <x:is>
          <x:t xml:space="preserve">SEC-D2-Q04-A3</x:t>
        </x:is>
      </x:c>
      <x:c r="D375" t="n">
        <x:v>4</x:v>
      </x:c>
      <x:c r="E375" t="inlineStr">
        <x:is>
          <x:t xml:space="preserve">Yes — agreed critical systems are covered with defined retention and access controls.</x:t>
        </x:is>
      </x:c>
      <x:c r="F375" t="n">
        <x:v>3</x:v>
      </x:c>
      <x:c r="H375" t="inlineStr">
        <x:is>
          <x:t xml:space="preserve">Visibility Gap</x:t>
        </x:is>
      </x:c>
      <x:c r="I375" t="inlineStr">
        <x:is>
          <x:t xml:space="preserve">Plan_Assurance</x:t>
        </x:is>
      </x:c>
      <x:c r="J375" t="inlineStr">
        <x:is>
          <x:t xml:space="preserve">Y</x:t>
        </x:is>
      </x:c>
      <x:c r="K375" t="inlineStr">
        <x:is>
          <x:t xml:space="preserve">Log source list + retention policy excerpt.</x:t>
        </x:is>
      </x:c>
    </x:row>
    <x:row r="376">
      <x:c r="A376" t="inlineStr">
        <x:is>
          <x:t xml:space="preserve">Security</x:t>
        </x:is>
      </x:c>
      <x:c r="B376" t="inlineStr">
        <x:is>
          <x:t xml:space="preserve">SEC-D2-Q04</x:t>
        </x:is>
      </x:c>
      <x:c r="C376" t="inlineStr">
        <x:is>
          <x:t xml:space="preserve">SEC-D2-Q04-A4</x:t>
        </x:is>
      </x:c>
      <x:c r="D376" t="n">
        <x:v>5</x:v>
      </x:c>
      <x:c r="E376" t="inlineStr">
        <x:is>
          <x:t xml:space="preserve">Optimized — coverage is monitored (health checks), identity is normalized, and gaps trigger remediation.</x:t>
        </x:is>
      </x:c>
      <x:c r="F376" t="n">
        <x:v>4</x:v>
      </x:c>
      <x:c r="H376" t="inlineStr">
        <x:is>
          <x:t xml:space="preserve">Visibility Gap</x:t>
        </x:is>
      </x:c>
      <x:c r="I376" t="inlineStr">
        <x:is>
          <x:t xml:space="preserve">Plan_Assurance</x:t>
        </x:is>
      </x:c>
      <x:c r="J376" t="inlineStr">
        <x:is>
          <x:t xml:space="preserve">Y</x:t>
        </x:is>
      </x:c>
      <x:c r="K376" t="inlineStr">
        <x:is>
          <x:t xml:space="preserve">Logging health/coverage report.</x:t>
        </x:is>
      </x:c>
    </x:row>
    <x:row r="377">
      <x:c r="A377" t="inlineStr">
        <x:is>
          <x:t xml:space="preserve">Security</x:t>
        </x:is>
      </x:c>
      <x:c r="B377" t="inlineStr">
        <x:is>
          <x:t xml:space="preserve">SEC-D2-Q05</x:t>
        </x:is>
      </x:c>
      <x:c r="C377" t="inlineStr">
        <x:is>
          <x:t xml:space="preserve">SEC-D2-Q05-A1</x:t>
        </x:is>
      </x:c>
      <x:c r="D377" t="n">
        <x:v>1</x:v>
      </x:c>
      <x:c r="E377" t="inlineStr">
        <x:is>
          <x:t xml:space="preserve">No — we don’t have a clear view of where sensitive data lives.</x:t>
        </x:is>
      </x:c>
      <x:c r="F377" t="n">
        <x:v>0</x:v>
      </x:c>
      <x:c r="G377" t="inlineStr">
        <x:is>
          <x:t xml:space="preserve">visibility_gap</x:t>
        </x:is>
      </x:c>
      <x:c r="H377" t="inlineStr">
        <x:is>
          <x:t xml:space="preserve">Visibility Gap</x:t>
        </x:is>
      </x:c>
      <x:c r="I377" t="inlineStr">
        <x:is>
          <x:t xml:space="preserve">Improve_Visibility</x:t>
        </x:is>
      </x:c>
      <x:c r="J377" t="inlineStr">
        <x:is>
          <x:t xml:space="preserve">N</x:t>
        </x:is>
      </x:c>
    </x:row>
    <x:row r="378">
      <x:c r="A378" t="inlineStr">
        <x:is>
          <x:t xml:space="preserve">Security</x:t>
        </x:is>
      </x:c>
      <x:c r="B378" t="inlineStr">
        <x:is>
          <x:t xml:space="preserve">SEC-D2-Q05</x:t>
        </x:is>
      </x:c>
      <x:c r="C378" t="inlineStr">
        <x:is>
          <x:t xml:space="preserve">SEC-D2-Q05-A2</x:t>
        </x:is>
      </x:c>
      <x:c r="D378" t="n">
        <x:v>2</x:v>
      </x:c>
      <x:c r="E378" t="inlineStr">
        <x:is>
          <x:t xml:space="preserve">Partially — we can list some areas, but it changes and is not tracked.</x:t>
        </x:is>
      </x:c>
      <x:c r="F378" t="n">
        <x:v>2</x:v>
      </x:c>
      <x:c r="G378" t="inlineStr">
        <x:is>
          <x:t xml:space="preserve">shadow_mature_signal</x:t>
        </x:is>
      </x:c>
      <x:c r="H378" t="inlineStr">
        <x:is>
          <x:t xml:space="preserve">Visibility Gap</x:t>
        </x:is>
      </x:c>
      <x:c r="I378" t="inlineStr">
        <x:is>
          <x:t xml:space="preserve">Align_On_Crown_Jewels</x:t>
        </x:is>
      </x:c>
      <x:c r="J378" t="inlineStr">
        <x:is>
          <x:t xml:space="preserve">N</x:t>
        </x:is>
      </x:c>
      <x:c r="K378" t="inlineStr">
        <x:is>
          <x:t xml:space="preserve">Provide the list and likely gaps.</x:t>
        </x:is>
      </x:c>
    </x:row>
    <x:row r="379">
      <x:c r="A379" t="inlineStr">
        <x:is>
          <x:t xml:space="preserve">Security</x:t>
        </x:is>
      </x:c>
      <x:c r="B379" t="inlineStr">
        <x:is>
          <x:t xml:space="preserve">SEC-D2-Q05</x:t>
        </x:is>
      </x:c>
      <x:c r="C379" t="inlineStr">
        <x:is>
          <x:t xml:space="preserve">SEC-D2-Q05-A3</x:t>
        </x:is>
      </x:c>
      <x:c r="D379" t="n">
        <x:v>3</x:v>
      </x:c>
      <x:c r="E379" t="inlineStr">
        <x:is>
          <x:t xml:space="preserve">Yes — we maintain at least a simple inventory that is updated.</x:t>
        </x:is>
      </x:c>
      <x:c r="F379" t="n">
        <x:v>3</x:v>
      </x:c>
      <x:c r="H379" t="inlineStr">
        <x:is>
          <x:t xml:space="preserve">Visibility Gap</x:t>
        </x:is>
      </x:c>
      <x:c r="I379" t="inlineStr">
        <x:is>
          <x:t xml:space="preserve">Align_On_Crown_Jewels</x:t>
        </x:is>
      </x:c>
      <x:c r="J379" t="inlineStr">
        <x:is>
          <x:t xml:space="preserve">Y</x:t>
        </x:is>
      </x:c>
      <x:c r="K379" t="inlineStr">
        <x:is>
          <x:t xml:space="preserve">Provide the inventory (redacted).</x:t>
        </x:is>
      </x:c>
    </x:row>
    <x:row r="380">
      <x:c r="A380" t="inlineStr">
        <x:is>
          <x:t xml:space="preserve">Security</x:t>
        </x:is>
      </x:c>
      <x:c r="B380" t="inlineStr">
        <x:is>
          <x:t xml:space="preserve">SEC-D2-Q06</x:t>
        </x:is>
      </x:c>
      <x:c r="C380" t="inlineStr">
        <x:is>
          <x:t xml:space="preserve">SEC-D2-Q06-A1</x:t>
        </x:is>
      </x:c>
      <x:c r="D380" t="n">
        <x:v>1</x:v>
      </x:c>
      <x:c r="E380" t="inlineStr">
        <x:is>
          <x:t xml:space="preserve">No — investigations require manual log pulls from many systems.</x:t>
        </x:is>
      </x:c>
      <x:c r="F380" t="n">
        <x:v>0</x:v>
      </x:c>
      <x:c r="G380" t="inlineStr">
        <x:is>
          <x:t xml:space="preserve">bypass_pressure</x:t>
        </x:is>
      </x:c>
      <x:c r="H380" t="inlineStr">
        <x:is>
          <x:t xml:space="preserve">Operating Model Gap</x:t>
        </x:is>
      </x:c>
      <x:c r="I380" t="inlineStr">
        <x:is>
          <x:t xml:space="preserve">Assess_Case_Model</x:t>
        </x:is>
      </x:c>
      <x:c r="J380" t="inlineStr">
        <x:is>
          <x:t xml:space="preserve">N</x:t>
        </x:is>
      </x:c>
    </x:row>
    <x:row r="381">
      <x:c r="A381" t="inlineStr">
        <x:is>
          <x:t xml:space="preserve">Security</x:t>
        </x:is>
      </x:c>
      <x:c r="B381" t="inlineStr">
        <x:is>
          <x:t xml:space="preserve">SEC-D2-Q06</x:t>
        </x:is>
      </x:c>
      <x:c r="C381" t="inlineStr">
        <x:is>
          <x:t xml:space="preserve">SEC-D2-Q06-A2</x:t>
        </x:is>
      </x:c>
      <x:c r="D381" t="n">
        <x:v>2</x:v>
      </x:c>
      <x:c r="E381" t="inlineStr">
        <x:is>
          <x:t xml:space="preserve">Some — a few sources are centralized, but many are still manual.</x:t>
        </x:is>
      </x:c>
      <x:c r="F381" t="n">
        <x:v>2</x:v>
      </x:c>
      <x:c r="H381" t="inlineStr">
        <x:is>
          <x:t xml:space="preserve">Operating Model Gap</x:t>
        </x:is>
      </x:c>
      <x:c r="I381" t="inlineStr">
        <x:is>
          <x:t xml:space="preserve">Assess_Detection</x:t>
        </x:is>
      </x:c>
      <x:c r="J381" t="inlineStr">
        <x:is>
          <x:t xml:space="preserve">N</x:t>
        </x:is>
      </x:c>
      <x:c r="K381" t="inlineStr">
        <x:is>
          <x:t xml:space="preserve">List centralized vs manual sources.</x:t>
        </x:is>
      </x:c>
    </x:row>
    <x:row r="382">
      <x:c r="A382" t="inlineStr">
        <x:is>
          <x:t xml:space="preserve">Security</x:t>
        </x:is>
      </x:c>
      <x:c r="B382" t="inlineStr">
        <x:is>
          <x:t xml:space="preserve">SEC-D2-Q06</x:t>
        </x:is>
      </x:c>
      <x:c r="C382" t="inlineStr">
        <x:is>
          <x:t xml:space="preserve">SEC-D2-Q06-A3</x:t>
        </x:is>
      </x:c>
      <x:c r="D382" t="n">
        <x:v>3</x:v>
      </x:c>
      <x:c r="E382" t="inlineStr">
        <x:is>
          <x:t xml:space="preserve">Yes — most critical sources are centralized with consistent identity mapping.</x:t>
        </x:is>
      </x:c>
      <x:c r="F382" t="n">
        <x:v>3</x:v>
      </x:c>
      <x:c r="H382" t="inlineStr">
        <x:is>
          <x:t xml:space="preserve">Operating Model Gap</x:t>
        </x:is>
      </x:c>
      <x:c r="I382" t="inlineStr">
        <x:is>
          <x:t xml:space="preserve">Assess_Detection</x:t>
        </x:is>
      </x:c>
      <x:c r="J382" t="inlineStr">
        <x:is>
          <x:t xml:space="preserve">Y</x:t>
        </x:is>
      </x:c>
      <x:c r="K382" t="inlineStr">
        <x:is>
          <x:t xml:space="preserve">SIEM source list + identity mapping approach.</x:t>
        </x:is>
      </x:c>
    </x:row>
    <x:row r="383">
      <x:c r="A383" t="inlineStr">
        <x:is>
          <x:t xml:space="preserve">Security</x:t>
        </x:is>
      </x:c>
      <x:c r="B383" t="inlineStr">
        <x:is>
          <x:t xml:space="preserve">SEC-D2-Q06</x:t>
        </x:is>
      </x:c>
      <x:c r="C383" t="inlineStr">
        <x:is>
          <x:t xml:space="preserve">SEC-D2-Q06-A4</x:t>
        </x:is>
      </x:c>
      <x:c r="D383" t="n">
        <x:v>4</x:v>
      </x:c>
      <x:c r="E383" t="inlineStr">
        <x:is>
          <x:t xml:space="preserve">Optimized — centralized with enrichment (role/privilege) and automated correlation.</x:t>
        </x:is>
      </x:c>
      <x:c r="F383" t="n">
        <x:v>4</x:v>
      </x:c>
      <x:c r="H383" t="inlineStr">
        <x:is>
          <x:t xml:space="preserve">Resilience Gap</x:t>
        </x:is>
      </x:c>
      <x:c r="I383" t="inlineStr">
        <x:is>
          <x:t xml:space="preserve">Build_Detection_Strategy</x:t>
        </x:is>
      </x:c>
      <x:c r="J383" t="inlineStr">
        <x:is>
          <x:t xml:space="preserve">Y</x:t>
        </x:is>
      </x:c>
      <x:c r="K383" t="inlineStr">
        <x:is>
          <x:t xml:space="preserve">Correlation/enrichment examples (redacted).</x:t>
        </x:is>
      </x:c>
    </x:row>
    <x:row r="384">
      <x:c r="A384" t="inlineStr">
        <x:is>
          <x:t xml:space="preserve">Security</x:t>
        </x:is>
      </x:c>
      <x:c r="B384" t="inlineStr">
        <x:is>
          <x:t xml:space="preserve">SEC-D3-Q07</x:t>
        </x:is>
      </x:c>
      <x:c r="C384" t="inlineStr">
        <x:is>
          <x:t xml:space="preserve">SEC-D3-Q07-A1</x:t>
        </x:is>
      </x:c>
      <x:c r="D384" t="n">
        <x:v>1</x:v>
      </x:c>
      <x:c r="E384" t="inlineStr">
        <x:is>
          <x:t xml:space="preserve">No — we rely on generic alerts not tailored to internal misuse.</x:t>
        </x:is>
      </x:c>
      <x:c r="F384" t="n">
        <x:v>0</x:v>
      </x:c>
      <x:c r="G384" t="inlineStr">
        <x:is>
          <x:t xml:space="preserve">paper_dragon_signal</x:t>
        </x:is>
      </x:c>
      <x:c r="H384" t="inlineStr">
        <x:is>
          <x:t xml:space="preserve">Paper Dragon</x:t>
        </x:is>
      </x:c>
      <x:c r="I384" t="inlineStr">
        <x:is>
          <x:t xml:space="preserve">Build_Detection_Strategy</x:t>
        </x:is>
      </x:c>
      <x:c r="J384" t="inlineStr">
        <x:is>
          <x:t xml:space="preserve">N</x:t>
        </x:is>
      </x:c>
    </x:row>
    <x:row r="385">
      <x:c r="A385" t="inlineStr">
        <x:is>
          <x:t xml:space="preserve">Security</x:t>
        </x:is>
      </x:c>
      <x:c r="B385" t="inlineStr">
        <x:is>
          <x:t xml:space="preserve">SEC-D3-Q07</x:t>
        </x:is>
      </x:c>
      <x:c r="C385" t="inlineStr">
        <x:is>
          <x:t xml:space="preserve">SEC-D3-Q07-A2</x:t>
        </x:is>
      </x:c>
      <x:c r="D385" t="n">
        <x:v>2</x:v>
      </x:c>
      <x:c r="E385" t="inlineStr">
        <x:is>
          <x:t xml:space="preserve">A few rules exist, but no one owns tuning and alerts are often ignored.</x:t>
        </x:is>
      </x:c>
      <x:c r="F385" t="n">
        <x:v>1</x:v>
      </x:c>
      <x:c r="G385" t="inlineStr">
        <x:is>
          <x:t xml:space="preserve">paper_dragon_signal</x:t>
        </x:is>
      </x:c>
      <x:c r="H385" t="inlineStr">
        <x:is>
          <x:t xml:space="preserve">Paper Dragon</x:t>
        </x:is>
      </x:c>
      <x:c r="I385" t="inlineStr">
        <x:is>
          <x:t xml:space="preserve">Assess_Detection</x:t>
        </x:is>
      </x:c>
      <x:c r="J385" t="inlineStr">
        <x:is>
          <x:t xml:space="preserve">N</x:t>
        </x:is>
      </x:c>
    </x:row>
    <x:row r="386">
      <x:c r="A386" t="inlineStr">
        <x:is>
          <x:t xml:space="preserve">Security</x:t>
        </x:is>
      </x:c>
      <x:c r="B386" t="inlineStr">
        <x:is>
          <x:t xml:space="preserve">SEC-D3-Q07</x:t>
        </x:is>
      </x:c>
      <x:c r="C386" t="inlineStr">
        <x:is>
          <x:t xml:space="preserve">SEC-D3-Q07-A3</x:t>
        </x:is>
      </x:c>
      <x:c r="D386" t="n">
        <x:v>3</x:v>
      </x:c>
      <x:c r="E386" t="inlineStr">
        <x:is>
          <x:t xml:space="preserve">Yes — we monitor a short list, but it’s not tied to the most sensitive assets/roles.</x:t>
        </x:is>
      </x:c>
      <x:c r="F386" t="n">
        <x:v>2</x:v>
      </x:c>
      <x:c r="H386" t="inlineStr">
        <x:is>
          <x:t xml:space="preserve">Visibility Gap</x:t>
        </x:is>
      </x:c>
      <x:c r="I386" t="inlineStr">
        <x:is>
          <x:t xml:space="preserve">Align_On_Scenarios</x:t>
        </x:is>
      </x:c>
      <x:c r="J386" t="inlineStr">
        <x:is>
          <x:t xml:space="preserve">N</x:t>
        </x:is>
      </x:c>
      <x:c r="K386" t="inlineStr">
        <x:is>
          <x:t xml:space="preserve">List of detections and coverage notes.</x:t>
        </x:is>
      </x:c>
    </x:row>
    <x:row r="387">
      <x:c r="A387" t="inlineStr">
        <x:is>
          <x:t xml:space="preserve">Security</x:t>
        </x:is>
      </x:c>
      <x:c r="B387" t="inlineStr">
        <x:is>
          <x:t xml:space="preserve">SEC-D3-Q07</x:t>
        </x:is>
      </x:c>
      <x:c r="C387" t="inlineStr">
        <x:is>
          <x:t xml:space="preserve">SEC-D3-Q07-A4</x:t>
        </x:is>
      </x:c>
      <x:c r="D387" t="n">
        <x:v>4</x:v>
      </x:c>
      <x:c r="E387" t="inlineStr">
        <x:is>
          <x:t xml:space="preserve">Yes — detections are mapped to sensitive assets/roles and reviewed on a schedule.</x:t>
        </x:is>
      </x:c>
      <x:c r="F387" t="n">
        <x:v>3</x:v>
      </x:c>
      <x:c r="H387" t="inlineStr">
        <x:is>
          <x:t xml:space="preserve">Resilience Gap</x:t>
        </x:is>
      </x:c>
      <x:c r="I387" t="inlineStr">
        <x:is>
          <x:t xml:space="preserve">Assess_Detection</x:t>
        </x:is>
      </x:c>
      <x:c r="J387" t="inlineStr">
        <x:is>
          <x:t xml:space="preserve">Y</x:t>
        </x:is>
      </x:c>
      <x:c r="K387" t="inlineStr">
        <x:is>
          <x:t xml:space="preserve">Mapping + review cadence evidence.</x:t>
        </x:is>
      </x:c>
    </x:row>
    <x:row r="388">
      <x:c r="A388" t="inlineStr">
        <x:is>
          <x:t xml:space="preserve">Security</x:t>
        </x:is>
      </x:c>
      <x:c r="B388" t="inlineStr">
        <x:is>
          <x:t xml:space="preserve">SEC-D3-Q07</x:t>
        </x:is>
      </x:c>
      <x:c r="C388" t="inlineStr">
        <x:is>
          <x:t xml:space="preserve">SEC-D3-Q07-A5</x:t>
        </x:is>
      </x:c>
      <x:c r="D388" t="n">
        <x:v>5</x:v>
      </x:c>
      <x:c r="E388" t="inlineStr">
        <x:is>
          <x:t xml:space="preserve">Optimized — detections are scenario-driven, quality-measured, and continuously improved.</x:t>
        </x:is>
      </x:c>
      <x:c r="F388" t="n">
        <x:v>4</x:v>
      </x:c>
      <x:c r="H388" t="inlineStr">
        <x:is>
          <x:t xml:space="preserve">Resilience Gap</x:t>
        </x:is>
      </x:c>
      <x:c r="I388" t="inlineStr">
        <x:is>
          <x:t xml:space="preserve">Improve_Metrics</x:t>
        </x:is>
      </x:c>
      <x:c r="J388" t="inlineStr">
        <x:is>
          <x:t xml:space="preserve">Y</x:t>
        </x:is>
      </x:c>
      <x:c r="K388" t="inlineStr">
        <x:is>
          <x:t xml:space="preserve">Detection quality metrics (FP rate/precision).</x:t>
        </x:is>
      </x:c>
    </x:row>
    <x:row r="389">
      <x:c r="A389" t="inlineStr">
        <x:is>
          <x:t xml:space="preserve">Security</x:t>
        </x:is>
      </x:c>
      <x:c r="B389" t="inlineStr">
        <x:is>
          <x:t xml:space="preserve">SEC-D3-Q08</x:t>
        </x:is>
      </x:c>
      <x:c r="C389" t="inlineStr">
        <x:is>
          <x:t xml:space="preserve">SEC-D3-Q08-A1</x:t>
        </x:is>
      </x:c>
      <x:c r="D389" t="n">
        <x:v>1</x:v>
      </x:c>
      <x:c r="E389" t="inlineStr">
        <x:is>
          <x:t xml:space="preserve">Alerts mostly pile up; we focus on outages and external threats.</x:t>
        </x:is>
      </x:c>
      <x:c r="F389" t="n">
        <x:v>0</x:v>
      </x:c>
      <x:c r="G389" t="inlineStr">
        <x:is>
          <x:t xml:space="preserve">paper_dragon_signal</x:t>
        </x:is>
      </x:c>
      <x:c r="H389" t="inlineStr">
        <x:is>
          <x:t xml:space="preserve">Paper Dragon</x:t>
        </x:is>
      </x:c>
      <x:c r="I389" t="inlineStr">
        <x:is>
          <x:t xml:space="preserve">Assess_Detection</x:t>
        </x:is>
      </x:c>
      <x:c r="J389" t="inlineStr">
        <x:is>
          <x:t xml:space="preserve">N</x:t>
        </x:is>
      </x:c>
    </x:row>
    <x:row r="390">
      <x:c r="A390" t="inlineStr">
        <x:is>
          <x:t xml:space="preserve">Security</x:t>
        </x:is>
      </x:c>
      <x:c r="B390" t="inlineStr">
        <x:is>
          <x:t xml:space="preserve">SEC-D3-Q08</x:t>
        </x:is>
      </x:c>
      <x:c r="C390" t="inlineStr">
        <x:is>
          <x:t xml:space="preserve">SEC-D3-Q08-A2</x:t>
        </x:is>
      </x:c>
      <x:c r="D390" t="n">
        <x:v>2</x:v>
      </x:c>
      <x:c r="E390" t="inlineStr">
        <x:is>
          <x:t xml:space="preserve">Some alerts are investigated; many are closed quickly due to lack of context.</x:t>
        </x:is>
      </x:c>
      <x:c r="F390" t="n">
        <x:v>2</x:v>
      </x:c>
      <x:c r="H390" t="inlineStr">
        <x:is>
          <x:t xml:space="preserve">Operating Model Gap</x:t>
        </x:is>
      </x:c>
      <x:c r="I390" t="inlineStr">
        <x:is>
          <x:t xml:space="preserve">Assess_Case_Model</x:t>
        </x:is>
      </x:c>
      <x:c r="J390" t="inlineStr">
        <x:is>
          <x:t xml:space="preserve">N</x:t>
        </x:is>
      </x:c>
    </x:row>
    <x:row r="391">
      <x:c r="A391" t="inlineStr">
        <x:is>
          <x:t xml:space="preserve">Security</x:t>
        </x:is>
      </x:c>
      <x:c r="B391" t="inlineStr">
        <x:is>
          <x:t xml:space="preserve">SEC-D3-Q08</x:t>
        </x:is>
      </x:c>
      <x:c r="C391" t="inlineStr">
        <x:is>
          <x:t xml:space="preserve">SEC-D3-Q08-A3</x:t>
        </x:is>
      </x:c>
      <x:c r="D391" t="n">
        <x:v>3</x:v>
      </x:c>
      <x:c r="E391" t="inlineStr">
        <x:is>
          <x:t xml:space="preserve">Alerts are generally triaged with time-boxing and escalation paths for high risk.</x:t>
        </x:is>
      </x:c>
      <x:c r="F391" t="n">
        <x:v>3</x:v>
      </x:c>
      <x:c r="H391" t="inlineStr">
        <x:is>
          <x:t xml:space="preserve">Resilience Gap</x:t>
        </x:is>
      </x:c>
      <x:c r="I391" t="inlineStr">
        <x:is>
          <x:t xml:space="preserve">Assess_Case_Model</x:t>
        </x:is>
      </x:c>
      <x:c r="J391" t="inlineStr">
        <x:is>
          <x:t xml:space="preserve">Y</x:t>
        </x:is>
      </x:c>
      <x:c r="K391" t="inlineStr">
        <x:is>
          <x:t xml:space="preserve">Backlog/MTTT snapshot (redacted).</x:t>
        </x:is>
      </x:c>
    </x:row>
    <x:row r="392">
      <x:c r="A392" t="inlineStr">
        <x:is>
          <x:t xml:space="preserve">Security</x:t>
        </x:is>
      </x:c>
      <x:c r="B392" t="inlineStr">
        <x:is>
          <x:t xml:space="preserve">SEC-D3-Q09</x:t>
        </x:is>
      </x:c>
      <x:c r="C392" t="inlineStr">
        <x:is>
          <x:t xml:space="preserve">SEC-D3-Q09-A1</x:t>
        </x:is>
      </x:c>
      <x:c r="D392" t="n">
        <x:v>1</x:v>
      </x:c>
      <x:c r="E392" t="inlineStr">
        <x:is>
          <x:t xml:space="preserve">We don’t measure it; users complain and find workarounds.</x:t>
        </x:is>
      </x:c>
      <x:c r="F392" t="n">
        <x:v>0</x:v>
      </x:c>
      <x:c r="G392" t="inlineStr">
        <x:is>
          <x:t xml:space="preserve">bypass_pressure</x:t>
        </x:is>
      </x:c>
      <x:c r="H392" t="inlineStr">
        <x:is>
          <x:t xml:space="preserve">Bypass Pressure</x:t>
        </x:is>
      </x:c>
      <x:c r="I392" t="inlineStr">
        <x:is>
          <x:t xml:space="preserve">Assess_Friction</x:t>
        </x:is>
      </x:c>
      <x:c r="J392" t="inlineStr">
        <x:is>
          <x:t xml:space="preserve">N</x:t>
        </x:is>
      </x:c>
    </x:row>
    <x:row r="393">
      <x:c r="A393" t="inlineStr">
        <x:is>
          <x:t xml:space="preserve">Security</x:t>
        </x:is>
      </x:c>
      <x:c r="B393" t="inlineStr">
        <x:is>
          <x:t xml:space="preserve">SEC-D3-Q09</x:t>
        </x:is>
      </x:c>
      <x:c r="C393" t="inlineStr">
        <x:is>
          <x:t xml:space="preserve">SEC-D3-Q09-A2</x:t>
        </x:is>
      </x:c>
      <x:c r="D393" t="n">
        <x:v>2</x:v>
      </x:c>
      <x:c r="E393" t="inlineStr">
        <x:is>
          <x:t xml:space="preserve">We tune occasionally after major complaints or incidents.</x:t>
        </x:is>
      </x:c>
      <x:c r="F393" t="n">
        <x:v>1</x:v>
      </x:c>
      <x:c r="G393" t="inlineStr">
        <x:is>
          <x:t xml:space="preserve">bypass_pressure</x:t>
        </x:is>
      </x:c>
      <x:c r="H393" t="inlineStr">
        <x:is>
          <x:t xml:space="preserve">Bypass Pressure</x:t>
        </x:is>
      </x:c>
      <x:c r="I393" t="inlineStr">
        <x:is>
          <x:t xml:space="preserve">Measure_Friction</x:t>
        </x:is>
      </x:c>
      <x:c r="J393" t="inlineStr">
        <x:is>
          <x:t xml:space="preserve">N</x:t>
        </x:is>
      </x:c>
    </x:row>
    <x:row r="394">
      <x:c r="A394" t="inlineStr">
        <x:is>
          <x:t xml:space="preserve">Security</x:t>
        </x:is>
      </x:c>
      <x:c r="B394" t="inlineStr">
        <x:is>
          <x:t xml:space="preserve">SEC-D3-Q09</x:t>
        </x:is>
      </x:c>
      <x:c r="C394" t="inlineStr">
        <x:is>
          <x:t xml:space="preserve">SEC-D3-Q09-A3</x:t>
        </x:is>
      </x:c>
      <x:c r="D394" t="n">
        <x:v>3</x:v>
      </x:c>
      <x:c r="E394" t="inlineStr">
        <x:is>
          <x:t xml:space="preserve">We track exceptions/false positives and tune on a schedule.</x:t>
        </x:is>
      </x:c>
      <x:c r="F394" t="n">
        <x:v>3</x:v>
      </x:c>
      <x:c r="H394" t="inlineStr">
        <x:is>
          <x:t xml:space="preserve">Bypass Pressure</x:t>
        </x:is>
      </x:c>
      <x:c r="I394" t="inlineStr">
        <x:is>
          <x:t xml:space="preserve">Measure_Friction</x:t>
        </x:is>
      </x:c>
      <x:c r="J394" t="inlineStr">
        <x:is>
          <x:t xml:space="preserve">Y</x:t>
        </x:is>
      </x:c>
      <x:c r="K394" t="inlineStr">
        <x:is>
          <x:t xml:space="preserve">Exception log or tuning backlog.</x:t>
        </x:is>
      </x:c>
    </x:row>
    <x:row r="395">
      <x:c r="A395" t="inlineStr">
        <x:is>
          <x:t xml:space="preserve">Security</x:t>
        </x:is>
      </x:c>
      <x:c r="B395" t="inlineStr">
        <x:is>
          <x:t xml:space="preserve">SEC-D3-Q09</x:t>
        </x:is>
      </x:c>
      <x:c r="C395" t="inlineStr">
        <x:is>
          <x:t xml:space="preserve">SEC-D3-Q09-A4</x:t>
        </x:is>
      </x:c>
      <x:c r="D395" t="n">
        <x:v>4</x:v>
      </x:c>
      <x:c r="E395" t="inlineStr">
        <x:is>
          <x:t xml:space="preserve">Optimized: we measure disruption, reduce bypass drivers, and have fast exception paths with oversight.</x:t>
        </x:is>
      </x:c>
      <x:c r="F395" t="n">
        <x:v>4</x:v>
      </x:c>
      <x:c r="H395" t="inlineStr">
        <x:is>
          <x:t xml:space="preserve">Bypass Pressure</x:t>
        </x:is>
      </x:c>
      <x:c r="I395" t="inlineStr">
        <x:is>
          <x:t xml:space="preserve">Measure_Friction</x:t>
        </x:is>
      </x:c>
      <x:c r="J395" t="inlineStr">
        <x:is>
          <x:t xml:space="preserve">Y</x:t>
        </x:is>
      </x:c>
      <x:c r="K395" t="inlineStr">
        <x:is>
          <x:t xml:space="preserve">Metrics + exception governance.</x:t>
        </x:is>
      </x:c>
    </x:row>
    <x:row r="396">
      <x:c r="A396" t="inlineStr">
        <x:is>
          <x:t xml:space="preserve">Security</x:t>
        </x:is>
      </x:c>
      <x:c r="B396" t="inlineStr">
        <x:is>
          <x:t xml:space="preserve">SEC-D4-Q10</x:t>
        </x:is>
      </x:c>
      <x:c r="C396" t="inlineStr">
        <x:is>
          <x:t xml:space="preserve">SEC-D4-Q10-A1</x:t>
        </x:is>
      </x:c>
      <x:c r="D396" t="n">
        <x:v>1</x:v>
      </x:c>
      <x:c r="E396" t="inlineStr">
        <x:is>
          <x:t xml:space="preserve">No — high‑risk roles are not mapped; all users are treated the same.</x:t>
        </x:is>
      </x:c>
      <x:c r="F396" t="n">
        <x:v>0</x:v>
      </x:c>
      <x:c r="G396" t="inlineStr">
        <x:is>
          <x:t xml:space="preserve">visibility_gap</x:t>
        </x:is>
      </x:c>
      <x:c r="H396" t="inlineStr">
        <x:is>
          <x:t xml:space="preserve">Visibility Gap</x:t>
        </x:is>
      </x:c>
      <x:c r="I396" t="inlineStr">
        <x:is>
          <x:t xml:space="preserve">Improve_Visibility</x:t>
        </x:is>
      </x:c>
      <x:c r="J396" t="inlineStr">
        <x:is>
          <x:t xml:space="preserve">N</x:t>
        </x:is>
      </x:c>
    </x:row>
    <x:row r="397">
      <x:c r="A397" t="inlineStr">
        <x:is>
          <x:t xml:space="preserve">Security</x:t>
        </x:is>
      </x:c>
      <x:c r="B397" t="inlineStr">
        <x:is>
          <x:t xml:space="preserve">SEC-D4-Q10</x:t>
        </x:is>
      </x:c>
      <x:c r="C397" t="inlineStr">
        <x:is>
          <x:t xml:space="preserve">SEC-D4-Q10-A2</x:t>
        </x:is>
      </x:c>
      <x:c r="D397" t="n">
        <x:v>2</x:v>
      </x:c>
      <x:c r="E397" t="inlineStr">
        <x:is>
          <x:t xml:space="preserve">Partially — IT admins are known, but high‑risk business roles are not mapped.</x:t>
        </x:is>
      </x:c>
      <x:c r="F397" t="n">
        <x:v>2</x:v>
      </x:c>
      <x:c r="H397" t="inlineStr">
        <x:is>
          <x:t xml:space="preserve">Visibility Gap</x:t>
        </x:is>
      </x:c>
      <x:c r="I397" t="inlineStr">
        <x:is>
          <x:t xml:space="preserve">Improve_Visibility</x:t>
        </x:is>
      </x:c>
      <x:c r="J397" t="inlineStr">
        <x:is>
          <x:t xml:space="preserve">N</x:t>
        </x:is>
      </x:c>
    </x:row>
    <x:row r="398">
      <x:c r="A398" t="inlineStr">
        <x:is>
          <x:t xml:space="preserve">Security</x:t>
        </x:is>
      </x:c>
      <x:c r="B398" t="inlineStr">
        <x:is>
          <x:t xml:space="preserve">SEC-D4-Q10</x:t>
        </x:is>
      </x:c>
      <x:c r="C398" t="inlineStr">
        <x:is>
          <x:t xml:space="preserve">SEC-D4-Q10-A3</x:t>
        </x:is>
      </x:c>
      <x:c r="D398" t="n">
        <x:v>3</x:v>
      </x:c>
      <x:c r="E398" t="inlineStr">
        <x:is>
          <x:t xml:space="preserve">Yes — a list exists and extra monitoring/review is applied.</x:t>
        </x:is>
      </x:c>
      <x:c r="F398" t="n">
        <x:v>3</x:v>
      </x:c>
      <x:c r="H398" t="inlineStr">
        <x:is>
          <x:t xml:space="preserve">Visibility Gap</x:t>
        </x:is>
      </x:c>
      <x:c r="I398" t="inlineStr">
        <x:is>
          <x:t xml:space="preserve">Assess_Detection</x:t>
        </x:is>
      </x:c>
      <x:c r="J398" t="inlineStr">
        <x:is>
          <x:t xml:space="preserve">Y</x:t>
        </x:is>
      </x:c>
      <x:c r="K398" t="inlineStr">
        <x:is>
          <x:t xml:space="preserve">Role list (redacted) + monitoring approach.</x:t>
        </x:is>
      </x:c>
    </x:row>
    <x:row r="399">
      <x:c r="A399" t="inlineStr">
        <x:is>
          <x:t xml:space="preserve">Security</x:t>
        </x:is>
      </x:c>
      <x:c r="B399" t="inlineStr">
        <x:is>
          <x:t xml:space="preserve">SEC-D4-Q10</x:t>
        </x:is>
      </x:c>
      <x:c r="C399" t="inlineStr">
        <x:is>
          <x:t xml:space="preserve">SEC-D4-Q10-A4</x:t>
        </x:is>
      </x:c>
      <x:c r="D399" t="n">
        <x:v>4</x:v>
      </x:c>
      <x:c r="E399" t="inlineStr">
        <x:is>
          <x:t xml:space="preserve">Optimized — risk-tiered role model linked to access reviews and detections.</x:t>
        </x:is>
      </x:c>
      <x:c r="F399" t="n">
        <x:v>4</x:v>
      </x:c>
      <x:c r="H399" t="inlineStr">
        <x:is>
          <x:t xml:space="preserve">Visibility Gap</x:t>
        </x:is>
      </x:c>
      <x:c r="I399" t="inlineStr">
        <x:is>
          <x:t xml:space="preserve">Plan_Assurance</x:t>
        </x:is>
      </x:c>
      <x:c r="J399" t="inlineStr">
        <x:is>
          <x:t xml:space="preserve">Y</x:t>
        </x:is>
      </x:c>
      <x:c r="K399" t="inlineStr">
        <x:is>
          <x:t xml:space="preserve">Latest access review output (redacted).</x:t>
        </x:is>
      </x:c>
    </x:row>
    <x:row r="400">
      <x:c r="A400" t="inlineStr">
        <x:is>
          <x:t xml:space="preserve">Security</x:t>
        </x:is>
      </x:c>
      <x:c r="B400" t="inlineStr">
        <x:is>
          <x:t xml:space="preserve">SEC-D4-Q11</x:t>
        </x:is>
      </x:c>
      <x:c r="C400" t="inlineStr">
        <x:is>
          <x:t xml:space="preserve">SEC-D4-Q11-A1</x:t>
        </x:is>
      </x:c>
      <x:c r="D400" t="n">
        <x:v>1</x:v>
      </x:c>
      <x:c r="E400" t="inlineStr">
        <x:is>
          <x:t xml:space="preserve">No — it would take weeks or would be guesswork.</x:t>
        </x:is>
      </x:c>
      <x:c r="F400" t="n">
        <x:v>0</x:v>
      </x:c>
      <x:c r="G400" t="inlineStr">
        <x:is>
          <x:t xml:space="preserve">visibility_gap</x:t>
        </x:is>
      </x:c>
      <x:c r="H400" t="inlineStr">
        <x:is>
          <x:t xml:space="preserve">Visibility Gap</x:t>
        </x:is>
      </x:c>
      <x:c r="I400" t="inlineStr">
        <x:is>
          <x:t xml:space="preserve">Improve_Visibility</x:t>
        </x:is>
      </x:c>
      <x:c r="J400" t="inlineStr">
        <x:is>
          <x:t xml:space="preserve">N</x:t>
        </x:is>
      </x:c>
    </x:row>
    <x:row r="401">
      <x:c r="A401" t="inlineStr">
        <x:is>
          <x:t xml:space="preserve">Security</x:t>
        </x:is>
      </x:c>
      <x:c r="B401" t="inlineStr">
        <x:is>
          <x:t xml:space="preserve">SEC-D4-Q11</x:t>
        </x:is>
      </x:c>
      <x:c r="C401" t="inlineStr">
        <x:is>
          <x:t xml:space="preserve">SEC-D4-Q11-A2</x:t>
        </x:is>
      </x:c>
      <x:c r="D401" t="n">
        <x:v>2</x:v>
      </x:c>
      <x:c r="E401" t="inlineStr">
        <x:is>
          <x:t xml:space="preserve">Some managers know informally, but there is no reliable list.</x:t>
        </x:is>
      </x:c>
      <x:c r="F401" t="n">
        <x:v>2</x:v>
      </x:c>
      <x:c r="G401" t="inlineStr">
        <x:is>
          <x:t xml:space="preserve">shadow_mature_signal</x:t>
        </x:is>
      </x:c>
      <x:c r="H401" t="inlineStr">
        <x:is>
          <x:t xml:space="preserve">Visibility Gap</x:t>
        </x:is>
      </x:c>
      <x:c r="I401" t="inlineStr">
        <x:is>
          <x:t xml:space="preserve">Align_On_Crown_Jewels</x:t>
        </x:is>
      </x:c>
      <x:c r="J401" t="inlineStr">
        <x:is>
          <x:t xml:space="preserve">N</x:t>
        </x:is>
      </x:c>
    </x:row>
    <x:row r="402">
      <x:c r="A402" t="inlineStr">
        <x:is>
          <x:t xml:space="preserve">Security</x:t>
        </x:is>
      </x:c>
      <x:c r="B402" t="inlineStr">
        <x:is>
          <x:t xml:space="preserve">SEC-D4-Q11</x:t>
        </x:is>
      </x:c>
      <x:c r="C402" t="inlineStr">
        <x:is>
          <x:t xml:space="preserve">SEC-D4-Q11-A3</x:t>
        </x:is>
      </x:c>
      <x:c r="D402" t="n">
        <x:v>3</x:v>
      </x:c>
      <x:c r="E402" t="inlineStr">
        <x:is>
          <x:t xml:space="preserve">Yes — we can produce a list quickly from IAM/audit data.</x:t>
        </x:is>
      </x:c>
      <x:c r="F402" t="n">
        <x:v>3</x:v>
      </x:c>
      <x:c r="H402" t="inlineStr">
        <x:is>
          <x:t xml:space="preserve">Visibility Gap</x:t>
        </x:is>
      </x:c>
      <x:c r="I402" t="inlineStr">
        <x:is>
          <x:t xml:space="preserve">Improve_Visibility</x:t>
        </x:is>
      </x:c>
      <x:c r="J402" t="inlineStr">
        <x:is>
          <x:t xml:space="preserve">Y</x:t>
        </x:is>
      </x:c>
      <x:c r="K402" t="inlineStr">
        <x:is>
          <x:t xml:space="preserve">Sample access export (redacted).</x:t>
        </x:is>
      </x:c>
    </x:row>
    <x:row r="403">
      <x:c r="A403" t="inlineStr">
        <x:is>
          <x:t xml:space="preserve">Security</x:t>
        </x:is>
      </x:c>
      <x:c r="B403" t="inlineStr">
        <x:is>
          <x:t xml:space="preserve">SEC-D4-Q12</x:t>
        </x:is>
      </x:c>
      <x:c r="C403" t="inlineStr">
        <x:is>
          <x:t xml:space="preserve">SEC-D4-Q12-A1</x:t>
        </x:is>
      </x:c>
      <x:c r="D403" t="n">
        <x:v>1</x:v>
      </x:c>
      <x:c r="E403" t="inlineStr">
        <x:is>
          <x:t xml:space="preserve">Privileged logs are not reviewed; admins are effectively exempt.</x:t>
        </x:is>
      </x:c>
      <x:c r="F403" t="n">
        <x:v>0</x:v>
      </x:c>
      <x:c r="G403" t="inlineStr">
        <x:is>
          <x:t xml:space="preserve">paper_dragon_signal</x:t>
        </x:is>
      </x:c>
      <x:c r="H403" t="inlineStr">
        <x:is>
          <x:t xml:space="preserve">Paper Dragon</x:t>
        </x:is>
      </x:c>
      <x:c r="I403" t="inlineStr">
        <x:is>
          <x:t xml:space="preserve">Assess_Detection</x:t>
        </x:is>
      </x:c>
      <x:c r="J403" t="inlineStr">
        <x:is>
          <x:t xml:space="preserve">N</x:t>
        </x:is>
      </x:c>
    </x:row>
    <x:row r="404">
      <x:c r="A404" t="inlineStr">
        <x:is>
          <x:t xml:space="preserve">Security</x:t>
        </x:is>
      </x:c>
      <x:c r="B404" t="inlineStr">
        <x:is>
          <x:t xml:space="preserve">SEC-D4-Q12</x:t>
        </x:is>
      </x:c>
      <x:c r="C404" t="inlineStr">
        <x:is>
          <x:t xml:space="preserve">SEC-D4-Q12-A2</x:t>
        </x:is>
      </x:c>
      <x:c r="D404" t="n">
        <x:v>2</x:v>
      </x:c>
      <x:c r="E404" t="inlineStr">
        <x:is>
          <x:t xml:space="preserve">Logs exist but are reviewed only after incidents.</x:t>
        </x:is>
      </x:c>
      <x:c r="F404" t="n">
        <x:v>1</x:v>
      </x:c>
      <x:c r="G404" t="inlineStr">
        <x:is>
          <x:t xml:space="preserve">paper_dragon_signal</x:t>
        </x:is>
      </x:c>
      <x:c r="H404" t="inlineStr">
        <x:is>
          <x:t xml:space="preserve">Paper Dragon</x:t>
        </x:is>
      </x:c>
      <x:c r="I404" t="inlineStr">
        <x:is>
          <x:t xml:space="preserve">Assess_Detection</x:t>
        </x:is>
      </x:c>
      <x:c r="J404" t="inlineStr">
        <x:is>
          <x:t xml:space="preserve">N</x:t>
        </x:is>
      </x:c>
    </x:row>
    <x:row r="405">
      <x:c r="A405" t="inlineStr">
        <x:is>
          <x:t xml:space="preserve">Security</x:t>
        </x:is>
      </x:c>
      <x:c r="B405" t="inlineStr">
        <x:is>
          <x:t xml:space="preserve">SEC-D4-Q12</x:t>
        </x:is>
      </x:c>
      <x:c r="C405" t="inlineStr">
        <x:is>
          <x:t xml:space="preserve">SEC-D4-Q12-A3</x:t>
        </x:is>
      </x:c>
      <x:c r="D405" t="n">
        <x:v>3</x:v>
      </x:c>
      <x:c r="E405" t="inlineStr">
        <x:is>
          <x:t xml:space="preserve">Regular review exists, but it depends on the same admins who have the access.</x:t>
        </x:is>
      </x:c>
      <x:c r="F405" t="n">
        <x:v>2</x:v>
      </x:c>
      <x:c r="H405" t="inlineStr">
        <x:is>
          <x:t xml:space="preserve">Operating Model Gap</x:t>
        </x:is>
      </x:c>
      <x:c r="I405" t="inlineStr">
        <x:is>
          <x:t xml:space="preserve">Align_Policy_To_Reality</x:t>
        </x:is>
      </x:c>
      <x:c r="J405" t="inlineStr">
        <x:is>
          <x:t xml:space="preserve">N</x:t>
        </x:is>
      </x:c>
    </x:row>
    <x:row r="406">
      <x:c r="A406" t="inlineStr">
        <x:is>
          <x:t xml:space="preserve">Security</x:t>
        </x:is>
      </x:c>
      <x:c r="B406" t="inlineStr">
        <x:is>
          <x:t xml:space="preserve">SEC-D4-Q12</x:t>
        </x:is>
      </x:c>
      <x:c r="C406" t="inlineStr">
        <x:is>
          <x:t xml:space="preserve">SEC-D4-Q12-A4</x:t>
        </x:is>
      </x:c>
      <x:c r="D406" t="n">
        <x:v>4</x:v>
      </x:c>
      <x:c r="E406" t="inlineStr">
        <x:is>
          <x:t xml:space="preserve">Independent review by Security (or separate team) for high‑risk privileged actions.</x:t>
        </x:is>
      </x:c>
      <x:c r="F406" t="n">
        <x:v>3</x:v>
      </x:c>
      <x:c r="H406" t="inlineStr">
        <x:is>
          <x:t xml:space="preserve">Resilience Gap</x:t>
        </x:is>
      </x:c>
      <x:c r="I406" t="inlineStr">
        <x:is>
          <x:t xml:space="preserve">Plan_Assurance</x:t>
        </x:is>
      </x:c>
      <x:c r="J406" t="inlineStr">
        <x:is>
          <x:t xml:space="preserve">Y</x:t>
        </x:is>
      </x:c>
      <x:c r="K406" t="inlineStr">
        <x:is>
          <x:t xml:space="preserve">Review evidence (redacted).</x:t>
        </x:is>
      </x:c>
    </x:row>
    <x:row r="407">
      <x:c r="A407" t="inlineStr">
        <x:is>
          <x:t xml:space="preserve">Security</x:t>
        </x:is>
      </x:c>
      <x:c r="B407" t="inlineStr">
        <x:is>
          <x:t xml:space="preserve">SEC-D4-Q12</x:t>
        </x:is>
      </x:c>
      <x:c r="C407" t="inlineStr">
        <x:is>
          <x:t xml:space="preserve">SEC-D4-Q12-A5</x:t>
        </x:is>
      </x:c>
      <x:c r="D407" t="n">
        <x:v>5</x:v>
      </x:c>
      <x:c r="E407" t="inlineStr">
        <x:is>
          <x:t xml:space="preserve">Optimized: tiered privileged monitoring + 'four‑eyes' for critical actions + anomaly alerting.</x:t>
        </x:is>
      </x:c>
      <x:c r="F407" t="n">
        <x:v>4</x:v>
      </x:c>
      <x:c r="H407" t="inlineStr">
        <x:is>
          <x:t xml:space="preserve">Resilience Gap</x:t>
        </x:is>
      </x:c>
      <x:c r="I407" t="inlineStr">
        <x:is>
          <x:t xml:space="preserve">Plan_Assurance</x:t>
        </x:is>
      </x:c>
      <x:c r="J407" t="inlineStr">
        <x:is>
          <x:t xml:space="preserve">Y</x:t>
        </x:is>
      </x:c>
      <x:c r="K407" t="inlineStr">
        <x:is>
          <x:t xml:space="preserve">Covered actions list + sample alert.</x:t>
        </x:is>
      </x:c>
    </x:row>
    <x:row r="408">
      <x:c r="A408" t="inlineStr">
        <x:is>
          <x:t xml:space="preserve">Security</x:t>
        </x:is>
      </x:c>
      <x:c r="B408" t="inlineStr">
        <x:is>
          <x:t xml:space="preserve">SEC-D5-Q13</x:t>
        </x:is>
      </x:c>
      <x:c r="C408" t="inlineStr">
        <x:is>
          <x:t xml:space="preserve">SEC-D5-Q13-A1</x:t>
        </x:is>
      </x:c>
      <x:c r="D408" t="n">
        <x:v>1</x:v>
      </x:c>
      <x:c r="E408" t="inlineStr">
        <x:is>
          <x:t xml:space="preserve">No — each case is handled differently and coordination is ad‑hoc.</x:t>
        </x:is>
      </x:c>
      <x:c r="F408" t="n">
        <x:v>0</x:v>
      </x:c>
      <x:c r="H408" t="inlineStr">
        <x:is>
          <x:t xml:space="preserve">Operating Model Gap</x:t>
        </x:is>
      </x:c>
      <x:c r="I408" t="inlineStr">
        <x:is>
          <x:t xml:space="preserve">Assess_Case_Model</x:t>
        </x:is>
      </x:c>
      <x:c r="J408" t="inlineStr">
        <x:is>
          <x:t xml:space="preserve">N</x:t>
        </x:is>
      </x:c>
    </x:row>
    <x:row r="409">
      <x:c r="A409" t="inlineStr">
        <x:is>
          <x:t xml:space="preserve">Security</x:t>
        </x:is>
      </x:c>
      <x:c r="B409" t="inlineStr">
        <x:is>
          <x:t xml:space="preserve">SEC-D5-Q13</x:t>
        </x:is>
      </x:c>
      <x:c r="C409" t="inlineStr">
        <x:is>
          <x:t xml:space="preserve">SEC-D5-Q13-A2</x:t>
        </x:is>
      </x:c>
      <x:c r="D409" t="n">
        <x:v>2</x:v>
      </x:c>
      <x:c r="E409" t="inlineStr">
        <x:is>
          <x:t xml:space="preserve">Some coordination happens, but roles/timelines are unclear and decisions stall.</x:t>
        </x:is>
      </x:c>
      <x:c r="F409" t="n">
        <x:v>2</x:v>
      </x:c>
      <x:c r="H409" t="inlineStr">
        <x:is>
          <x:t xml:space="preserve">Operating Model Gap</x:t>
        </x:is>
      </x:c>
      <x:c r="I409" t="inlineStr">
        <x:is>
          <x:t xml:space="preserve">Assess_Case_Model</x:t>
        </x:is>
      </x:c>
      <x:c r="J409" t="inlineStr">
        <x:is>
          <x:t xml:space="preserve">N</x:t>
        </x:is>
      </x:c>
    </x:row>
    <x:row r="410">
      <x:c r="A410" t="inlineStr">
        <x:is>
          <x:t xml:space="preserve">Security</x:t>
        </x:is>
      </x:c>
      <x:c r="B410" t="inlineStr">
        <x:is>
          <x:t xml:space="preserve">SEC-D5-Q13</x:t>
        </x:is>
      </x:c>
      <x:c r="C410" t="inlineStr">
        <x:is>
          <x:t xml:space="preserve">SEC-D5-Q13-A3</x:t>
        </x:is>
      </x:c>
      <x:c r="D410" t="n">
        <x:v>3</x:v>
      </x:c>
      <x:c r="E410" t="inlineStr">
        <x:is>
          <x:t xml:space="preserve">Yes — defined process and named contacts exist and are used for most cases.</x:t>
        </x:is>
      </x:c>
      <x:c r="F410" t="n">
        <x:v>3</x:v>
      </x:c>
      <x:c r="H410" t="inlineStr">
        <x:is>
          <x:t xml:space="preserve">Resilience Gap</x:t>
        </x:is>
      </x:c>
      <x:c r="I410" t="inlineStr">
        <x:is>
          <x:t xml:space="preserve">Insider_Playbooks</x:t>
        </x:is>
      </x:c>
      <x:c r="J410" t="inlineStr">
        <x:is>
          <x:t xml:space="preserve">Y</x:t>
        </x:is>
      </x:c>
      <x:c r="K410" t="inlineStr">
        <x:is>
          <x:t xml:space="preserve">Process doc + recent case timeline (redacted).</x:t>
        </x:is>
      </x:c>
    </x:row>
    <x:row r="411">
      <x:c r="A411" t="inlineStr">
        <x:is>
          <x:t xml:space="preserve">Security</x:t>
        </x:is>
      </x:c>
      <x:c r="B411" t="inlineStr">
        <x:is>
          <x:t xml:space="preserve">SEC-D5-Q13</x:t>
        </x:is>
      </x:c>
      <x:c r="C411" t="inlineStr">
        <x:is>
          <x:t xml:space="preserve">SEC-D5-Q13-A4</x:t>
        </x:is>
      </x:c>
      <x:c r="D411" t="n">
        <x:v>4</x:v>
      </x:c>
      <x:c r="E411" t="inlineStr">
        <x:is>
          <x:t xml:space="preserve">Optimized: unified case management with auditable decisions and periodic reviews.</x:t>
        </x:is>
      </x:c>
      <x:c r="F411" t="n">
        <x:v>4</x:v>
      </x:c>
      <x:c r="H411" t="inlineStr">
        <x:is>
          <x:t xml:space="preserve">Resilience Gap</x:t>
        </x:is>
      </x:c>
      <x:c r="I411" t="inlineStr">
        <x:is>
          <x:t xml:space="preserve">Improve_Metrics</x:t>
        </x:is>
      </x:c>
      <x:c r="J411" t="inlineStr">
        <x:is>
          <x:t xml:space="preserve">Y</x:t>
        </x:is>
      </x:c>
      <x:c r="K411" t="inlineStr">
        <x:is>
          <x:t xml:space="preserve">Case system screenshot (redacted).</x:t>
        </x:is>
      </x:c>
    </x:row>
    <x:row r="412">
      <x:c r="A412" t="inlineStr">
        <x:is>
          <x:t xml:space="preserve">Security</x:t>
        </x:is>
      </x:c>
      <x:c r="B412" t="inlineStr">
        <x:is>
          <x:t xml:space="preserve">SEC-D5-Q14</x:t>
        </x:is>
      </x:c>
      <x:c r="C412" t="inlineStr">
        <x:is>
          <x:t xml:space="preserve">SEC-D5-Q14-A1</x:t>
        </x:is>
      </x:c>
      <x:c r="D412" t="n">
        <x:v>1</x:v>
      </x:c>
      <x:c r="E412" t="inlineStr">
        <x:is>
          <x:t xml:space="preserve">No — it depends on personal networks and availability.</x:t>
        </x:is>
      </x:c>
      <x:c r="F412" t="n">
        <x:v>0</x:v>
      </x:c>
      <x:c r="G412" t="inlineStr">
        <x:is>
          <x:t xml:space="preserve">shadow_mature_signal</x:t>
        </x:is>
      </x:c>
      <x:c r="H412" t="inlineStr">
        <x:is>
          <x:t xml:space="preserve">Shadow Mature</x:t>
        </x:is>
      </x:c>
      <x:c r="I412" t="inlineStr">
        <x:is>
          <x:t xml:space="preserve">Capture_Informal_Practices</x:t>
        </x:is>
      </x:c>
      <x:c r="J412" t="inlineStr">
        <x:is>
          <x:t xml:space="preserve">N</x:t>
        </x:is>
      </x:c>
    </x:row>
    <x:row r="413">
      <x:c r="A413" t="inlineStr">
        <x:is>
          <x:t xml:space="preserve">Security</x:t>
        </x:is>
      </x:c>
      <x:c r="B413" t="inlineStr">
        <x:is>
          <x:t xml:space="preserve">SEC-D5-Q14</x:t>
        </x:is>
      </x:c>
      <x:c r="C413" t="inlineStr">
        <x:is>
          <x:t xml:space="preserve">SEC-D5-Q14-A2</x:t>
        </x:is>
      </x:c>
      <x:c r="D413" t="n">
        <x:v>2</x:v>
      </x:c>
      <x:c r="E413" t="inlineStr">
        <x:is>
          <x:t xml:space="preserve">Sometimes — key people exist, but coverage is inconsistent.</x:t>
        </x:is>
      </x:c>
      <x:c r="F413" t="n">
        <x:v>2</x:v>
      </x:c>
      <x:c r="G413" t="inlineStr">
        <x:is>
          <x:t xml:space="preserve">shadow_mature_signal</x:t>
        </x:is>
      </x:c>
      <x:c r="H413" t="inlineStr">
        <x:is>
          <x:t xml:space="preserve">Shadow Mature</x:t>
        </x:is>
      </x:c>
      <x:c r="I413" t="inlineStr">
        <x:is>
          <x:t xml:space="preserve">Align_Policy_To_Reality</x:t>
        </x:is>
      </x:c>
      <x:c r="J413" t="inlineStr">
        <x:is>
          <x:t xml:space="preserve">N</x:t>
        </x:is>
      </x:c>
    </x:row>
    <x:row r="414">
      <x:c r="A414" t="inlineStr">
        <x:is>
          <x:t xml:space="preserve">Security</x:t>
        </x:is>
      </x:c>
      <x:c r="B414" t="inlineStr">
        <x:is>
          <x:t xml:space="preserve">SEC-D5-Q14</x:t>
        </x:is>
      </x:c>
      <x:c r="C414" t="inlineStr">
        <x:is>
          <x:t xml:space="preserve">SEC-D5-Q14-A3</x:t>
        </x:is>
      </x:c>
      <x:c r="D414" t="n">
        <x:v>3</x:v>
      </x:c>
      <x:c r="E414" t="inlineStr">
        <x:is>
          <x:t xml:space="preserve">Yes — an informal but reliable contact pattern exists (e.g., on‑call list).</x:t>
        </x:is>
      </x:c>
      <x:c r="F414" t="n">
        <x:v>3</x:v>
      </x:c>
      <x:c r="G414" t="inlineStr">
        <x:is>
          <x:t xml:space="preserve">shadow_mature_signal</x:t>
        </x:is>
      </x:c>
      <x:c r="H414" t="inlineStr">
        <x:is>
          <x:t xml:space="preserve">Shadow Mature</x:t>
        </x:is>
      </x:c>
      <x:c r="I414" t="inlineStr">
        <x:is>
          <x:t xml:space="preserve">Capture_Informal_Practices</x:t>
        </x:is>
      </x:c>
      <x:c r="J414" t="inlineStr">
        <x:is>
          <x:t xml:space="preserve">Y</x:t>
        </x:is>
      </x:c>
      <x:c r="K414" t="inlineStr">
        <x:is>
          <x:t xml:space="preserve">Contact list/on‑call rota (redacted).</x:t>
        </x:is>
      </x:c>
    </x:row>
    <x:row r="415">
      <x:c r="A415" t="inlineStr">
        <x:is>
          <x:t xml:space="preserve">Security</x:t>
        </x:is>
      </x:c>
      <x:c r="B415" t="inlineStr">
        <x:is>
          <x:t xml:space="preserve">SEC-D5-Q15</x:t>
        </x:is>
      </x:c>
      <x:c r="C415" t="inlineStr">
        <x:is>
          <x:t xml:space="preserve">SEC-D5-Q15-A1</x:t>
        </x:is>
      </x:c>
      <x:c r="D415" t="n">
        <x:v>1</x:v>
      </x:c>
      <x:c r="E415" t="inlineStr">
        <x:is>
          <x:t xml:space="preserve">We don’t have safeguards; decisions are made by whoever raises the concern.</x:t>
        </x:is>
      </x:c>
      <x:c r="F415" t="n">
        <x:v>0</x:v>
      </x:c>
      <x:c r="G415" t="inlineStr">
        <x:is>
          <x:t xml:space="preserve">toxic_enforcer_signal</x:t>
        </x:is>
      </x:c>
      <x:c r="H415" t="inlineStr">
        <x:is>
          <x:t xml:space="preserve">Toxic Enforcer</x:t>
        </x:is>
      </x:c>
      <x:c r="I415" t="inlineStr">
        <x:is>
          <x:t xml:space="preserve">Add_Appeals_Process</x:t>
        </x:is>
      </x:c>
      <x:c r="J415" t="inlineStr">
        <x:is>
          <x:t xml:space="preserve">N</x:t>
        </x:is>
      </x:c>
    </x:row>
    <x:row r="416">
      <x:c r="A416" t="inlineStr">
        <x:is>
          <x:t xml:space="preserve">Security</x:t>
        </x:is>
      </x:c>
      <x:c r="B416" t="inlineStr">
        <x:is>
          <x:t xml:space="preserve">SEC-D5-Q15</x:t>
        </x:is>
      </x:c>
      <x:c r="C416" t="inlineStr">
        <x:is>
          <x:t xml:space="preserve">SEC-D5-Q15-A2</x:t>
        </x:is>
      </x:c>
      <x:c r="D416" t="n">
        <x:v>2</x:v>
      </x:c>
      <x:c r="E416" t="inlineStr">
        <x:is>
          <x:t xml:space="preserve">Some safeguards exist, but they are informal and not documented.</x:t>
        </x:is>
      </x:c>
      <x:c r="F416" t="n">
        <x:v>1</x:v>
      </x:c>
      <x:c r="H416" t="inlineStr">
        <x:is>
          <x:t xml:space="preserve">Operating Model Gap</x:t>
        </x:is>
      </x:c>
      <x:c r="I416" t="inlineStr">
        <x:is>
          <x:t xml:space="preserve">Add_Appeals_Process</x:t>
        </x:is>
      </x:c>
      <x:c r="J416" t="inlineStr">
        <x:is>
          <x:t xml:space="preserve">N</x:t>
        </x:is>
      </x:c>
    </x:row>
    <x:row r="417">
      <x:c r="A417" t="inlineStr">
        <x:is>
          <x:t xml:space="preserve">Security</x:t>
        </x:is>
      </x:c>
      <x:c r="B417" t="inlineStr">
        <x:is>
          <x:t xml:space="preserve">SEC-D5-Q15</x:t>
        </x:is>
      </x:c>
      <x:c r="C417" t="inlineStr">
        <x:is>
          <x:t xml:space="preserve">SEC-D5-Q15-A3</x:t>
        </x:is>
      </x:c>
      <x:c r="D417" t="n">
        <x:v>3</x:v>
      </x:c>
      <x:c r="E417" t="inlineStr">
        <x:is>
          <x:t xml:space="preserve">Decisions and evidence are documented; HR/Legal review is common for serious cases.</x:t>
        </x:is>
      </x:c>
      <x:c r="F417" t="n">
        <x:v>3</x:v>
      </x:c>
      <x:c r="H417" t="inlineStr">
        <x:is>
          <x:t xml:space="preserve">Legal Exposure</x:t>
        </x:is>
      </x:c>
      <x:c r="I417" t="inlineStr">
        <x:is>
          <x:t xml:space="preserve">Assess_Evidence_Handling</x:t>
        </x:is>
      </x:c>
      <x:c r="J417" t="inlineStr">
        <x:is>
          <x:t xml:space="preserve">Y</x:t>
        </x:is>
      </x:c>
      <x:c r="K417" t="inlineStr">
        <x:is>
          <x:t xml:space="preserve">Sample redacted decision memo.</x:t>
        </x:is>
      </x:c>
    </x:row>
    <x:row r="418">
      <x:c r="A418" t="inlineStr">
        <x:is>
          <x:t xml:space="preserve">Security</x:t>
        </x:is>
      </x:c>
      <x:c r="B418" t="inlineStr">
        <x:is>
          <x:t xml:space="preserve">SEC-D5-Q15</x:t>
        </x:is>
      </x:c>
      <x:c r="C418" t="inlineStr">
        <x:is>
          <x:t xml:space="preserve">SEC-D5-Q15-A4</x:t>
        </x:is>
      </x:c>
      <x:c r="D418" t="n">
        <x:v>4</x:v>
      </x:c>
      <x:c r="E418" t="inlineStr">
        <x:is>
          <x:t xml:space="preserve">Optimized: standardized criteria, auditable approvals, and independent review for higher‑impact actions.</x:t>
        </x:is>
      </x:c>
      <x:c r="F418" t="n">
        <x:v>4</x:v>
      </x:c>
      <x:c r="H418" t="inlineStr">
        <x:is>
          <x:t xml:space="preserve">Legal Exposure</x:t>
        </x:is>
      </x:c>
      <x:c r="I418" t="inlineStr">
        <x:is>
          <x:t xml:space="preserve">Legal_Defensibility_Audit</x:t>
        </x:is>
      </x:c>
      <x:c r="J418" t="inlineStr">
        <x:is>
          <x:t xml:space="preserve">Y</x:t>
        </x:is>
      </x:c>
      <x:c r="K418" t="inlineStr">
        <x:is>
          <x:t xml:space="preserve">Criteria + audit evidence.</x:t>
        </x:is>
      </x:c>
    </x:row>
    <x:row r="419">
      <x:c r="A419" t="inlineStr">
        <x:is>
          <x:t xml:space="preserve">Security</x:t>
        </x:is>
      </x:c>
      <x:c r="B419" t="inlineStr">
        <x:is>
          <x:t xml:space="preserve">SEC-D6-Q16</x:t>
        </x:is>
      </x:c>
      <x:c r="C419" t="inlineStr">
        <x:is>
          <x:t xml:space="preserve">SEC-D6-Q16-A1</x:t>
        </x:is>
      </x:c>
      <x:c r="D419" t="n">
        <x:v>1</x:v>
      </x:c>
      <x:c r="E419" t="inlineStr">
        <x:is>
          <x:t xml:space="preserve">No — steps are manual and slow; approvals are unclear.</x:t>
        </x:is>
      </x:c>
      <x:c r="F419" t="n">
        <x:v>0</x:v>
      </x:c>
      <x:c r="H419" t="inlineStr">
        <x:is>
          <x:t xml:space="preserve">Resilience Gap</x:t>
        </x:is>
      </x:c>
      <x:c r="I419" t="inlineStr">
        <x:is>
          <x:t xml:space="preserve">Insider_Playbooks</x:t>
        </x:is>
      </x:c>
      <x:c r="J419" t="inlineStr">
        <x:is>
          <x:t xml:space="preserve">N</x:t>
        </x:is>
      </x:c>
    </x:row>
    <x:row r="420">
      <x:c r="A420" t="inlineStr">
        <x:is>
          <x:t xml:space="preserve">Security</x:t>
        </x:is>
      </x:c>
      <x:c r="B420" t="inlineStr">
        <x:is>
          <x:t xml:space="preserve">SEC-D6-Q16</x:t>
        </x:is>
      </x:c>
      <x:c r="C420" t="inlineStr">
        <x:is>
          <x:t xml:space="preserve">SEC-D6-Q16-A2</x:t>
        </x:is>
      </x:c>
      <x:c r="D420" t="n">
        <x:v>2</x:v>
      </x:c>
      <x:c r="E420" t="inlineStr">
        <x:is>
          <x:t xml:space="preserve">Partially — we can disable accounts, but it is risky and may disrupt operations.</x:t>
        </x:is>
      </x:c>
      <x:c r="F420" t="n">
        <x:v>2</x:v>
      </x:c>
      <x:c r="H420" t="inlineStr">
        <x:is>
          <x:t xml:space="preserve">Resilience Gap</x:t>
        </x:is>
      </x:c>
      <x:c r="I420" t="inlineStr">
        <x:is>
          <x:t xml:space="preserve">Insider_Playbooks</x:t>
        </x:is>
      </x:c>
      <x:c r="J420" t="inlineStr">
        <x:is>
          <x:t xml:space="preserve">N</x:t>
        </x:is>
      </x:c>
    </x:row>
    <x:row r="421">
      <x:c r="A421" t="inlineStr">
        <x:is>
          <x:t xml:space="preserve">Security</x:t>
        </x:is>
      </x:c>
      <x:c r="B421" t="inlineStr">
        <x:is>
          <x:t xml:space="preserve">SEC-D6-Q16</x:t>
        </x:is>
      </x:c>
      <x:c r="C421" t="inlineStr">
        <x:is>
          <x:t xml:space="preserve">SEC-D6-Q16-A3</x:t>
        </x:is>
      </x:c>
      <x:c r="D421" t="n">
        <x:v>3</x:v>
      </x:c>
      <x:c r="E421" t="inlineStr">
        <x:is>
          <x:t xml:space="preserve">Yes — a documented rapid response path exists with audit logs and defined approvals.</x:t>
        </x:is>
      </x:c>
      <x:c r="F421" t="n">
        <x:v>3</x:v>
      </x:c>
      <x:c r="H421" t="inlineStr">
        <x:is>
          <x:t xml:space="preserve">Resilience Gap</x:t>
        </x:is>
      </x:c>
      <x:c r="I421" t="inlineStr">
        <x:is>
          <x:t xml:space="preserve">Insider_Playbooks</x:t>
        </x:is>
      </x:c>
      <x:c r="J421" t="inlineStr">
        <x:is>
          <x:t xml:space="preserve">Y</x:t>
        </x:is>
      </x:c>
      <x:c r="K421" t="inlineStr">
        <x:is>
          <x:t xml:space="preserve">Playbook excerpt + recent use (redacted).</x:t>
        </x:is>
      </x:c>
    </x:row>
    <x:row r="422">
      <x:c r="A422" t="inlineStr">
        <x:is>
          <x:t xml:space="preserve">Security</x:t>
        </x:is>
      </x:c>
      <x:c r="B422" t="inlineStr">
        <x:is>
          <x:t xml:space="preserve">SEC-D6-Q16</x:t>
        </x:is>
      </x:c>
      <x:c r="C422" t="inlineStr">
        <x:is>
          <x:t xml:space="preserve">SEC-D6-Q16-A4</x:t>
        </x:is>
      </x:c>
      <x:c r="D422" t="n">
        <x:v>4</x:v>
      </x:c>
      <x:c r="E422" t="inlineStr">
        <x:is>
          <x:t xml:space="preserve">Optimized — automated containment exists for defined scenarios with human oversight.</x:t>
        </x:is>
      </x:c>
      <x:c r="F422" t="n">
        <x:v>4</x:v>
      </x:c>
      <x:c r="H422" t="inlineStr">
        <x:is>
          <x:t xml:space="preserve">Resilience Gap</x:t>
        </x:is>
      </x:c>
      <x:c r="I422" t="inlineStr">
        <x:is>
          <x:t xml:space="preserve">Build_Detection_Strategy</x:t>
        </x:is>
      </x:c>
      <x:c r="J422" t="inlineStr">
        <x:is>
          <x:t xml:space="preserve">Y</x:t>
        </x:is>
      </x:c>
      <x:c r="K422" t="inlineStr">
        <x:is>
          <x:t xml:space="preserve">SOAR/playbook list.</x:t>
        </x:is>
      </x:c>
    </x:row>
    <x:row r="423">
      <x:c r="A423" t="inlineStr">
        <x:is>
          <x:t xml:space="preserve">Security</x:t>
        </x:is>
      </x:c>
      <x:c r="B423" t="inlineStr">
        <x:is>
          <x:t xml:space="preserve">SEC-D6-Q17</x:t>
        </x:is>
      </x:c>
      <x:c r="C423" t="inlineStr">
        <x:is>
          <x:t xml:space="preserve">SEC-D6-Q17-A1</x:t>
        </x:is>
      </x:c>
      <x:c r="D423" t="n">
        <x:v>1</x:v>
      </x:c>
      <x:c r="E423" t="inlineStr">
        <x:is>
          <x:t xml:space="preserve">No — approvals are unclear; teams hesitate to act.</x:t>
        </x:is>
      </x:c>
      <x:c r="F423" t="n">
        <x:v>0</x:v>
      </x:c>
      <x:c r="G423" t="inlineStr">
        <x:is>
          <x:t xml:space="preserve">control_lag_high</x:t>
        </x:is>
      </x:c>
      <x:c r="H423" t="inlineStr">
        <x:is>
          <x:t xml:space="preserve">Control Lag</x:t>
        </x:is>
      </x:c>
      <x:c r="I423" t="inlineStr">
        <x:is>
          <x:t xml:space="preserve">Measure_Control_Lag</x:t>
        </x:is>
      </x:c>
      <x:c r="J423" t="inlineStr">
        <x:is>
          <x:t xml:space="preserve">N</x:t>
        </x:is>
      </x:c>
    </x:row>
    <x:row r="424">
      <x:c r="A424" t="inlineStr">
        <x:is>
          <x:t xml:space="preserve">Security</x:t>
        </x:is>
      </x:c>
      <x:c r="B424" t="inlineStr">
        <x:is>
          <x:t xml:space="preserve">SEC-D6-Q17</x:t>
        </x:is>
      </x:c>
      <x:c r="C424" t="inlineStr">
        <x:is>
          <x:t xml:space="preserve">SEC-D6-Q17-A2</x:t>
        </x:is>
      </x:c>
      <x:c r="D424" t="n">
        <x:v>2</x:v>
      </x:c>
      <x:c r="E424" t="inlineStr">
        <x:is>
          <x:t xml:space="preserve">Sometimes — approval depends on who is available.</x:t>
        </x:is>
      </x:c>
      <x:c r="F424" t="n">
        <x:v>2</x:v>
      </x:c>
      <x:c r="G424" t="inlineStr">
        <x:is>
          <x:t xml:space="preserve">shadow_mature_signal</x:t>
        </x:is>
      </x:c>
      <x:c r="H424" t="inlineStr">
        <x:is>
          <x:t xml:space="preserve">Control Lag</x:t>
        </x:is>
      </x:c>
      <x:c r="I424" t="inlineStr">
        <x:is>
          <x:t xml:space="preserve">Capture_Informal_Practices</x:t>
        </x:is>
      </x:c>
      <x:c r="J424" t="inlineStr">
        <x:is>
          <x:t xml:space="preserve">N</x:t>
        </x:is>
      </x:c>
    </x:row>
    <x:row r="425">
      <x:c r="A425" t="inlineStr">
        <x:is>
          <x:t xml:space="preserve">Security</x:t>
        </x:is>
      </x:c>
      <x:c r="B425" t="inlineStr">
        <x:is>
          <x:t xml:space="preserve">SEC-D6-Q17</x:t>
        </x:is>
      </x:c>
      <x:c r="C425" t="inlineStr">
        <x:is>
          <x:t xml:space="preserve">SEC-D6-Q17-A3</x:t>
        </x:is>
      </x:c>
      <x:c r="D425" t="n">
        <x:v>3</x:v>
      </x:c>
      <x:c r="E425" t="inlineStr">
        <x:is>
          <x:t xml:space="preserve">Yes — a clear fast approval route exists for high‑risk actions.</x:t>
        </x:is>
      </x:c>
      <x:c r="F425" t="n">
        <x:v>3</x:v>
      </x:c>
      <x:c r="H425" t="inlineStr">
        <x:is>
          <x:t xml:space="preserve">Control Lag</x:t>
        </x:is>
      </x:c>
      <x:c r="I425" t="inlineStr">
        <x:is>
          <x:t xml:space="preserve">Measure_Control_Lag</x:t>
        </x:is>
      </x:c>
      <x:c r="J425" t="inlineStr">
        <x:is>
          <x:t xml:space="preserve">Y</x:t>
        </x:is>
      </x:c>
      <x:c r="K425" t="inlineStr">
        <x:is>
          <x:t xml:space="preserve">On‑call approval chain (redacted).</x:t>
        </x:is>
      </x:c>
    </x:row>
    <x:row r="426">
      <x:c r="A426" t="inlineStr">
        <x:is>
          <x:t xml:space="preserve">Security</x:t>
        </x:is>
      </x:c>
      <x:c r="B426" t="inlineStr">
        <x:is>
          <x:t xml:space="preserve">SEC-D6-Q18</x:t>
        </x:is>
      </x:c>
      <x:c r="C426" t="inlineStr">
        <x:is>
          <x:t xml:space="preserve">SEC-D6-Q18-A1</x:t>
        </x:is>
      </x:c>
      <x:c r="D426" t="n">
        <x:v>1</x:v>
      </x:c>
      <x:c r="E426" t="inlineStr">
        <x:is>
          <x:t xml:space="preserve">Containment is heavy-handed and often disrupts normal work.</x:t>
        </x:is>
      </x:c>
      <x:c r="F426" t="n">
        <x:v>0</x:v>
      </x:c>
      <x:c r="G426" t="inlineStr">
        <x:is>
          <x:t xml:space="preserve">bypass_pressure,toxic_enforcer_signal</x:t>
        </x:is>
      </x:c>
      <x:c r="H426" t="inlineStr">
        <x:is>
          <x:t xml:space="preserve">Bypass Pressure</x:t>
        </x:is>
      </x:c>
      <x:c r="I426" t="inlineStr">
        <x:is>
          <x:t xml:space="preserve">Assess_Friction</x:t>
        </x:is>
      </x:c>
      <x:c r="J426" t="inlineStr">
        <x:is>
          <x:t xml:space="preserve">N</x:t>
        </x:is>
      </x:c>
    </x:row>
    <x:row r="427">
      <x:c r="A427" t="inlineStr">
        <x:is>
          <x:t xml:space="preserve">Security</x:t>
        </x:is>
      </x:c>
      <x:c r="B427" t="inlineStr">
        <x:is>
          <x:t xml:space="preserve">SEC-D6-Q18</x:t>
        </x:is>
      </x:c>
      <x:c r="C427" t="inlineStr">
        <x:is>
          <x:t xml:space="preserve">SEC-D6-Q18-A2</x:t>
        </x:is>
      </x:c>
      <x:c r="D427" t="n">
        <x:v>2</x:v>
      </x:c>
      <x:c r="E427" t="inlineStr">
        <x:is>
          <x:t xml:space="preserve">We avoid acting because disruption risk is high.</x:t>
        </x:is>
      </x:c>
      <x:c r="F427" t="n">
        <x:v>1</x:v>
      </x:c>
      <x:c r="G427" t="inlineStr">
        <x:is>
          <x:t xml:space="preserve">paper_dragon_signal</x:t>
        </x:is>
      </x:c>
      <x:c r="H427" t="inlineStr">
        <x:is>
          <x:t xml:space="preserve">Paper Dragon</x:t>
        </x:is>
      </x:c>
      <x:c r="I427" t="inlineStr">
        <x:is>
          <x:t xml:space="preserve">Assess_Friction</x:t>
        </x:is>
      </x:c>
      <x:c r="J427" t="inlineStr">
        <x:is>
          <x:t xml:space="preserve">N</x:t>
        </x:is>
      </x:c>
    </x:row>
    <x:row r="428">
      <x:c r="A428" t="inlineStr">
        <x:is>
          <x:t xml:space="preserve">Security</x:t>
        </x:is>
      </x:c>
      <x:c r="B428" t="inlineStr">
        <x:is>
          <x:t xml:space="preserve">SEC-D6-Q18</x:t>
        </x:is>
      </x:c>
      <x:c r="C428" t="inlineStr">
        <x:is>
          <x:t xml:space="preserve">SEC-D6-Q18-A3</x:t>
        </x:is>
      </x:c>
      <x:c r="D428" t="n">
        <x:v>3</x:v>
      </x:c>
      <x:c r="E428" t="inlineStr">
        <x:is>
          <x:t xml:space="preserve">We can act with minimal disruption for most scenarios due to tuning and clear comms.</x:t>
        </x:is>
      </x:c>
      <x:c r="F428" t="n">
        <x:v>3</x:v>
      </x:c>
      <x:c r="H428" t="inlineStr">
        <x:is>
          <x:t xml:space="preserve">Bypass Pressure</x:t>
        </x:is>
      </x:c>
      <x:c r="I428" t="inlineStr">
        <x:is>
          <x:t xml:space="preserve">Measure_Friction</x:t>
        </x:is>
      </x:c>
      <x:c r="J428" t="inlineStr">
        <x:is>
          <x:t xml:space="preserve">N</x:t>
        </x:is>
      </x:c>
    </x:row>
    <x:row r="429">
      <x:c r="A429" t="inlineStr">
        <x:is>
          <x:t xml:space="preserve">Security</x:t>
        </x:is>
      </x:c>
      <x:c r="B429" t="inlineStr">
        <x:is>
          <x:t xml:space="preserve">SEC-D6-Q18</x:t>
        </x:is>
      </x:c>
      <x:c r="C429" t="inlineStr">
        <x:is>
          <x:t xml:space="preserve">SEC-D6-Q18-A4</x:t>
        </x:is>
      </x:c>
      <x:c r="D429" t="n">
        <x:v>4</x:v>
      </x:c>
      <x:c r="E429" t="inlineStr">
        <x:is>
          <x:t xml:space="preserve">Optimized: tiered containment with measured business impact and continuous improvement.</x:t>
        </x:is>
      </x:c>
      <x:c r="F429" t="n">
        <x:v>4</x:v>
      </x:c>
      <x:c r="H429" t="inlineStr">
        <x:is>
          <x:t xml:space="preserve">Bypass Pressure</x:t>
        </x:is>
      </x:c>
      <x:c r="I429" t="inlineStr">
        <x:is>
          <x:t xml:space="preserve">Measure_Friction</x:t>
        </x:is>
      </x:c>
      <x:c r="J429" t="inlineStr">
        <x:is>
          <x:t xml:space="preserve">Y</x:t>
        </x:is>
      </x:c>
      <x:c r="K429" t="inlineStr">
        <x:is>
          <x:t xml:space="preserve">Examples of tiered actions.</x:t>
        </x:is>
      </x:c>
    </x:row>
    <x:row r="430">
      <x:c r="A430" t="inlineStr">
        <x:is>
          <x:t xml:space="preserve">Security</x:t>
        </x:is>
      </x:c>
      <x:c r="B430" t="inlineStr">
        <x:is>
          <x:t xml:space="preserve">SEC-D7-Q19</x:t>
        </x:is>
      </x:c>
      <x:c r="C430" t="inlineStr">
        <x:is>
          <x:t xml:space="preserve">SEC-D7-Q19-A1</x:t>
        </x:is>
      </x:c>
      <x:c r="D430" t="n">
        <x:v>1</x:v>
      </x:c>
      <x:c r="E430" t="inlineStr">
        <x:is>
          <x:t xml:space="preserve">No — evidence is collected informally (screenshots/copies) with limited traceability.</x:t>
        </x:is>
      </x:c>
      <x:c r="F430" t="n">
        <x:v>0</x:v>
      </x:c>
      <x:c r="G430" t="inlineStr">
        <x:is>
          <x:t xml:space="preserve">legal_exposure</x:t>
        </x:is>
      </x:c>
      <x:c r="H430" t="inlineStr">
        <x:is>
          <x:t xml:space="preserve">Legal Exposure</x:t>
        </x:is>
      </x:c>
      <x:c r="I430" t="inlineStr">
        <x:is>
          <x:t xml:space="preserve">Assess_Evidence_Handling</x:t>
        </x:is>
      </x:c>
      <x:c r="J430" t="inlineStr">
        <x:is>
          <x:t xml:space="preserve">N</x:t>
        </x:is>
      </x:c>
    </x:row>
    <x:row r="431">
      <x:c r="A431" t="inlineStr">
        <x:is>
          <x:t xml:space="preserve">Security</x:t>
        </x:is>
      </x:c>
      <x:c r="B431" t="inlineStr">
        <x:is>
          <x:t xml:space="preserve">SEC-D7-Q19</x:t>
        </x:is>
      </x:c>
      <x:c r="C431" t="inlineStr">
        <x:is>
          <x:t xml:space="preserve">SEC-D7-Q19-A2</x:t>
        </x:is>
      </x:c>
      <x:c r="D431" t="n">
        <x:v>2</x:v>
      </x:c>
      <x:c r="E431" t="inlineStr">
        <x:is>
          <x:t xml:space="preserve">Partially — steps exist but are not consistent or not for all systems.</x:t>
        </x:is>
      </x:c>
      <x:c r="F431" t="n">
        <x:v>2</x:v>
      </x:c>
      <x:c r="H431" t="inlineStr">
        <x:is>
          <x:t xml:space="preserve">Legal Exposure</x:t>
        </x:is>
      </x:c>
      <x:c r="I431" t="inlineStr">
        <x:is>
          <x:t xml:space="preserve">Assess_Evidence_Handling</x:t>
        </x:is>
      </x:c>
      <x:c r="J431" t="inlineStr">
        <x:is>
          <x:t xml:space="preserve">N</x:t>
        </x:is>
      </x:c>
    </x:row>
    <x:row r="432">
      <x:c r="A432" t="inlineStr">
        <x:is>
          <x:t xml:space="preserve">Security</x:t>
        </x:is>
      </x:c>
      <x:c r="B432" t="inlineStr">
        <x:is>
          <x:t xml:space="preserve">SEC-D7-Q19</x:t>
        </x:is>
      </x:c>
      <x:c r="C432" t="inlineStr">
        <x:is>
          <x:t xml:space="preserve">SEC-D7-Q19-A3</x:t>
        </x:is>
      </x:c>
      <x:c r="D432" t="n">
        <x:v>3</x:v>
      </x:c>
      <x:c r="E432" t="inlineStr">
        <x:is>
          <x:t xml:space="preserve">Yes — chain of custody is documented and used for serious cases.</x:t>
        </x:is>
      </x:c>
      <x:c r="F432" t="n">
        <x:v>3</x:v>
      </x:c>
      <x:c r="H432" t="inlineStr">
        <x:is>
          <x:t xml:space="preserve">Legal Exposure</x:t>
        </x:is>
      </x:c>
      <x:c r="I432" t="inlineStr">
        <x:is>
          <x:t xml:space="preserve">Legal_Defensibility_Audit</x:t>
        </x:is>
      </x:c>
      <x:c r="J432" t="inlineStr">
        <x:is>
          <x:t xml:space="preserve">Y</x:t>
        </x:is>
      </x:c>
      <x:c r="K432" t="inlineStr">
        <x:is>
          <x:t xml:space="preserve">Template + sample (redacted).</x:t>
        </x:is>
      </x:c>
    </x:row>
    <x:row r="433">
      <x:c r="A433" t="inlineStr">
        <x:is>
          <x:t xml:space="preserve">Security</x:t>
        </x:is>
      </x:c>
      <x:c r="B433" t="inlineStr">
        <x:is>
          <x:t xml:space="preserve">SEC-D7-Q19</x:t>
        </x:is>
      </x:c>
      <x:c r="C433" t="inlineStr">
        <x:is>
          <x:t xml:space="preserve">SEC-D7-Q19-A4</x:t>
        </x:is>
      </x:c>
      <x:c r="D433" t="n">
        <x:v>4</x:v>
      </x:c>
      <x:c r="E433" t="inlineStr">
        <x:is>
          <x:t xml:space="preserve">Optimized — tamper‑resistant logs, controlled access, and periodic audits.</x:t>
        </x:is>
      </x:c>
      <x:c r="F433" t="n">
        <x:v>4</x:v>
      </x:c>
      <x:c r="H433" t="inlineStr">
        <x:is>
          <x:t xml:space="preserve">Legal Exposure</x:t>
        </x:is>
      </x:c>
      <x:c r="I433" t="inlineStr">
        <x:is>
          <x:t xml:space="preserve">Legal_Defensibility_Audit</x:t>
        </x:is>
      </x:c>
      <x:c r="J433" t="inlineStr">
        <x:is>
          <x:t xml:space="preserve">Y</x:t>
        </x:is>
      </x:c>
      <x:c r="K433" t="inlineStr">
        <x:is>
          <x:t xml:space="preserve">Audit evidence or control logs.</x:t>
        </x:is>
      </x:c>
    </x:row>
    <x:row r="434">
      <x:c r="A434" t="inlineStr">
        <x:is>
          <x:t xml:space="preserve">Security</x:t>
        </x:is>
      </x:c>
      <x:c r="B434" t="inlineStr">
        <x:is>
          <x:t xml:space="preserve">SEC-D7-Q20</x:t>
        </x:is>
      </x:c>
      <x:c r="C434" t="inlineStr">
        <x:is>
          <x:t xml:space="preserve">SEC-D7-Q20-A1</x:t>
        </x:is>
      </x:c>
      <x:c r="D434" t="n">
        <x:v>1</x:v>
      </x:c>
      <x:c r="E434" t="inlineStr">
        <x:is>
          <x:t xml:space="preserve">No — evidence gathering is slow and depends on who knows the systems.</x:t>
        </x:is>
      </x:c>
      <x:c r="F434" t="n">
        <x:v>0</x:v>
      </x:c>
      <x:c r="G434" t="inlineStr">
        <x:is>
          <x:t xml:space="preserve">shadow_mature_signal</x:t>
        </x:is>
      </x:c>
      <x:c r="H434" t="inlineStr">
        <x:is>
          <x:t xml:space="preserve">Shadow Mature</x:t>
        </x:is>
      </x:c>
      <x:c r="I434" t="inlineStr">
        <x:is>
          <x:t xml:space="preserve">Assess_Evidence_Handling</x:t>
        </x:is>
      </x:c>
      <x:c r="J434" t="inlineStr">
        <x:is>
          <x:t xml:space="preserve">N</x:t>
        </x:is>
      </x:c>
    </x:row>
    <x:row r="435">
      <x:c r="A435" t="inlineStr">
        <x:is>
          <x:t xml:space="preserve">Security</x:t>
        </x:is>
      </x:c>
      <x:c r="B435" t="inlineStr">
        <x:is>
          <x:t xml:space="preserve">SEC-D7-Q20</x:t>
        </x:is>
      </x:c>
      <x:c r="C435" t="inlineStr">
        <x:is>
          <x:t xml:space="preserve">SEC-D7-Q20-A2</x:t>
        </x:is>
      </x:c>
      <x:c r="D435" t="n">
        <x:v>2</x:v>
      </x:c>
      <x:c r="E435" t="inlineStr">
        <x:is>
          <x:t xml:space="preserve">Sometimes — we can retrieve evidence quickly for a few systems only.</x:t>
        </x:is>
      </x:c>
      <x:c r="F435" t="n">
        <x:v>2</x:v>
      </x:c>
      <x:c r="H435" t="inlineStr">
        <x:is>
          <x:t xml:space="preserve">Operating Model Gap</x:t>
        </x:is>
      </x:c>
      <x:c r="I435" t="inlineStr">
        <x:is>
          <x:t xml:space="preserve">Assess_Evidence_Handling</x:t>
        </x:is>
      </x:c>
      <x:c r="J435" t="inlineStr">
        <x:is>
          <x:t xml:space="preserve">N</x:t>
        </x:is>
      </x:c>
    </x:row>
    <x:row r="436">
      <x:c r="A436" t="inlineStr">
        <x:is>
          <x:t xml:space="preserve">Security</x:t>
        </x:is>
      </x:c>
      <x:c r="B436" t="inlineStr">
        <x:is>
          <x:t xml:space="preserve">SEC-D7-Q20</x:t>
        </x:is>
      </x:c>
      <x:c r="C436" t="inlineStr">
        <x:is>
          <x:t xml:space="preserve">SEC-D7-Q20-A3</x:t>
        </x:is>
      </x:c>
      <x:c r="D436" t="n">
        <x:v>3</x:v>
      </x:c>
      <x:c r="E436" t="inlineStr">
        <x:is>
          <x:t xml:space="preserve">Yes — repeatable retrieval steps exist for key systems and typical case types.</x:t>
        </x:is>
      </x:c>
      <x:c r="F436" t="n">
        <x:v>3</x:v>
      </x:c>
      <x:c r="H436" t="inlineStr">
        <x:is>
          <x:t xml:space="preserve">Resilience Gap</x:t>
        </x:is>
      </x:c>
      <x:c r="I436" t="inlineStr">
        <x:is>
          <x:t xml:space="preserve">Assess_Evidence_Handling</x:t>
        </x:is>
      </x:c>
      <x:c r="J436" t="inlineStr">
        <x:is>
          <x:t xml:space="preserve">Y</x:t>
        </x:is>
      </x:c>
      <x:c r="K436" t="inlineStr">
        <x:is>
          <x:t xml:space="preserve">Retrieval SOP for 1 system.</x:t>
        </x:is>
      </x:c>
    </x:row>
    <x:row r="437">
      <x:c r="A437" t="inlineStr">
        <x:is>
          <x:t xml:space="preserve">Security</x:t>
        </x:is>
      </x:c>
      <x:c r="B437" t="inlineStr">
        <x:is>
          <x:t xml:space="preserve">SEC-D7-Q21</x:t>
        </x:is>
      </x:c>
      <x:c r="C437" t="inlineStr">
        <x:is>
          <x:t xml:space="preserve">SEC-D7-Q21-A1</x:t>
        </x:is>
      </x:c>
      <x:c r="D437" t="n">
        <x:v>1</x:v>
      </x:c>
      <x:c r="E437" t="inlineStr">
        <x:is>
          <x:t xml:space="preserve">Logs are broadly accessible or retention is unpredictable.</x:t>
        </x:is>
      </x:c>
      <x:c r="F437" t="n">
        <x:v>0</x:v>
      </x:c>
      <x:c r="G437" t="inlineStr">
        <x:is>
          <x:t xml:space="preserve">legal_exposure</x:t>
        </x:is>
      </x:c>
      <x:c r="H437" t="inlineStr">
        <x:is>
          <x:t xml:space="preserve">Legal Exposure</x:t>
        </x:is>
      </x:c>
      <x:c r="I437" t="inlineStr">
        <x:is>
          <x:t xml:space="preserve">Assess_Evidence_Handling</x:t>
        </x:is>
      </x:c>
      <x:c r="J437" t="inlineStr">
        <x:is>
          <x:t xml:space="preserve">N</x:t>
        </x:is>
      </x:c>
    </x:row>
    <x:row r="438">
      <x:c r="A438" t="inlineStr">
        <x:is>
          <x:t xml:space="preserve">Security</x:t>
        </x:is>
      </x:c>
      <x:c r="B438" t="inlineStr">
        <x:is>
          <x:t xml:space="preserve">SEC-D7-Q21</x:t>
        </x:is>
      </x:c>
      <x:c r="C438" t="inlineStr">
        <x:is>
          <x:t xml:space="preserve">SEC-D7-Q21-A2</x:t>
        </x:is>
      </x:c>
      <x:c r="D438" t="n">
        <x:v>2</x:v>
      </x:c>
      <x:c r="E438" t="inlineStr">
        <x:is>
          <x:t xml:space="preserve">Retention/access controls exist, but audits are rare and some sources are excluded.</x:t>
        </x:is>
      </x:c>
      <x:c r="F438" t="n">
        <x:v>2</x:v>
      </x:c>
      <x:c r="H438" t="inlineStr">
        <x:is>
          <x:t xml:space="preserve">Legal Exposure</x:t>
        </x:is>
      </x:c>
      <x:c r="I438" t="inlineStr">
        <x:is>
          <x:t xml:space="preserve">Assess_Data_Residency</x:t>
        </x:is>
      </x:c>
      <x:c r="J438" t="inlineStr">
        <x:is>
          <x:t xml:space="preserve">N</x:t>
        </x:is>
      </x:c>
    </x:row>
    <x:row r="439">
      <x:c r="A439" t="inlineStr">
        <x:is>
          <x:t xml:space="preserve">Security</x:t>
        </x:is>
      </x:c>
      <x:c r="B439" t="inlineStr">
        <x:is>
          <x:t xml:space="preserve">SEC-D7-Q21</x:t>
        </x:is>
      </x:c>
      <x:c r="C439" t="inlineStr">
        <x:is>
          <x:t xml:space="preserve">SEC-D7-Q21-A3</x:t>
        </x:is>
      </x:c>
      <x:c r="D439" t="n">
        <x:v>3</x:v>
      </x:c>
      <x:c r="E439" t="inlineStr">
        <x:is>
          <x:t xml:space="preserve">Access is restricted and audited for most sources; retention meets defined requirements.</x:t>
        </x:is>
      </x:c>
      <x:c r="F439" t="n">
        <x:v>3</x:v>
      </x:c>
      <x:c r="H439" t="inlineStr">
        <x:is>
          <x:t xml:space="preserve">Legal Exposure</x:t>
        </x:is>
      </x:c>
      <x:c r="I439" t="inlineStr">
        <x:is>
          <x:t xml:space="preserve">Legal_Defensibility_Audit</x:t>
        </x:is>
      </x:c>
      <x:c r="J439" t="inlineStr">
        <x:is>
          <x:t xml:space="preserve">Y</x:t>
        </x:is>
      </x:c>
      <x:c r="K439" t="inlineStr">
        <x:is>
          <x:t xml:space="preserve">Access groups + retention settings summary.</x:t>
        </x:is>
      </x:c>
    </x:row>
    <x:row r="440">
      <x:c r="A440" t="inlineStr">
        <x:is>
          <x:t xml:space="preserve">Security</x:t>
        </x:is>
      </x:c>
      <x:c r="B440" t="inlineStr">
        <x:is>
          <x:t xml:space="preserve">SEC-D7-Q21</x:t>
        </x:is>
      </x:c>
      <x:c r="C440" t="inlineStr">
        <x:is>
          <x:t xml:space="preserve">SEC-D7-Q21-A4</x:t>
        </x:is>
      </x:c>
      <x:c r="D440" t="n">
        <x:v>4</x:v>
      </x:c>
      <x:c r="E440" t="inlineStr">
        <x:is>
          <x:t xml:space="preserve">Optimized: centralized governance of retention, geo/scope controls where needed, and periodic reviews.</x:t>
        </x:is>
      </x:c>
      <x:c r="F440" t="n">
        <x:v>4</x:v>
      </x:c>
      <x:c r="H440" t="inlineStr">
        <x:is>
          <x:t xml:space="preserve">Legal Exposure</x:t>
        </x:is>
      </x:c>
      <x:c r="I440" t="inlineStr">
        <x:is>
          <x:t xml:space="preserve">Legal_Defensibility_Audit</x:t>
        </x:is>
      </x:c>
      <x:c r="J440" t="inlineStr">
        <x:is>
          <x:t xml:space="preserve">Y</x:t>
        </x:is>
      </x:c>
      <x:c r="K440" t="inlineStr">
        <x:is>
          <x:t xml:space="preserve">Review record.</x:t>
        </x:is>
      </x:c>
    </x:row>
    <x:row r="441">
      <x:c r="A441" t="inlineStr">
        <x:is>
          <x:t xml:space="preserve">Security</x:t>
        </x:is>
      </x:c>
      <x:c r="B441" t="inlineStr">
        <x:is>
          <x:t xml:space="preserve">SEC-D8-Q22</x:t>
        </x:is>
      </x:c>
      <x:c r="C441" t="inlineStr">
        <x:is>
          <x:t xml:space="preserve">SEC-D8-Q22-A1</x:t>
        </x:is>
      </x:c>
      <x:c r="D441" t="n">
        <x:v>1</x:v>
      </x:c>
      <x:c r="E441" t="inlineStr">
        <x:is>
          <x:t xml:space="preserve">No — contractors are largely out of scope once they have access.</x:t>
        </x:is>
      </x:c>
      <x:c r="F441" t="n">
        <x:v>0</x:v>
      </x:c>
      <x:c r="G441" t="inlineStr">
        <x:is>
          <x:t xml:space="preserve">visibility_gap</x:t>
        </x:is>
      </x:c>
      <x:c r="H441" t="inlineStr">
        <x:is>
          <x:t xml:space="preserve">Visibility Gap</x:t>
        </x:is>
      </x:c>
      <x:c r="I441" t="inlineStr">
        <x:is>
          <x:t xml:space="preserve">Assess_ThirdParty</x:t>
        </x:is>
      </x:c>
      <x:c r="J441" t="inlineStr">
        <x:is>
          <x:t xml:space="preserve">N</x:t>
        </x:is>
      </x:c>
    </x:row>
    <x:row r="442">
      <x:c r="A442" t="inlineStr">
        <x:is>
          <x:t xml:space="preserve">Security</x:t>
        </x:is>
      </x:c>
      <x:c r="B442" t="inlineStr">
        <x:is>
          <x:t xml:space="preserve">SEC-D8-Q22</x:t>
        </x:is>
      </x:c>
      <x:c r="C442" t="inlineStr">
        <x:is>
          <x:t xml:space="preserve">SEC-D8-Q22-A2</x:t>
        </x:is>
      </x:c>
      <x:c r="D442" t="n">
        <x:v>2</x:v>
      </x:c>
      <x:c r="E442" t="inlineStr">
        <x:is>
          <x:t xml:space="preserve">Partial — some monitoring exists, but identity/tooling is inconsistent.</x:t>
        </x:is>
      </x:c>
      <x:c r="F442" t="n">
        <x:v>2</x:v>
      </x:c>
      <x:c r="H442" t="inlineStr">
        <x:is>
          <x:t xml:space="preserve">Visibility Gap</x:t>
        </x:is>
      </x:c>
      <x:c r="I442" t="inlineStr">
        <x:is>
          <x:t xml:space="preserve">Assess_ThirdParty</x:t>
        </x:is>
      </x:c>
      <x:c r="J442" t="inlineStr">
        <x:is>
          <x:t xml:space="preserve">N</x:t>
        </x:is>
      </x:c>
    </x:row>
    <x:row r="443">
      <x:c r="A443" t="inlineStr">
        <x:is>
          <x:t xml:space="preserve">Security</x:t>
        </x:is>
      </x:c>
      <x:c r="B443" t="inlineStr">
        <x:is>
          <x:t xml:space="preserve">SEC-D8-Q22</x:t>
        </x:is>
      </x:c>
      <x:c r="C443" t="inlineStr">
        <x:is>
          <x:t xml:space="preserve">SEC-D8-Q22-A3</x:t>
        </x:is>
      </x:c>
      <x:c r="D443" t="n">
        <x:v>3</x:v>
      </x:c>
      <x:c r="E443" t="inlineStr">
        <x:is>
          <x:t xml:space="preserve">Yes — contractors are included in monitoring for key systems and investigated similarly.</x:t>
        </x:is>
      </x:c>
      <x:c r="F443" t="n">
        <x:v>3</x:v>
      </x:c>
      <x:c r="H443" t="inlineStr">
        <x:is>
          <x:t xml:space="preserve">Visibility Gap</x:t>
        </x:is>
      </x:c>
      <x:c r="I443" t="inlineStr">
        <x:is>
          <x:t xml:space="preserve">Assess_ThirdParty</x:t>
        </x:is>
      </x:c>
      <x:c r="J443" t="inlineStr">
        <x:is>
          <x:t xml:space="preserve">Y</x:t>
        </x:is>
      </x:c>
      <x:c r="K443" t="inlineStr">
        <x:is>
          <x:t xml:space="preserve">Contractor access list + monitoring approach.</x:t>
        </x:is>
      </x:c>
    </x:row>
    <x:row r="444">
      <x:c r="A444" t="inlineStr">
        <x:is>
          <x:t xml:space="preserve">Security</x:t>
        </x:is>
      </x:c>
      <x:c r="B444" t="inlineStr">
        <x:is>
          <x:t xml:space="preserve">SEC-D8-Q22</x:t>
        </x:is>
      </x:c>
      <x:c r="C444" t="inlineStr">
        <x:is>
          <x:t xml:space="preserve">SEC-D8-Q22-A4</x:t>
        </x:is>
      </x:c>
      <x:c r="D444" t="n">
        <x:v>4</x:v>
      </x:c>
      <x:c r="E444" t="inlineStr">
        <x:is>
          <x:t xml:space="preserve">Optimized — third‑party risk tiers, scoped access, monitoring, and periodic reviews.</x:t>
        </x:is>
      </x:c>
      <x:c r="F444" t="n">
        <x:v>4</x:v>
      </x:c>
      <x:c r="H444" t="inlineStr">
        <x:is>
          <x:t xml:space="preserve">Visibility Gap</x:t>
        </x:is>
      </x:c>
      <x:c r="I444" t="inlineStr">
        <x:is>
          <x:t xml:space="preserve">Assess_ThirdParty</x:t>
        </x:is>
      </x:c>
      <x:c r="J444" t="inlineStr">
        <x:is>
          <x:t xml:space="preserve">Y</x:t>
        </x:is>
      </x:c>
      <x:c r="K444" t="inlineStr">
        <x:is>
          <x:t xml:space="preserve">Third‑party tiering approach.</x:t>
        </x:is>
      </x:c>
    </x:row>
    <x:row r="445">
      <x:c r="A445" t="inlineStr">
        <x:is>
          <x:t xml:space="preserve">Security</x:t>
        </x:is>
      </x:c>
      <x:c r="B445" t="inlineStr">
        <x:is>
          <x:t xml:space="preserve">SEC-D8-Q23</x:t>
        </x:is>
      </x:c>
      <x:c r="C445" t="inlineStr">
        <x:is>
          <x:t xml:space="preserve">SEC-D8-Q23-A1</x:t>
        </x:is>
      </x:c>
      <x:c r="D445" t="n">
        <x:v>1</x:v>
      </x:c>
      <x:c r="E445" t="inlineStr">
        <x:is>
          <x:t xml:space="preserve">No — access removal is manual and often late.</x:t>
        </x:is>
      </x:c>
      <x:c r="F445" t="n">
        <x:v>0</x:v>
      </x:c>
      <x:c r="G445" t="inlineStr">
        <x:is>
          <x:t xml:space="preserve">control_lag_high</x:t>
        </x:is>
      </x:c>
      <x:c r="H445" t="inlineStr">
        <x:is>
          <x:t xml:space="preserve">Control Lag</x:t>
        </x:is>
      </x:c>
      <x:c r="I445" t="inlineStr">
        <x:is>
          <x:t xml:space="preserve">Assess_Control_Lag</x:t>
        </x:is>
      </x:c>
      <x:c r="J445" t="inlineStr">
        <x:is>
          <x:t xml:space="preserve">N</x:t>
        </x:is>
      </x:c>
    </x:row>
    <x:row r="446">
      <x:c r="A446" t="inlineStr">
        <x:is>
          <x:t xml:space="preserve">Security</x:t>
        </x:is>
      </x:c>
      <x:c r="B446" t="inlineStr">
        <x:is>
          <x:t xml:space="preserve">SEC-D8-Q23</x:t>
        </x:is>
      </x:c>
      <x:c r="C446" t="inlineStr">
        <x:is>
          <x:t xml:space="preserve">SEC-D8-Q23-A2</x:t>
        </x:is>
      </x:c>
      <x:c r="D446" t="n">
        <x:v>2</x:v>
      </x:c>
      <x:c r="E446" t="inlineStr">
        <x:is>
          <x:t xml:space="preserve">Sometimes — critical systems are handled, but gaps happen.</x:t>
        </x:is>
      </x:c>
      <x:c r="F446" t="n">
        <x:v>2</x:v>
      </x:c>
      <x:c r="H446" t="inlineStr">
        <x:is>
          <x:t xml:space="preserve">Control Lag</x:t>
        </x:is>
      </x:c>
      <x:c r="I446" t="inlineStr">
        <x:is>
          <x:t xml:space="preserve">Assess_Control_Lag</x:t>
        </x:is>
      </x:c>
      <x:c r="J446" t="inlineStr">
        <x:is>
          <x:t xml:space="preserve">N</x:t>
        </x:is>
      </x:c>
    </x:row>
    <x:row r="447">
      <x:c r="A447" t="inlineStr">
        <x:is>
          <x:t xml:space="preserve">Security</x:t>
        </x:is>
      </x:c>
      <x:c r="B447" t="inlineStr">
        <x:is>
          <x:t xml:space="preserve">SEC-D8-Q23</x:t>
        </x:is>
      </x:c>
      <x:c r="C447" t="inlineStr">
        <x:is>
          <x:t xml:space="preserve">SEC-D8-Q23-A3</x:t>
        </x:is>
      </x:c>
      <x:c r="D447" t="n">
        <x:v>3</x:v>
      </x:c>
      <x:c r="E447" t="inlineStr">
        <x:is>
          <x:t xml:space="preserve">Yes — reliable process exists and is regularly audited for timeliness.</x:t>
        </x:is>
      </x:c>
      <x:c r="F447" t="n">
        <x:v>3</x:v>
      </x:c>
      <x:c r="H447" t="inlineStr">
        <x:is>
          <x:t xml:space="preserve">Resilience Gap</x:t>
        </x:is>
      </x:c>
      <x:c r="I447" t="inlineStr">
        <x:is>
          <x:t xml:space="preserve">Plan_Assurance</x:t>
        </x:is>
      </x:c>
      <x:c r="J447" t="inlineStr">
        <x:is>
          <x:t xml:space="preserve">Y</x:t>
        </x:is>
      </x:c>
      <x:c r="K447" t="inlineStr">
        <x:is>
          <x:t xml:space="preserve">Last access removal audit result.</x:t>
        </x:is>
      </x:c>
    </x:row>
    <x:row r="448">
      <x:c r="A448" t="inlineStr">
        <x:is>
          <x:t xml:space="preserve">Security</x:t>
        </x:is>
      </x:c>
      <x:c r="B448" t="inlineStr">
        <x:is>
          <x:t xml:space="preserve">SEC-D8-Q24</x:t>
        </x:is>
      </x:c>
      <x:c r="C448" t="inlineStr">
        <x:is>
          <x:t xml:space="preserve">SEC-D8-Q24-A1</x:t>
        </x:is>
      </x:c>
      <x:c r="D448" t="n">
        <x:v>1</x:v>
      </x:c>
      <x:c r="E448" t="inlineStr">
        <x:is>
          <x:t xml:space="preserve">No — we would improvise during a crisis.</x:t>
        </x:is>
      </x:c>
      <x:c r="F448" t="n">
        <x:v>0</x:v>
      </x:c>
      <x:c r="H448" t="inlineStr">
        <x:is>
          <x:t xml:space="preserve">Resilience Gap</x:t>
        </x:is>
      </x:c>
      <x:c r="I448" t="inlineStr">
        <x:is>
          <x:t xml:space="preserve">Assess_ThirdParty</x:t>
        </x:is>
      </x:c>
      <x:c r="J448" t="inlineStr">
        <x:is>
          <x:t xml:space="preserve">N</x:t>
        </x:is>
      </x:c>
    </x:row>
    <x:row r="449">
      <x:c r="A449" t="inlineStr">
        <x:is>
          <x:t xml:space="preserve">Security</x:t>
        </x:is>
      </x:c>
      <x:c r="B449" t="inlineStr">
        <x:is>
          <x:t xml:space="preserve">SEC-D8-Q24</x:t>
        </x:is>
      </x:c>
      <x:c r="C449" t="inlineStr">
        <x:is>
          <x:t xml:space="preserve">SEC-D8-Q24-A2</x:t>
        </x:is>
      </x:c>
      <x:c r="D449" t="n">
        <x:v>2</x:v>
      </x:c>
      <x:c r="E449" t="inlineStr">
        <x:is>
          <x:t xml:space="preserve">Some clauses exist, but steps and owners are unclear.</x:t>
        </x:is>
      </x:c>
      <x:c r="F449" t="n">
        <x:v>1</x:v>
      </x:c>
      <x:c r="G449" t="inlineStr">
        <x:is>
          <x:t xml:space="preserve">paper_dragon_signal</x:t>
        </x:is>
      </x:c>
      <x:c r="H449" t="inlineStr">
        <x:is>
          <x:t xml:space="preserve">Paper Dragon</x:t>
        </x:is>
      </x:c>
      <x:c r="I449" t="inlineStr">
        <x:is>
          <x:t xml:space="preserve">Assess_ThirdParty</x:t>
        </x:is>
      </x:c>
      <x:c r="J449" t="inlineStr">
        <x:is>
          <x:t xml:space="preserve">N</x:t>
        </x:is>
      </x:c>
    </x:row>
    <x:row r="450">
      <x:c r="A450" t="inlineStr">
        <x:is>
          <x:t xml:space="preserve">Security</x:t>
        </x:is>
      </x:c>
      <x:c r="B450" t="inlineStr">
        <x:is>
          <x:t xml:space="preserve">SEC-D8-Q24</x:t>
        </x:is>
      </x:c>
      <x:c r="C450" t="inlineStr">
        <x:is>
          <x:t xml:space="preserve">SEC-D8-Q24-A3</x:t>
        </x:is>
      </x:c>
      <x:c r="D450" t="n">
        <x:v>3</x:v>
      </x:c>
      <x:c r="E450" t="inlineStr">
        <x:is>
          <x:t xml:space="preserve">Defined steps exist and have been exercised at least once.</x:t>
        </x:is>
      </x:c>
      <x:c r="F450" t="n">
        <x:v>3</x:v>
      </x:c>
      <x:c r="H450" t="inlineStr">
        <x:is>
          <x:t xml:space="preserve">Resilience Gap</x:t>
        </x:is>
      </x:c>
      <x:c r="I450" t="inlineStr">
        <x:is>
          <x:t xml:space="preserve">Insider_Playbooks</x:t>
        </x:is>
      </x:c>
      <x:c r="J450" t="inlineStr">
        <x:is>
          <x:t xml:space="preserve">Y</x:t>
        </x:is>
      </x:c>
      <x:c r="K450" t="inlineStr">
        <x:is>
          <x:t xml:space="preserve">Vendor escalation procedure.</x:t>
        </x:is>
      </x:c>
    </x:row>
    <x:row r="451">
      <x:c r="A451" t="inlineStr">
        <x:is>
          <x:t xml:space="preserve">Security</x:t>
        </x:is>
      </x:c>
      <x:c r="B451" t="inlineStr">
        <x:is>
          <x:t xml:space="preserve">SEC-D8-Q24</x:t>
        </x:is>
      </x:c>
      <x:c r="C451" t="inlineStr">
        <x:is>
          <x:t xml:space="preserve">SEC-D8-Q24-A4</x:t>
        </x:is>
      </x:c>
      <x:c r="D451" t="n">
        <x:v>4</x:v>
      </x:c>
      <x:c r="E451" t="inlineStr">
        <x:is>
          <x:t xml:space="preserve">Optimized: pre‑arranged contacts, evidence workflow, and tabletop exercises include third parties.</x:t>
        </x:is>
      </x:c>
      <x:c r="F451" t="n">
        <x:v>4</x:v>
      </x:c>
      <x:c r="H451" t="inlineStr">
        <x:is>
          <x:t xml:space="preserve">Resilience Gap</x:t>
        </x:is>
      </x:c>
      <x:c r="I451" t="inlineStr">
        <x:is>
          <x:t xml:space="preserve">Insider_Playbooks</x:t>
        </x:is>
      </x:c>
      <x:c r="J451" t="inlineStr">
        <x:is>
          <x:t xml:space="preserve">Y</x:t>
        </x:is>
      </x:c>
      <x:c r="K451" t="inlineStr">
        <x:is>
          <x:t xml:space="preserve">Tabletop record (redacted).</x:t>
        </x:is>
      </x:c>
    </x:row>
    <x:row r="452">
      <x:c r="A452" t="inlineStr">
        <x:is>
          <x:t xml:space="preserve">Security</x:t>
        </x:is>
      </x:c>
      <x:c r="B452" t="inlineStr">
        <x:is>
          <x:t xml:space="preserve">SEC-D9-Q25</x:t>
        </x:is>
      </x:c>
      <x:c r="C452" t="inlineStr">
        <x:is>
          <x:t xml:space="preserve">SEC-D9-Q25-A1</x:t>
        </x:is>
      </x:c>
      <x:c r="D452" t="n">
        <x:v>1</x:v>
      </x:c>
      <x:c r="E452" t="inlineStr">
        <x:is>
          <x:t xml:space="preserve">No — success is described qualitatively or by alert counts.</x:t>
        </x:is>
      </x:c>
      <x:c r="F452" t="n">
        <x:v>0</x:v>
      </x:c>
      <x:c r="G452" t="inlineStr">
        <x:is>
          <x:t xml:space="preserve">paper_dragon_signal</x:t>
        </x:is>
      </x:c>
      <x:c r="H452" t="inlineStr">
        <x:is>
          <x:t xml:space="preserve">Paper Dragon</x:t>
        </x:is>
      </x:c>
      <x:c r="I452" t="inlineStr">
        <x:is>
          <x:t xml:space="preserve">Improve_Metrics</x:t>
        </x:is>
      </x:c>
      <x:c r="J452" t="inlineStr">
        <x:is>
          <x:t xml:space="preserve">N</x:t>
        </x:is>
      </x:c>
    </x:row>
    <x:row r="453">
      <x:c r="A453" t="inlineStr">
        <x:is>
          <x:t xml:space="preserve">Security</x:t>
        </x:is>
      </x:c>
      <x:c r="B453" t="inlineStr">
        <x:is>
          <x:t xml:space="preserve">SEC-D9-Q25</x:t>
        </x:is>
      </x:c>
      <x:c r="C453" t="inlineStr">
        <x:is>
          <x:t xml:space="preserve">SEC-D9-Q25-A2</x:t>
        </x:is>
      </x:c>
      <x:c r="D453" t="n">
        <x:v>2</x:v>
      </x:c>
      <x:c r="E453" t="inlineStr">
        <x:is>
          <x:t xml:space="preserve">Some metrics exist, but they don’t drive improvements.</x:t>
        </x:is>
      </x:c>
      <x:c r="F453" t="n">
        <x:v>2</x:v>
      </x:c>
      <x:c r="H453" t="inlineStr">
        <x:is>
          <x:t xml:space="preserve">Operating Model Gap</x:t>
        </x:is>
      </x:c>
      <x:c r="I453" t="inlineStr">
        <x:is>
          <x:t xml:space="preserve">Improve_Metrics</x:t>
        </x:is>
      </x:c>
      <x:c r="J453" t="inlineStr">
        <x:is>
          <x:t xml:space="preserve">N</x:t>
        </x:is>
      </x:c>
    </x:row>
    <x:row r="454">
      <x:c r="A454" t="inlineStr">
        <x:is>
          <x:t xml:space="preserve">Security</x:t>
        </x:is>
      </x:c>
      <x:c r="B454" t="inlineStr">
        <x:is>
          <x:t xml:space="preserve">SEC-D9-Q25</x:t>
        </x:is>
      </x:c>
      <x:c r="C454" t="inlineStr">
        <x:is>
          <x:t xml:space="preserve">SEC-D9-Q25-A3</x:t>
        </x:is>
      </x:c>
      <x:c r="D454" t="n">
        <x:v>3</x:v>
      </x:c>
      <x:c r="E454" t="inlineStr">
        <x:is>
          <x:t xml:space="preserve">Yes — we track a small set of KPIs/KRIs and review them regularly.</x:t>
        </x:is>
      </x:c>
      <x:c r="F454" t="n">
        <x:v>3</x:v>
      </x:c>
      <x:c r="H454" t="inlineStr">
        <x:is>
          <x:t xml:space="preserve">Resilience Gap</x:t>
        </x:is>
      </x:c>
      <x:c r="I454" t="inlineStr">
        <x:is>
          <x:t xml:space="preserve">Improve_Metrics</x:t>
        </x:is>
      </x:c>
      <x:c r="J454" t="inlineStr">
        <x:is>
          <x:t xml:space="preserve">Y</x:t>
        </x:is>
      </x:c>
      <x:c r="K454" t="inlineStr">
        <x:is>
          <x:t xml:space="preserve">Dashboard (redacted).</x:t>
        </x:is>
      </x:c>
    </x:row>
    <x:row r="455">
      <x:c r="A455" t="inlineStr">
        <x:is>
          <x:t xml:space="preserve">Security</x:t>
        </x:is>
      </x:c>
      <x:c r="B455" t="inlineStr">
        <x:is>
          <x:t xml:space="preserve">SEC-D9-Q25</x:t>
        </x:is>
      </x:c>
      <x:c r="C455" t="inlineStr">
        <x:is>
          <x:t xml:space="preserve">SEC-D9-Q25-A4</x:t>
        </x:is>
      </x:c>
      <x:c r="D455" t="n">
        <x:v>4</x:v>
      </x:c>
      <x:c r="E455" t="inlineStr">
        <x:is>
          <x:t xml:space="preserve">Optimized: metrics drive prioritized improvements, with periodic independent reviews.</x:t>
        </x:is>
      </x:c>
      <x:c r="F455" t="n">
        <x:v>4</x:v>
      </x:c>
      <x:c r="H455" t="inlineStr">
        <x:is>
          <x:t xml:space="preserve">Resilience Gap</x:t>
        </x:is>
      </x:c>
      <x:c r="I455" t="inlineStr">
        <x:is>
          <x:t xml:space="preserve">Plan_Assurance</x:t>
        </x:is>
      </x:c>
      <x:c r="J455" t="inlineStr">
        <x:is>
          <x:t xml:space="preserve">Y</x:t>
        </x:is>
      </x:c>
      <x:c r="K455" t="inlineStr">
        <x:is>
          <x:t xml:space="preserve">Review minutes/audit excerpt.</x:t>
        </x:is>
      </x:c>
    </x:row>
    <x:row r="456">
      <x:c r="A456" t="inlineStr">
        <x:is>
          <x:t xml:space="preserve">Security</x:t>
        </x:is>
      </x:c>
      <x:c r="B456" t="inlineStr">
        <x:is>
          <x:t xml:space="preserve">SEC-D9-Q26</x:t>
        </x:is>
      </x:c>
      <x:c r="C456" t="inlineStr">
        <x:is>
          <x:t xml:space="preserve">SEC-D9-Q26-A1</x:t>
        </x:is>
      </x:c>
      <x:c r="D456" t="n">
        <x:v>1</x:v>
      </x:c>
      <x:c r="E456" t="inlineStr">
        <x:is>
          <x:t xml:space="preserve">No — we only review after major incidents.</x:t>
        </x:is>
      </x:c>
      <x:c r="F456" t="n">
        <x:v>0</x:v>
      </x:c>
      <x:c r="H456" t="inlineStr">
        <x:is>
          <x:t xml:space="preserve">Resilience Gap</x:t>
        </x:is>
      </x:c>
      <x:c r="I456" t="inlineStr">
        <x:is>
          <x:t xml:space="preserve">Improve_Metrics</x:t>
        </x:is>
      </x:c>
      <x:c r="J456" t="inlineStr">
        <x:is>
          <x:t xml:space="preserve">N</x:t>
        </x:is>
      </x:c>
    </x:row>
    <x:row r="457">
      <x:c r="A457" t="inlineStr">
        <x:is>
          <x:t xml:space="preserve">Security</x:t>
        </x:is>
      </x:c>
      <x:c r="B457" t="inlineStr">
        <x:is>
          <x:t xml:space="preserve">SEC-D9-Q26</x:t>
        </x:is>
      </x:c>
      <x:c r="C457" t="inlineStr">
        <x:is>
          <x:t xml:space="preserve">SEC-D9-Q26-A2</x:t>
        </x:is>
      </x:c>
      <x:c r="D457" t="n">
        <x:v>2</x:v>
      </x:c>
      <x:c r="E457" t="inlineStr">
        <x:is>
          <x:t xml:space="preserve">Sometimes — informal reviews happen if someone remembers.</x:t>
        </x:is>
      </x:c>
      <x:c r="F457" t="n">
        <x:v>2</x:v>
      </x:c>
      <x:c r="G457" t="inlineStr">
        <x:is>
          <x:t xml:space="preserve">shadow_mature_signal</x:t>
        </x:is>
      </x:c>
      <x:c r="H457" t="inlineStr">
        <x:is>
          <x:t xml:space="preserve">Shadow Mature</x:t>
        </x:is>
      </x:c>
      <x:c r="I457" t="inlineStr">
        <x:is>
          <x:t xml:space="preserve">Capture_Informal_Practices</x:t>
        </x:is>
      </x:c>
      <x:c r="J457" t="inlineStr">
        <x:is>
          <x:t xml:space="preserve">N</x:t>
        </x:is>
      </x:c>
    </x:row>
    <x:row r="458">
      <x:c r="A458" t="inlineStr">
        <x:is>
          <x:t xml:space="preserve">Security</x:t>
        </x:is>
      </x:c>
      <x:c r="B458" t="inlineStr">
        <x:is>
          <x:t xml:space="preserve">SEC-D9-Q26</x:t>
        </x:is>
      </x:c>
      <x:c r="C458" t="inlineStr">
        <x:is>
          <x:t xml:space="preserve">SEC-D9-Q26-A3</x:t>
        </x:is>
      </x:c>
      <x:c r="D458" t="n">
        <x:v>3</x:v>
      </x:c>
      <x:c r="E458" t="inlineStr">
        <x:is>
          <x:t xml:space="preserve">Yes — near misses are logged and reviewed to drive tuning and training.</x:t>
        </x:is>
      </x:c>
      <x:c r="F458" t="n">
        <x:v>3</x:v>
      </x:c>
      <x:c r="H458" t="inlineStr">
        <x:is>
          <x:t xml:space="preserve">Resilience Gap</x:t>
        </x:is>
      </x:c>
      <x:c r="I458" t="inlineStr">
        <x:is>
          <x:t xml:space="preserve">Improve_Metrics</x:t>
        </x:is>
      </x:c>
      <x:c r="J458" t="inlineStr">
        <x:is>
          <x:t xml:space="preserve">Y</x:t>
        </x:is>
      </x:c>
      <x:c r="K458" t="inlineStr">
        <x:is>
          <x:t xml:space="preserve">Example near-miss record (redacted).</x:t>
        </x:is>
      </x:c>
    </x:row>
    <x:row r="459">
      <x:c r="A459" t="inlineStr">
        <x:is>
          <x:t xml:space="preserve">Security</x:t>
        </x:is>
      </x:c>
      <x:c r="B459" t="inlineStr">
        <x:is>
          <x:t xml:space="preserve">SEC-D9-Q27</x:t>
        </x:is>
      </x:c>
      <x:c r="C459" t="inlineStr">
        <x:is>
          <x:t xml:space="preserve">SEC-D9-Q27-A1</x:t>
        </x:is>
      </x:c>
      <x:c r="D459" t="n">
        <x:v>1</x:v>
      </x:c>
      <x:c r="E459" t="inlineStr">
        <x:is>
          <x:t xml:space="preserve">No — we assume detections work once enabled.</x:t>
        </x:is>
      </x:c>
      <x:c r="F459" t="n">
        <x:v>0</x:v>
      </x:c>
      <x:c r="G459" t="inlineStr">
        <x:is>
          <x:t xml:space="preserve">paper_dragon_signal</x:t>
        </x:is>
      </x:c>
      <x:c r="H459" t="inlineStr">
        <x:is>
          <x:t xml:space="preserve">Paper Dragon</x:t>
        </x:is>
      </x:c>
      <x:c r="I459" t="inlineStr">
        <x:is>
          <x:t xml:space="preserve">Plan_Assurance</x:t>
        </x:is>
      </x:c>
      <x:c r="J459" t="inlineStr">
        <x:is>
          <x:t xml:space="preserve">N</x:t>
        </x:is>
      </x:c>
    </x:row>
    <x:row r="460">
      <x:c r="A460" t="inlineStr">
        <x:is>
          <x:t xml:space="preserve">Security</x:t>
        </x:is>
      </x:c>
      <x:c r="B460" t="inlineStr">
        <x:is>
          <x:t xml:space="preserve">SEC-D9-Q27</x:t>
        </x:is>
      </x:c>
      <x:c r="C460" t="inlineStr">
        <x:is>
          <x:t xml:space="preserve">SEC-D9-Q27-A2</x:t>
        </x:is>
      </x:c>
      <x:c r="D460" t="n">
        <x:v>2</x:v>
      </x:c>
      <x:c r="E460" t="inlineStr">
        <x:is>
          <x:t xml:space="preserve">Occasionally — tests happen after incidents or audits.</x:t>
        </x:is>
      </x:c>
      <x:c r="F460" t="n">
        <x:v>2</x:v>
      </x:c>
      <x:c r="H460" t="inlineStr">
        <x:is>
          <x:t xml:space="preserve">Operating Model Gap</x:t>
        </x:is>
      </x:c>
      <x:c r="I460" t="inlineStr">
        <x:is>
          <x:t xml:space="preserve">Plan_Assurance</x:t>
        </x:is>
      </x:c>
      <x:c r="J460" t="inlineStr">
        <x:is>
          <x:t xml:space="preserve">N</x:t>
        </x:is>
      </x:c>
    </x:row>
    <x:row r="461">
      <x:c r="A461" t="inlineStr">
        <x:is>
          <x:t xml:space="preserve">Security</x:t>
        </x:is>
      </x:c>
      <x:c r="B461" t="inlineStr">
        <x:is>
          <x:t xml:space="preserve">SEC-D9-Q27</x:t>
        </x:is>
      </x:c>
      <x:c r="C461" t="inlineStr">
        <x:is>
          <x:t xml:space="preserve">SEC-D9-Q27-A3</x:t>
        </x:is>
      </x:c>
      <x:c r="D461" t="n">
        <x:v>3</x:v>
      </x:c>
      <x:c r="E461" t="inlineStr">
        <x:is>
          <x:t xml:space="preserve">Yes — scheduled tests exist and results feed improvements.</x:t>
        </x:is>
      </x:c>
      <x:c r="F461" t="n">
        <x:v>3</x:v>
      </x:c>
      <x:c r="H461" t="inlineStr">
        <x:is>
          <x:t xml:space="preserve">Resilience Gap</x:t>
        </x:is>
      </x:c>
      <x:c r="I461" t="inlineStr">
        <x:is>
          <x:t xml:space="preserve">Plan_Assurance</x:t>
        </x:is>
      </x:c>
      <x:c r="J461" t="inlineStr">
        <x:is>
          <x:t xml:space="preserve">Y</x:t>
        </x:is>
      </x:c>
      <x:c r="K461" t="inlineStr">
        <x:is>
          <x:t xml:space="preserve">Last test summary (redacted).</x:t>
        </x:is>
      </x:c>
    </x:row>
    <x:row r="462">
      <x:c r="A462" t="inlineStr">
        <x:is>
          <x:t xml:space="preserve">Security</x:t>
        </x:is>
      </x:c>
      <x:c r="B462" t="inlineStr">
        <x:is>
          <x:t xml:space="preserve">SEC-D9-Q27</x:t>
        </x:is>
      </x:c>
      <x:c r="C462" t="inlineStr">
        <x:is>
          <x:t xml:space="preserve">SEC-D9-Q27-A4</x:t>
        </x:is>
      </x:c>
      <x:c r="D462" t="n">
        <x:v>4</x:v>
      </x:c>
      <x:c r="E462" t="inlineStr">
        <x:is>
          <x:t xml:space="preserve">Optimized: independent/bias‑reduced testing and continuous validation of high‑risk detections.</x:t>
        </x:is>
      </x:c>
      <x:c r="F462" t="n">
        <x:v>4</x:v>
      </x:c>
      <x:c r="H462" t="inlineStr">
        <x:is>
          <x:t xml:space="preserve">Resilience Gap</x:t>
        </x:is>
      </x:c>
      <x:c r="I462" t="inlineStr">
        <x:is>
          <x:t xml:space="preserve">Plan_Assurance</x:t>
        </x:is>
      </x:c>
      <x:c r="J462" t="inlineStr">
        <x:is>
          <x:t xml:space="preserve">Y</x:t>
        </x:is>
      </x:c>
      <x:c r="K462" t="inlineStr">
        <x:is>
          <x:t xml:space="preserve">Test program overview.</x:t>
        </x:is>
      </x:c>
    </x:row>
    <x:row r="463">
      <x:c r="A463" t="inlineStr">
        <x:is>
          <x:t xml:space="preserve">Security</x:t>
        </x:is>
      </x:c>
      <x:c r="B463" t="inlineStr">
        <x:is>
          <x:t xml:space="preserve">SEC-D10-Q28</x:t>
        </x:is>
      </x:c>
      <x:c r="C463" t="inlineStr">
        <x:is>
          <x:t xml:space="preserve">SEC-D10-Q28-A0</x:t>
        </x:is>
      </x:c>
      <x:c r="D463" t="n">
        <x:v>1</x:v>
      </x:c>
      <x:c r="E463" t="inlineStr">
        <x:is>
          <x:t xml:space="preserve">I don’t know / not sure.</x:t>
        </x:is>
      </x:c>
      <x:c r="F463" t="n">
        <x:v>0</x:v>
      </x:c>
      <x:c r="G463" t="inlineStr">
        <x:is>
          <x:t xml:space="preserve">unknown</x:t>
        </x:is>
      </x:c>
      <x:c r="H463" t="inlineStr">
        <x:is>
          <x:t xml:space="preserve">Unknown</x:t>
        </x:is>
      </x:c>
      <x:c r="I463" t="inlineStr">
        <x:is>
          <x:t xml:space="preserve">Clarify_Stakeholders</x:t>
        </x:is>
      </x:c>
      <x:c r="J463" t="inlineStr">
        <x:is>
          <x:t xml:space="preserve">N</x:t>
        </x:is>
      </x:c>
      <x:c r="K463" t="inlineStr">
        <x:is>
          <x:t xml:space="preserve">None</x:t>
        </x:is>
      </x:c>
    </x:row>
    <x:row r="464">
      <x:c r="A464" t="inlineStr">
        <x:is>
          <x:t xml:space="preserve">Security</x:t>
        </x:is>
      </x:c>
      <x:c r="B464" t="inlineStr">
        <x:is>
          <x:t xml:space="preserve">SEC-D10-Q28</x:t>
        </x:is>
      </x:c>
      <x:c r="C464" t="inlineStr">
        <x:is>
          <x:t xml:space="preserve">SEC-D10-Q28-A1</x:t>
        </x:is>
      </x:c>
      <x:c r="D464" t="n">
        <x:v>2</x:v>
      </x:c>
      <x:c r="E464" t="inlineStr">
        <x:is>
          <x:t xml:space="preserve">We don’t have a clear list of which logs exist; coverage is patchy and mostly limited to a few systems.</x:t>
        </x:is>
      </x:c>
      <x:c r="F464" t="n">
        <x:v>0</x:v>
      </x:c>
      <x:c r="G464" t="inlineStr">
        <x:is>
          <x:t xml:space="preserve">foundational_gap,visibility_gap</x:t>
        </x:is>
      </x:c>
      <x:c r="H464" t="inlineStr">
        <x:is>
          <x:t xml:space="preserve">Visibility Gap</x:t>
        </x:is>
      </x:c>
      <x:c r="I464" t="inlineStr">
        <x:is>
          <x:t xml:space="preserve">Assess_Detection</x:t>
        </x:is>
      </x:c>
      <x:c r="J464" t="inlineStr">
        <x:is>
          <x:t xml:space="preserve">N</x:t>
        </x:is>
      </x:c>
      <x:c r="K464" t="inlineStr">
        <x:is>
          <x:t xml:space="preserve">Log source inventory (if any)</x:t>
        </x:is>
      </x:c>
    </x:row>
    <x:row r="465">
      <x:c r="A465" t="inlineStr">
        <x:is>
          <x:t xml:space="preserve">Security</x:t>
        </x:is>
      </x:c>
      <x:c r="B465" t="inlineStr">
        <x:is>
          <x:t xml:space="preserve">SEC-D10-Q28</x:t>
        </x:is>
      </x:c>
      <x:c r="C465" t="inlineStr">
        <x:is>
          <x:t xml:space="preserve">SEC-D10-Q28-A2</x:t>
        </x:is>
      </x:c>
      <x:c r="D465" t="n">
        <x:v>3</x:v>
      </x:c>
      <x:c r="E465" t="inlineStr">
        <x:is>
          <x:t xml:space="preserve">Logs exist for some systems, but key gaps remain (e.g., laptops/endpoints, cloud services, or SaaS).</x:t>
        </x:is>
      </x:c>
      <x:c r="F465" t="n">
        <x:v>1</x:v>
      </x:c>
      <x:c r="G465" t="inlineStr">
        <x:is>
          <x:t xml:space="preserve">partial_visibility,log_gap</x:t>
        </x:is>
      </x:c>
      <x:c r="H465" t="inlineStr">
        <x:is>
          <x:t xml:space="preserve">Visibility Gap</x:t>
        </x:is>
      </x:c>
      <x:c r="I465" t="inlineStr">
        <x:is>
          <x:t xml:space="preserve">Assess_Detection</x:t>
        </x:is>
      </x:c>
      <x:c r="J465" t="inlineStr">
        <x:is>
          <x:t xml:space="preserve">N</x:t>
        </x:is>
      </x:c>
      <x:c r="K465" t="inlineStr">
        <x:is>
          <x:t xml:space="preserve">List missing sources; retention settings</x:t>
        </x:is>
      </x:c>
    </x:row>
    <x:row r="466">
      <x:c r="A466" t="inlineStr">
        <x:is>
          <x:t xml:space="preserve">Security</x:t>
        </x:is>
      </x:c>
      <x:c r="B466" t="inlineStr">
        <x:is>
          <x:t xml:space="preserve">SEC-D10-Q28</x:t>
        </x:is>
      </x:c>
      <x:c r="C466" t="inlineStr">
        <x:is>
          <x:t xml:space="preserve">SEC-D10-Q28-A3</x:t>
        </x:is>
      </x:c>
      <x:c r="D466" t="n">
        <x:v>4</x:v>
      </x:c>
      <x:c r="E466" t="inlineStr">
        <x:is>
          <x:t xml:space="preserve">Most key systems send logs somewhere central, but coverage is not regularly checked and gaps can go unnoticed.</x:t>
        </x:is>
      </x:c>
      <x:c r="F466" t="n">
        <x:v>2</x:v>
      </x:c>
      <x:c r="G466" t="inlineStr">
        <x:is>
          <x:t xml:space="preserve">partial_maturity,inconsistent_execution</x:t>
        </x:is>
      </x:c>
      <x:c r="H466" t="inlineStr">
        <x:is>
          <x:t xml:space="preserve">Paper Dragon</x:t>
        </x:is>
      </x:c>
      <x:c r="I466" t="inlineStr">
        <x:is>
          <x:t xml:space="preserve">Assurance_On_Reality</x:t>
        </x:is>
      </x:c>
      <x:c r="J466" t="inlineStr">
        <x:is>
          <x:t xml:space="preserve">N</x:t>
        </x:is>
      </x:c>
      <x:c r="K466" t="inlineStr">
        <x:is>
          <x:t xml:space="preserve">Example central log sources; last 30d retention evidence</x:t>
        </x:is>
      </x:c>
    </x:row>
    <x:row r="467">
      <x:c r="A467" t="inlineStr">
        <x:is>
          <x:t xml:space="preserve">Security</x:t>
        </x:is>
      </x:c>
      <x:c r="B467" t="inlineStr">
        <x:is>
          <x:t xml:space="preserve">SEC-D10-Q28</x:t>
        </x:is>
      </x:c>
      <x:c r="C467" t="inlineStr">
        <x:is>
          <x:t xml:space="preserve">SEC-D10-Q28-A4</x:t>
        </x:is>
      </x:c>
      <x:c r="D467" t="n">
        <x:v>5</x:v>
      </x:c>
      <x:c r="E467" t="inlineStr">
        <x:is>
          <x:t xml:space="preserve">Key systems (including cloud/SaaS) feed centralized logs; coverage is reviewed periodically and gaps are tracked to closure.</x:t>
        </x:is>
      </x:c>
      <x:c r="F467" t="n">
        <x:v>3</x:v>
      </x:c>
      <x:c r="G467" t="inlineStr">
        <x:is>
          <x:t xml:space="preserve">good_practice,execution_strength</x:t>
        </x:is>
      </x:c>
      <x:c r="I467" t="inlineStr">
        <x:is>
          <x:t xml:space="preserve">Request_Evidence</x:t>
        </x:is>
      </x:c>
      <x:c r="J467" t="inlineStr">
        <x:is>
          <x:t xml:space="preserve">N</x:t>
        </x:is>
      </x:c>
      <x:c r="K467" t="inlineStr">
        <x:is>
          <x:t xml:space="preserve">Coverage report / dashboard; retention policy</x:t>
        </x:is>
      </x:c>
    </x:row>
    <x:row r="468">
      <x:c r="A468" t="inlineStr">
        <x:is>
          <x:t xml:space="preserve">Security</x:t>
        </x:is>
      </x:c>
      <x:c r="B468" t="inlineStr">
        <x:is>
          <x:t xml:space="preserve">SEC-D10-Q28</x:t>
        </x:is>
      </x:c>
      <x:c r="C468" t="inlineStr">
        <x:is>
          <x:t xml:space="preserve">SEC-D10-Q28-A5</x:t>
        </x:is>
      </x:c>
      <x:c r="D468" t="n">
        <x:v>6</x:v>
      </x:c>
      <x:c r="E468" t="inlineStr">
        <x:is>
          <x:t xml:space="preserve">Comprehensive coverage is validated (endpoints, cloud control plane, SaaS, privileged actions); alerts exist for missing telemetry.</x:t>
        </x:is>
      </x:c>
      <x:c r="F468" t="n">
        <x:v>4</x:v>
      </x:c>
      <x:c r="G468" t="inlineStr">
        <x:is>
          <x:t xml:space="preserve">optimized,execution_strength</x:t>
        </x:is>
      </x:c>
      <x:c r="I468" t="inlineStr">
        <x:is>
          <x:t xml:space="preserve">Request_Evidence</x:t>
        </x:is>
      </x:c>
      <x:c r="J468" t="inlineStr">
        <x:is>
          <x:t xml:space="preserve">N</x:t>
        </x:is>
      </x:c>
      <x:c r="K468" t="inlineStr">
        <x:is>
          <x:t xml:space="preserve">Telemetry coverage KPIs; alerting proof</x:t>
        </x:is>
      </x:c>
    </x:row>
    <x:row r="469">
      <x:c r="A469" t="inlineStr">
        <x:is>
          <x:t xml:space="preserve">Security</x:t>
        </x:is>
      </x:c>
      <x:c r="B469" t="inlineStr">
        <x:is>
          <x:t xml:space="preserve">SEC-D10-Q29</x:t>
        </x:is>
      </x:c>
      <x:c r="C469" t="inlineStr">
        <x:is>
          <x:t xml:space="preserve">SEC-D10-Q29-A0</x:t>
        </x:is>
      </x:c>
      <x:c r="D469" t="n">
        <x:v>1</x:v>
      </x:c>
      <x:c r="E469" t="inlineStr">
        <x:is>
          <x:t xml:space="preserve">I don’t know / not sure.</x:t>
        </x:is>
      </x:c>
      <x:c r="F469" t="n">
        <x:v>0</x:v>
      </x:c>
      <x:c r="G469" t="inlineStr">
        <x:is>
          <x:t xml:space="preserve">unknown</x:t>
        </x:is>
      </x:c>
      <x:c r="H469" t="inlineStr">
        <x:is>
          <x:t xml:space="preserve">Unknown</x:t>
        </x:is>
      </x:c>
      <x:c r="I469" t="inlineStr">
        <x:is>
          <x:t xml:space="preserve">Clarify_Stakeholders</x:t>
        </x:is>
      </x:c>
      <x:c r="J469" t="inlineStr">
        <x:is>
          <x:t xml:space="preserve">N</x:t>
        </x:is>
      </x:c>
      <x:c r="K469" t="inlineStr">
        <x:is>
          <x:t xml:space="preserve">None</x:t>
        </x:is>
      </x:c>
    </x:row>
    <x:row r="470">
      <x:c r="A470" t="inlineStr">
        <x:is>
          <x:t xml:space="preserve">Security</x:t>
        </x:is>
      </x:c>
      <x:c r="B470" t="inlineStr">
        <x:is>
          <x:t xml:space="preserve">SEC-D10-Q29</x:t>
        </x:is>
      </x:c>
      <x:c r="C470" t="inlineStr">
        <x:is>
          <x:t xml:space="preserve">SEC-D10-Q29-A1</x:t>
        </x:is>
      </x:c>
      <x:c r="D470" t="n">
        <x:v>2</x:v>
      </x:c>
      <x:c r="E470" t="inlineStr">
        <x:is>
          <x:t xml:space="preserve">Logs are mainly stored locally or in places admins can edit; we don’t track access to logs.</x:t>
        </x:is>
      </x:c>
      <x:c r="F470" t="n">
        <x:v>0</x:v>
      </x:c>
      <x:c r="G470" t="inlineStr">
        <x:is>
          <x:t xml:space="preserve">forensic_gap,tamper_risk</x:t>
        </x:is>
      </x:c>
      <x:c r="H470" t="inlineStr">
        <x:is>
          <x:t xml:space="preserve">Legal Exposure</x:t>
        </x:is>
      </x:c>
      <x:c r="I470" t="inlineStr">
        <x:is>
          <x:t xml:space="preserve">Assess_Evidence_Handling</x:t>
        </x:is>
      </x:c>
      <x:c r="J470" t="inlineStr">
        <x:is>
          <x:t xml:space="preserve">N</x:t>
        </x:is>
      </x:c>
      <x:c r="K470" t="inlineStr">
        <x:is>
          <x:t xml:space="preserve">Example of current storage/access model</x:t>
        </x:is>
      </x:c>
    </x:row>
    <x:row r="471">
      <x:c r="A471" t="inlineStr">
        <x:is>
          <x:t xml:space="preserve">Security</x:t>
        </x:is>
      </x:c>
      <x:c r="B471" t="inlineStr">
        <x:is>
          <x:t xml:space="preserve">SEC-D10-Q29</x:t>
        </x:is>
      </x:c>
      <x:c r="C471" t="inlineStr">
        <x:is>
          <x:t xml:space="preserve">SEC-D10-Q29-A2</x:t>
        </x:is>
      </x:c>
      <x:c r="D471" t="n">
        <x:v>3</x:v>
      </x:c>
      <x:c r="E471" t="inlineStr">
        <x:is>
          <x:t xml:space="preserve">Logs are centralized, but privileged admins could still alter/delete them and time sync is inconsistent.</x:t>
        </x:is>
      </x:c>
      <x:c r="F471" t="n">
        <x:v>1</x:v>
      </x:c>
      <x:c r="G471" t="inlineStr">
        <x:is>
          <x:t xml:space="preserve">forensic_gap,partial_maturity</x:t>
        </x:is>
      </x:c>
      <x:c r="H471" t="inlineStr">
        <x:is>
          <x:t xml:space="preserve">Legal Exposure</x:t>
        </x:is>
      </x:c>
      <x:c r="I471" t="inlineStr">
        <x:is>
          <x:t xml:space="preserve">Assess_Evidence_Handling</x:t>
        </x:is>
      </x:c>
      <x:c r="J471" t="inlineStr">
        <x:is>
          <x:t xml:space="preserve">N</x:t>
        </x:is>
      </x:c>
      <x:c r="K471" t="inlineStr">
        <x:is>
          <x:t xml:space="preserve">Time sync status; admin access list</x:t>
        </x:is>
      </x:c>
    </x:row>
    <x:row r="472">
      <x:c r="A472" t="inlineStr">
        <x:is>
          <x:t xml:space="preserve">Security</x:t>
        </x:is>
      </x:c>
      <x:c r="B472" t="inlineStr">
        <x:is>
          <x:t xml:space="preserve">SEC-D10-Q29</x:t>
        </x:is>
      </x:c>
      <x:c r="C472" t="inlineStr">
        <x:is>
          <x:t xml:space="preserve">SEC-D10-Q29-A3</x:t>
        </x:is>
      </x:c>
      <x:c r="D472" t="n">
        <x:v>4</x:v>
      </x:c>
      <x:c r="E472" t="inlineStr">
        <x:is>
          <x:t xml:space="preserve">Access is restricted and logged; time sync is managed; but we don’t have immutability/WORM or integrity checks for critical logs.</x:t>
        </x:is>
      </x:c>
      <x:c r="F472" t="n">
        <x:v>2</x:v>
      </x:c>
      <x:c r="G472" t="inlineStr">
        <x:is>
          <x:t xml:space="preserve">partial_maturity,legal_exposure</x:t>
        </x:is>
      </x:c>
      <x:c r="H472" t="inlineStr">
        <x:is>
          <x:t xml:space="preserve">Legal Exposure</x:t>
        </x:is>
      </x:c>
      <x:c r="I472" t="inlineStr">
        <x:is>
          <x:t xml:space="preserve">Assess_Evidence_Handling</x:t>
        </x:is>
      </x:c>
      <x:c r="J472" t="inlineStr">
        <x:is>
          <x:t xml:space="preserve">N</x:t>
        </x:is>
      </x:c>
      <x:c r="K472" t="inlineStr">
        <x:is>
          <x:t xml:space="preserve">Retention and access audit samples</x:t>
        </x:is>
      </x:c>
    </x:row>
    <x:row r="473">
      <x:c r="A473" t="inlineStr">
        <x:is>
          <x:t xml:space="preserve">Security</x:t>
        </x:is>
      </x:c>
      <x:c r="B473" t="inlineStr">
        <x:is>
          <x:t xml:space="preserve">SEC-D10-Q29</x:t>
        </x:is>
      </x:c>
      <x:c r="C473" t="inlineStr">
        <x:is>
          <x:t xml:space="preserve">SEC-D10-Q29-A4</x:t>
        </x:is>
      </x:c>
      <x:c r="D473" t="n">
        <x:v>5</x:v>
      </x:c>
      <x:c r="E473" t="inlineStr">
        <x:is>
          <x:t xml:space="preserve">Critical logs are integrity-protected (restricted access, audited, consistent time); we can demonstrate chain of custody when needed.</x:t>
        </x:is>
      </x:c>
      <x:c r="F473" t="n">
        <x:v>3</x:v>
      </x:c>
      <x:c r="G473" t="inlineStr">
        <x:is>
          <x:t xml:space="preserve">good_practice,forensic_ready</x:t>
        </x:is>
      </x:c>
      <x:c r="I473" t="inlineStr">
        <x:is>
          <x:t xml:space="preserve">Request_Evidence</x:t>
        </x:is>
      </x:c>
      <x:c r="J473" t="inlineStr">
        <x:is>
          <x:t xml:space="preserve">N</x:t>
        </x:is>
      </x:c>
      <x:c r="K473" t="inlineStr">
        <x:is>
          <x:t xml:space="preserve">Audit trail of access; chain-of-custody procedure</x:t>
        </x:is>
      </x:c>
    </x:row>
    <x:row r="474">
      <x:c r="A474" t="inlineStr">
        <x:is>
          <x:t xml:space="preserve">Security</x:t>
        </x:is>
      </x:c>
      <x:c r="B474" t="inlineStr">
        <x:is>
          <x:t xml:space="preserve">SEC-D10-Q29</x:t>
        </x:is>
      </x:c>
      <x:c r="C474" t="inlineStr">
        <x:is>
          <x:t xml:space="preserve">SEC-D10-Q29-A5</x:t>
        </x:is>
      </x:c>
      <x:c r="D474" t="n">
        <x:v>6</x:v>
      </x:c>
      <x:c r="E474" t="inlineStr">
        <x:is>
          <x:t xml:space="preserve">Critical logs are tamper-resistant/immutable (WORM/cryptographic), independently auditable, and regularly tested for evidentiary use.</x:t>
        </x:is>
      </x:c>
      <x:c r="F474" t="n">
        <x:v>4</x:v>
      </x:c>
      <x:c r="G474" t="inlineStr">
        <x:is>
          <x:t xml:space="preserve">optimized,forensic_ready</x:t>
        </x:is>
      </x:c>
      <x:c r="I474" t="inlineStr">
        <x:is>
          <x:t xml:space="preserve">Request_Evidence</x:t>
        </x:is>
      </x:c>
      <x:c r="J474" t="inlineStr">
        <x:is>
          <x:t xml:space="preserve">N</x:t>
        </x:is>
      </x:c>
      <x:c r="K474" t="inlineStr">
        <x:is>
          <x:t xml:space="preserve">WORM/immutability proof; audit report</x:t>
        </x:is>
      </x:c>
    </x:row>
    <x:row r="475">
      <x:c r="A475" t="inlineStr">
        <x:is>
          <x:t xml:space="preserve">Security</x:t>
        </x:is>
      </x:c>
      <x:c r="B475" t="inlineStr">
        <x:is>
          <x:t xml:space="preserve">SEC-D10-Q30</x:t>
        </x:is>
      </x:c>
      <x:c r="C475" t="inlineStr">
        <x:is>
          <x:t xml:space="preserve">SEC-D10-Q30-A0</x:t>
        </x:is>
      </x:c>
      <x:c r="D475" t="n">
        <x:v>1</x:v>
      </x:c>
      <x:c r="E475" t="inlineStr">
        <x:is>
          <x:t xml:space="preserve">I don’t know / not sure.</x:t>
        </x:is>
      </x:c>
      <x:c r="F475" t="n">
        <x:v>0</x:v>
      </x:c>
      <x:c r="G475" t="inlineStr">
        <x:is>
          <x:t xml:space="preserve">unknown</x:t>
        </x:is>
      </x:c>
      <x:c r="H475" t="inlineStr">
        <x:is>
          <x:t xml:space="preserve">Unknown</x:t>
        </x:is>
      </x:c>
      <x:c r="I475" t="inlineStr">
        <x:is>
          <x:t xml:space="preserve">Clarify_Stakeholders</x:t>
        </x:is>
      </x:c>
      <x:c r="J475" t="inlineStr">
        <x:is>
          <x:t xml:space="preserve">N</x:t>
        </x:is>
      </x:c>
      <x:c r="K475" t="inlineStr">
        <x:is>
          <x:t xml:space="preserve">None</x:t>
        </x:is>
      </x:c>
    </x:row>
    <x:row r="476">
      <x:c r="A476" t="inlineStr">
        <x:is>
          <x:t xml:space="preserve">Security</x:t>
        </x:is>
      </x:c>
      <x:c r="B476" t="inlineStr">
        <x:is>
          <x:t xml:space="preserve">SEC-D10-Q30</x:t>
        </x:is>
      </x:c>
      <x:c r="C476" t="inlineStr">
        <x:is>
          <x:t xml:space="preserve">SEC-D10-Q30-A1</x:t>
        </x:is>
      </x:c>
      <x:c r="D476" t="n">
        <x:v>2</x:v>
      </x:c>
      <x:c r="E476" t="inlineStr">
        <x:is>
          <x:t xml:space="preserve">It usually takes days/weeks because data is spread across teams/tools and access must be requested case-by-case.</x:t>
        </x:is>
      </x:c>
      <x:c r="F476" t="n">
        <x:v>0</x:v>
      </x:c>
      <x:c r="G476" t="inlineStr">
        <x:is>
          <x:t xml:space="preserve">siloed,operating_model_gap</x:t>
        </x:is>
      </x:c>
      <x:c r="H476" t="inlineStr">
        <x:is>
          <x:t xml:space="preserve">Operating Model Gap</x:t>
        </x:is>
      </x:c>
      <x:c r="I476" t="inlineStr">
        <x:is>
          <x:t xml:space="preserve">Design_Case_Model</x:t>
        </x:is>
      </x:c>
      <x:c r="J476" t="inlineStr">
        <x:is>
          <x:t xml:space="preserve">N</x:t>
        </x:is>
      </x:c>
      <x:c r="K476" t="inlineStr">
        <x:is>
          <x:t xml:space="preserve">Example timeline of last case</x:t>
        </x:is>
      </x:c>
    </x:row>
    <x:row r="477">
      <x:c r="A477" t="inlineStr">
        <x:is>
          <x:t xml:space="preserve">Security</x:t>
        </x:is>
      </x:c>
      <x:c r="B477" t="inlineStr">
        <x:is>
          <x:t xml:space="preserve">SEC-D10-Q30</x:t>
        </x:is>
      </x:c>
      <x:c r="C477" t="inlineStr">
        <x:is>
          <x:t xml:space="preserve">SEC-D10-Q30-A2</x:t>
        </x:is>
      </x:c>
      <x:c r="D477" t="n">
        <x:v>3</x:v>
      </x:c>
      <x:c r="E477" t="inlineStr">
        <x:is>
          <x:t xml:space="preserve">It takes a few days; we can do it, but it’s manual and depends on specific people.</x:t>
        </x:is>
      </x:c>
      <x:c r="F477" t="n">
        <x:v>1</x:v>
      </x:c>
      <x:c r="G477" t="inlineStr">
        <x:is>
          <x:t xml:space="preserve">key_person_dependency,ad_hoc</x:t>
        </x:is>
      </x:c>
      <x:c r="H477" t="inlineStr">
        <x:is>
          <x:t xml:space="preserve">Shadow Mature</x:t>
        </x:is>
      </x:c>
      <x:c r="I477" t="inlineStr">
        <x:is>
          <x:t xml:space="preserve">Capture_Playbook</x:t>
        </x:is>
      </x:c>
      <x:c r="J477" t="inlineStr">
        <x:is>
          <x:t xml:space="preserve">N</x:t>
        </x:is>
      </x:c>
      <x:c r="K477" t="inlineStr">
        <x:is>
          <x:t xml:space="preserve">Example export steps</x:t>
        </x:is>
      </x:c>
    </x:row>
    <x:row r="478">
      <x:c r="A478" t="inlineStr">
        <x:is>
          <x:t xml:space="preserve">Security</x:t>
        </x:is>
      </x:c>
      <x:c r="B478" t="inlineStr">
        <x:is>
          <x:t xml:space="preserve">SEC-D10-Q30</x:t>
        </x:is>
      </x:c>
      <x:c r="C478" t="inlineStr">
        <x:is>
          <x:t xml:space="preserve">SEC-D10-Q30-A3</x:t>
        </x:is>
      </x:c>
      <x:c r="D478" t="n">
        <x:v>4</x:v>
      </x:c>
      <x:c r="E478" t="inlineStr">
        <x:is>
          <x:t xml:space="preserve">We can usually retrieve within 24–48 hours for key systems, but not consistently across all sources.</x:t>
        </x:is>
      </x:c>
      <x:c r="F478" t="n">
        <x:v>2</x:v>
      </x:c>
      <x:c r="G478" t="inlineStr">
        <x:is>
          <x:t xml:space="preserve">partial_maturity,inconsistent_execution</x:t>
        </x:is>
      </x:c>
      <x:c r="H478" t="inlineStr">
        <x:is>
          <x:t xml:space="preserve">Resilience Gap</x:t>
        </x:is>
      </x:c>
      <x:c r="I478" t="inlineStr">
        <x:is>
          <x:t xml:space="preserve">Assess_Case_Model</x:t>
        </x:is>
      </x:c>
      <x:c r="J478" t="inlineStr">
        <x:is>
          <x:t xml:space="preserve">N</x:t>
        </x:is>
      </x:c>
      <x:c r="K478" t="inlineStr">
        <x:is>
          <x:t xml:space="preserve">Last case retrieval evidence</x:t>
        </x:is>
      </x:c>
    </x:row>
    <x:row r="479">
      <x:c r="A479" t="inlineStr">
        <x:is>
          <x:t xml:space="preserve">Security</x:t>
        </x:is>
      </x:c>
      <x:c r="B479" t="inlineStr">
        <x:is>
          <x:t xml:space="preserve">SEC-D10-Q30</x:t>
        </x:is>
      </x:c>
      <x:c r="C479" t="inlineStr">
        <x:is>
          <x:t xml:space="preserve">SEC-D10-Q30-A4</x:t>
        </x:is>
      </x:c>
      <x:c r="D479" t="n">
        <x:v>5</x:v>
      </x:c>
      <x:c r="E479" t="inlineStr">
        <x:is>
          <x:t xml:space="preserve">We can retrieve within hours using a documented process and standardized exports for investigations.</x:t>
        </x:is>
      </x:c>
      <x:c r="F479" t="n">
        <x:v>3</x:v>
      </x:c>
      <x:c r="G479" t="inlineStr">
        <x:is>
          <x:t xml:space="preserve">good_practice,execution_strength</x:t>
        </x:is>
      </x:c>
      <x:c r="I479" t="inlineStr">
        <x:is>
          <x:t xml:space="preserve">Request_Evidence</x:t>
        </x:is>
      </x:c>
      <x:c r="J479" t="inlineStr">
        <x:is>
          <x:t xml:space="preserve">N</x:t>
        </x:is>
      </x:c>
      <x:c r="K479" t="inlineStr">
        <x:is>
          <x:t xml:space="preserve">SOP + sample export</x:t>
        </x:is>
      </x:c>
    </x:row>
    <x:row r="480">
      <x:c r="A480" t="inlineStr">
        <x:is>
          <x:t xml:space="preserve">Security</x:t>
        </x:is>
      </x:c>
      <x:c r="B480" t="inlineStr">
        <x:is>
          <x:t xml:space="preserve">SEC-D10-Q30</x:t>
        </x:is>
      </x:c>
      <x:c r="C480" t="inlineStr">
        <x:is>
          <x:t xml:space="preserve">SEC-D10-Q30-A5</x:t>
        </x:is>
      </x:c>
      <x:c r="D480" t="n">
        <x:v>6</x:v>
      </x:c>
      <x:c r="E480" t="inlineStr">
        <x:is>
          <x:t xml:space="preserve">We can retrieve within ~1 hour via case tooling/self-service workflows; completeness and timing are measured.</x:t>
        </x:is>
      </x:c>
      <x:c r="F480" t="n">
        <x:v>4</x:v>
      </x:c>
      <x:c r="G480" t="inlineStr">
        <x:is>
          <x:t xml:space="preserve">optimized,execution_strength</x:t>
        </x:is>
      </x:c>
      <x:c r="I480" t="inlineStr">
        <x:is>
          <x:t xml:space="preserve">Request_Evidence</x:t>
        </x:is>
      </x:c>
      <x:c r="J480" t="inlineStr">
        <x:is>
          <x:t xml:space="preserve">N</x:t>
        </x:is>
      </x:c>
      <x:c r="K480" t="inlineStr">
        <x:is>
          <x:t xml:space="preserve">Metrics (time-to-retrieve) + proof</x:t>
        </x:is>
      </x:c>
    </x:row>
    <x:row r="481">
      <x:c r="A481" t="inlineStr">
        <x:is>
          <x:t xml:space="preserve">Security</x:t>
        </x:is>
      </x:c>
      <x:c r="B481" t="inlineStr">
        <x:is>
          <x:t xml:space="preserve">SEC-D11-Q31</x:t>
        </x:is>
      </x:c>
      <x:c r="C481" t="inlineStr">
        <x:is>
          <x:t xml:space="preserve">SEC-D11-Q31-A0</x:t>
        </x:is>
      </x:c>
      <x:c r="D481" t="n">
        <x:v>1</x:v>
      </x:c>
      <x:c r="E481" t="inlineStr">
        <x:is>
          <x:t xml:space="preserve">I don’t know / not sure.</x:t>
        </x:is>
      </x:c>
      <x:c r="F481" t="n">
        <x:v>0</x:v>
      </x:c>
      <x:c r="G481" t="inlineStr">
        <x:is>
          <x:t xml:space="preserve">unknown</x:t>
        </x:is>
      </x:c>
      <x:c r="H481" t="inlineStr">
        <x:is>
          <x:t xml:space="preserve">Unknown</x:t>
        </x:is>
      </x:c>
      <x:c r="I481" t="inlineStr">
        <x:is>
          <x:t xml:space="preserve">Clarify_Stakeholders</x:t>
        </x:is>
      </x:c>
      <x:c r="J481" t="inlineStr">
        <x:is>
          <x:t xml:space="preserve">N</x:t>
        </x:is>
      </x:c>
      <x:c r="K481" t="inlineStr">
        <x:is>
          <x:t xml:space="preserve">None</x:t>
        </x:is>
      </x:c>
    </x:row>
    <x:row r="482">
      <x:c r="A482" t="inlineStr">
        <x:is>
          <x:t xml:space="preserve">Security</x:t>
        </x:is>
      </x:c>
      <x:c r="B482" t="inlineStr">
        <x:is>
          <x:t xml:space="preserve">SEC-D11-Q31</x:t>
        </x:is>
      </x:c>
      <x:c r="C482" t="inlineStr">
        <x:is>
          <x:t xml:space="preserve">SEC-D11-Q31-A1</x:t>
        </x:is>
      </x:c>
      <x:c r="D482" t="n">
        <x:v>2</x:v>
      </x:c>
      <x:c r="E482" t="inlineStr">
        <x:is>
          <x:t xml:space="preserve">We often cannot attribute actions to a specific person (shared accounts, generic admin IDs, or missing identity in logs).</x:t>
        </x:is>
      </x:c>
      <x:c r="F482" t="n">
        <x:v>0</x:v>
      </x:c>
      <x:c r="G482" t="inlineStr">
        <x:is>
          <x:t xml:space="preserve">identity_gap,visibility_gap</x:t>
        </x:is>
      </x:c>
      <x:c r="H482" t="inlineStr">
        <x:is>
          <x:t xml:space="preserve">Visibility Gap</x:t>
        </x:is>
      </x:c>
      <x:c r="I482" t="inlineStr">
        <x:is>
          <x:t xml:space="preserve">Assess_Detection</x:t>
        </x:is>
      </x:c>
      <x:c r="J482" t="inlineStr">
        <x:is>
          <x:t xml:space="preserve">N</x:t>
        </x:is>
      </x:c>
      <x:c r="K482" t="inlineStr">
        <x:is>
          <x:t xml:space="preserve">Examples of shared accounts</x:t>
        </x:is>
      </x:c>
    </x:row>
    <x:row r="483">
      <x:c r="A483" t="inlineStr">
        <x:is>
          <x:t xml:space="preserve">Security</x:t>
        </x:is>
      </x:c>
      <x:c r="B483" t="inlineStr">
        <x:is>
          <x:t xml:space="preserve">SEC-D11-Q31</x:t>
        </x:is>
      </x:c>
      <x:c r="C483" t="inlineStr">
        <x:is>
          <x:t xml:space="preserve">SEC-D11-Q31-A2</x:t>
        </x:is>
      </x:c>
      <x:c r="D483" t="n">
        <x:v>3</x:v>
      </x:c>
      <x:c r="E483" t="inlineStr">
        <x:is>
          <x:t xml:space="preserve">We can attribute some actions, but many critical systems still have shared/unclear identity.</x:t>
        </x:is>
      </x:c>
      <x:c r="F483" t="n">
        <x:v>1</x:v>
      </x:c>
      <x:c r="G483" t="inlineStr">
        <x:is>
          <x:t xml:space="preserve">partial_visibility,identity_gap</x:t>
        </x:is>
      </x:c>
      <x:c r="H483" t="inlineStr">
        <x:is>
          <x:t xml:space="preserve">Visibility Gap</x:t>
        </x:is>
      </x:c>
      <x:c r="I483" t="inlineStr">
        <x:is>
          <x:t xml:space="preserve">Improve_Identity_Correlation</x:t>
        </x:is>
      </x:c>
      <x:c r="J483" t="inlineStr">
        <x:is>
          <x:t xml:space="preserve">N</x:t>
        </x:is>
      </x:c>
      <x:c r="K483" t="inlineStr">
        <x:is>
          <x:t xml:space="preserve">List systems without unique IDs</x:t>
        </x:is>
      </x:c>
    </x:row>
    <x:row r="484">
      <x:c r="A484" t="inlineStr">
        <x:is>
          <x:t xml:space="preserve">Security</x:t>
        </x:is>
      </x:c>
      <x:c r="B484" t="inlineStr">
        <x:is>
          <x:t xml:space="preserve">SEC-D11-Q31</x:t>
        </x:is>
      </x:c>
      <x:c r="C484" t="inlineStr">
        <x:is>
          <x:t xml:space="preserve">SEC-D11-Q31-A3</x:t>
        </x:is>
      </x:c>
      <x:c r="D484" t="n">
        <x:v>4</x:v>
      </x:c>
      <x:c r="E484" t="inlineStr">
        <x:is>
          <x:t xml:space="preserve">Most systems use unique identities; attribution is possible but correlation across systems is still manual.</x:t>
        </x:is>
      </x:c>
      <x:c r="F484" t="n">
        <x:v>2</x:v>
      </x:c>
      <x:c r="G484" t="inlineStr">
        <x:is>
          <x:t xml:space="preserve">partial_maturity,ad_hoc</x:t>
        </x:is>
      </x:c>
      <x:c r="H484" t="inlineStr">
        <x:is>
          <x:t xml:space="preserve">Resilience Gap</x:t>
        </x:is>
      </x:c>
      <x:c r="I484" t="inlineStr">
        <x:is>
          <x:t xml:space="preserve">Improve_Identity_Correlation</x:t>
        </x:is>
      </x:c>
      <x:c r="J484" t="inlineStr">
        <x:is>
          <x:t xml:space="preserve">N</x:t>
        </x:is>
      </x:c>
      <x:c r="K484" t="inlineStr">
        <x:is>
          <x:t xml:space="preserve">SSO coverage list; correlation method</x:t>
        </x:is>
      </x:c>
    </x:row>
    <x:row r="485">
      <x:c r="A485" t="inlineStr">
        <x:is>
          <x:t xml:space="preserve">Security</x:t>
        </x:is>
      </x:c>
      <x:c r="B485" t="inlineStr">
        <x:is>
          <x:t xml:space="preserve">SEC-D11-Q31</x:t>
        </x:is>
      </x:c>
      <x:c r="C485" t="inlineStr">
        <x:is>
          <x:t xml:space="preserve">SEC-D11-Q31-A4</x:t>
        </x:is>
      </x:c>
      <x:c r="D485" t="n">
        <x:v>5</x:v>
      </x:c>
      <x:c r="E485" t="inlineStr">
        <x:is>
          <x:t xml:space="preserve">Attribution is reliable across key systems using SSO/MFA; shared accounts are controlled and reviewed.</x:t>
        </x:is>
      </x:c>
      <x:c r="F485" t="n">
        <x:v>3</x:v>
      </x:c>
      <x:c r="G485" t="inlineStr">
        <x:is>
          <x:t xml:space="preserve">good_practice,execution_strength</x:t>
        </x:is>
      </x:c>
      <x:c r="I485" t="inlineStr">
        <x:is>
          <x:t xml:space="preserve">Request_Evidence</x:t>
        </x:is>
      </x:c>
      <x:c r="J485" t="inlineStr">
        <x:is>
          <x:t xml:space="preserve">N</x:t>
        </x:is>
      </x:c>
      <x:c r="K485" t="inlineStr">
        <x:is>
          <x:t xml:space="preserve">SSO coverage; access review proof</x:t>
        </x:is>
      </x:c>
    </x:row>
    <x:row r="486">
      <x:c r="A486" t="inlineStr">
        <x:is>
          <x:t xml:space="preserve">Security</x:t>
        </x:is>
      </x:c>
      <x:c r="B486" t="inlineStr">
        <x:is>
          <x:t xml:space="preserve">SEC-D11-Q31</x:t>
        </x:is>
      </x:c>
      <x:c r="C486" t="inlineStr">
        <x:is>
          <x:t xml:space="preserve">SEC-D11-Q31-A5</x:t>
        </x:is>
      </x:c>
      <x:c r="D486" t="n">
        <x:v>6</x:v>
      </x:c>
      <x:c r="E486" t="inlineStr">
        <x:is>
          <x:t xml:space="preserve">We maintain an identity correlation layer (identity graph); privileged sessions are attributable and recorded; shared accounts are eliminated.</x:t>
        </x:is>
      </x:c>
      <x:c r="F486" t="n">
        <x:v>4</x:v>
      </x:c>
      <x:c r="G486" t="inlineStr">
        <x:is>
          <x:t xml:space="preserve">optimized,forensic_ready</x:t>
        </x:is>
      </x:c>
      <x:c r="I486" t="inlineStr">
        <x:is>
          <x:t xml:space="preserve">Request_Evidence</x:t>
        </x:is>
      </x:c>
      <x:c r="J486" t="inlineStr">
        <x:is>
          <x:t xml:space="preserve">N</x:t>
        </x:is>
      </x:c>
      <x:c r="K486" t="inlineStr">
        <x:is>
          <x:t xml:space="preserve">Identity graph evidence / PAM reports</x:t>
        </x:is>
      </x:c>
    </x:row>
    <x:row r="487">
      <x:c r="A487" t="inlineStr">
        <x:is>
          <x:t xml:space="preserve">Security</x:t>
        </x:is>
      </x:c>
      <x:c r="B487" t="inlineStr">
        <x:is>
          <x:t xml:space="preserve">SEC-D11-Q32</x:t>
        </x:is>
      </x:c>
      <x:c r="C487" t="inlineStr">
        <x:is>
          <x:t xml:space="preserve">SEC-D11-Q32-A0</x:t>
        </x:is>
      </x:c>
      <x:c r="D487" t="n">
        <x:v>1</x:v>
      </x:c>
      <x:c r="E487" t="inlineStr">
        <x:is>
          <x:t xml:space="preserve">I don’t know / not sure.</x:t>
        </x:is>
      </x:c>
      <x:c r="F487" t="n">
        <x:v>0</x:v>
      </x:c>
      <x:c r="G487" t="inlineStr">
        <x:is>
          <x:t xml:space="preserve">unknown</x:t>
        </x:is>
      </x:c>
      <x:c r="H487" t="inlineStr">
        <x:is>
          <x:t xml:space="preserve">Unknown</x:t>
        </x:is>
      </x:c>
      <x:c r="I487" t="inlineStr">
        <x:is>
          <x:t xml:space="preserve">Clarify_Stakeholders</x:t>
        </x:is>
      </x:c>
      <x:c r="J487" t="inlineStr">
        <x:is>
          <x:t xml:space="preserve">N</x:t>
        </x:is>
      </x:c>
      <x:c r="K487" t="inlineStr">
        <x:is>
          <x:t xml:space="preserve">None</x:t>
        </x:is>
      </x:c>
    </x:row>
    <x:row r="488">
      <x:c r="A488" t="inlineStr">
        <x:is>
          <x:t xml:space="preserve">Security</x:t>
        </x:is>
      </x:c>
      <x:c r="B488" t="inlineStr">
        <x:is>
          <x:t xml:space="preserve">SEC-D11-Q32</x:t>
        </x:is>
      </x:c>
      <x:c r="C488" t="inlineStr">
        <x:is>
          <x:t xml:space="preserve">SEC-D11-Q32-A1</x:t>
        </x:is>
      </x:c>
      <x:c r="D488" t="n">
        <x:v>2</x:v>
      </x:c>
      <x:c r="E488" t="inlineStr">
        <x:is>
          <x:t xml:space="preserve">Admins have permanent privileged access; actions are not consistently recorded or reviewed.</x:t>
        </x:is>
      </x:c>
      <x:c r="F488" t="n">
        <x:v>0</x:v>
      </x:c>
      <x:c r="G488" t="inlineStr">
        <x:is>
          <x:t xml:space="preserve">pam_gap,privileged_gap</x:t>
        </x:is>
      </x:c>
      <x:c r="H488" t="inlineStr">
        <x:is>
          <x:t xml:space="preserve">Paper Dragon</x:t>
        </x:is>
      </x:c>
      <x:c r="I488" t="inlineStr">
        <x:is>
          <x:t xml:space="preserve">Implement_PAM_JIT</x:t>
        </x:is>
      </x:c>
      <x:c r="J488" t="inlineStr">
        <x:is>
          <x:t xml:space="preserve">N</x:t>
        </x:is>
      </x:c>
      <x:c r="K488" t="inlineStr">
        <x:is>
          <x:t xml:space="preserve">Privileged account list</x:t>
        </x:is>
      </x:c>
    </x:row>
    <x:row r="489">
      <x:c r="A489" t="inlineStr">
        <x:is>
          <x:t xml:space="preserve">Security</x:t>
        </x:is>
      </x:c>
      <x:c r="B489" t="inlineStr">
        <x:is>
          <x:t xml:space="preserve">SEC-D11-Q32</x:t>
        </x:is>
      </x:c>
      <x:c r="C489" t="inlineStr">
        <x:is>
          <x:t xml:space="preserve">SEC-D11-Q32-A2</x:t>
        </x:is>
      </x:c>
      <x:c r="D489" t="n">
        <x:v>3</x:v>
      </x:c>
      <x:c r="E489" t="inlineStr">
        <x:is>
          <x:t xml:space="preserve">Approvals exist on paper, but enforcement is weak and session recording is uncommon.</x:t>
        </x:is>
      </x:c>
      <x:c r="F489" t="n">
        <x:v>1</x:v>
      </x:c>
      <x:c r="G489" t="inlineStr">
        <x:is>
          <x:t xml:space="preserve">paper_process,pam_gap</x:t>
        </x:is>
      </x:c>
      <x:c r="H489" t="inlineStr">
        <x:is>
          <x:t xml:space="preserve">Paper Dragon</x:t>
        </x:is>
      </x:c>
      <x:c r="I489" t="inlineStr">
        <x:is>
          <x:t xml:space="preserve">Implement_PAM_JIT</x:t>
        </x:is>
      </x:c>
      <x:c r="J489" t="inlineStr">
        <x:is>
          <x:t xml:space="preserve">N</x:t>
        </x:is>
      </x:c>
      <x:c r="K489" t="inlineStr">
        <x:is>
          <x:t xml:space="preserve">Approval procedure evidence</x:t>
        </x:is>
      </x:c>
    </x:row>
    <x:row r="490">
      <x:c r="A490" t="inlineStr">
        <x:is>
          <x:t xml:space="preserve">Security</x:t>
        </x:is>
      </x:c>
      <x:c r="B490" t="inlineStr">
        <x:is>
          <x:t xml:space="preserve">SEC-D11-Q32</x:t>
        </x:is>
      </x:c>
      <x:c r="C490" t="inlineStr">
        <x:is>
          <x:t xml:space="preserve">SEC-D11-Q32-A3</x:t>
        </x:is>
      </x:c>
      <x:c r="D490" t="n">
        <x:v>4</x:v>
      </x:c>
      <x:c r="E490" t="inlineStr">
        <x:is>
          <x:t xml:space="preserve">We have PAM/JIT for some high-risk systems; privileged sessions or commands are logged for those systems.</x:t>
        </x:is>
      </x:c>
      <x:c r="F490" t="n">
        <x:v>2</x:v>
      </x:c>
      <x:c r="G490" t="inlineStr">
        <x:is>
          <x:t xml:space="preserve">partial_maturity,execution_strength</x:t>
        </x:is>
      </x:c>
      <x:c r="H490" t="inlineStr">
        <x:is>
          <x:t xml:space="preserve">Resilience Gap</x:t>
        </x:is>
      </x:c>
      <x:c r="I490" t="inlineStr">
        <x:is>
          <x:t xml:space="preserve">Implement_PAM_JIT</x:t>
        </x:is>
      </x:c>
      <x:c r="J490" t="inlineStr">
        <x:is>
          <x:t xml:space="preserve">N</x:t>
        </x:is>
      </x:c>
      <x:c r="K490" t="inlineStr">
        <x:is>
          <x:t xml:space="preserve">PAM scope + sample logs</x:t>
        </x:is>
      </x:c>
    </x:row>
    <x:row r="491">
      <x:c r="A491" t="inlineStr">
        <x:is>
          <x:t xml:space="preserve">Security</x:t>
        </x:is>
      </x:c>
      <x:c r="B491" t="inlineStr">
        <x:is>
          <x:t xml:space="preserve">SEC-D11-Q32</x:t>
        </x:is>
      </x:c>
      <x:c r="C491" t="inlineStr">
        <x:is>
          <x:t xml:space="preserve">SEC-D11-Q32-A4</x:t>
        </x:is>
      </x:c>
      <x:c r="D491" t="n">
        <x:v>5</x:v>
      </x:c>
      <x:c r="E491" t="inlineStr">
        <x:is>
          <x:t xml:space="preserve">Privileged access is mostly JIT/approved; sessions are recorded or commands captured; periodic reviews happen.</x:t>
        </x:is>
      </x:c>
      <x:c r="F491" t="n">
        <x:v>3</x:v>
      </x:c>
      <x:c r="G491" t="inlineStr">
        <x:is>
          <x:t xml:space="preserve">good_practice,forensic_ready</x:t>
        </x:is>
      </x:c>
      <x:c r="I491" t="inlineStr">
        <x:is>
          <x:t xml:space="preserve">Request_Evidence</x:t>
        </x:is>
      </x:c>
      <x:c r="J491" t="inlineStr">
        <x:is>
          <x:t xml:space="preserve">N</x:t>
        </x:is>
      </x:c>
      <x:c r="K491" t="inlineStr">
        <x:is>
          <x:t xml:space="preserve">Access review proof; session capture sample</x:t>
        </x:is>
      </x:c>
    </x:row>
    <x:row r="492">
      <x:c r="A492" t="inlineStr">
        <x:is>
          <x:t xml:space="preserve">Security</x:t>
        </x:is>
      </x:c>
      <x:c r="B492" t="inlineStr">
        <x:is>
          <x:t xml:space="preserve">SEC-D11-Q32</x:t>
        </x:is>
      </x:c>
      <x:c r="C492" t="inlineStr">
        <x:is>
          <x:t xml:space="preserve">SEC-D11-Q32-A5</x:t>
        </x:is>
      </x:c>
      <x:c r="D492" t="n">
        <x:v>6</x:v>
      </x:c>
      <x:c r="E492" t="inlineStr">
        <x:is>
          <x:t xml:space="preserve">Privileged access is enforced JIT for HVAs; four-eyes applies for sensitive actions; monitoring + reviews are measured and audited.</x:t>
        </x:is>
      </x:c>
      <x:c r="F492" t="n">
        <x:v>4</x:v>
      </x:c>
      <x:c r="G492" t="inlineStr">
        <x:is>
          <x:t xml:space="preserve">optimized,forensic_ready</x:t>
        </x:is>
      </x:c>
      <x:c r="I492" t="inlineStr">
        <x:is>
          <x:t xml:space="preserve">Request_Evidence</x:t>
        </x:is>
      </x:c>
      <x:c r="J492" t="inlineStr">
        <x:is>
          <x:t xml:space="preserve">N</x:t>
        </x:is>
      </x:c>
      <x:c r="K492" t="inlineStr">
        <x:is>
          <x:t xml:space="preserve">PAM audit report / KPIs</x:t>
        </x:is>
      </x:c>
    </x:row>
    <x:row r="493">
      <x:c r="A493" t="inlineStr">
        <x:is>
          <x:t xml:space="preserve">Security</x:t>
        </x:is>
      </x:c>
      <x:c r="B493" t="inlineStr">
        <x:is>
          <x:t xml:space="preserve">SEC-D11-Q33</x:t>
        </x:is>
      </x:c>
      <x:c r="C493" t="inlineStr">
        <x:is>
          <x:t xml:space="preserve">SEC-D11-Q33-A0</x:t>
        </x:is>
      </x:c>
      <x:c r="D493" t="n">
        <x:v>1</x:v>
      </x:c>
      <x:c r="E493" t="inlineStr">
        <x:is>
          <x:t xml:space="preserve">I don’t know / not sure.</x:t>
        </x:is>
      </x:c>
      <x:c r="F493" t="n">
        <x:v>0</x:v>
      </x:c>
      <x:c r="G493" t="inlineStr">
        <x:is>
          <x:t xml:space="preserve">unknown</x:t>
        </x:is>
      </x:c>
      <x:c r="H493" t="inlineStr">
        <x:is>
          <x:t xml:space="preserve">Unknown</x:t>
        </x:is>
      </x:c>
      <x:c r="I493" t="inlineStr">
        <x:is>
          <x:t xml:space="preserve">Clarify_Stakeholders</x:t>
        </x:is>
      </x:c>
      <x:c r="J493" t="inlineStr">
        <x:is>
          <x:t xml:space="preserve">N</x:t>
        </x:is>
      </x:c>
      <x:c r="K493" t="inlineStr">
        <x:is>
          <x:t xml:space="preserve">None</x:t>
        </x:is>
      </x:c>
    </x:row>
    <x:row r="494">
      <x:c r="A494" t="inlineStr">
        <x:is>
          <x:t xml:space="preserve">Security</x:t>
        </x:is>
      </x:c>
      <x:c r="B494" t="inlineStr">
        <x:is>
          <x:t xml:space="preserve">SEC-D11-Q33</x:t>
        </x:is>
      </x:c>
      <x:c r="C494" t="inlineStr">
        <x:is>
          <x:t xml:space="preserve">SEC-D11-Q33-A1</x:t>
        </x:is>
      </x:c>
      <x:c r="D494" t="n">
        <x:v>2</x:v>
      </x:c>
      <x:c r="E494" t="inlineStr">
        <x:is>
          <x:t xml:space="preserve">Security typically learns about joiner/mover/leaver changes late; access cleanup and monitoring changes lag by days/weeks.</x:t>
        </x:is>
      </x:c>
      <x:c r="F494" t="n">
        <x:v>0</x:v>
      </x:c>
      <x:c r="G494" t="inlineStr">
        <x:is>
          <x:t xml:space="preserve">control_lag_high,ad_hoc</x:t>
        </x:is>
      </x:c>
      <x:c r="H494" t="inlineStr">
        <x:is>
          <x:t xml:space="preserve">Control Lag</x:t>
        </x:is>
      </x:c>
      <x:c r="I494" t="inlineStr">
        <x:is>
          <x:t xml:space="preserve">Assess_Control_Lag</x:t>
        </x:is>
      </x:c>
      <x:c r="J494" t="inlineStr">
        <x:is>
          <x:t xml:space="preserve">N</x:t>
        </x:is>
      </x:c>
      <x:c r="K494" t="inlineStr">
        <x:is>
          <x:t xml:space="preserve">Example of last termination timing</x:t>
        </x:is>
      </x:c>
    </x:row>
    <x:row r="495">
      <x:c r="A495" t="inlineStr">
        <x:is>
          <x:t xml:space="preserve">Security</x:t>
        </x:is>
      </x:c>
      <x:c r="B495" t="inlineStr">
        <x:is>
          <x:t xml:space="preserve">SEC-D11-Q33</x:t>
        </x:is>
      </x:c>
      <x:c r="C495" t="inlineStr">
        <x:is>
          <x:t xml:space="preserve">SEC-D11-Q33-A2</x:t>
        </x:is>
      </x:c>
      <x:c r="D495" t="n">
        <x:v>3</x:v>
      </x:c>
      <x:c r="E495" t="inlineStr">
        <x:is>
          <x:t xml:space="preserve">We receive notifications, but changes are manual and inconsistent; sometimes accounts or access remain longer than intended.</x:t>
        </x:is>
      </x:c>
      <x:c r="F495" t="n">
        <x:v>1</x:v>
      </x:c>
      <x:c r="G495" t="inlineStr">
        <x:is>
          <x:t xml:space="preserve">control_lag,inconsistent_execution</x:t>
        </x:is>
      </x:c>
      <x:c r="H495" t="inlineStr">
        <x:is>
          <x:t xml:space="preserve">Control Lag</x:t>
        </x:is>
      </x:c>
      <x:c r="I495" t="inlineStr">
        <x:is>
          <x:t xml:space="preserve">Assess_Control_Lag</x:t>
        </x:is>
      </x:c>
      <x:c r="J495" t="inlineStr">
        <x:is>
          <x:t xml:space="preserve">N</x:t>
        </x:is>
      </x:c>
      <x:c r="K495" t="inlineStr">
        <x:is>
          <x:t xml:space="preserve">Process description</x:t>
        </x:is>
      </x:c>
    </x:row>
    <x:row r="496">
      <x:c r="A496" t="inlineStr">
        <x:is>
          <x:t xml:space="preserve">Security</x:t>
        </x:is>
      </x:c>
      <x:c r="B496" t="inlineStr">
        <x:is>
          <x:t xml:space="preserve">SEC-D11-Q33</x:t>
        </x:is>
      </x:c>
      <x:c r="C496" t="inlineStr">
        <x:is>
          <x:t xml:space="preserve">SEC-D11-Q33-A3</x:t>
        </x:is>
      </x:c>
      <x:c r="D496" t="n">
        <x:v>4</x:v>
      </x:c>
      <x:c r="E496" t="inlineStr">
        <x:is>
          <x:t xml:space="preserve">Leavers are handled reasonably fast, but movers/role changes and sensitive HR events aren’t consistently reflected in controls.</x:t>
        </x:is>
      </x:c>
      <x:c r="F496" t="n">
        <x:v>2</x:v>
      </x:c>
      <x:c r="G496" t="inlineStr">
        <x:is>
          <x:t xml:space="preserve">partial_maturity,control_lag</x:t>
        </x:is>
      </x:c>
      <x:c r="H496" t="inlineStr">
        <x:is>
          <x:t xml:space="preserve">Control Lag</x:t>
        </x:is>
      </x:c>
      <x:c r="I496" t="inlineStr">
        <x:is>
          <x:t xml:space="preserve">Integrate_JML_Automation</x:t>
        </x:is>
      </x:c>
      <x:c r="J496" t="inlineStr">
        <x:is>
          <x:t xml:space="preserve">N</x:t>
        </x:is>
      </x:c>
      <x:c r="K496" t="inlineStr">
        <x:is>
          <x:t xml:space="preserve">JML SLA evidence</x:t>
        </x:is>
      </x:c>
    </x:row>
    <x:row r="497">
      <x:c r="A497" t="inlineStr">
        <x:is>
          <x:t xml:space="preserve">Security</x:t>
        </x:is>
      </x:c>
      <x:c r="B497" t="inlineStr">
        <x:is>
          <x:t xml:space="preserve">SEC-D11-Q33</x:t>
        </x:is>
      </x:c>
      <x:c r="C497" t="inlineStr">
        <x:is>
          <x:t xml:space="preserve">SEC-D11-Q33-A4</x:t>
        </x:is>
      </x:c>
      <x:c r="D497" t="n">
        <x:v>5</x:v>
      </x:c>
      <x:c r="E497" t="inlineStr">
        <x:is>
          <x:t xml:space="preserve">Automated feeds handle most changes; we have SLAs and escalation when control lag exceeds limits.</x:t>
        </x:is>
      </x:c>
      <x:c r="F497" t="n">
        <x:v>3</x:v>
      </x:c>
      <x:c r="G497" t="inlineStr">
        <x:is>
          <x:t xml:space="preserve">good_practice,execution_strength</x:t>
        </x:is>
      </x:c>
      <x:c r="I497" t="inlineStr">
        <x:is>
          <x:t xml:space="preserve">Request_Evidence</x:t>
        </x:is>
      </x:c>
      <x:c r="J497" t="inlineStr">
        <x:is>
          <x:t xml:space="preserve">N</x:t>
        </x:is>
      </x:c>
      <x:c r="K497" t="inlineStr">
        <x:is>
          <x:t xml:space="preserve">Automation proof + SLA dashboard</x:t>
        </x:is>
      </x:c>
    </x:row>
    <x:row r="498">
      <x:c r="A498" t="inlineStr">
        <x:is>
          <x:t xml:space="preserve">Security</x:t>
        </x:is>
      </x:c>
      <x:c r="B498" t="inlineStr">
        <x:is>
          <x:t xml:space="preserve">SEC-D11-Q33</x:t>
        </x:is>
      </x:c>
      <x:c r="C498" t="inlineStr">
        <x:is>
          <x:t xml:space="preserve">SEC-D11-Q33-A5</x:t>
        </x:is>
      </x:c>
      <x:c r="D498" t="n">
        <x:v>6</x:v>
      </x:c>
      <x:c r="E498" t="inlineStr">
        <x:is>
          <x:t xml:space="preserve">Real-time integration drives access and monitoring adjustments for risky events; lag is measured and continuously improved.</x:t>
        </x:is>
      </x:c>
      <x:c r="F498" t="n">
        <x:v>4</x:v>
      </x:c>
      <x:c r="G498" t="inlineStr">
        <x:is>
          <x:t xml:space="preserve">optimized,execution_strength</x:t>
        </x:is>
      </x:c>
      <x:c r="I498" t="inlineStr">
        <x:is>
          <x:t xml:space="preserve">Request_Evidence</x:t>
        </x:is>
      </x:c>
      <x:c r="J498" t="inlineStr">
        <x:is>
          <x:t xml:space="preserve">N</x:t>
        </x:is>
      </x:c>
      <x:c r="K498" t="inlineStr">
        <x:is>
          <x:t xml:space="preserve">Lag KPIs; automation logs</x:t>
        </x:is>
      </x:c>
    </x:row>
    <x:row r="499">
      <x:c r="A499" t="inlineStr">
        <x:is>
          <x:t xml:space="preserve">Security</x:t>
        </x:is>
      </x:c>
      <x:c r="B499" t="inlineStr">
        <x:is>
          <x:t xml:space="preserve">SEC-D12-Q34</x:t>
        </x:is>
      </x:c>
      <x:c r="C499" t="inlineStr">
        <x:is>
          <x:t xml:space="preserve">SEC-D12-Q34-A0</x:t>
        </x:is>
      </x:c>
      <x:c r="D499" t="n">
        <x:v>1</x:v>
      </x:c>
      <x:c r="E499" t="inlineStr">
        <x:is>
          <x:t xml:space="preserve">I don’t know / not sure.</x:t>
        </x:is>
      </x:c>
      <x:c r="F499" t="n">
        <x:v>0</x:v>
      </x:c>
      <x:c r="G499" t="inlineStr">
        <x:is>
          <x:t xml:space="preserve">unknown</x:t>
        </x:is>
      </x:c>
      <x:c r="H499" t="inlineStr">
        <x:is>
          <x:t xml:space="preserve">Unknown</x:t>
        </x:is>
      </x:c>
      <x:c r="I499" t="inlineStr">
        <x:is>
          <x:t xml:space="preserve">Clarify_Stakeholders</x:t>
        </x:is>
      </x:c>
      <x:c r="J499" t="inlineStr">
        <x:is>
          <x:t xml:space="preserve">N</x:t>
        </x:is>
      </x:c>
      <x:c r="K499" t="inlineStr">
        <x:is>
          <x:t xml:space="preserve">None</x:t>
        </x:is>
      </x:c>
    </x:row>
    <x:row r="500">
      <x:c r="A500" t="inlineStr">
        <x:is>
          <x:t xml:space="preserve">Security</x:t>
        </x:is>
      </x:c>
      <x:c r="B500" t="inlineStr">
        <x:is>
          <x:t xml:space="preserve">SEC-D12-Q34</x:t>
        </x:is>
      </x:c>
      <x:c r="C500" t="inlineStr">
        <x:is>
          <x:t xml:space="preserve">SEC-D12-Q34-A1</x:t>
        </x:is>
      </x:c>
      <x:c r="D500" t="n">
        <x:v>2</x:v>
      </x:c>
      <x:c r="E500" t="inlineStr">
        <x:is>
          <x:t xml:space="preserve">Containment is mostly manual (calls/emails); it can take many hours or days and is hard to coordinate.</x:t>
        </x:is>
      </x:c>
      <x:c r="F500" t="n">
        <x:v>0</x:v>
      </x:c>
      <x:c r="G500" t="inlineStr">
        <x:is>
          <x:t xml:space="preserve">resilience_gap,siloed</x:t>
        </x:is>
      </x:c>
      <x:c r="H500" t="inlineStr">
        <x:is>
          <x:t xml:space="preserve">Resilience Gap</x:t>
        </x:is>
      </x:c>
      <x:c r="I500" t="inlineStr">
        <x:is>
          <x:t xml:space="preserve">Implement_SOAR_Containment</x:t>
        </x:is>
      </x:c>
      <x:c r="J500" t="inlineStr">
        <x:is>
          <x:t xml:space="preserve">N</x:t>
        </x:is>
      </x:c>
      <x:c r="K500" t="inlineStr">
        <x:is>
          <x:t xml:space="preserve">Example containment timeline</x:t>
        </x:is>
      </x:c>
    </x:row>
    <x:row r="501">
      <x:c r="A501" t="inlineStr">
        <x:is>
          <x:t xml:space="preserve">Security</x:t>
        </x:is>
      </x:c>
      <x:c r="B501" t="inlineStr">
        <x:is>
          <x:t xml:space="preserve">SEC-D12-Q34</x:t>
        </x:is>
      </x:c>
      <x:c r="C501" t="inlineStr">
        <x:is>
          <x:t xml:space="preserve">SEC-D12-Q34-A2</x:t>
        </x:is>
      </x:c>
      <x:c r="D501" t="n">
        <x:v>3</x:v>
      </x:c>
      <x:c r="E501" t="inlineStr">
        <x:is>
          <x:t xml:space="preserve">We have scripts or admin runbooks, but containment still depends on specific people and isn’t consistently audited.</x:t>
        </x:is>
      </x:c>
      <x:c r="F501" t="n">
        <x:v>1</x:v>
      </x:c>
      <x:c r="G501" t="inlineStr">
        <x:is>
          <x:t xml:space="preserve">key_person_dependency,ad_hoc</x:t>
        </x:is>
      </x:c>
      <x:c r="H501" t="inlineStr">
        <x:is>
          <x:t xml:space="preserve">Shadow Mature</x:t>
        </x:is>
      </x:c>
      <x:c r="I501" t="inlineStr">
        <x:is>
          <x:t xml:space="preserve">Capture_Playbook</x:t>
        </x:is>
      </x:c>
      <x:c r="J501" t="inlineStr">
        <x:is>
          <x:t xml:space="preserve">N</x:t>
        </x:is>
      </x:c>
      <x:c r="K501" t="inlineStr">
        <x:is>
          <x:t xml:space="preserve">Runbook/sample script</x:t>
        </x:is>
      </x:c>
    </x:row>
    <x:row r="502">
      <x:c r="A502" t="inlineStr">
        <x:is>
          <x:t xml:space="preserve">Security</x:t>
        </x:is>
      </x:c>
      <x:c r="B502" t="inlineStr">
        <x:is>
          <x:t xml:space="preserve">SEC-D12-Q34</x:t>
        </x:is>
      </x:c>
      <x:c r="C502" t="inlineStr">
        <x:is>
          <x:t xml:space="preserve">SEC-D12-Q34-A3</x:t>
        </x:is>
      </x:c>
      <x:c r="D502" t="n">
        <x:v>4</x:v>
      </x:c>
      <x:c r="E502" t="inlineStr">
        <x:is>
          <x:t xml:space="preserve">We can contain key accounts within hours with documented steps; coverage is limited to some systems.</x:t>
        </x:is>
      </x:c>
      <x:c r="F502" t="n">
        <x:v>2</x:v>
      </x:c>
      <x:c r="G502" t="inlineStr">
        <x:is>
          <x:t xml:space="preserve">partial_maturity,execution_strength</x:t>
        </x:is>
      </x:c>
      <x:c r="H502" t="inlineStr">
        <x:is>
          <x:t xml:space="preserve">Resilience Gap</x:t>
        </x:is>
      </x:c>
      <x:c r="I502" t="inlineStr">
        <x:is>
          <x:t xml:space="preserve">Implement_SOAR_Containment</x:t>
        </x:is>
      </x:c>
      <x:c r="J502" t="inlineStr">
        <x:is>
          <x:t xml:space="preserve">N</x:t>
        </x:is>
      </x:c>
      <x:c r="K502" t="inlineStr">
        <x:is>
          <x:t xml:space="preserve">SOP + scope list</x:t>
        </x:is>
      </x:c>
    </x:row>
    <x:row r="503">
      <x:c r="A503" t="inlineStr">
        <x:is>
          <x:t xml:space="preserve">Security</x:t>
        </x:is>
      </x:c>
      <x:c r="B503" t="inlineStr">
        <x:is>
          <x:t xml:space="preserve">SEC-D12-Q34</x:t>
        </x:is>
      </x:c>
      <x:c r="C503" t="inlineStr">
        <x:is>
          <x:t xml:space="preserve">SEC-D12-Q34-A4</x:t>
        </x:is>
      </x:c>
      <x:c r="D503" t="n">
        <x:v>5</x:v>
      </x:c>
      <x:c r="E503" t="inlineStr">
        <x:is>
          <x:t xml:space="preserve">SOAR/workflows can contain across most critical systems with approvals and audit trail; tested periodically.</x:t>
        </x:is>
      </x:c>
      <x:c r="F503" t="n">
        <x:v>3</x:v>
      </x:c>
      <x:c r="G503" t="inlineStr">
        <x:is>
          <x:t xml:space="preserve">good_practice,execution_strength</x:t>
        </x:is>
      </x:c>
      <x:c r="I503" t="inlineStr">
        <x:is>
          <x:t xml:space="preserve">Request_Evidence</x:t>
        </x:is>
      </x:c>
      <x:c r="J503" t="inlineStr">
        <x:is>
          <x:t xml:space="preserve">N</x:t>
        </x:is>
      </x:c>
      <x:c r="K503" t="inlineStr">
        <x:is>
          <x:t xml:space="preserve">SOAR playbook + test record</x:t>
        </x:is>
      </x:c>
    </x:row>
    <x:row r="504">
      <x:c r="A504" t="inlineStr">
        <x:is>
          <x:t xml:space="preserve">Security</x:t>
        </x:is>
      </x:c>
      <x:c r="B504" t="inlineStr">
        <x:is>
          <x:t xml:space="preserve">SEC-D12-Q34</x:t>
        </x:is>
      </x:c>
      <x:c r="C504" t="inlineStr">
        <x:is>
          <x:t xml:space="preserve">SEC-D12-Q34-A5</x:t>
        </x:is>
      </x:c>
      <x:c r="D504" t="n">
        <x:v>6</x:v>
      </x:c>
      <x:c r="E504" t="inlineStr">
        <x:is>
          <x:t xml:space="preserve">Near real-time ‘kill switch’ exists for HVAs (access, sessions, data egress) with staged actions and measured success.</x:t>
        </x:is>
      </x:c>
      <x:c r="F504" t="n">
        <x:v>4</x:v>
      </x:c>
      <x:c r="G504" t="inlineStr">
        <x:is>
          <x:t xml:space="preserve">optimized,execution_strength</x:t>
        </x:is>
      </x:c>
      <x:c r="I504" t="inlineStr">
        <x:is>
          <x:t xml:space="preserve">Request_Evidence</x:t>
        </x:is>
      </x:c>
      <x:c r="J504" t="inlineStr">
        <x:is>
          <x:t xml:space="preserve">N</x:t>
        </x:is>
      </x:c>
      <x:c r="K504" t="inlineStr">
        <x:is>
          <x:t xml:space="preserve">Playbook metrics + proof</x:t>
        </x:is>
      </x:c>
    </x:row>
    <x:row r="505">
      <x:c r="A505" t="inlineStr">
        <x:is>
          <x:t xml:space="preserve">Security</x:t>
        </x:is>
      </x:c>
      <x:c r="B505" t="inlineStr">
        <x:is>
          <x:t xml:space="preserve">SEC-D12-Q35</x:t>
        </x:is>
      </x:c>
      <x:c r="C505" t="inlineStr">
        <x:is>
          <x:t xml:space="preserve">SEC-D12-Q35-A0</x:t>
        </x:is>
      </x:c>
      <x:c r="D505" t="n">
        <x:v>1</x:v>
      </x:c>
      <x:c r="E505" t="inlineStr">
        <x:is>
          <x:t xml:space="preserve">I don’t know / not sure.</x:t>
        </x:is>
      </x:c>
      <x:c r="F505" t="n">
        <x:v>0</x:v>
      </x:c>
      <x:c r="G505" t="inlineStr">
        <x:is>
          <x:t xml:space="preserve">unknown</x:t>
        </x:is>
      </x:c>
      <x:c r="H505" t="inlineStr">
        <x:is>
          <x:t xml:space="preserve">Unknown</x:t>
        </x:is>
      </x:c>
      <x:c r="I505" t="inlineStr">
        <x:is>
          <x:t xml:space="preserve">Clarify_Stakeholders</x:t>
        </x:is>
      </x:c>
      <x:c r="J505" t="inlineStr">
        <x:is>
          <x:t xml:space="preserve">N</x:t>
        </x:is>
      </x:c>
      <x:c r="K505" t="inlineStr">
        <x:is>
          <x:t xml:space="preserve">None</x:t>
        </x:is>
      </x:c>
    </x:row>
    <x:row r="506">
      <x:c r="A506" t="inlineStr">
        <x:is>
          <x:t xml:space="preserve">Security</x:t>
        </x:is>
      </x:c>
      <x:c r="B506" t="inlineStr">
        <x:is>
          <x:t xml:space="preserve">SEC-D12-Q35</x:t>
        </x:is>
      </x:c>
      <x:c r="C506" t="inlineStr">
        <x:is>
          <x:t xml:space="preserve">SEC-D12-Q35-A1</x:t>
        </x:is>
      </x:c>
      <x:c r="D506" t="n">
        <x:v>2</x:v>
      </x:c>
      <x:c r="E506" t="inlineStr">
        <x:is>
          <x:t xml:space="preserve">We decide intrusive actions case-by-case during incidents; approvals and documentation vary.</x:t>
        </x:is>
      </x:c>
      <x:c r="F506" t="n">
        <x:v>0</x:v>
      </x:c>
      <x:c r="G506" t="inlineStr">
        <x:is>
          <x:t xml:space="preserve">legal_exposure,ad_hoc</x:t>
        </x:is>
      </x:c>
      <x:c r="H506" t="inlineStr">
        <x:is>
          <x:t xml:space="preserve">Legal Exposure</x:t>
        </x:is>
      </x:c>
      <x:c r="I506" t="inlineStr">
        <x:is>
          <x:t xml:space="preserve">Legal_Defensibility_Audit</x:t>
        </x:is>
      </x:c>
      <x:c r="J506" t="inlineStr">
        <x:is>
          <x:t xml:space="preserve">N</x:t>
        </x:is>
      </x:c>
      <x:c r="K506" t="inlineStr">
        <x:is>
          <x:t xml:space="preserve">Example decision record</x:t>
        </x:is>
      </x:c>
    </x:row>
    <x:row r="507">
      <x:c r="A507" t="inlineStr">
        <x:is>
          <x:t xml:space="preserve">Security</x:t>
        </x:is>
      </x:c>
      <x:c r="B507" t="inlineStr">
        <x:is>
          <x:t xml:space="preserve">SEC-D12-Q35</x:t>
        </x:is>
      </x:c>
      <x:c r="C507" t="inlineStr">
        <x:is>
          <x:t xml:space="preserve">SEC-D12-Q35-A2</x:t>
        </x:is>
      </x:c>
      <x:c r="D507" t="n">
        <x:v>3</x:v>
      </x:c>
      <x:c r="E507" t="inlineStr">
        <x:is>
          <x:t xml:space="preserve">There is a policy, but it’s generic; staff are unsure what is allowed and what approvals are needed.</x:t>
        </x:is>
      </x:c>
      <x:c r="F507" t="n">
        <x:v>1</x:v>
      </x:c>
      <x:c r="G507" t="inlineStr">
        <x:is>
          <x:t xml:space="preserve">paper_process,legal_exposure</x:t>
        </x:is>
      </x:c>
      <x:c r="H507" t="inlineStr">
        <x:is>
          <x:t xml:space="preserve">Paper Dragon</x:t>
        </x:is>
      </x:c>
      <x:c r="I507" t="inlineStr">
        <x:is>
          <x:t xml:space="preserve">Legal_Defensibility_Audit</x:t>
        </x:is>
      </x:c>
      <x:c r="J507" t="inlineStr">
        <x:is>
          <x:t xml:space="preserve">N</x:t>
        </x:is>
      </x:c>
      <x:c r="K507" t="inlineStr">
        <x:is>
          <x:t xml:space="preserve">Policy excerpt</x:t>
        </x:is>
      </x:c>
    </x:row>
    <x:row r="508">
      <x:c r="A508" t="inlineStr">
        <x:is>
          <x:t xml:space="preserve">Security</x:t>
        </x:is>
      </x:c>
      <x:c r="B508" t="inlineStr">
        <x:is>
          <x:t xml:space="preserve">SEC-D12-Q35</x:t>
        </x:is>
      </x:c>
      <x:c r="C508" t="inlineStr">
        <x:is>
          <x:t xml:space="preserve">SEC-D12-Q35-A3</x:t>
        </x:is>
      </x:c>
      <x:c r="D508" t="n">
        <x:v>4</x:v>
      </x:c>
      <x:c r="E508" t="inlineStr">
        <x:is>
          <x:t xml:space="preserve">We have criteria and approval steps for some actions (e.g., mailbox review), but not consistently for all intrusive actions.</x:t>
        </x:is>
      </x:c>
      <x:c r="F508" t="n">
        <x:v>2</x:v>
      </x:c>
      <x:c r="G508" t="inlineStr">
        <x:is>
          <x:t xml:space="preserve">partial_maturity,legal_exposure</x:t>
        </x:is>
      </x:c>
      <x:c r="H508" t="inlineStr">
        <x:is>
          <x:t xml:space="preserve">Legal Exposure</x:t>
        </x:is>
      </x:c>
      <x:c r="I508" t="inlineStr">
        <x:is>
          <x:t xml:space="preserve">Legal_Defensibility_Audit</x:t>
        </x:is>
      </x:c>
      <x:c r="J508" t="inlineStr">
        <x:is>
          <x:t xml:space="preserve">N</x:t>
        </x:is>
      </x:c>
      <x:c r="K508" t="inlineStr">
        <x:is>
          <x:t xml:space="preserve">Approval workflow evidence</x:t>
        </x:is>
      </x:c>
    </x:row>
    <x:row r="509">
      <x:c r="A509" t="inlineStr">
        <x:is>
          <x:t xml:space="preserve">Security</x:t>
        </x:is>
      </x:c>
      <x:c r="B509" t="inlineStr">
        <x:is>
          <x:t xml:space="preserve">SEC-D12-Q35</x:t>
        </x:is>
      </x:c>
      <x:c r="C509" t="inlineStr">
        <x:is>
          <x:t xml:space="preserve">SEC-D12-Q35-A4</x:t>
        </x:is>
      </x:c>
      <x:c r="D509" t="n">
        <x:v>5</x:v>
      </x:c>
      <x:c r="E509" t="inlineStr">
        <x:is>
          <x:t xml:space="preserve">Criteria and approvals are defined and legally reviewed; actions are documented with proportionality rationale.</x:t>
        </x:is>
      </x:c>
      <x:c r="F509" t="n">
        <x:v>3</x:v>
      </x:c>
      <x:c r="G509" t="inlineStr">
        <x:is>
          <x:t xml:space="preserve">good_practice,forensic_ready</x:t>
        </x:is>
      </x:c>
      <x:c r="I509" t="inlineStr">
        <x:is>
          <x:t xml:space="preserve">Request_Evidence</x:t>
        </x:is>
      </x:c>
      <x:c r="J509" t="inlineStr">
        <x:is>
          <x:t xml:space="preserve">N</x:t>
        </x:is>
      </x:c>
      <x:c r="K509" t="inlineStr">
        <x:is>
          <x:t xml:space="preserve">DPIA/LIA or legal review record</x:t>
        </x:is>
      </x:c>
    </x:row>
    <x:row r="510">
      <x:c r="A510" t="inlineStr">
        <x:is>
          <x:t xml:space="preserve">Security</x:t>
        </x:is>
      </x:c>
      <x:c r="B510" t="inlineStr">
        <x:is>
          <x:t xml:space="preserve">SEC-D12-Q35</x:t>
        </x:is>
      </x:c>
      <x:c r="C510" t="inlineStr">
        <x:is>
          <x:t xml:space="preserve">SEC-D12-Q35-A5</x:t>
        </x:is>
      </x:c>
      <x:c r="D510" t="n">
        <x:v>6</x:v>
      </x:c>
      <x:c r="E510" t="inlineStr">
        <x:is>
          <x:t xml:space="preserve">Criteria are comprehensive, periodically reviewed, and integrated into case tooling; audits confirm compliance.</x:t>
        </x:is>
      </x:c>
      <x:c r="F510" t="n">
        <x:v>4</x:v>
      </x:c>
      <x:c r="G510" t="inlineStr">
        <x:is>
          <x:t xml:space="preserve">optimized,forensic_ready</x:t>
        </x:is>
      </x:c>
      <x:c r="I510" t="inlineStr">
        <x:is>
          <x:t xml:space="preserve">Request_Evidence</x:t>
        </x:is>
      </x:c>
      <x:c r="J510" t="inlineStr">
        <x:is>
          <x:t xml:space="preserve">N</x:t>
        </x:is>
      </x:c>
      <x:c r="K510" t="inlineStr">
        <x:is>
          <x:t xml:space="preserve">Audit report / case tooling screenshots</x:t>
        </x:is>
      </x:c>
    </x:row>
    <x:row r="511">
      <x:c r="A511" t="inlineStr">
        <x:is>
          <x:t xml:space="preserve">Security</x:t>
        </x:is>
      </x:c>
      <x:c r="B511" t="inlineStr">
        <x:is>
          <x:t xml:space="preserve">SEC-D12-Q36</x:t>
        </x:is>
      </x:c>
      <x:c r="C511" t="inlineStr">
        <x:is>
          <x:t xml:space="preserve">SEC-D12-Q36-A0</x:t>
        </x:is>
      </x:c>
      <x:c r="D511" t="n">
        <x:v>1</x:v>
      </x:c>
      <x:c r="E511" t="inlineStr">
        <x:is>
          <x:t xml:space="preserve">I don’t know / not sure.</x:t>
        </x:is>
      </x:c>
      <x:c r="F511" t="n">
        <x:v>0</x:v>
      </x:c>
      <x:c r="G511" t="inlineStr">
        <x:is>
          <x:t xml:space="preserve">unknown</x:t>
        </x:is>
      </x:c>
      <x:c r="H511" t="inlineStr">
        <x:is>
          <x:t xml:space="preserve">Unknown</x:t>
        </x:is>
      </x:c>
      <x:c r="I511" t="inlineStr">
        <x:is>
          <x:t xml:space="preserve">Clarify_Stakeholders</x:t>
        </x:is>
      </x:c>
      <x:c r="J511" t="inlineStr">
        <x:is>
          <x:t xml:space="preserve">N</x:t>
        </x:is>
      </x:c>
      <x:c r="K511" t="inlineStr">
        <x:is>
          <x:t xml:space="preserve">None</x:t>
        </x:is>
      </x:c>
    </x:row>
    <x:row r="512">
      <x:c r="A512" t="inlineStr">
        <x:is>
          <x:t xml:space="preserve">Security</x:t>
        </x:is>
      </x:c>
      <x:c r="B512" t="inlineStr">
        <x:is>
          <x:t xml:space="preserve">SEC-D12-Q36</x:t>
        </x:is>
      </x:c>
      <x:c r="C512" t="inlineStr">
        <x:is>
          <x:t xml:space="preserve">SEC-D12-Q36-A1</x:t>
        </x:is>
      </x:c>
      <x:c r="D512" t="n">
        <x:v>2</x:v>
      </x:c>
      <x:c r="E512" t="inlineStr">
        <x:is>
          <x:t xml:space="preserve">Containment actions often break work; rollback is improvised and evidence can be lost.</x:t>
        </x:is>
      </x:c>
      <x:c r="F512" t="n">
        <x:v>0</x:v>
      </x:c>
      <x:c r="G512" t="inlineStr">
        <x:is>
          <x:t xml:space="preserve">bypass_pressure,business_disruption</x:t>
        </x:is>
      </x:c>
      <x:c r="H512" t="inlineStr">
        <x:is>
          <x:t xml:space="preserve">Bypass Pressure</x:t>
        </x:is>
      </x:c>
      <x:c r="I512" t="inlineStr">
        <x:is>
          <x:t xml:space="preserve">Security_UX_Review</x:t>
        </x:is>
      </x:c>
      <x:c r="J512" t="inlineStr">
        <x:is>
          <x:t xml:space="preserve">N</x:t>
        </x:is>
      </x:c>
      <x:c r="K512" t="inlineStr">
        <x:is>
          <x:t xml:space="preserve">Examples of disruption</x:t>
        </x:is>
      </x:c>
    </x:row>
    <x:row r="513">
      <x:c r="A513" t="inlineStr">
        <x:is>
          <x:t xml:space="preserve">Security</x:t>
        </x:is>
      </x:c>
      <x:c r="B513" t="inlineStr">
        <x:is>
          <x:t xml:space="preserve">SEC-D12-Q36</x:t>
        </x:is>
      </x:c>
      <x:c r="C513" t="inlineStr">
        <x:is>
          <x:t xml:space="preserve">SEC-D12-Q36-A2</x:t>
        </x:is>
      </x:c>
      <x:c r="D513" t="n">
        <x:v>3</x:v>
      </x:c>
      <x:c r="E513" t="inlineStr">
        <x:is>
          <x:t xml:space="preserve">We try to minimize impact informally, but we don’t have staged actions or rollback plans.</x:t>
        </x:is>
      </x:c>
      <x:c r="F513" t="n">
        <x:v>1</x:v>
      </x:c>
      <x:c r="G513" t="inlineStr">
        <x:is>
          <x:t xml:space="preserve">ad_hoc,partial_maturity</x:t>
        </x:is>
      </x:c>
      <x:c r="H513" t="inlineStr">
        <x:is>
          <x:t xml:space="preserve">Resilience Gap</x:t>
        </x:is>
      </x:c>
      <x:c r="I513" t="inlineStr">
        <x:is>
          <x:t xml:space="preserve">Security_UX_Review</x:t>
        </x:is>
      </x:c>
      <x:c r="J513" t="inlineStr">
        <x:is>
          <x:t xml:space="preserve">N</x:t>
        </x:is>
      </x:c>
      <x:c r="K513" t="inlineStr">
        <x:is>
          <x:t xml:space="preserve">Process description</x:t>
        </x:is>
      </x:c>
    </x:row>
    <x:row r="514">
      <x:c r="A514" t="inlineStr">
        <x:is>
          <x:t xml:space="preserve">Security</x:t>
        </x:is>
      </x:c>
      <x:c r="B514" t="inlineStr">
        <x:is>
          <x:t xml:space="preserve">SEC-D12-Q36</x:t>
        </x:is>
      </x:c>
      <x:c r="C514" t="inlineStr">
        <x:is>
          <x:t xml:space="preserve">SEC-D12-Q36-A3</x:t>
        </x:is>
      </x:c>
      <x:c r="D514" t="n">
        <x:v>4</x:v>
      </x:c>
      <x:c r="E514" t="inlineStr">
        <x:is>
          <x:t xml:space="preserve">Some containment actions are staged and have rollback guidance; but it’s not consistent or measured.</x:t>
        </x:is>
      </x:c>
      <x:c r="F514" t="n">
        <x:v>2</x:v>
      </x:c>
      <x:c r="G514" t="inlineStr">
        <x:is>
          <x:t xml:space="preserve">partial_maturity,inconsistent_execution</x:t>
        </x:is>
      </x:c>
      <x:c r="H514" t="inlineStr">
        <x:is>
          <x:t xml:space="preserve">Resilience Gap</x:t>
        </x:is>
      </x:c>
      <x:c r="I514" t="inlineStr">
        <x:is>
          <x:t xml:space="preserve">Security_UX_Review</x:t>
        </x:is>
      </x:c>
      <x:c r="J514" t="inlineStr">
        <x:is>
          <x:t xml:space="preserve">N</x:t>
        </x:is>
      </x:c>
      <x:c r="K514" t="inlineStr">
        <x:is>
          <x:t xml:space="preserve">Rollback guidance proof</x:t>
        </x:is>
      </x:c>
    </x:row>
    <x:row r="515">
      <x:c r="A515" t="inlineStr">
        <x:is>
          <x:t xml:space="preserve">Security</x:t>
        </x:is>
      </x:c>
      <x:c r="B515" t="inlineStr">
        <x:is>
          <x:t xml:space="preserve">SEC-D12-Q36</x:t>
        </x:is>
      </x:c>
      <x:c r="C515" t="inlineStr">
        <x:is>
          <x:t xml:space="preserve">SEC-D12-Q36-A4</x:t>
        </x:is>
      </x:c>
      <x:c r="D515" t="n">
        <x:v>5</x:v>
      </x:c>
      <x:c r="E515" t="inlineStr">
        <x:is>
          <x:t xml:space="preserve">We use staged containment, approvals, and rollback; we track disruption and refine playbooks.</x:t>
        </x:is>
      </x:c>
      <x:c r="F515" t="n">
        <x:v>3</x:v>
      </x:c>
      <x:c r="G515" t="inlineStr">
        <x:is>
          <x:t xml:space="preserve">good_practice,execution_strength</x:t>
        </x:is>
      </x:c>
      <x:c r="I515" t="inlineStr">
        <x:is>
          <x:t xml:space="preserve">Request_Evidence</x:t>
        </x:is>
      </x:c>
      <x:c r="J515" t="inlineStr">
        <x:is>
          <x:t xml:space="preserve">N</x:t>
        </x:is>
      </x:c>
      <x:c r="K515" t="inlineStr">
        <x:is>
          <x:t xml:space="preserve">Metrics evidence</x:t>
        </x:is>
      </x:c>
    </x:row>
    <x:row r="516">
      <x:c r="A516" t="inlineStr">
        <x:is>
          <x:t xml:space="preserve">Security</x:t>
        </x:is>
      </x:c>
      <x:c r="B516" t="inlineStr">
        <x:is>
          <x:t xml:space="preserve">SEC-D12-Q36</x:t>
        </x:is>
      </x:c>
      <x:c r="C516" t="inlineStr">
        <x:is>
          <x:t xml:space="preserve">SEC-D12-Q36-A5</x:t>
        </x:is>
      </x:c>
      <x:c r="D516" t="n">
        <x:v>6</x:v>
      </x:c>
      <x:c r="E516" t="inlineStr">
        <x:is>
          <x:t xml:space="preserve">Business-safe containment is built in (break-glass, staged controls, verified rollback) and tested; disruption is minimized and measured.</x:t>
        </x:is>
      </x:c>
      <x:c r="F516" t="n">
        <x:v>4</x:v>
      </x:c>
      <x:c r="G516" t="inlineStr">
        <x:is>
          <x:t xml:space="preserve">optimized,execution_strength</x:t>
        </x:is>
      </x:c>
      <x:c r="I516" t="inlineStr">
        <x:is>
          <x:t xml:space="preserve">Request_Evidence</x:t>
        </x:is>
      </x:c>
      <x:c r="J516" t="inlineStr">
        <x:is>
          <x:t xml:space="preserve">N</x:t>
        </x:is>
      </x:c>
      <x:c r="K516" t="inlineStr">
        <x:is>
          <x:t xml:space="preserve">Exercise report + metrics</x:t>
        </x:is>
      </x:c>
    </x:row>
    <x:row r="517">
      <x:c r="A517" t="inlineStr">
        <x:is>
          <x:t xml:space="preserve">Security</x:t>
        </x:is>
      </x:c>
      <x:c r="B517" t="inlineStr">
        <x:is>
          <x:t xml:space="preserve">SEC-D13-Q37</x:t>
        </x:is>
      </x:c>
      <x:c r="C517" t="inlineStr">
        <x:is>
          <x:t xml:space="preserve">SEC-D13-Q37-A0</x:t>
        </x:is>
      </x:c>
      <x:c r="D517" t="n">
        <x:v>1</x:v>
      </x:c>
      <x:c r="E517" t="inlineStr">
        <x:is>
          <x:t xml:space="preserve">I don’t know / not sure.</x:t>
        </x:is>
      </x:c>
      <x:c r="F517" t="n">
        <x:v>0</x:v>
      </x:c>
      <x:c r="G517" t="inlineStr">
        <x:is>
          <x:t xml:space="preserve">unknown</x:t>
        </x:is>
      </x:c>
      <x:c r="H517" t="inlineStr">
        <x:is>
          <x:t xml:space="preserve">Unknown</x:t>
        </x:is>
      </x:c>
      <x:c r="I517" t="inlineStr">
        <x:is>
          <x:t xml:space="preserve">Clarify_Stakeholders</x:t>
        </x:is>
      </x:c>
      <x:c r="J517" t="inlineStr">
        <x:is>
          <x:t xml:space="preserve">N</x:t>
        </x:is>
      </x:c>
      <x:c r="K517" t="inlineStr">
        <x:is>
          <x:t xml:space="preserve">None</x:t>
        </x:is>
      </x:c>
    </x:row>
    <x:row r="518">
      <x:c r="A518" t="inlineStr">
        <x:is>
          <x:t xml:space="preserve">Security</x:t>
        </x:is>
      </x:c>
      <x:c r="B518" t="inlineStr">
        <x:is>
          <x:t xml:space="preserve">SEC-D13-Q37</x:t>
        </x:is>
      </x:c>
      <x:c r="C518" t="inlineStr">
        <x:is>
          <x:t xml:space="preserve">SEC-D13-Q37-A1</x:t>
        </x:is>
      </x:c>
      <x:c r="D518" t="n">
        <x:v>2</x:v>
      </x:c>
      <x:c r="E518" t="inlineStr">
        <x:is>
          <x:t xml:space="preserve">We don’t test detections; we only learn after an incident or a major alert miss.</x:t>
        </x:is>
      </x:c>
      <x:c r="F518" t="n">
        <x:v>0</x:v>
      </x:c>
      <x:c r="G518" t="inlineStr">
        <x:is>
          <x:t xml:space="preserve">testing_gap,reactive</x:t>
        </x:is>
      </x:c>
      <x:c r="H518" t="inlineStr">
        <x:is>
          <x:t xml:space="preserve">Paper Dragon</x:t>
        </x:is>
      </x:c>
      <x:c r="I518" t="inlineStr">
        <x:is>
          <x:t xml:space="preserve">Run_Purple_Team</x:t>
        </x:is>
      </x:c>
      <x:c r="J518" t="inlineStr">
        <x:is>
          <x:t xml:space="preserve">N</x:t>
        </x:is>
      </x:c>
      <x:c r="K518" t="inlineStr">
        <x:is>
          <x:t xml:space="preserve">None</x:t>
        </x:is>
      </x:c>
    </x:row>
    <x:row r="519">
      <x:c r="A519" t="inlineStr">
        <x:is>
          <x:t xml:space="preserve">Security</x:t>
        </x:is>
      </x:c>
      <x:c r="B519" t="inlineStr">
        <x:is>
          <x:t xml:space="preserve">SEC-D13-Q37</x:t>
        </x:is>
      </x:c>
      <x:c r="C519" t="inlineStr">
        <x:is>
          <x:t xml:space="preserve">SEC-D13-Q37-A2</x:t>
        </x:is>
      </x:c>
      <x:c r="D519" t="n">
        <x:v>3</x:v>
      </x:c>
      <x:c r="E519" t="inlineStr">
        <x:is>
          <x:t xml:space="preserve">We run ad-hoc tests when someone has time or after changes; results aren’t tracked systematically.</x:t>
        </x:is>
      </x:c>
      <x:c r="F519" t="n">
        <x:v>1</x:v>
      </x:c>
      <x:c r="G519" t="inlineStr">
        <x:is>
          <x:t xml:space="preserve">ad_hoc,testing_gap</x:t>
        </x:is>
      </x:c>
      <x:c r="H519" t="inlineStr">
        <x:is>
          <x:t xml:space="preserve">Shadow Mature</x:t>
        </x:is>
      </x:c>
      <x:c r="I519" t="inlineStr">
        <x:is>
          <x:t xml:space="preserve">Run_Purple_Team</x:t>
        </x:is>
      </x:c>
      <x:c r="J519" t="inlineStr">
        <x:is>
          <x:t xml:space="preserve">N</x:t>
        </x:is>
      </x:c>
      <x:c r="K519" t="inlineStr">
        <x:is>
          <x:t xml:space="preserve">Example of a past test</x:t>
        </x:is>
      </x:c>
    </x:row>
    <x:row r="520">
      <x:c r="A520" t="inlineStr">
        <x:is>
          <x:t xml:space="preserve">Security</x:t>
        </x:is>
      </x:c>
      <x:c r="B520" t="inlineStr">
        <x:is>
          <x:t xml:space="preserve">SEC-D13-Q37</x:t>
        </x:is>
      </x:c>
      <x:c r="C520" t="inlineStr">
        <x:is>
          <x:t xml:space="preserve">SEC-D13-Q37-A3</x:t>
        </x:is>
      </x:c>
      <x:c r="D520" t="n">
        <x:v>4</x:v>
      </x:c>
      <x:c r="E520" t="inlineStr">
        <x:is>
          <x:t xml:space="preserve">We run periodic table-tops or simulations, but coverage and outcomes are not measured.</x:t>
        </x:is>
      </x:c>
      <x:c r="F520" t="n">
        <x:v>2</x:v>
      </x:c>
      <x:c r="G520" t="inlineStr">
        <x:is>
          <x:t xml:space="preserve">partial_maturity,inconsistent_execution</x:t>
        </x:is>
      </x:c>
      <x:c r="H520" t="inlineStr">
        <x:is>
          <x:t xml:space="preserve">Resilience Gap</x:t>
        </x:is>
      </x:c>
      <x:c r="I520" t="inlineStr">
        <x:is>
          <x:t xml:space="preserve">Run_Purple_Team</x:t>
        </x:is>
      </x:c>
      <x:c r="J520" t="inlineStr">
        <x:is>
          <x:t xml:space="preserve">N</x:t>
        </x:is>
      </x:c>
      <x:c r="K520" t="inlineStr">
        <x:is>
          <x:t xml:space="preserve">Exercise notes</x:t>
        </x:is>
      </x:c>
    </x:row>
    <x:row r="521">
      <x:c r="A521" t="inlineStr">
        <x:is>
          <x:t xml:space="preserve">Security</x:t>
        </x:is>
      </x:c>
      <x:c r="B521" t="inlineStr">
        <x:is>
          <x:t xml:space="preserve">SEC-D13-Q37</x:t>
        </x:is>
      </x:c>
      <x:c r="C521" t="inlineStr">
        <x:is>
          <x:t xml:space="preserve">SEC-D13-Q37-A4</x:t>
        </x:is>
      </x:c>
      <x:c r="D521" t="n">
        <x:v>5</x:v>
      </x:c>
      <x:c r="E521" t="inlineStr">
        <x:is>
          <x:t xml:space="preserve">We test priority insider scenarios at least quarterly; outcomes are tracked and drive improvements.</x:t>
        </x:is>
      </x:c>
      <x:c r="F521" t="n">
        <x:v>3</x:v>
      </x:c>
      <x:c r="G521" t="inlineStr">
        <x:is>
          <x:t xml:space="preserve">good_practice,execution_strength</x:t>
        </x:is>
      </x:c>
      <x:c r="I521" t="inlineStr">
        <x:is>
          <x:t xml:space="preserve">Request_Evidence</x:t>
        </x:is>
      </x:c>
      <x:c r="J521" t="inlineStr">
        <x:is>
          <x:t xml:space="preserve">N</x:t>
        </x:is>
      </x:c>
      <x:c r="K521" t="inlineStr">
        <x:is>
          <x:t xml:space="preserve">Test plan + results</x:t>
        </x:is>
      </x:c>
    </x:row>
    <x:row r="522">
      <x:c r="A522" t="inlineStr">
        <x:is>
          <x:t xml:space="preserve">Security</x:t>
        </x:is>
      </x:c>
      <x:c r="B522" t="inlineStr">
        <x:is>
          <x:t xml:space="preserve">SEC-D13-Q37</x:t>
        </x:is>
      </x:c>
      <x:c r="C522" t="inlineStr">
        <x:is>
          <x:t xml:space="preserve">SEC-D13-Q37-A5</x:t>
        </x:is>
      </x:c>
      <x:c r="D522" t="n">
        <x:v>6</x:v>
      </x:c>
      <x:c r="E522" t="inlineStr">
        <x:is>
          <x:t xml:space="preserve">We use detection-as-code/testing (test cases, regression checks) and regular purple teaming; drift is detected automatically.</x:t>
        </x:is>
      </x:c>
      <x:c r="F522" t="n">
        <x:v>4</x:v>
      </x:c>
      <x:c r="G522" t="inlineStr">
        <x:is>
          <x:t xml:space="preserve">optimized,execution_strength</x:t>
        </x:is>
      </x:c>
      <x:c r="I522" t="inlineStr">
        <x:is>
          <x:t xml:space="preserve">Request_Evidence</x:t>
        </x:is>
      </x:c>
      <x:c r="J522" t="inlineStr">
        <x:is>
          <x:t xml:space="preserve">N</x:t>
        </x:is>
      </x:c>
      <x:c r="K522" t="inlineStr">
        <x:is>
          <x:t xml:space="preserve">Test pipeline proof</x:t>
        </x:is>
      </x:c>
    </x:row>
    <x:row r="523">
      <x:c r="A523" t="inlineStr">
        <x:is>
          <x:t xml:space="preserve">Security</x:t>
        </x:is>
      </x:c>
      <x:c r="B523" t="inlineStr">
        <x:is>
          <x:t xml:space="preserve">SEC-D13-Q38</x:t>
        </x:is>
      </x:c>
      <x:c r="C523" t="inlineStr">
        <x:is>
          <x:t xml:space="preserve">SEC-D13-Q38-A0</x:t>
        </x:is>
      </x:c>
      <x:c r="D523" t="n">
        <x:v>1</x:v>
      </x:c>
      <x:c r="E523" t="inlineStr">
        <x:is>
          <x:t xml:space="preserve">I don’t know / not sure.</x:t>
        </x:is>
      </x:c>
      <x:c r="F523" t="n">
        <x:v>0</x:v>
      </x:c>
      <x:c r="G523" t="inlineStr">
        <x:is>
          <x:t xml:space="preserve">unknown</x:t>
        </x:is>
      </x:c>
      <x:c r="H523" t="inlineStr">
        <x:is>
          <x:t xml:space="preserve">Unknown</x:t>
        </x:is>
      </x:c>
      <x:c r="I523" t="inlineStr">
        <x:is>
          <x:t xml:space="preserve">Clarify_Stakeholders</x:t>
        </x:is>
      </x:c>
      <x:c r="J523" t="inlineStr">
        <x:is>
          <x:t xml:space="preserve">N</x:t>
        </x:is>
      </x:c>
      <x:c r="K523" t="inlineStr">
        <x:is>
          <x:t xml:space="preserve">None</x:t>
        </x:is>
      </x:c>
    </x:row>
    <x:row r="524">
      <x:c r="A524" t="inlineStr">
        <x:is>
          <x:t xml:space="preserve">Security</x:t>
        </x:is>
      </x:c>
      <x:c r="B524" t="inlineStr">
        <x:is>
          <x:t xml:space="preserve">SEC-D13-Q38</x:t>
        </x:is>
      </x:c>
      <x:c r="C524" t="inlineStr">
        <x:is>
          <x:t xml:space="preserve">SEC-D13-Q38-A1</x:t>
        </x:is>
      </x:c>
      <x:c r="D524" t="n">
        <x:v>2</x:v>
      </x:c>
      <x:c r="E524" t="inlineStr">
        <x:is>
          <x:t xml:space="preserve">We don’t measure triage quality; consistency depends on individual analysts.</x:t>
        </x:is>
      </x:c>
      <x:c r="F524" t="n">
        <x:v>0</x:v>
      </x:c>
      <x:c r="G524" t="inlineStr">
        <x:is>
          <x:t xml:space="preserve">triage_quality_gap,key_person_dependency</x:t>
        </x:is>
      </x:c>
      <x:c r="H524" t="inlineStr">
        <x:is>
          <x:t xml:space="preserve">Resilience Gap</x:t>
        </x:is>
      </x:c>
      <x:c r="I524" t="inlineStr">
        <x:is>
          <x:t xml:space="preserve">Improve_Triage_QA</x:t>
        </x:is>
      </x:c>
      <x:c r="J524" t="inlineStr">
        <x:is>
          <x:t xml:space="preserve">N</x:t>
        </x:is>
      </x:c>
      <x:c r="K524" t="inlineStr">
        <x:is>
          <x:t xml:space="preserve">None</x:t>
        </x:is>
      </x:c>
    </x:row>
    <x:row r="525">
      <x:c r="A525" t="inlineStr">
        <x:is>
          <x:t xml:space="preserve">Security</x:t>
        </x:is>
      </x:c>
      <x:c r="B525" t="inlineStr">
        <x:is>
          <x:t xml:space="preserve">SEC-D13-Q38</x:t>
        </x:is>
      </x:c>
      <x:c r="C525" t="inlineStr">
        <x:is>
          <x:t xml:space="preserve">SEC-D13-Q38-A2</x:t>
        </x:is>
      </x:c>
      <x:c r="D525" t="n">
        <x:v>3</x:v>
      </x:c>
      <x:c r="E525" t="inlineStr">
        <x:is>
          <x:t xml:space="preserve">We do occasional reviews, usually after complaints or audits, but not continuously.</x:t>
        </x:is>
      </x:c>
      <x:c r="F525" t="n">
        <x:v>1</x:v>
      </x:c>
      <x:c r="G525" t="inlineStr">
        <x:is>
          <x:t xml:space="preserve">ad_hoc,partial_maturity</x:t>
        </x:is>
      </x:c>
      <x:c r="H525" t="inlineStr">
        <x:is>
          <x:t xml:space="preserve">Paper Dragon</x:t>
        </x:is>
      </x:c>
      <x:c r="I525" t="inlineStr">
        <x:is>
          <x:t xml:space="preserve">Improve_Triage_QA</x:t>
        </x:is>
      </x:c>
      <x:c r="J525" t="inlineStr">
        <x:is>
          <x:t xml:space="preserve">N</x:t>
        </x:is>
      </x:c>
      <x:c r="K525" t="inlineStr">
        <x:is>
          <x:t xml:space="preserve">Example review</x:t>
        </x:is>
      </x:c>
    </x:row>
    <x:row r="526">
      <x:c r="A526" t="inlineStr">
        <x:is>
          <x:t xml:space="preserve">Security</x:t>
        </x:is>
      </x:c>
      <x:c r="B526" t="inlineStr">
        <x:is>
          <x:t xml:space="preserve">SEC-D13-Q38</x:t>
        </x:is>
      </x:c>
      <x:c r="C526" t="inlineStr">
        <x:is>
          <x:t xml:space="preserve">SEC-D13-Q38-A3</x:t>
        </x:is>
      </x:c>
      <x:c r="D526" t="n">
        <x:v>4</x:v>
      </x:c>
      <x:c r="E526" t="inlineStr">
        <x:is>
          <x:t xml:space="preserve">We sample cases and review accuracy sometimes; metrics exist but don’t consistently drive improvements.</x:t>
        </x:is>
      </x:c>
      <x:c r="F526" t="n">
        <x:v>2</x:v>
      </x:c>
      <x:c r="G526" t="inlineStr">
        <x:is>
          <x:t xml:space="preserve">partial_maturity,inconsistent_execution</x:t>
        </x:is>
      </x:c>
      <x:c r="H526" t="inlineStr">
        <x:is>
          <x:t xml:space="preserve">Resilience Gap</x:t>
        </x:is>
      </x:c>
      <x:c r="I526" t="inlineStr">
        <x:is>
          <x:t xml:space="preserve">Improve_Triage_QA</x:t>
        </x:is>
      </x:c>
      <x:c r="J526" t="inlineStr">
        <x:is>
          <x:t xml:space="preserve">N</x:t>
        </x:is>
      </x:c>
      <x:c r="K526" t="inlineStr">
        <x:is>
          <x:t xml:space="preserve">Sampling approach</x:t>
        </x:is>
      </x:c>
    </x:row>
    <x:row r="527">
      <x:c r="A527" t="inlineStr">
        <x:is>
          <x:t xml:space="preserve">Security</x:t>
        </x:is>
      </x:c>
      <x:c r="B527" t="inlineStr">
        <x:is>
          <x:t xml:space="preserve">SEC-D13-Q38</x:t>
        </x:is>
      </x:c>
      <x:c r="C527" t="inlineStr">
        <x:is>
          <x:t xml:space="preserve">SEC-D13-Q38-A4</x:t>
        </x:is>
      </x:c>
      <x:c r="D527" t="n">
        <x:v>5</x:v>
      </x:c>
      <x:c r="E527" t="inlineStr">
        <x:is>
          <x:t xml:space="preserve">We run regular sampling and second-pair review with clear metrics (false negatives/positives); training is data-driven.</x:t>
        </x:is>
      </x:c>
      <x:c r="F527" t="n">
        <x:v>3</x:v>
      </x:c>
      <x:c r="G527" t="inlineStr">
        <x:is>
          <x:t xml:space="preserve">good_practice,execution_strength</x:t>
        </x:is>
      </x:c>
      <x:c r="I527" t="inlineStr">
        <x:is>
          <x:t xml:space="preserve">Request_Evidence</x:t>
        </x:is>
      </x:c>
      <x:c r="J527" t="inlineStr">
        <x:is>
          <x:t xml:space="preserve">N</x:t>
        </x:is>
      </x:c>
      <x:c r="K527" t="inlineStr">
        <x:is>
          <x:t xml:space="preserve">Dashboard evidence</x:t>
        </x:is>
      </x:c>
    </x:row>
    <x:row r="528">
      <x:c r="A528" t="inlineStr">
        <x:is>
          <x:t xml:space="preserve">Security</x:t>
        </x:is>
      </x:c>
      <x:c r="B528" t="inlineStr">
        <x:is>
          <x:t xml:space="preserve">SEC-D13-Q38</x:t>
        </x:is>
      </x:c>
      <x:c r="C528" t="inlineStr">
        <x:is>
          <x:t xml:space="preserve">SEC-D13-Q38-A5</x:t>
        </x:is>
      </x:c>
      <x:c r="D528" t="n">
        <x:v>6</x:v>
      </x:c>
      <x:c r="E528" t="inlineStr">
        <x:is>
          <x:t xml:space="preserve">We use blind reviews/bias checks, structured coaching, and continuous improvement loops; quality metrics are board-visible where relevant.</x:t>
        </x:is>
      </x:c>
      <x:c r="F528" t="n">
        <x:v>4</x:v>
      </x:c>
      <x:c r="G528" t="inlineStr">
        <x:is>
          <x:t xml:space="preserve">optimized,execution_strength</x:t>
        </x:is>
      </x:c>
      <x:c r="I528" t="inlineStr">
        <x:is>
          <x:t xml:space="preserve">Request_Evidence</x:t>
        </x:is>
      </x:c>
      <x:c r="J528" t="inlineStr">
        <x:is>
          <x:t xml:space="preserve">N</x:t>
        </x:is>
      </x:c>
      <x:c r="K528" t="inlineStr">
        <x:is>
          <x:t xml:space="preserve">QA program evidence</x:t>
        </x:is>
      </x:c>
    </x:row>
    <x:row r="529">
      <x:c r="A529" t="inlineStr">
        <x:is>
          <x:t xml:space="preserve">Security</x:t>
        </x:is>
      </x:c>
      <x:c r="B529" t="inlineStr">
        <x:is>
          <x:t xml:space="preserve">SEC-D13-Q39</x:t>
        </x:is>
      </x:c>
      <x:c r="C529" t="inlineStr">
        <x:is>
          <x:t xml:space="preserve">SEC-D13-Q39-A0</x:t>
        </x:is>
      </x:c>
      <x:c r="D529" t="n">
        <x:v>1</x:v>
      </x:c>
      <x:c r="E529" t="inlineStr">
        <x:is>
          <x:t xml:space="preserve">I don’t know / not sure.</x:t>
        </x:is>
      </x:c>
      <x:c r="F529" t="n">
        <x:v>0</x:v>
      </x:c>
      <x:c r="G529" t="inlineStr">
        <x:is>
          <x:t xml:space="preserve">unknown</x:t>
        </x:is>
      </x:c>
      <x:c r="H529" t="inlineStr">
        <x:is>
          <x:t xml:space="preserve">Unknown</x:t>
        </x:is>
      </x:c>
      <x:c r="I529" t="inlineStr">
        <x:is>
          <x:t xml:space="preserve">Clarify_Stakeholders</x:t>
        </x:is>
      </x:c>
      <x:c r="J529" t="inlineStr">
        <x:is>
          <x:t xml:space="preserve">N</x:t>
        </x:is>
      </x:c>
      <x:c r="K529" t="inlineStr">
        <x:is>
          <x:t xml:space="preserve">None</x:t>
        </x:is>
      </x:c>
    </x:row>
    <x:row r="530">
      <x:c r="A530" t="inlineStr">
        <x:is>
          <x:t xml:space="preserve">Security</x:t>
        </x:is>
      </x:c>
      <x:c r="B530" t="inlineStr">
        <x:is>
          <x:t xml:space="preserve">SEC-D13-Q39</x:t>
        </x:is>
      </x:c>
      <x:c r="C530" t="inlineStr">
        <x:is>
          <x:t xml:space="preserve">SEC-D13-Q39-A1</x:t>
        </x:is>
      </x:c>
      <x:c r="D530" t="n">
        <x:v>2</x:v>
      </x:c>
      <x:c r="E530" t="inlineStr">
        <x:is>
          <x:t xml:space="preserve">Alert fatigue is high; people ignore alerts or disable noisy rules; business impact isn’t measured.</x:t>
        </x:is>
      </x:c>
      <x:c r="F530" t="n">
        <x:v>0</x:v>
      </x:c>
      <x:c r="G530" t="inlineStr">
        <x:is>
          <x:t xml:space="preserve">bypass_pressure,alert_fatigue</x:t>
        </x:is>
      </x:c>
      <x:c r="H530" t="inlineStr">
        <x:is>
          <x:t xml:space="preserve">Bypass Pressure</x:t>
        </x:is>
      </x:c>
      <x:c r="I530" t="inlineStr">
        <x:is>
          <x:t xml:space="preserve">Tune_Detections_Reduce_Friction</x:t>
        </x:is>
      </x:c>
      <x:c r="J530" t="inlineStr">
        <x:is>
          <x:t xml:space="preserve">N</x:t>
        </x:is>
      </x:c>
      <x:c r="K530" t="inlineStr">
        <x:is>
          <x:t xml:space="preserve">Alert volume evidence</x:t>
        </x:is>
      </x:c>
    </x:row>
    <x:row r="531">
      <x:c r="A531" t="inlineStr">
        <x:is>
          <x:t xml:space="preserve">Security</x:t>
        </x:is>
      </x:c>
      <x:c r="B531" t="inlineStr">
        <x:is>
          <x:t xml:space="preserve">SEC-D13-Q39</x:t>
        </x:is>
      </x:c>
      <x:c r="C531" t="inlineStr">
        <x:is>
          <x:t xml:space="preserve">SEC-D13-Q39-A2</x:t>
        </x:is>
      </x:c>
      <x:c r="D531" t="n">
        <x:v>3</x:v>
      </x:c>
      <x:c r="E531" t="inlineStr">
        <x:is>
          <x:t xml:space="preserve">We tune occasionally, but decisions are subjective and not linked to business impact or crown jewels.</x:t>
        </x:is>
      </x:c>
      <x:c r="F531" t="n">
        <x:v>1</x:v>
      </x:c>
      <x:c r="G531" t="inlineStr">
        <x:is>
          <x:t xml:space="preserve">ad_hoc,partial_maturity</x:t>
        </x:is>
      </x:c>
      <x:c r="H531" t="inlineStr">
        <x:is>
          <x:t xml:space="preserve">Resilience Gap</x:t>
        </x:is>
      </x:c>
      <x:c r="I531" t="inlineStr">
        <x:is>
          <x:t xml:space="preserve">Tune_Detections_Reduce_Friction</x:t>
        </x:is>
      </x:c>
      <x:c r="J531" t="inlineStr">
        <x:is>
          <x:t xml:space="preserve">N</x:t>
        </x:is>
      </x:c>
      <x:c r="K531" t="inlineStr">
        <x:is>
          <x:t xml:space="preserve">Example tuning change</x:t>
        </x:is>
      </x:c>
    </x:row>
    <x:row r="532">
      <x:c r="A532" t="inlineStr">
        <x:is>
          <x:t xml:space="preserve">Security</x:t>
        </x:is>
      </x:c>
      <x:c r="B532" t="inlineStr">
        <x:is>
          <x:t xml:space="preserve">SEC-D13-Q39</x:t>
        </x:is>
      </x:c>
      <x:c r="C532" t="inlineStr">
        <x:is>
          <x:t xml:space="preserve">SEC-D13-Q39-A3</x:t>
        </x:is>
      </x:c>
      <x:c r="D532" t="n">
        <x:v>4</x:v>
      </x:c>
      <x:c r="E532" t="inlineStr">
        <x:is>
          <x:t xml:space="preserve">We track false positives, but tuning is slow and often trades away coverage.</x:t>
        </x:is>
      </x:c>
      <x:c r="F532" t="n">
        <x:v>2</x:v>
      </x:c>
      <x:c r="G532" t="inlineStr">
        <x:is>
          <x:t xml:space="preserve">partial_maturity,control_lag</x:t>
        </x:is>
      </x:c>
      <x:c r="H532" t="inlineStr">
        <x:is>
          <x:t xml:space="preserve">Control Lag</x:t>
        </x:is>
      </x:c>
      <x:c r="I532" t="inlineStr">
        <x:is>
          <x:t xml:space="preserve">Tune_Detections_Reduce_Friction</x:t>
        </x:is>
      </x:c>
      <x:c r="J532" t="inlineStr">
        <x:is>
          <x:t xml:space="preserve">N</x:t>
        </x:is>
      </x:c>
      <x:c r="K532" t="inlineStr">
        <x:is>
          <x:t xml:space="preserve">FP metrics</x:t>
        </x:is>
      </x:c>
    </x:row>
    <x:row r="533">
      <x:c r="A533" t="inlineStr">
        <x:is>
          <x:t xml:space="preserve">Security</x:t>
        </x:is>
      </x:c>
      <x:c r="B533" t="inlineStr">
        <x:is>
          <x:t xml:space="preserve">SEC-D13-Q39</x:t>
        </x:is>
      </x:c>
      <x:c r="C533" t="inlineStr">
        <x:is>
          <x:t xml:space="preserve">SEC-D13-Q39-A4</x:t>
        </x:is>
      </x:c>
      <x:c r="D533" t="n">
        <x:v>5</x:v>
      </x:c>
      <x:c r="E533" t="inlineStr">
        <x:is>
          <x:t xml:space="preserve">We tune with metrics and risk-based targeting (HVAs/high-risk roles); changes are documented and reviewed.</x:t>
        </x:is>
      </x:c>
      <x:c r="F533" t="n">
        <x:v>3</x:v>
      </x:c>
      <x:c r="G533" t="inlineStr">
        <x:is>
          <x:t xml:space="preserve">good_practice,execution_strength</x:t>
        </x:is>
      </x:c>
      <x:c r="I533" t="inlineStr">
        <x:is>
          <x:t xml:space="preserve">Request_Evidence</x:t>
        </x:is>
      </x:c>
      <x:c r="J533" t="inlineStr">
        <x:is>
          <x:t xml:space="preserve">N</x:t>
        </x:is>
      </x:c>
      <x:c r="K533" t="inlineStr">
        <x:is>
          <x:t xml:space="preserve">Change log</x:t>
        </x:is>
      </x:c>
    </x:row>
    <x:row r="534">
      <x:c r="A534" t="inlineStr">
        <x:is>
          <x:t xml:space="preserve">Security</x:t>
        </x:is>
      </x:c>
      <x:c r="B534" t="inlineStr">
        <x:is>
          <x:t xml:space="preserve">SEC-D13-Q39</x:t>
        </x:is>
      </x:c>
      <x:c r="C534" t="inlineStr">
        <x:is>
          <x:t xml:space="preserve">SEC-D13-Q39-A5</x:t>
        </x:is>
      </x:c>
      <x:c r="D534" t="n">
        <x:v>6</x:v>
      </x:c>
      <x:c r="E534" t="inlineStr">
        <x:is>
          <x:t xml:space="preserve">We continuously optimize with measured impact, automation, and drift detection; friction is minimized without losing coverage.</x:t>
        </x:is>
      </x:c>
      <x:c r="F534" t="n">
        <x:v>4</x:v>
      </x:c>
      <x:c r="G534" t="inlineStr">
        <x:is>
          <x:t xml:space="preserve">optimized,execution_strength</x:t>
        </x:is>
      </x:c>
      <x:c r="I534" t="inlineStr">
        <x:is>
          <x:t xml:space="preserve">Request_Evidence</x:t>
        </x:is>
      </x:c>
      <x:c r="J534" t="inlineStr">
        <x:is>
          <x:t xml:space="preserve">N</x:t>
        </x:is>
      </x:c>
      <x:c r="K534" t="inlineStr">
        <x:is>
          <x:t xml:space="preserve">Optimization evidence</x:t>
        </x:is>
      </x:c>
    </x:row>
    <x:row r="535">
      <x:c r="A535" t="inlineStr">
        <x:is>
          <x:t xml:space="preserve">Security</x:t>
        </x:is>
      </x:c>
      <x:c r="B535" t="inlineStr">
        <x:is>
          <x:t xml:space="preserve">SEC-D14-Q40</x:t>
        </x:is>
      </x:c>
      <x:c r="C535" t="inlineStr">
        <x:is>
          <x:t xml:space="preserve">SEC-D14-Q40-A0</x:t>
        </x:is>
      </x:c>
      <x:c r="D535" t="n">
        <x:v>1</x:v>
      </x:c>
      <x:c r="E535" t="inlineStr">
        <x:is>
          <x:t xml:space="preserve">I don’t know / not sure.</x:t>
        </x:is>
      </x:c>
      <x:c r="F535" t="n">
        <x:v>0</x:v>
      </x:c>
      <x:c r="G535" t="inlineStr">
        <x:is>
          <x:t xml:space="preserve">unknown</x:t>
        </x:is>
      </x:c>
      <x:c r="H535" t="inlineStr">
        <x:is>
          <x:t xml:space="preserve">Unknown</x:t>
        </x:is>
      </x:c>
      <x:c r="I535" t="inlineStr">
        <x:is>
          <x:t xml:space="preserve">Clarify_Stakeholders</x:t>
        </x:is>
      </x:c>
      <x:c r="J535" t="inlineStr">
        <x:is>
          <x:t xml:space="preserve">N</x:t>
        </x:is>
      </x:c>
      <x:c r="K535" t="inlineStr">
        <x:is>
          <x:t xml:space="preserve">None</x:t>
        </x:is>
      </x:c>
    </x:row>
    <x:row r="536">
      <x:c r="A536" t="inlineStr">
        <x:is>
          <x:t xml:space="preserve">Security</x:t>
        </x:is>
      </x:c>
      <x:c r="B536" t="inlineStr">
        <x:is>
          <x:t xml:space="preserve">SEC-D14-Q40</x:t>
        </x:is>
      </x:c>
      <x:c r="C536" t="inlineStr">
        <x:is>
          <x:t xml:space="preserve">SEC-D14-Q40-A1</x:t>
        </x:is>
      </x:c>
      <x:c r="D536" t="n">
        <x:v>2</x:v>
      </x:c>
      <x:c r="E536" t="inlineStr">
        <x:is>
          <x:t xml:space="preserve">We don’t consistently collect cloud/SaaS audit trails; visibility into sharing/exfiltration is limited.</x:t>
        </x:is>
      </x:c>
      <x:c r="F536" t="n">
        <x:v>0</x:v>
      </x:c>
      <x:c r="G536" t="inlineStr">
        <x:is>
          <x:t xml:space="preserve">cloud_visibility_gap,visibility_gap</x:t>
        </x:is>
      </x:c>
      <x:c r="H536" t="inlineStr">
        <x:is>
          <x:t xml:space="preserve">Visibility Gap</x:t>
        </x:is>
      </x:c>
      <x:c r="I536" t="inlineStr">
        <x:is>
          <x:t xml:space="preserve">Expand_Cloud_SaaS_Logging</x:t>
        </x:is>
      </x:c>
      <x:c r="J536" t="inlineStr">
        <x:is>
          <x:t xml:space="preserve">N</x:t>
        </x:is>
      </x:c>
      <x:c r="K536" t="inlineStr">
        <x:is>
          <x:t xml:space="preserve">List of SaaS used</x:t>
        </x:is>
      </x:c>
    </x:row>
    <x:row r="537">
      <x:c r="A537" t="inlineStr">
        <x:is>
          <x:t xml:space="preserve">Security</x:t>
        </x:is>
      </x:c>
      <x:c r="B537" t="inlineStr">
        <x:is>
          <x:t xml:space="preserve">SEC-D14-Q40</x:t>
        </x:is>
      </x:c>
      <x:c r="C537" t="inlineStr">
        <x:is>
          <x:t xml:space="preserve">SEC-D14-Q40-A2</x:t>
        </x:is>
      </x:c>
      <x:c r="D537" t="n">
        <x:v>3</x:v>
      </x:c>
      <x:c r="E537" t="inlineStr">
        <x:is>
          <x:t xml:space="preserve">Some audit trails exist, but they’re not centralized and are hard to use in investigations.</x:t>
        </x:is>
      </x:c>
      <x:c r="F537" t="n">
        <x:v>1</x:v>
      </x:c>
      <x:c r="G537" t="inlineStr">
        <x:is>
          <x:t xml:space="preserve">partial_visibility,ad_hoc</x:t>
        </x:is>
      </x:c>
      <x:c r="H537" t="inlineStr">
        <x:is>
          <x:t xml:space="preserve">Shadow Mature</x:t>
        </x:is>
      </x:c>
      <x:c r="I537" t="inlineStr">
        <x:is>
          <x:t xml:space="preserve">Expand_Cloud_SaaS_Logging</x:t>
        </x:is>
      </x:c>
      <x:c r="J537" t="inlineStr">
        <x:is>
          <x:t xml:space="preserve">N</x:t>
        </x:is>
      </x:c>
      <x:c r="K537" t="inlineStr">
        <x:is>
          <x:t xml:space="preserve">Where logs live</x:t>
        </x:is>
      </x:c>
    </x:row>
    <x:row r="538">
      <x:c r="A538" t="inlineStr">
        <x:is>
          <x:t xml:space="preserve">Security</x:t>
        </x:is>
      </x:c>
      <x:c r="B538" t="inlineStr">
        <x:is>
          <x:t xml:space="preserve">SEC-D14-Q40</x:t>
        </x:is>
      </x:c>
      <x:c r="C538" t="inlineStr">
        <x:is>
          <x:t xml:space="preserve">SEC-D14-Q40-A3</x:t>
        </x:is>
      </x:c>
      <x:c r="D538" t="n">
        <x:v>4</x:v>
      </x:c>
      <x:c r="E538" t="inlineStr">
        <x:is>
          <x:t xml:space="preserve">We collect key audit logs centrally, but monitoring focuses on generic alerts and misses risky sharing patterns.</x:t>
        </x:is>
      </x:c>
      <x:c r="F538" t="n">
        <x:v>2</x:v>
      </x:c>
      <x:c r="G538" t="inlineStr">
        <x:is>
          <x:t xml:space="preserve">partial_maturity,inconsistent_execution</x:t>
        </x:is>
      </x:c>
      <x:c r="H538" t="inlineStr">
        <x:is>
          <x:t xml:space="preserve">Visibility Gap</x:t>
        </x:is>
      </x:c>
      <x:c r="I538" t="inlineStr">
        <x:is>
          <x:t xml:space="preserve">Expand_Cloud_SaaS_Logging</x:t>
        </x:is>
      </x:c>
      <x:c r="J538" t="inlineStr">
        <x:is>
          <x:t xml:space="preserve">N</x:t>
        </x:is>
      </x:c>
      <x:c r="K538" t="inlineStr">
        <x:is>
          <x:t xml:space="preserve">Example alerts</x:t>
        </x:is>
      </x:c>
    </x:row>
    <x:row r="539">
      <x:c r="A539" t="inlineStr">
        <x:is>
          <x:t xml:space="preserve">Security</x:t>
        </x:is>
      </x:c>
      <x:c r="B539" t="inlineStr">
        <x:is>
          <x:t xml:space="preserve">SEC-D14-Q40</x:t>
        </x:is>
      </x:c>
      <x:c r="C539" t="inlineStr">
        <x:is>
          <x:t xml:space="preserve">SEC-D14-Q40-A4</x:t>
        </x:is>
      </x:c>
      <x:c r="D539" t="n">
        <x:v>5</x:v>
      </x:c>
      <x:c r="E539" t="inlineStr">
        <x:is>
          <x:t xml:space="preserve">We collect and monitor audit trails for key services; risky sharing/exfil patterns are in scope for detection.</x:t>
        </x:is>
      </x:c>
      <x:c r="F539" t="n">
        <x:v>3</x:v>
      </x:c>
      <x:c r="G539" t="inlineStr">
        <x:is>
          <x:t xml:space="preserve">good_practice,execution_strength</x:t>
        </x:is>
      </x:c>
      <x:c r="I539" t="inlineStr">
        <x:is>
          <x:t xml:space="preserve">Request_Evidence</x:t>
        </x:is>
      </x:c>
      <x:c r="J539" t="inlineStr">
        <x:is>
          <x:t xml:space="preserve">N</x:t>
        </x:is>
      </x:c>
      <x:c r="K539" t="inlineStr">
        <x:is>
          <x:t xml:space="preserve">Detection list</x:t>
        </x:is>
      </x:c>
    </x:row>
    <x:row r="540">
      <x:c r="A540" t="inlineStr">
        <x:is>
          <x:t xml:space="preserve">Security</x:t>
        </x:is>
      </x:c>
      <x:c r="B540" t="inlineStr">
        <x:is>
          <x:t xml:space="preserve">SEC-D14-Q40</x:t>
        </x:is>
      </x:c>
      <x:c r="C540" t="inlineStr">
        <x:is>
          <x:t xml:space="preserve">SEC-D14-Q40-A5</x:t>
        </x:is>
      </x:c>
      <x:c r="D540" t="n">
        <x:v>6</x:v>
      </x:c>
      <x:c r="E540" t="inlineStr">
        <x:is>
          <x:t xml:space="preserve">Cloud/SaaS logs are comprehensive, correlated with identity and data sensitivity, and validated for coverage.</x:t>
        </x:is>
      </x:c>
      <x:c r="F540" t="n">
        <x:v>4</x:v>
      </x:c>
      <x:c r="G540" t="inlineStr">
        <x:is>
          <x:t xml:space="preserve">optimized,execution_strength</x:t>
        </x:is>
      </x:c>
      <x:c r="I540" t="inlineStr">
        <x:is>
          <x:t xml:space="preserve">Request_Evidence</x:t>
        </x:is>
      </x:c>
      <x:c r="J540" t="inlineStr">
        <x:is>
          <x:t xml:space="preserve">N</x:t>
        </x:is>
      </x:c>
      <x:c r="K540" t="inlineStr">
        <x:is>
          <x:t xml:space="preserve">Coverage proof</x:t>
        </x:is>
      </x:c>
    </x:row>
    <x:row r="541">
      <x:c r="A541" t="inlineStr">
        <x:is>
          <x:t xml:space="preserve">Security</x:t>
        </x:is>
      </x:c>
      <x:c r="B541" t="inlineStr">
        <x:is>
          <x:t xml:space="preserve">SEC-D14-Q41</x:t>
        </x:is>
      </x:c>
      <x:c r="C541" t="inlineStr">
        <x:is>
          <x:t xml:space="preserve">SEC-D14-Q41-A0</x:t>
        </x:is>
      </x:c>
      <x:c r="D541" t="n">
        <x:v>1</x:v>
      </x:c>
      <x:c r="E541" t="inlineStr">
        <x:is>
          <x:t xml:space="preserve">I don’t know / not sure.</x:t>
        </x:is>
      </x:c>
      <x:c r="F541" t="n">
        <x:v>0</x:v>
      </x:c>
      <x:c r="G541" t="inlineStr">
        <x:is>
          <x:t xml:space="preserve">unknown</x:t>
        </x:is>
      </x:c>
      <x:c r="H541" t="inlineStr">
        <x:is>
          <x:t xml:space="preserve">Unknown</x:t>
        </x:is>
      </x:c>
      <x:c r="I541" t="inlineStr">
        <x:is>
          <x:t xml:space="preserve">Clarify_Stakeholders</x:t>
        </x:is>
      </x:c>
      <x:c r="J541" t="inlineStr">
        <x:is>
          <x:t xml:space="preserve">N</x:t>
        </x:is>
      </x:c>
      <x:c r="K541" t="inlineStr">
        <x:is>
          <x:t xml:space="preserve">None</x:t>
        </x:is>
      </x:c>
    </x:row>
    <x:row r="542">
      <x:c r="A542" t="inlineStr">
        <x:is>
          <x:t xml:space="preserve">Security</x:t>
        </x:is>
      </x:c>
      <x:c r="B542" t="inlineStr">
        <x:is>
          <x:t xml:space="preserve">SEC-D14-Q41</x:t>
        </x:is>
      </x:c>
      <x:c r="C542" t="inlineStr">
        <x:is>
          <x:t xml:space="preserve">SEC-D14-Q41-A1</x:t>
        </x:is>
      </x:c>
      <x:c r="D542" t="n">
        <x:v>2</x:v>
      </x:c>
      <x:c r="E542" t="inlineStr">
        <x:is>
          <x:t xml:space="preserve">Controls are mostly blanket blocking; it disrupts work and pushes people to workarounds/shadow tools.</x:t>
        </x:is>
      </x:c>
      <x:c r="F542" t="n">
        <x:v>0</x:v>
      </x:c>
      <x:c r="G542" t="inlineStr">
        <x:is>
          <x:t xml:space="preserve">bypass_pressure,dlp_tuning_gap</x:t>
        </x:is>
      </x:c>
      <x:c r="H542" t="inlineStr">
        <x:is>
          <x:t xml:space="preserve">Bypass Pressure</x:t>
        </x:is>
      </x:c>
      <x:c r="I542" t="inlineStr">
        <x:is>
          <x:t xml:space="preserve">Tune_DLP_Crown_Jewels</x:t>
        </x:is>
      </x:c>
      <x:c r="J542" t="inlineStr">
        <x:is>
          <x:t xml:space="preserve">N</x:t>
        </x:is>
      </x:c>
      <x:c r="K542" t="inlineStr">
        <x:is>
          <x:t xml:space="preserve">Examples of blocked work</x:t>
        </x:is>
      </x:c>
    </x:row>
    <x:row r="543">
      <x:c r="A543" t="inlineStr">
        <x:is>
          <x:t xml:space="preserve">Security</x:t>
        </x:is>
      </x:c>
      <x:c r="B543" t="inlineStr">
        <x:is>
          <x:t xml:space="preserve">SEC-D14-Q41</x:t>
        </x:is>
      </x:c>
      <x:c r="C543" t="inlineStr">
        <x:is>
          <x:t xml:space="preserve">SEC-D14-Q41-A2</x:t>
        </x:is>
      </x:c>
      <x:c r="D543" t="n">
        <x:v>3</x:v>
      </x:c>
      <x:c r="E543" t="inlineStr">
        <x:is>
          <x:t xml:space="preserve">Controls exist but are inconsistently applied; exceptions are informal and not tracked.</x:t>
        </x:is>
      </x:c>
      <x:c r="F543" t="n">
        <x:v>1</x:v>
      </x:c>
      <x:c r="G543" t="inlineStr">
        <x:is>
          <x:t xml:space="preserve">ad_hoc,inconsistent_execution</x:t>
        </x:is>
      </x:c>
      <x:c r="H543" t="inlineStr">
        <x:is>
          <x:t xml:space="preserve">Shadow Mature</x:t>
        </x:is>
      </x:c>
      <x:c r="I543" t="inlineStr">
        <x:is>
          <x:t xml:space="preserve">Tune_DLP_Crown_Jewels</x:t>
        </x:is>
      </x:c>
      <x:c r="J543" t="inlineStr">
        <x:is>
          <x:t xml:space="preserve">N</x:t>
        </x:is>
      </x:c>
      <x:c r="K543" t="inlineStr">
        <x:is>
          <x:t xml:space="preserve">Exception process</x:t>
        </x:is>
      </x:c>
    </x:row>
    <x:row r="544">
      <x:c r="A544" t="inlineStr">
        <x:is>
          <x:t xml:space="preserve">Security</x:t>
        </x:is>
      </x:c>
      <x:c r="B544" t="inlineStr">
        <x:is>
          <x:t xml:space="preserve">SEC-D14-Q41</x:t>
        </x:is>
      </x:c>
      <x:c r="C544" t="inlineStr">
        <x:is>
          <x:t xml:space="preserve">SEC-D14-Q41-A3</x:t>
        </x:is>
      </x:c>
      <x:c r="D544" t="n">
        <x:v>4</x:v>
      </x:c>
      <x:c r="E544" t="inlineStr">
        <x:is>
          <x:t xml:space="preserve">We have some risk-based controls, but crown jewels mapping isn’t strong enough to tune confidently.</x:t>
        </x:is>
      </x:c>
      <x:c r="F544" t="n">
        <x:v>2</x:v>
      </x:c>
      <x:c r="G544" t="inlineStr">
        <x:is>
          <x:t xml:space="preserve">partial_maturity,partial_visibility</x:t>
        </x:is>
      </x:c>
      <x:c r="H544" t="inlineStr">
        <x:is>
          <x:t xml:space="preserve">Visibility Gap</x:t>
        </x:is>
      </x:c>
      <x:c r="I544" t="inlineStr">
        <x:is>
          <x:t xml:space="preserve">Tune_DLP_Crown_Jewels</x:t>
        </x:is>
      </x:c>
      <x:c r="J544" t="inlineStr">
        <x:is>
          <x:t xml:space="preserve">N</x:t>
        </x:is>
      </x:c>
      <x:c r="K544" t="inlineStr">
        <x:is>
          <x:t xml:space="preserve">Policy scope</x:t>
        </x:is>
      </x:c>
    </x:row>
    <x:row r="545">
      <x:c r="A545" t="inlineStr">
        <x:is>
          <x:t xml:space="preserve">Security</x:t>
        </x:is>
      </x:c>
      <x:c r="B545" t="inlineStr">
        <x:is>
          <x:t xml:space="preserve">SEC-D14-Q41</x:t>
        </x:is>
      </x:c>
      <x:c r="C545" t="inlineStr">
        <x:is>
          <x:t xml:space="preserve">SEC-D14-Q41-A4</x:t>
        </x:is>
      </x:c>
      <x:c r="D545" t="n">
        <x:v>5</x:v>
      </x:c>
      <x:c r="E545" t="inlineStr">
        <x:is>
          <x:t xml:space="preserve">Controls are tuned based on crown jewels and role risk; business impact is measured and exceptions are governed.</x:t>
        </x:is>
      </x:c>
      <x:c r="F545" t="n">
        <x:v>3</x:v>
      </x:c>
      <x:c r="G545" t="inlineStr">
        <x:is>
          <x:t xml:space="preserve">good_practice,execution_strength</x:t>
        </x:is>
      </x:c>
      <x:c r="I545" t="inlineStr">
        <x:is>
          <x:t xml:space="preserve">Request_Evidence</x:t>
        </x:is>
      </x:c>
      <x:c r="J545" t="inlineStr">
        <x:is>
          <x:t xml:space="preserve">N</x:t>
        </x:is>
      </x:c>
      <x:c r="K545" t="inlineStr">
        <x:is>
          <x:t xml:space="preserve">Metrics evidence</x:t>
        </x:is>
      </x:c>
    </x:row>
    <x:row r="546">
      <x:c r="A546" t="inlineStr">
        <x:is>
          <x:t xml:space="preserve">Security</x:t>
        </x:is>
      </x:c>
      <x:c r="B546" t="inlineStr">
        <x:is>
          <x:t xml:space="preserve">SEC-D14-Q41</x:t>
        </x:is>
      </x:c>
      <x:c r="C546" t="inlineStr">
        <x:is>
          <x:t xml:space="preserve">SEC-D14-Q41-A5</x:t>
        </x:is>
      </x:c>
      <x:c r="D546" t="n">
        <x:v>6</x:v>
      </x:c>
      <x:c r="E546" t="inlineStr">
        <x:is>
          <x:t xml:space="preserve">Controls are continuously optimized using measured impact and risk scoring; workarounds are minimized and monitored.</x:t>
        </x:is>
      </x:c>
      <x:c r="F546" t="n">
        <x:v>4</x:v>
      </x:c>
      <x:c r="G546" t="inlineStr">
        <x:is>
          <x:t xml:space="preserve">optimized,execution_strength</x:t>
        </x:is>
      </x:c>
      <x:c r="I546" t="inlineStr">
        <x:is>
          <x:t xml:space="preserve">Request_Evidence</x:t>
        </x:is>
      </x:c>
      <x:c r="J546" t="inlineStr">
        <x:is>
          <x:t xml:space="preserve">N</x:t>
        </x:is>
      </x:c>
      <x:c r="K546" t="inlineStr">
        <x:is>
          <x:t xml:space="preserve">Optimization proof</x:t>
        </x:is>
      </x:c>
    </x:row>
    <x:row r="547">
      <x:c r="B547" t="inlineStr">
        <x:is>
          <x:t xml:space="preserve">LEG-D1-Q01</x:t>
        </x:is>
      </x:c>
      <x:c r="C547" t="inlineStr">
        <x:is>
          <x:t xml:space="preserve">LEG-D1-Q01-A0</x:t>
        </x:is>
      </x:c>
      <x:c r="D547" t="n">
        <x:v>1</x:v>
      </x:c>
      <x:c r="E547" t="inlineStr">
        <x:is>
          <x:t xml:space="preserve">I don’t know / not sure.</x:t>
        </x:is>
      </x:c>
      <x:c r="F547" t="n">
        <x:v>0</x:v>
      </x:c>
      <x:c r="G547" t="inlineStr">
        <x:is>
          <x:t xml:space="preserve">unknown</x:t>
        </x:is>
      </x:c>
      <x:c r="H547" t="inlineStr">
        <x:is>
          <x:t xml:space="preserve">Unknown</x:t>
        </x:is>
      </x:c>
      <x:c r="I547" t="inlineStr">
        <x:is>
          <x:t xml:space="preserve">Clarify_Legal_Owner</x:t>
        </x:is>
      </x:c>
      <x:c r="J547" t="inlineStr">
        <x:is>
          <x:t xml:space="preserve">N</x:t>
        </x:is>
      </x:c>
    </x:row>
    <x:row r="548">
      <x:c r="B548" t="inlineStr">
        <x:is>
          <x:t xml:space="preserve">LEG-D1-Q01</x:t>
        </x:is>
      </x:c>
      <x:c r="C548" t="inlineStr">
        <x:is>
          <x:t xml:space="preserve">LEG-D1-Q01-A1</x:t>
        </x:is>
      </x:c>
      <x:c r="D548" t="n">
        <x:v>2</x:v>
      </x:c>
      <x:c r="E548" t="inlineStr">
        <x:is>
          <x:t xml:space="preserve">No: Monitoring happens based on tool capability; no written basis or approvals.</x:t>
        </x:is>
      </x:c>
      <x:c r="F548" t="n">
        <x:v>0</x:v>
      </x:c>
      <x:c r="G548" t="inlineStr">
        <x:is>
          <x:t xml:space="preserve">foundational_gap,legal_exposure,toxic_enforcer_signal</x:t>
        </x:is>
      </x:c>
      <x:c r="H548" t="inlineStr">
        <x:is>
          <x:t xml:space="preserve">Legal Exposure</x:t>
        </x:is>
      </x:c>
      <x:c r="I548" t="inlineStr">
        <x:is>
          <x:t xml:space="preserve">Legal_Foundational_Setup</x:t>
        </x:is>
      </x:c>
      <x:c r="J548" t="inlineStr">
        <x:is>
          <x:t xml:space="preserve">N</x:t>
        </x:is>
      </x:c>
    </x:row>
    <x:row r="549">
      <x:c r="B549" t="inlineStr">
        <x:is>
          <x:t xml:space="preserve">LEG-D1-Q01</x:t>
        </x:is>
      </x:c>
      <x:c r="C549" t="inlineStr">
        <x:is>
          <x:t xml:space="preserve">LEG-D1-Q01-A2</x:t>
        </x:is>
      </x:c>
      <x:c r="D549" t="n">
        <x:v>3</x:v>
      </x:c>
      <x:c r="E549" t="inlineStr">
        <x:is>
          <x:t xml:space="preserve">Partial: Some documents exist, but they are outdated, unclear, or not used in practice.</x:t>
        </x:is>
      </x:c>
      <x:c r="F549" t="n">
        <x:v>1</x:v>
      </x:c>
      <x:c r="G549" t="inlineStr">
        <x:is>
          <x:t xml:space="preserve">paper_dragon_signal</x:t>
        </x:is>
      </x:c>
      <x:c r="H549" t="inlineStr">
        <x:is>
          <x:t xml:space="preserve">Paper Dragon</x:t>
        </x:is>
      </x:c>
      <x:c r="I549" t="inlineStr">
        <x:is>
          <x:t xml:space="preserve">Update_Policy_and_Approvals</x:t>
        </x:is>
      </x:c>
      <x:c r="J549" t="inlineStr">
        <x:is>
          <x:t xml:space="preserve">N</x:t>
        </x:is>
      </x:c>
    </x:row>
    <x:row r="550">
      <x:c r="B550" t="inlineStr">
        <x:is>
          <x:t xml:space="preserve">LEG-D1-Q01</x:t>
        </x:is>
      </x:c>
      <x:c r="C550" t="inlineStr">
        <x:is>
          <x:t xml:space="preserve">LEG-D1-Q01-A3</x:t>
        </x:is>
      </x:c>
      <x:c r="D550" t="n">
        <x:v>4</x:v>
      </x:c>
      <x:c r="E550" t="inlineStr">
        <x:is>
          <x:t xml:space="preserve">Defined: Written basis and approvals exist and are used for most monitoring actions.</x:t>
        </x:is>
      </x:c>
      <x:c r="F550" t="n">
        <x:v>3</x:v>
      </x:c>
      <x:c r="H550" t="inlineStr">
        <x:is>
          <x:t xml:space="preserve">Operating Model Gap</x:t>
        </x:is>
      </x:c>
      <x:c r="I550" t="inlineStr">
        <x:is>
          <x:t xml:space="preserve">Evidence_Request_Legal</x:t>
        </x:is>
      </x:c>
      <x:c r="J550" t="inlineStr">
        <x:is>
          <x:t xml:space="preserve">N</x:t>
        </x:is>
      </x:c>
    </x:row>
    <x:row r="551">
      <x:c r="B551" t="inlineStr">
        <x:is>
          <x:t xml:space="preserve">LEG-D1-Q01</x:t>
        </x:is>
      </x:c>
      <x:c r="C551" t="inlineStr">
        <x:is>
          <x:t xml:space="preserve">LEG-D1-Q01-A4</x:t>
        </x:is>
      </x:c>
      <x:c r="D551" t="n">
        <x:v>5</x:v>
      </x:c>
      <x:c r="E551" t="inlineStr">
        <x:is>
          <x:t xml:space="preserve">Mature: Clearly defined purposes, approvals, and boundaries; reviewed at least annually.</x:t>
        </x:is>
      </x:c>
      <x:c r="F551" t="n">
        <x:v>4</x:v>
      </x:c>
      <x:c r="I551" t="inlineStr">
        <x:is>
          <x:t xml:space="preserve">Maintain_and_Audit</x:t>
        </x:is>
      </x:c>
      <x:c r="J551" t="inlineStr">
        <x:is>
          <x:t xml:space="preserve">N</x:t>
        </x:is>
      </x:c>
    </x:row>
    <x:row r="552">
      <x:c r="B552" t="inlineStr">
        <x:is>
          <x:t xml:space="preserve">LEG-D1-Q02</x:t>
        </x:is>
      </x:c>
      <x:c r="C552" t="inlineStr">
        <x:is>
          <x:t xml:space="preserve">LEG-D1-Q02-A0</x:t>
        </x:is>
      </x:c>
      <x:c r="D552" t="n">
        <x:v>1</x:v>
      </x:c>
      <x:c r="E552" t="inlineStr">
        <x:is>
          <x:t xml:space="preserve">No / rarely: We avoid monitoring staff activity unless legally required.</x:t>
        </x:is>
      </x:c>
      <x:c r="F552" t="n">
        <x:v>2</x:v>
      </x:c>
      <x:c r="H552" t="inlineStr">
        <x:is>
          <x:t xml:space="preserve">Unknown</x:t>
        </x:is>
      </x:c>
      <x:c r="J552" t="inlineStr">
        <x:is>
          <x:t xml:space="preserve">N</x:t>
        </x:is>
      </x:c>
    </x:row>
    <x:row r="553">
      <x:c r="B553" t="inlineStr">
        <x:is>
          <x:t xml:space="preserve">LEG-D1-Q02</x:t>
        </x:is>
      </x:c>
      <x:c r="C553" t="inlineStr">
        <x:is>
          <x:t xml:space="preserve">LEG-D1-Q02-A1</x:t>
        </x:is>
      </x:c>
      <x:c r="D553" t="n">
        <x:v>2</x:v>
      </x:c>
      <x:c r="E553" t="inlineStr">
        <x:is>
          <x:t xml:space="preserve">Yes, ad-hoc: People ‘take a look’ informally with no written rules.</x:t>
        </x:is>
      </x:c>
      <x:c r="F553" t="n">
        <x:v>0</x:v>
      </x:c>
      <x:c r="G553" t="inlineStr">
        <x:is>
          <x:t xml:space="preserve">shadow_mature_signal,legal_exposure</x:t>
        </x:is>
      </x:c>
      <x:c r="H553" t="inlineStr">
        <x:is>
          <x:t xml:space="preserve">Legal Exposure</x:t>
        </x:is>
      </x:c>
      <x:c r="I553" t="inlineStr">
        <x:is>
          <x:t xml:space="preserve">Implement_Guardrails</x:t>
        </x:is>
      </x:c>
      <x:c r="J553" t="inlineStr">
        <x:is>
          <x:t xml:space="preserve">N</x:t>
        </x:is>
      </x:c>
    </x:row>
    <x:row r="554">
      <x:c r="B554" t="inlineStr">
        <x:is>
          <x:t xml:space="preserve">LEG-D1-Q02</x:t>
        </x:is>
      </x:c>
      <x:c r="C554" t="inlineStr">
        <x:is>
          <x:t xml:space="preserve">LEG-D1-Q02-A2</x:t>
        </x:is>
      </x:c>
      <x:c r="D554" t="n">
        <x:v>3</x:v>
      </x:c>
      <x:c r="E554" t="inlineStr">
        <x:is>
          <x:t xml:space="preserve">Yes, but controlled: There are informal guardrails (e.g., always involve HR/Legal) even if not fully documented.</x:t>
        </x:is>
      </x:c>
      <x:c r="F554" t="n">
        <x:v>2</x:v>
      </x:c>
      <x:c r="G554" t="inlineStr">
        <x:is>
          <x:t xml:space="preserve">shadow_mature_signal</x:t>
        </x:is>
      </x:c>
      <x:c r="H554" t="inlineStr">
        <x:is>
          <x:t xml:space="preserve">Operating Model Gap</x:t>
        </x:is>
      </x:c>
      <x:c r="I554" t="inlineStr">
        <x:is>
          <x:t xml:space="preserve">Formalize_Practice</x:t>
        </x:is>
      </x:c>
      <x:c r="J554" t="inlineStr">
        <x:is>
          <x:t xml:space="preserve">N</x:t>
        </x:is>
      </x:c>
    </x:row>
    <x:row r="555">
      <x:c r="B555" t="inlineStr">
        <x:is>
          <x:t xml:space="preserve">LEG-D1-Q02</x:t>
        </x:is>
      </x:c>
      <x:c r="C555" t="inlineStr">
        <x:is>
          <x:t xml:space="preserve">LEG-D1-Q02-A3</x:t>
        </x:is>
      </x:c>
      <x:c r="D555" t="n">
        <x:v>4</x:v>
      </x:c>
      <x:c r="E555" t="inlineStr">
        <x:is>
          <x:t xml:space="preserve">Yes, governed: Monitoring checks follow documented criteria and approvals.</x:t>
        </x:is>
      </x:c>
      <x:c r="F555" t="n">
        <x:v>4</x:v>
      </x:c>
      <x:c r="I555" t="inlineStr">
        <x:is>
          <x:t xml:space="preserve">Maintain_and_Audit</x:t>
        </x:is>
      </x:c>
      <x:c r="J555" t="inlineStr">
        <x:is>
          <x:t xml:space="preserve">N</x:t>
        </x:is>
      </x:c>
    </x:row>
    <x:row r="556">
      <x:c r="B556" t="inlineStr">
        <x:is>
          <x:t xml:space="preserve">LEG-D1-Q03</x:t>
        </x:is>
      </x:c>
      <x:c r="C556" t="inlineStr">
        <x:is>
          <x:t xml:space="preserve">LEG-D1-Q03-A0</x:t>
        </x:is>
      </x:c>
      <x:c r="D556" t="n">
        <x:v>1</x:v>
      </x:c>
      <x:c r="E556" t="inlineStr">
        <x:is>
          <x:t xml:space="preserve">I don’t know / not sure.</x:t>
        </x:is>
      </x:c>
      <x:c r="F556" t="n">
        <x:v>0</x:v>
      </x:c>
      <x:c r="G556" t="inlineStr">
        <x:is>
          <x:t xml:space="preserve">unknown</x:t>
        </x:is>
      </x:c>
      <x:c r="H556" t="inlineStr">
        <x:is>
          <x:t xml:space="preserve">Unknown</x:t>
        </x:is>
      </x:c>
      <x:c r="I556" t="inlineStr">
        <x:is>
          <x:t xml:space="preserve">Clarify_Monitoring_Design</x:t>
        </x:is>
      </x:c>
      <x:c r="J556" t="inlineStr">
        <x:is>
          <x:t xml:space="preserve">N</x:t>
        </x:is>
      </x:c>
    </x:row>
    <x:row r="557">
      <x:c r="B557" t="inlineStr">
        <x:is>
          <x:t xml:space="preserve">LEG-D1-Q03</x:t>
        </x:is>
      </x:c>
      <x:c r="C557" t="inlineStr">
        <x:is>
          <x:t xml:space="preserve">LEG-D1-Q03-A1</x:t>
        </x:is>
      </x:c>
      <x:c r="D557" t="n">
        <x:v>2</x:v>
      </x:c>
      <x:c r="E557" t="inlineStr">
        <x:is>
          <x:t xml:space="preserve">No: Same monitoring for everyone; no risk tiers.</x:t>
        </x:is>
      </x:c>
      <x:c r="F557" t="n">
        <x:v>0</x:v>
      </x:c>
      <x:c r="G557" t="inlineStr">
        <x:is>
          <x:t xml:space="preserve">legal_exposure,toxic_enforcer_signal</x:t>
        </x:is>
      </x:c>
      <x:c r="H557" t="inlineStr">
        <x:is>
          <x:t xml:space="preserve">Legal Exposure</x:t>
        </x:is>
      </x:c>
      <x:c r="I557" t="inlineStr">
        <x:is>
          <x:t xml:space="preserve">Design_Proportionality</x:t>
        </x:is>
      </x:c>
      <x:c r="J557" t="inlineStr">
        <x:is>
          <x:t xml:space="preserve">N</x:t>
        </x:is>
      </x:c>
    </x:row>
    <x:row r="558">
      <x:c r="B558" t="inlineStr">
        <x:is>
          <x:t xml:space="preserve">LEG-D1-Q03</x:t>
        </x:is>
      </x:c>
      <x:c r="C558" t="inlineStr">
        <x:is>
          <x:t xml:space="preserve">LEG-D1-Q03-A2</x:t>
        </x:is>
      </x:c>
      <x:c r="D558" t="n">
        <x:v>3</x:v>
      </x:c>
      <x:c r="E558" t="inlineStr">
        <x:is>
          <x:t xml:space="preserve">Mostly ad-hoc: Some leaders apply judgment, but it’s not consistent.</x:t>
        </x:is>
      </x:c>
      <x:c r="F558" t="n">
        <x:v>1</x:v>
      </x:c>
      <x:c r="G558" t="inlineStr">
        <x:is>
          <x:t xml:space="preserve">shadow_mature_signal</x:t>
        </x:is>
      </x:c>
      <x:c r="H558" t="inlineStr">
        <x:is>
          <x:t xml:space="preserve">Operating Model Gap</x:t>
        </x:is>
      </x:c>
      <x:c r="I558" t="inlineStr">
        <x:is>
          <x:t xml:space="preserve">Formalize_Tiering</x:t>
        </x:is>
      </x:c>
      <x:c r="J558" t="inlineStr">
        <x:is>
          <x:t xml:space="preserve">N</x:t>
        </x:is>
      </x:c>
    </x:row>
    <x:row r="559">
      <x:c r="B559" t="inlineStr">
        <x:is>
          <x:t xml:space="preserve">LEG-D1-Q03</x:t>
        </x:is>
      </x:c>
      <x:c r="C559" t="inlineStr">
        <x:is>
          <x:t xml:space="preserve">LEG-D1-Q03-A3</x:t>
        </x:is>
      </x:c>
      <x:c r="D559" t="n">
        <x:v>4</x:v>
      </x:c>
      <x:c r="E559" t="inlineStr">
        <x:is>
          <x:t xml:space="preserve">Yes: Risk tiers exist and are applied consistently.</x:t>
        </x:is>
      </x:c>
      <x:c r="F559" t="n">
        <x:v>3</x:v>
      </x:c>
      <x:c r="I559" t="inlineStr">
        <x:is>
          <x:t xml:space="preserve">Evidence_Request_Legal</x:t>
        </x:is>
      </x:c>
      <x:c r="J559" t="inlineStr">
        <x:is>
          <x:t xml:space="preserve">N</x:t>
        </x:is>
      </x:c>
    </x:row>
    <x:row r="560">
      <x:c r="B560" t="inlineStr">
        <x:is>
          <x:t xml:space="preserve">LEG-D1-Q03</x:t>
        </x:is>
      </x:c>
      <x:c r="C560" t="inlineStr">
        <x:is>
          <x:t xml:space="preserve">LEG-D1-Q03-A4</x:t>
        </x:is>
      </x:c>
      <x:c r="D560" t="n">
        <x:v>5</x:v>
      </x:c>
      <x:c r="E560" t="inlineStr">
        <x:is>
          <x:t xml:space="preserve">Yes + reviewed: Tiers and criteria are reviewed and updated (e.g., after incidents or org changes).</x:t>
        </x:is>
      </x:c>
      <x:c r="F560" t="n">
        <x:v>4</x:v>
      </x:c>
      <x:c r="I560" t="inlineStr">
        <x:is>
          <x:t xml:space="preserve">Maintain_and_Audit</x:t>
        </x:is>
      </x:c>
      <x:c r="J560" t="inlineStr">
        <x:is>
          <x:t xml:space="preserve">N</x:t>
        </x:is>
      </x:c>
    </x:row>
    <x:row r="561">
      <x:c r="B561" t="inlineStr">
        <x:is>
          <x:t xml:space="preserve">LEG-D1-Q04</x:t>
        </x:is>
      </x:c>
      <x:c r="C561" t="inlineStr">
        <x:is>
          <x:t xml:space="preserve">LEG-D1-Q04-A0</x:t>
        </x:is>
      </x:c>
      <x:c r="D561" t="n">
        <x:v>1</x:v>
      </x:c>
      <x:c r="E561" t="inlineStr">
        <x:is>
          <x:t xml:space="preserve">I don’t know / not sure.</x:t>
        </x:is>
      </x:c>
      <x:c r="F561" t="n">
        <x:v>0</x:v>
      </x:c>
      <x:c r="G561" t="inlineStr">
        <x:is>
          <x:t xml:space="preserve">unknown</x:t>
        </x:is>
      </x:c>
      <x:c r="H561" t="inlineStr">
        <x:is>
          <x:t xml:space="preserve">Unknown</x:t>
        </x:is>
      </x:c>
      <x:c r="I561" t="inlineStr">
        <x:is>
          <x:t xml:space="preserve">Clarify_Transparency</x:t>
        </x:is>
      </x:c>
      <x:c r="J561" t="inlineStr">
        <x:is>
          <x:t xml:space="preserve">N</x:t>
        </x:is>
      </x:c>
    </x:row>
    <x:row r="562">
      <x:c r="B562" t="inlineStr">
        <x:is>
          <x:t xml:space="preserve">LEG-D1-Q04</x:t>
        </x:is>
      </x:c>
      <x:c r="C562" t="inlineStr">
        <x:is>
          <x:t xml:space="preserve">LEG-D1-Q04-A1</x:t>
        </x:is>
      </x:c>
      <x:c r="D562" t="n">
        <x:v>2</x:v>
      </x:c>
      <x:c r="E562" t="inlineStr">
        <x:is>
          <x:t xml:space="preserve">No: Monitoring is secret or only discussed after an incident.</x:t>
        </x:is>
      </x:c>
      <x:c r="F562" t="n">
        <x:v>0</x:v>
      </x:c>
      <x:c r="G562" t="inlineStr">
        <x:is>
          <x:t xml:space="preserve">toxic_enforcer_signal,legal_exposure</x:t>
        </x:is>
      </x:c>
      <x:c r="H562" t="inlineStr">
        <x:is>
          <x:t xml:space="preserve">Legal Exposure</x:t>
        </x:is>
      </x:c>
      <x:c r="I562" t="inlineStr">
        <x:is>
          <x:t xml:space="preserve">Transparency_Plan</x:t>
        </x:is>
      </x:c>
      <x:c r="J562" t="inlineStr">
        <x:is>
          <x:t xml:space="preserve">N</x:t>
        </x:is>
      </x:c>
    </x:row>
    <x:row r="563">
      <x:c r="B563" t="inlineStr">
        <x:is>
          <x:t xml:space="preserve">LEG-D1-Q04</x:t>
        </x:is>
      </x:c>
      <x:c r="C563" t="inlineStr">
        <x:is>
          <x:t xml:space="preserve">LEG-D1-Q04-A2</x:t>
        </x:is>
      </x:c>
      <x:c r="D563" t="n">
        <x:v>3</x:v>
      </x:c>
      <x:c r="E563" t="inlineStr">
        <x:is>
          <x:t xml:space="preserve">Minimal: Mentioned in long policies/contracts; most staff don’t understand it.</x:t>
        </x:is>
      </x:c>
      <x:c r="F563" t="n">
        <x:v>1</x:v>
      </x:c>
      <x:c r="G563" t="inlineStr">
        <x:is>
          <x:t xml:space="preserve">paper_dragon_signal</x:t>
        </x:is>
      </x:c>
      <x:c r="H563" t="inlineStr">
        <x:is>
          <x:t xml:space="preserve">Paper Dragon</x:t>
        </x:is>
      </x:c>
      <x:c r="I563" t="inlineStr">
        <x:is>
          <x:t xml:space="preserve">Rewrite_Notice</x:t>
        </x:is>
      </x:c>
      <x:c r="J563" t="inlineStr">
        <x:is>
          <x:t xml:space="preserve">N</x:t>
        </x:is>
      </x:c>
    </x:row>
    <x:row r="564">
      <x:c r="B564" t="inlineStr">
        <x:is>
          <x:t xml:space="preserve">LEG-D1-Q04</x:t>
        </x:is>
      </x:c>
      <x:c r="C564" t="inlineStr">
        <x:is>
          <x:t xml:space="preserve">LEG-D1-Q04-A3</x:t>
        </x:is>
      </x:c>
      <x:c r="D564" t="n">
        <x:v>4</x:v>
      </x:c>
      <x:c r="E564" t="inlineStr">
        <x:is>
          <x:t xml:space="preserve">Yes: Clear notice and training cover key points; employees know where to ask questions.</x:t>
        </x:is>
      </x:c>
      <x:c r="F564" t="n">
        <x:v>3</x:v>
      </x:c>
      <x:c r="H564" t="inlineStr">
        <x:is>
          <x:t xml:space="preserve">Culture Risk</x:t>
        </x:is>
      </x:c>
      <x:c r="I564" t="inlineStr">
        <x:is>
          <x:t xml:space="preserve">Evidence_Request_Notice</x:t>
        </x:is>
      </x:c>
      <x:c r="J564" t="inlineStr">
        <x:is>
          <x:t xml:space="preserve">N</x:t>
        </x:is>
      </x:c>
    </x:row>
    <x:row r="565">
      <x:c r="B565" t="inlineStr">
        <x:is>
          <x:t xml:space="preserve">LEG-D1-Q04</x:t>
        </x:is>
      </x:c>
      <x:c r="C565" t="inlineStr">
        <x:is>
          <x:t xml:space="preserve">LEG-D1-Q04-A4</x:t>
        </x:is>
      </x:c>
      <x:c r="D565" t="n">
        <x:v>5</x:v>
      </x:c>
      <x:c r="E565" t="inlineStr">
        <x:is>
          <x:t xml:space="preserve">Yes + feedback: We measure understanding and update communications based on questions/complaints.</x:t>
        </x:is>
      </x:c>
      <x:c r="F565" t="n">
        <x:v>4</x:v>
      </x:c>
      <x:c r="I565" t="inlineStr">
        <x:is>
          <x:t xml:space="preserve">Maintain_and_Audit</x:t>
        </x:is>
      </x:c>
      <x:c r="J565" t="inlineStr">
        <x:is>
          <x:t xml:space="preserve">N</x:t>
        </x:is>
      </x:c>
    </x:row>
    <x:row r="566">
      <x:c r="B566" t="inlineStr">
        <x:is>
          <x:t xml:space="preserve">LEG-D1-Q05</x:t>
        </x:is>
      </x:c>
      <x:c r="C566" t="inlineStr">
        <x:is>
          <x:t xml:space="preserve">LEG-D1-Q05-A0</x:t>
        </x:is>
      </x:c>
      <x:c r="D566" t="n">
        <x:v>1</x:v>
      </x:c>
      <x:c r="E566" t="inlineStr">
        <x:is>
          <x:t xml:space="preserve">Not applicable (no reps/requirements in our locations).</x:t>
        </x:is>
      </x:c>
      <x:c r="F566" t="n">
        <x:v>3</x:v>
      </x:c>
      <x:c r="H566" t="inlineStr">
        <x:is>
          <x:t xml:space="preserve">Unknown</x:t>
        </x:is>
      </x:c>
      <x:c r="J566" t="inlineStr">
        <x:is>
          <x:t xml:space="preserve">N</x:t>
        </x:is>
      </x:c>
    </x:row>
    <x:row r="567">
      <x:c r="B567" t="inlineStr">
        <x:is>
          <x:t xml:space="preserve">LEG-D1-Q05</x:t>
        </x:is>
      </x:c>
      <x:c r="C567" t="inlineStr">
        <x:is>
          <x:t xml:space="preserve">LEG-D1-Q05-A1</x:t>
        </x:is>
      </x:c>
      <x:c r="D567" t="n">
        <x:v>2</x:v>
      </x:c>
      <x:c r="E567" t="inlineStr">
        <x:is>
          <x:t xml:space="preserve">No: We roll out monitoring first and handle concerns later.</x:t>
        </x:is>
      </x:c>
      <x:c r="F567" t="n">
        <x:v>0</x:v>
      </x:c>
      <x:c r="G567" t="inlineStr">
        <x:is>
          <x:t xml:space="preserve">legal_exposure</x:t>
        </x:is>
      </x:c>
      <x:c r="H567" t="inlineStr">
        <x:is>
          <x:t xml:space="preserve">Legal Exposure</x:t>
        </x:is>
      </x:c>
      <x:c r="I567" t="inlineStr">
        <x:is>
          <x:t xml:space="preserve">Engage_Reps</x:t>
        </x:is>
      </x:c>
      <x:c r="J567" t="inlineStr">
        <x:is>
          <x:t xml:space="preserve">N</x:t>
        </x:is>
      </x:c>
    </x:row>
    <x:row r="568">
      <x:c r="B568" t="inlineStr">
        <x:is>
          <x:t xml:space="preserve">LEG-D1-Q05</x:t>
        </x:is>
      </x:c>
      <x:c r="C568" t="inlineStr">
        <x:is>
          <x:t xml:space="preserve">LEG-D1-Q05-A2</x:t>
        </x:is>
      </x:c>
      <x:c r="D568" t="n">
        <x:v>3</x:v>
      </x:c>
      <x:c r="E568" t="inlineStr">
        <x:is>
          <x:t xml:space="preserve">Sometimes: Engagement depends on project lead; not predictable.</x:t>
        </x:is>
      </x:c>
      <x:c r="F568" t="n">
        <x:v>1</x:v>
      </x:c>
      <x:c r="G568" t="inlineStr">
        <x:is>
          <x:t xml:space="preserve">operating_model_gap</x:t>
        </x:is>
      </x:c>
      <x:c r="H568" t="inlineStr">
        <x:is>
          <x:t xml:space="preserve">Operating Model Gap</x:t>
        </x:is>
      </x:c>
      <x:c r="I568" t="inlineStr">
        <x:is>
          <x:t xml:space="preserve">Standardize_Engagement</x:t>
        </x:is>
      </x:c>
      <x:c r="J568" t="inlineStr">
        <x:is>
          <x:t xml:space="preserve">N</x:t>
        </x:is>
      </x:c>
    </x:row>
    <x:row r="569">
      <x:c r="B569" t="inlineStr">
        <x:is>
          <x:t xml:space="preserve">LEG-D1-Q05</x:t>
        </x:is>
      </x:c>
      <x:c r="C569" t="inlineStr">
        <x:is>
          <x:t xml:space="preserve">LEG-D1-Q05-A3</x:t>
        </x:is>
      </x:c>
      <x:c r="D569" t="n">
        <x:v>4</x:v>
      </x:c>
      <x:c r="E569" t="inlineStr">
        <x:is>
          <x:t xml:space="preserve">Yes: Engagement is built into change governance and documented.</x:t>
        </x:is>
      </x:c>
      <x:c r="F569" t="n">
        <x:v>4</x:v>
      </x:c>
      <x:c r="I569" t="inlineStr">
        <x:is>
          <x:t xml:space="preserve">Maintain_and_Audit</x:t>
        </x:is>
      </x:c>
      <x:c r="J569" t="inlineStr">
        <x:is>
          <x:t xml:space="preserve">N</x:t>
        </x:is>
      </x:c>
    </x:row>
    <x:row r="570">
      <x:c r="B570" t="inlineStr">
        <x:is>
          <x:t xml:space="preserve">LEG-D1-Q06</x:t>
        </x:is>
      </x:c>
      <x:c r="C570" t="inlineStr">
        <x:is>
          <x:t xml:space="preserve">LEG-D1-Q06-A0</x:t>
        </x:is>
      </x:c>
      <x:c r="D570" t="n">
        <x:v>1</x:v>
      </x:c>
      <x:c r="E570" t="inlineStr">
        <x:is>
          <x:t xml:space="preserve">I don’t know / not sure.</x:t>
        </x:is>
      </x:c>
      <x:c r="F570" t="n">
        <x:v>0</x:v>
      </x:c>
      <x:c r="G570" t="inlineStr">
        <x:is>
          <x:t xml:space="preserve">unknown</x:t>
        </x:is>
      </x:c>
      <x:c r="H570" t="inlineStr">
        <x:is>
          <x:t xml:space="preserve">Unknown</x:t>
        </x:is>
      </x:c>
      <x:c r="I570" t="inlineStr">
        <x:is>
          <x:t xml:space="preserve">Clarify_DPIA</x:t>
        </x:is>
      </x:c>
      <x:c r="J570" t="inlineStr">
        <x:is>
          <x:t xml:space="preserve">N</x:t>
        </x:is>
      </x:c>
    </x:row>
    <x:row r="571">
      <x:c r="B571" t="inlineStr">
        <x:is>
          <x:t xml:space="preserve">LEG-D1-Q06</x:t>
        </x:is>
      </x:c>
      <x:c r="C571" t="inlineStr">
        <x:is>
          <x:t xml:space="preserve">LEG-D1-Q06-A1</x:t>
        </x:is>
      </x:c>
      <x:c r="D571" t="n">
        <x:v>2</x:v>
      </x:c>
      <x:c r="E571" t="inlineStr">
        <x:is>
          <x:t xml:space="preserve">No: We have not assessed privacy impact for monitoring.</x:t>
        </x:is>
      </x:c>
      <x:c r="F571" t="n">
        <x:v>0</x:v>
      </x:c>
      <x:c r="G571" t="inlineStr">
        <x:is>
          <x:t xml:space="preserve">legal_exposure</x:t>
        </x:is>
      </x:c>
      <x:c r="H571" t="inlineStr">
        <x:is>
          <x:t xml:space="preserve">Legal Exposure</x:t>
        </x:is>
      </x:c>
      <x:c r="I571" t="inlineStr">
        <x:is>
          <x:t xml:space="preserve">Conduct_Assessment</x:t>
        </x:is>
      </x:c>
      <x:c r="J571" t="inlineStr">
        <x:is>
          <x:t xml:space="preserve">N</x:t>
        </x:is>
      </x:c>
    </x:row>
    <x:row r="572">
      <x:c r="B572" t="inlineStr">
        <x:is>
          <x:t xml:space="preserve">LEG-D1-Q06</x:t>
        </x:is>
      </x:c>
      <x:c r="C572" t="inlineStr">
        <x:is>
          <x:t xml:space="preserve">LEG-D1-Q06-A2</x:t>
        </x:is>
      </x:c>
      <x:c r="D572" t="n">
        <x:v>3</x:v>
      </x:c>
      <x:c r="E572" t="inlineStr">
        <x:is>
          <x:t xml:space="preserve">Planned: We intend to do it, but it’s not completed or not used.</x:t>
        </x:is>
      </x:c>
      <x:c r="F572" t="n">
        <x:v>1</x:v>
      </x:c>
      <x:c r="G572" t="inlineStr">
        <x:is>
          <x:t xml:space="preserve">paper_dragon_signal</x:t>
        </x:is>
      </x:c>
      <x:c r="H572" t="inlineStr">
        <x:is>
          <x:t xml:space="preserve">Paper Dragon</x:t>
        </x:is>
      </x:c>
      <x:c r="I572" t="inlineStr">
        <x:is>
          <x:t xml:space="preserve">Complete_Assessment</x:t>
        </x:is>
      </x:c>
      <x:c r="J572" t="inlineStr">
        <x:is>
          <x:t xml:space="preserve">N</x:t>
        </x:is>
      </x:c>
    </x:row>
    <x:row r="573">
      <x:c r="B573" t="inlineStr">
        <x:is>
          <x:t xml:space="preserve">LEG-D1-Q06</x:t>
        </x:is>
      </x:c>
      <x:c r="C573" t="inlineStr">
        <x:is>
          <x:t xml:space="preserve">LEG-D1-Q06-A3</x:t>
        </x:is>
      </x:c>
      <x:c r="D573" t="n">
        <x:v>4</x:v>
      </x:c>
      <x:c r="E573" t="inlineStr">
        <x:is>
          <x:t xml:space="preserve">Yes: Assessments exist for key monitoring activities and are referenced in decisions.</x:t>
        </x:is>
      </x:c>
      <x:c r="F573" t="n">
        <x:v>3</x:v>
      </x:c>
      <x:c r="I573" t="inlineStr">
        <x:is>
          <x:t xml:space="preserve">Evidence_Request_DPIA</x:t>
        </x:is>
      </x:c>
      <x:c r="J573" t="inlineStr">
        <x:is>
          <x:t xml:space="preserve">N</x:t>
        </x:is>
      </x:c>
    </x:row>
    <x:row r="574">
      <x:c r="B574" t="inlineStr">
        <x:is>
          <x:t xml:space="preserve">LEG-D1-Q06</x:t>
        </x:is>
      </x:c>
      <x:c r="C574" t="inlineStr">
        <x:is>
          <x:t xml:space="preserve">LEG-D1-Q06-A4</x:t>
        </x:is>
      </x:c>
      <x:c r="D574" t="n">
        <x:v>5</x:v>
      </x:c>
      <x:c r="E574" t="inlineStr">
        <x:is>
          <x:t xml:space="preserve">Yes + living: Assessments are updated after changes/incidents and checked by privacy/legal.</x:t>
        </x:is>
      </x:c>
      <x:c r="F574" t="n">
        <x:v>4</x:v>
      </x:c>
      <x:c r="I574" t="inlineStr">
        <x:is>
          <x:t xml:space="preserve">Maintain_and_Audit</x:t>
        </x:is>
      </x:c>
      <x:c r="J574" t="inlineStr">
        <x:is>
          <x:t xml:space="preserve">N</x:t>
        </x:is>
      </x:c>
    </x:row>
    <x:row r="575">
      <x:c r="B575" t="inlineStr">
        <x:is>
          <x:t xml:space="preserve">LEG-D2-Q07</x:t>
        </x:is>
      </x:c>
      <x:c r="C575" t="inlineStr">
        <x:is>
          <x:t xml:space="preserve">LEG-D2-Q07-A0</x:t>
        </x:is>
      </x:c>
      <x:c r="D575" t="n">
        <x:v>1</x:v>
      </x:c>
      <x:c r="E575" t="inlineStr">
        <x:is>
          <x:t xml:space="preserve">I don’t know / not sure.</x:t>
        </x:is>
      </x:c>
      <x:c r="F575" t="n">
        <x:v>0</x:v>
      </x:c>
      <x:c r="G575" t="inlineStr">
        <x:is>
          <x:t xml:space="preserve">unknown</x:t>
        </x:is>
      </x:c>
      <x:c r="H575" t="inlineStr">
        <x:is>
          <x:t xml:space="preserve">Unknown</x:t>
        </x:is>
      </x:c>
      <x:c r="I575" t="inlineStr">
        <x:is>
          <x:t xml:space="preserve">Clarify_Access_Control</x:t>
        </x:is>
      </x:c>
      <x:c r="J575" t="inlineStr">
        <x:is>
          <x:t xml:space="preserve">N</x:t>
        </x:is>
      </x:c>
    </x:row>
    <x:row r="576">
      <x:c r="B576" t="inlineStr">
        <x:is>
          <x:t xml:space="preserve">LEG-D2-Q07</x:t>
        </x:is>
      </x:c>
      <x:c r="C576" t="inlineStr">
        <x:is>
          <x:t xml:space="preserve">LEG-D2-Q07-A1</x:t>
        </x:is>
      </x:c>
      <x:c r="D576" t="n">
        <x:v>2</x:v>
      </x:c>
      <x:c r="E576" t="inlineStr">
        <x:is>
          <x:t xml:space="preserve">No: Many admins can access logs/data; no audit trail.</x:t>
        </x:is>
      </x:c>
      <x:c r="F576" t="n">
        <x:v>0</x:v>
      </x:c>
      <x:c r="G576" t="inlineStr">
        <x:is>
          <x:t xml:space="preserve">legal_exposure</x:t>
        </x:is>
      </x:c>
      <x:c r="H576" t="inlineStr">
        <x:is>
          <x:t xml:space="preserve">Legal Exposure</x:t>
        </x:is>
      </x:c>
      <x:c r="I576" t="inlineStr">
        <x:is>
          <x:t xml:space="preserve">Restrict_Access</x:t>
        </x:is>
      </x:c>
      <x:c r="J576" t="inlineStr">
        <x:is>
          <x:t xml:space="preserve">N</x:t>
        </x:is>
      </x:c>
    </x:row>
    <x:row r="577">
      <x:c r="B577" t="inlineStr">
        <x:is>
          <x:t xml:space="preserve">LEG-D2-Q07</x:t>
        </x:is>
      </x:c>
      <x:c r="C577" t="inlineStr">
        <x:is>
          <x:t xml:space="preserve">LEG-D2-Q07-A2</x:t>
        </x:is>
      </x:c>
      <x:c r="D577" t="n">
        <x:v>3</x:v>
      </x:c>
      <x:c r="E577" t="inlineStr">
        <x:is>
          <x:t xml:space="preserve">Partial: Some restrictions exist, but shared access or logging gaps remain.</x:t>
        </x:is>
      </x:c>
      <x:c r="F577" t="n">
        <x:v>1</x:v>
      </x:c>
      <x:c r="G577" t="inlineStr">
        <x:is>
          <x:t xml:space="preserve">operating_model_gap</x:t>
        </x:is>
      </x:c>
      <x:c r="H577" t="inlineStr">
        <x:is>
          <x:t xml:space="preserve">Operating Model Gap</x:t>
        </x:is>
      </x:c>
      <x:c r="I577" t="inlineStr">
        <x:is>
          <x:t xml:space="preserve">Harden_Access_Controls</x:t>
        </x:is>
      </x:c>
      <x:c r="J577" t="inlineStr">
        <x:is>
          <x:t xml:space="preserve">N</x:t>
        </x:is>
      </x:c>
    </x:row>
    <x:row r="578">
      <x:c r="B578" t="inlineStr">
        <x:is>
          <x:t xml:space="preserve">LEG-D2-Q07</x:t>
        </x:is>
      </x:c>
      <x:c r="C578" t="inlineStr">
        <x:is>
          <x:t xml:space="preserve">LEG-D2-Q07-A3</x:t>
        </x:is>
      </x:c>
      <x:c r="D578" t="n">
        <x:v>4</x:v>
      </x:c>
      <x:c r="E578" t="inlineStr">
        <x:is>
          <x:t xml:space="preserve">Yes: Access is restricted and logged for most monitoring datasets.</x:t>
        </x:is>
      </x:c>
      <x:c r="F578" t="n">
        <x:v>3</x:v>
      </x:c>
      <x:c r="I578" t="inlineStr">
        <x:is>
          <x:t xml:space="preserve">Evidence_Request_AccessLogs</x:t>
        </x:is>
      </x:c>
      <x:c r="J578" t="inlineStr">
        <x:is>
          <x:t xml:space="preserve">N</x:t>
        </x:is>
      </x:c>
    </x:row>
    <x:row r="579">
      <x:c r="B579" t="inlineStr">
        <x:is>
          <x:t xml:space="preserve">LEG-D2-Q07</x:t>
        </x:is>
      </x:c>
      <x:c r="C579" t="inlineStr">
        <x:is>
          <x:t xml:space="preserve">LEG-D2-Q07-A4</x:t>
        </x:is>
      </x:c>
      <x:c r="D579" t="n">
        <x:v>5</x:v>
      </x:c>
      <x:c r="E579" t="inlineStr">
        <x:is>
          <x:t xml:space="preserve">Yes + reviewed: Access is logged, reviewed, and periodically re-approved.</x:t>
        </x:is>
      </x:c>
      <x:c r="F579" t="n">
        <x:v>4</x:v>
      </x:c>
      <x:c r="I579" t="inlineStr">
        <x:is>
          <x:t xml:space="preserve">Maintain_and_Audit</x:t>
        </x:is>
      </x:c>
      <x:c r="J579" t="inlineStr">
        <x:is>
          <x:t xml:space="preserve">N</x:t>
        </x:is>
      </x:c>
    </x:row>
    <x:row r="580">
      <x:c r="B580" t="inlineStr">
        <x:is>
          <x:t xml:space="preserve">LEG-D2-Q08</x:t>
        </x:is>
      </x:c>
      <x:c r="C580" t="inlineStr">
        <x:is>
          <x:t xml:space="preserve">LEG-D2-Q08-A0</x:t>
        </x:is>
      </x:c>
      <x:c r="D580" t="n">
        <x:v>1</x:v>
      </x:c>
      <x:c r="E580" t="inlineStr">
        <x:is>
          <x:t xml:space="preserve">No: We keep logs ‘as long as possible’ without clear rules.</x:t>
        </x:is>
      </x:c>
      <x:c r="F580" t="n">
        <x:v>0</x:v>
      </x:c>
      <x:c r="G580" t="inlineStr">
        <x:is>
          <x:t xml:space="preserve">legal_exposure</x:t>
        </x:is>
      </x:c>
      <x:c r="H580" t="inlineStr">
        <x:is>
          <x:t xml:space="preserve">Legal Exposure</x:t>
        </x:is>
      </x:c>
      <x:c r="I580" t="inlineStr">
        <x:is>
          <x:t xml:space="preserve">Define_Retention</x:t>
        </x:is>
      </x:c>
      <x:c r="J580" t="inlineStr">
        <x:is>
          <x:t xml:space="preserve">N</x:t>
        </x:is>
      </x:c>
    </x:row>
    <x:row r="581">
      <x:c r="B581" t="inlineStr">
        <x:is>
          <x:t xml:space="preserve">LEG-D2-Q08</x:t>
        </x:is>
      </x:c>
      <x:c r="C581" t="inlineStr">
        <x:is>
          <x:t xml:space="preserve">LEG-D2-Q08-A1</x:t>
        </x:is>
      </x:c>
      <x:c r="D581" t="n">
        <x:v>2</x:v>
      </x:c>
      <x:c r="E581" t="inlineStr">
        <x:is>
          <x:t xml:space="preserve">Ad-hoc: Retention differs by system/team; not consistent.</x:t>
        </x:is>
      </x:c>
      <x:c r="F581" t="n">
        <x:v>1</x:v>
      </x:c>
      <x:c r="G581" t="inlineStr">
        <x:is>
          <x:t xml:space="preserve">operating_model_gap</x:t>
        </x:is>
      </x:c>
      <x:c r="H581" t="inlineStr">
        <x:is>
          <x:t xml:space="preserve">Operating Model Gap</x:t>
        </x:is>
      </x:c>
      <x:c r="I581" t="inlineStr">
        <x:is>
          <x:t xml:space="preserve">Standardize_Retention</x:t>
        </x:is>
      </x:c>
      <x:c r="J581" t="inlineStr">
        <x:is>
          <x:t xml:space="preserve">N</x:t>
        </x:is>
      </x:c>
    </x:row>
    <x:row r="582">
      <x:c r="B582" t="inlineStr">
        <x:is>
          <x:t xml:space="preserve">LEG-D2-Q08</x:t>
        </x:is>
      </x:c>
      <x:c r="C582" t="inlineStr">
        <x:is>
          <x:t xml:space="preserve">LEG-D2-Q08-A2</x:t>
        </x:is>
      </x:c>
      <x:c r="D582" t="n">
        <x:v>3</x:v>
      </x:c>
      <x:c r="E582" t="inlineStr">
        <x:is>
          <x:t xml:space="preserve">Defined: Retention limits exist for most datasets; holds used for active cases.</x:t>
        </x:is>
      </x:c>
      <x:c r="F582" t="n">
        <x:v>3</x:v>
      </x:c>
      <x:c r="I582" t="inlineStr">
        <x:is>
          <x:t xml:space="preserve">Evidence_Request_Retention</x:t>
        </x:is>
      </x:c>
      <x:c r="J582" t="inlineStr">
        <x:is>
          <x:t xml:space="preserve">N</x:t>
        </x:is>
      </x:c>
    </x:row>
    <x:row r="583">
      <x:c r="B583" t="inlineStr">
        <x:is>
          <x:t xml:space="preserve">LEG-D2-Q08</x:t>
        </x:is>
      </x:c>
      <x:c r="C583" t="inlineStr">
        <x:is>
          <x:t xml:space="preserve">LEG-D2-Q08-A3</x:t>
        </x:is>
      </x:c>
      <x:c r="D583" t="n">
        <x:v>4</x:v>
      </x:c>
      <x:c r="E583" t="inlineStr">
        <x:is>
          <x:t xml:space="preserve">Optimized: Automated retention + legal holds with audit trails.</x:t>
        </x:is>
      </x:c>
      <x:c r="F583" t="n">
        <x:v>4</x:v>
      </x:c>
      <x:c r="I583" t="inlineStr">
        <x:is>
          <x:t xml:space="preserve">Maintain_and_Audit</x:t>
        </x:is>
      </x:c>
      <x:c r="J583" t="inlineStr">
        <x:is>
          <x:t xml:space="preserve">N</x:t>
        </x:is>
      </x:c>
    </x:row>
    <x:row r="584">
      <x:c r="B584" t="inlineStr">
        <x:is>
          <x:t xml:space="preserve">LEG-D2-Q09</x:t>
        </x:is>
      </x:c>
      <x:c r="C584" t="inlineStr">
        <x:is>
          <x:t xml:space="preserve">LEG-D2-Q09-A0</x:t>
        </x:is>
      </x:c>
      <x:c r="D584" t="n">
        <x:v>1</x:v>
      </x:c>
      <x:c r="E584" t="inlineStr">
        <x:is>
          <x:t xml:space="preserve">I don’t know / not sure.</x:t>
        </x:is>
      </x:c>
      <x:c r="F584" t="n">
        <x:v>0</x:v>
      </x:c>
      <x:c r="G584" t="inlineStr">
        <x:is>
          <x:t xml:space="preserve">unknown</x:t>
        </x:is>
      </x:c>
      <x:c r="H584" t="inlineStr">
        <x:is>
          <x:t xml:space="preserve">Unknown</x:t>
        </x:is>
      </x:c>
      <x:c r="I584" t="inlineStr">
        <x:is>
          <x:t xml:space="preserve">Clarify_Data_Location</x:t>
        </x:is>
      </x:c>
      <x:c r="J584" t="inlineStr">
        <x:is>
          <x:t xml:space="preserve">N</x:t>
        </x:is>
      </x:c>
    </x:row>
    <x:row r="585">
      <x:c r="B585" t="inlineStr">
        <x:is>
          <x:t xml:space="preserve">LEG-D2-Q09</x:t>
        </x:is>
      </x:c>
      <x:c r="C585" t="inlineStr">
        <x:is>
          <x:t xml:space="preserve">LEG-D2-Q09-A1</x:t>
        </x:is>
      </x:c>
      <x:c r="D585" t="n">
        <x:v>2</x:v>
      </x:c>
      <x:c r="E585" t="inlineStr">
        <x:is>
          <x:t xml:space="preserve">No: We don’t track where monitoring data is stored.</x:t>
        </x:is>
      </x:c>
      <x:c r="F585" t="n">
        <x:v>0</x:v>
      </x:c>
      <x:c r="G585" t="inlineStr">
        <x:is>
          <x:t xml:space="preserve">legal_exposure</x:t>
        </x:is>
      </x:c>
      <x:c r="H585" t="inlineStr">
        <x:is>
          <x:t xml:space="preserve">Legal Exposure</x:t>
        </x:is>
      </x:c>
      <x:c r="I585" t="inlineStr">
        <x:is>
          <x:t xml:space="preserve">Map_Data_Location</x:t>
        </x:is>
      </x:c>
      <x:c r="J585" t="inlineStr">
        <x:is>
          <x:t xml:space="preserve">N</x:t>
        </x:is>
      </x:c>
    </x:row>
    <x:row r="586">
      <x:c r="B586" t="inlineStr">
        <x:is>
          <x:t xml:space="preserve">LEG-D2-Q09</x:t>
        </x:is>
      </x:c>
      <x:c r="C586" t="inlineStr">
        <x:is>
          <x:t xml:space="preserve">LEG-D2-Q09-A2</x:t>
        </x:is>
      </x:c>
      <x:c r="D586" t="n">
        <x:v>3</x:v>
      </x:c>
      <x:c r="E586" t="inlineStr">
        <x:is>
          <x:t xml:space="preserve">Partial: Some systems are tracked; others (SaaS/MSSP tools) are unclear.</x:t>
        </x:is>
      </x:c>
      <x:c r="F586" t="n">
        <x:v>1</x:v>
      </x:c>
      <x:c r="G586" t="inlineStr">
        <x:is>
          <x:t xml:space="preserve">visibility_gap</x:t>
        </x:is>
      </x:c>
      <x:c r="H586" t="inlineStr">
        <x:is>
          <x:t xml:space="preserve">Visibility Gap</x:t>
        </x:is>
      </x:c>
      <x:c r="I586" t="inlineStr">
        <x:is>
          <x:t xml:space="preserve">Complete_Data_Flow_Map</x:t>
        </x:is>
      </x:c>
      <x:c r="J586" t="inlineStr">
        <x:is>
          <x:t xml:space="preserve">N</x:t>
        </x:is>
      </x:c>
    </x:row>
    <x:row r="587">
      <x:c r="B587" t="inlineStr">
        <x:is>
          <x:t xml:space="preserve">LEG-D2-Q09</x:t>
        </x:is>
      </x:c>
      <x:c r="C587" t="inlineStr">
        <x:is>
          <x:t xml:space="preserve">LEG-D2-Q09-A3</x:t>
        </x:is>
      </x:c>
      <x:c r="D587" t="n">
        <x:v>4</x:v>
      </x:c>
      <x:c r="E587" t="inlineStr">
        <x:is>
          <x:t xml:space="preserve">Yes: Locations are known and cross-border transfers are documented.</x:t>
        </x:is>
      </x:c>
      <x:c r="F587" t="n">
        <x:v>3</x:v>
      </x:c>
      <x:c r="I587" t="inlineStr">
        <x:is>
          <x:t xml:space="preserve">Evidence_Request_DataFlows</x:t>
        </x:is>
      </x:c>
      <x:c r="J587" t="inlineStr">
        <x:is>
          <x:t xml:space="preserve">N</x:t>
        </x:is>
      </x:c>
    </x:row>
    <x:row r="588">
      <x:c r="B588" t="inlineStr">
        <x:is>
          <x:t xml:space="preserve">LEG-D2-Q09</x:t>
        </x:is>
      </x:c>
      <x:c r="C588" t="inlineStr">
        <x:is>
          <x:t xml:space="preserve">LEG-D2-Q09-A4</x:t>
        </x:is>
      </x:c>
      <x:c r="D588" t="n">
        <x:v>5</x:v>
      </x:c>
      <x:c r="E588" t="inlineStr">
        <x:is>
          <x:t xml:space="preserve">Optimized: Automated controls/geo-fencing and regular validation.</x:t>
        </x:is>
      </x:c>
      <x:c r="F588" t="n">
        <x:v>4</x:v>
      </x:c>
      <x:c r="I588" t="inlineStr">
        <x:is>
          <x:t xml:space="preserve">Maintain_and_Audit</x:t>
        </x:is>
      </x:c>
      <x:c r="J588" t="inlineStr">
        <x:is>
          <x:t xml:space="preserve">N</x:t>
        </x:is>
      </x:c>
    </x:row>
    <x:row r="589">
      <x:c r="B589" t="inlineStr">
        <x:is>
          <x:t xml:space="preserve">LEG-D2-Q10</x:t>
        </x:is>
      </x:c>
      <x:c r="C589" t="inlineStr">
        <x:is>
          <x:t xml:space="preserve">LEG-D2-Q10-A0</x:t>
        </x:is>
      </x:c>
      <x:c r="D589" t="n">
        <x:v>1</x:v>
      </x:c>
      <x:c r="E589" t="inlineStr">
        <x:is>
          <x:t xml:space="preserve">No: We improvise case-by-case; high risk of mistakes.</x:t>
        </x:is>
      </x:c>
      <x:c r="F589" t="n">
        <x:v>0</x:v>
      </x:c>
      <x:c r="G589" t="inlineStr">
        <x:is>
          <x:t xml:space="preserve">legal_exposure</x:t>
        </x:is>
      </x:c>
      <x:c r="H589" t="inlineStr">
        <x:is>
          <x:t xml:space="preserve">Legal Exposure</x:t>
        </x:is>
      </x:c>
      <x:c r="I589" t="inlineStr">
        <x:is>
          <x:t xml:space="preserve">Define_DSAR_Process</x:t>
        </x:is>
      </x:c>
      <x:c r="J589" t="inlineStr">
        <x:is>
          <x:t xml:space="preserve">N</x:t>
        </x:is>
      </x:c>
    </x:row>
    <x:row r="590">
      <x:c r="B590" t="inlineStr">
        <x:is>
          <x:t xml:space="preserve">LEG-D2-Q10</x:t>
        </x:is>
      </x:c>
      <x:c r="C590" t="inlineStr">
        <x:is>
          <x:t xml:space="preserve">LEG-D2-Q10-A1</x:t>
        </x:is>
      </x:c>
      <x:c r="D590" t="n">
        <x:v>2</x:v>
      </x:c>
      <x:c r="E590" t="inlineStr">
        <x:is>
          <x:t xml:space="preserve">Partial: Legal handles it, but operational teams struggle to find records.</x:t>
        </x:is>
      </x:c>
      <x:c r="F590" t="n">
        <x:v>1</x:v>
      </x:c>
      <x:c r="G590" t="inlineStr">
        <x:is>
          <x:t xml:space="preserve">operating_model_gap</x:t>
        </x:is>
      </x:c>
      <x:c r="H590" t="inlineStr">
        <x:is>
          <x:t xml:space="preserve">Operating Model Gap</x:t>
        </x:is>
      </x:c>
      <x:c r="I590" t="inlineStr">
        <x:is>
          <x:t xml:space="preserve">Improve_Record_Retrieval</x:t>
        </x:is>
      </x:c>
      <x:c r="J590" t="inlineStr">
        <x:is>
          <x:t xml:space="preserve">N</x:t>
        </x:is>
      </x:c>
    </x:row>
    <x:row r="591">
      <x:c r="B591" t="inlineStr">
        <x:is>
          <x:t xml:space="preserve">LEG-D2-Q10</x:t>
        </x:is>
      </x:c>
      <x:c r="C591" t="inlineStr">
        <x:is>
          <x:t xml:space="preserve">LEG-D2-Q10-A2</x:t>
        </x:is>
      </x:c>
      <x:c r="D591" t="n">
        <x:v>3</x:v>
      </x:c>
      <x:c r="E591" t="inlineStr">
        <x:is>
          <x:t xml:space="preserve">Yes: Process exists and is tested occasionally.</x:t>
        </x:is>
      </x:c>
      <x:c r="F591" t="n">
        <x:v>3</x:v>
      </x:c>
      <x:c r="I591" t="inlineStr">
        <x:is>
          <x:t xml:space="preserve">Evidence_Request_Process</x:t>
        </x:is>
      </x:c>
      <x:c r="J591" t="inlineStr">
        <x:is>
          <x:t xml:space="preserve">N</x:t>
        </x:is>
      </x:c>
    </x:row>
    <x:row r="592">
      <x:c r="B592" t="inlineStr">
        <x:is>
          <x:t xml:space="preserve">LEG-D2-Q10</x:t>
        </x:is>
      </x:c>
      <x:c r="C592" t="inlineStr">
        <x:is>
          <x:t xml:space="preserve">LEG-D2-Q10-A3</x:t>
        </x:is>
      </x:c>
      <x:c r="D592" t="n">
        <x:v>4</x:v>
      </x:c>
      <x:c r="E592" t="inlineStr">
        <x:is>
          <x:t xml:space="preserve">Optimized: Clear playbook, separation of duties, and metrics on response quality/time.</x:t>
        </x:is>
      </x:c>
      <x:c r="F592" t="n">
        <x:v>4</x:v>
      </x:c>
      <x:c r="I592" t="inlineStr">
        <x:is>
          <x:t xml:space="preserve">Maintain_and_Audit</x:t>
        </x:is>
      </x:c>
      <x:c r="J592" t="inlineStr">
        <x:is>
          <x:t xml:space="preserve">N</x:t>
        </x:is>
      </x:c>
    </x:row>
    <x:row r="593">
      <x:c r="B593" t="inlineStr">
        <x:is>
          <x:t xml:space="preserve">LEG-D3-Q11</x:t>
        </x:is>
      </x:c>
      <x:c r="C593" t="inlineStr">
        <x:is>
          <x:t xml:space="preserve">LEG-D3-Q11-A0</x:t>
        </x:is>
      </x:c>
      <x:c r="D593" t="n">
        <x:v>1</x:v>
      </x:c>
      <x:c r="E593" t="inlineStr">
        <x:is>
          <x:t xml:space="preserve">I don’t know / not sure.</x:t>
        </x:is>
      </x:c>
      <x:c r="F593" t="n">
        <x:v>0</x:v>
      </x:c>
      <x:c r="G593" t="inlineStr">
        <x:is>
          <x:t xml:space="preserve">unknown</x:t>
        </x:is>
      </x:c>
      <x:c r="H593" t="inlineStr">
        <x:is>
          <x:t xml:space="preserve">Unknown</x:t>
        </x:is>
      </x:c>
      <x:c r="I593" t="inlineStr">
        <x:is>
          <x:t xml:space="preserve">Clarify_Evidence_Process</x:t>
        </x:is>
      </x:c>
      <x:c r="J593" t="inlineStr">
        <x:is>
          <x:t xml:space="preserve">N</x:t>
        </x:is>
      </x:c>
    </x:row>
    <x:row r="594">
      <x:c r="B594" t="inlineStr">
        <x:is>
          <x:t xml:space="preserve">LEG-D3-Q11</x:t>
        </x:is>
      </x:c>
      <x:c r="C594" t="inlineStr">
        <x:is>
          <x:t xml:space="preserve">LEG-D3-Q11-A1</x:t>
        </x:is>
      </x:c>
      <x:c r="D594" t="n">
        <x:v>2</x:v>
      </x:c>
      <x:c r="E594" t="inlineStr">
        <x:is>
          <x:t xml:space="preserve">No: Evidence handling is informal (screenshots, shared folders).</x:t>
        </x:is>
      </x:c>
      <x:c r="F594" t="n">
        <x:v>0</x:v>
      </x:c>
      <x:c r="G594" t="inlineStr">
        <x:is>
          <x:t xml:space="preserve">legal_exposure</x:t>
        </x:is>
      </x:c>
      <x:c r="H594" t="inlineStr">
        <x:is>
          <x:t xml:space="preserve">Legal Exposure</x:t>
        </x:is>
      </x:c>
      <x:c r="I594" t="inlineStr">
        <x:is>
          <x:t xml:space="preserve">Implement_ChainOfCustody</x:t>
        </x:is>
      </x:c>
      <x:c r="J594" t="inlineStr">
        <x:is>
          <x:t xml:space="preserve">N</x:t>
        </x:is>
      </x:c>
    </x:row>
    <x:row r="595">
      <x:c r="B595" t="inlineStr">
        <x:is>
          <x:t xml:space="preserve">LEG-D3-Q11</x:t>
        </x:is>
      </x:c>
      <x:c r="C595" t="inlineStr">
        <x:is>
          <x:t xml:space="preserve">LEG-D3-Q11-A2</x:t>
        </x:is>
      </x:c>
      <x:c r="D595" t="n">
        <x:v>3</x:v>
      </x:c>
      <x:c r="E595" t="inlineStr">
        <x:is>
          <x:t xml:space="preserve">Partial: Forms exist but are not consistently used.</x:t>
        </x:is>
      </x:c>
      <x:c r="F595" t="n">
        <x:v>1</x:v>
      </x:c>
      <x:c r="G595" t="inlineStr">
        <x:is>
          <x:t xml:space="preserve">paper_dragon_signal</x:t>
        </x:is>
      </x:c>
      <x:c r="H595" t="inlineStr">
        <x:is>
          <x:t xml:space="preserve">Paper Dragon</x:t>
        </x:is>
      </x:c>
      <x:c r="I595" t="inlineStr">
        <x:is>
          <x:t xml:space="preserve">Operationalize_ChainOfCustody</x:t>
        </x:is>
      </x:c>
      <x:c r="J595" t="inlineStr">
        <x:is>
          <x:t xml:space="preserve">N</x:t>
        </x:is>
      </x:c>
    </x:row>
    <x:row r="596">
      <x:c r="B596" t="inlineStr">
        <x:is>
          <x:t xml:space="preserve">LEG-D3-Q11</x:t>
        </x:is>
      </x:c>
      <x:c r="C596" t="inlineStr">
        <x:is>
          <x:t xml:space="preserve">LEG-D3-Q11-A3</x:t>
        </x:is>
      </x:c>
      <x:c r="D596" t="n">
        <x:v>4</x:v>
      </x:c>
      <x:c r="E596" t="inlineStr">
        <x:is>
          <x:t xml:space="preserve">Yes: Process is used for most cases and audited occasionally.</x:t>
        </x:is>
      </x:c>
      <x:c r="F596" t="n">
        <x:v>3</x:v>
      </x:c>
      <x:c r="I596" t="inlineStr">
        <x:is>
          <x:t xml:space="preserve">Evidence_Request_CoC</x:t>
        </x:is>
      </x:c>
      <x:c r="J596" t="inlineStr">
        <x:is>
          <x:t xml:space="preserve">N</x:t>
        </x:is>
      </x:c>
    </x:row>
    <x:row r="597">
      <x:c r="B597" t="inlineStr">
        <x:is>
          <x:t xml:space="preserve">LEG-D3-Q11</x:t>
        </x:is>
      </x:c>
      <x:c r="C597" t="inlineStr">
        <x:is>
          <x:t xml:space="preserve">LEG-D3-Q11-A4</x:t>
        </x:is>
      </x:c>
      <x:c r="D597" t="n">
        <x:v>5</x:v>
      </x:c>
      <x:c r="E597" t="inlineStr">
        <x:is>
          <x:t xml:space="preserve">Optimized: Tamper-resistant logging + independent verification for critical cases.</x:t>
        </x:is>
      </x:c>
      <x:c r="F597" t="n">
        <x:v>4</x:v>
      </x:c>
      <x:c r="I597" t="inlineStr">
        <x:is>
          <x:t xml:space="preserve">Maintain_and_Audit</x:t>
        </x:is>
      </x:c>
      <x:c r="J597" t="inlineStr">
        <x:is>
          <x:t xml:space="preserve">N</x:t>
        </x:is>
      </x:c>
    </x:row>
    <x:row r="598">
      <x:c r="B598" t="inlineStr">
        <x:is>
          <x:t xml:space="preserve">LEG-D3-Q12</x:t>
        </x:is>
      </x:c>
      <x:c r="C598" t="inlineStr">
        <x:is>
          <x:t xml:space="preserve">LEG-D3-Q12-A0</x:t>
        </x:is>
      </x:c>
      <x:c r="D598" t="n">
        <x:v>1</x:v>
      </x:c>
      <x:c r="E598" t="inlineStr">
        <x:is>
          <x:t xml:space="preserve">No: We rely on ad-hoc log pulls and manual screenshots.</x:t>
        </x:is>
      </x:c>
      <x:c r="F598" t="n">
        <x:v>0</x:v>
      </x:c>
      <x:c r="G598" t="inlineStr">
        <x:is>
          <x:t xml:space="preserve">resilience_gap</x:t>
        </x:is>
      </x:c>
      <x:c r="H598" t="inlineStr">
        <x:is>
          <x:t xml:space="preserve">Resilience Gap</x:t>
        </x:is>
      </x:c>
      <x:c r="I598" t="inlineStr">
        <x:is>
          <x:t xml:space="preserve">Improve_Forensic_Readiness</x:t>
        </x:is>
      </x:c>
      <x:c r="J598" t="inlineStr">
        <x:is>
          <x:t xml:space="preserve">N</x:t>
        </x:is>
      </x:c>
    </x:row>
    <x:row r="599">
      <x:c r="B599" t="inlineStr">
        <x:is>
          <x:t xml:space="preserve">LEG-D3-Q12</x:t>
        </x:is>
      </x:c>
      <x:c r="C599" t="inlineStr">
        <x:is>
          <x:t xml:space="preserve">LEG-D3-Q12-A1</x:t>
        </x:is>
      </x:c>
      <x:c r="D599" t="n">
        <x:v>2</x:v>
      </x:c>
      <x:c r="E599" t="inlineStr">
        <x:is>
          <x:t xml:space="preserve">Partial: Tools exist but are not consistently used or people aren’t trained.</x:t>
        </x:is>
      </x:c>
      <x:c r="F599" t="n">
        <x:v>1</x:v>
      </x:c>
      <x:c r="G599" t="inlineStr">
        <x:is>
          <x:t xml:space="preserve">operating_model_gap</x:t>
        </x:is>
      </x:c>
      <x:c r="H599" t="inlineStr">
        <x:is>
          <x:t xml:space="preserve">Operating Model Gap</x:t>
        </x:is>
      </x:c>
      <x:c r="I599" t="inlineStr">
        <x:is>
          <x:t xml:space="preserve">Train_and_Standardize</x:t>
        </x:is>
      </x:c>
      <x:c r="J599" t="inlineStr">
        <x:is>
          <x:t xml:space="preserve">N</x:t>
        </x:is>
      </x:c>
    </x:row>
    <x:row r="600">
      <x:c r="B600" t="inlineStr">
        <x:is>
          <x:t xml:space="preserve">LEG-D3-Q12</x:t>
        </x:is>
      </x:c>
      <x:c r="C600" t="inlineStr">
        <x:is>
          <x:t xml:space="preserve">LEG-D3-Q12-A2</x:t>
        </x:is>
      </x:c>
      <x:c r="D600" t="n">
        <x:v>3</x:v>
      </x:c>
      <x:c r="E600" t="inlineStr">
        <x:is>
          <x:t xml:space="preserve">Yes: Forensic approach is used for key systems and escalations.</x:t>
        </x:is>
      </x:c>
      <x:c r="F600" t="n">
        <x:v>3</x:v>
      </x:c>
      <x:c r="I600" t="inlineStr">
        <x:is>
          <x:t xml:space="preserve">Evidence_Request_Forensics</x:t>
        </x:is>
      </x:c>
      <x:c r="J600" t="inlineStr">
        <x:is>
          <x:t xml:space="preserve">N</x:t>
        </x:is>
      </x:c>
    </x:row>
    <x:row r="601">
      <x:c r="B601" t="inlineStr">
        <x:is>
          <x:t xml:space="preserve">LEG-D3-Q12</x:t>
        </x:is>
      </x:c>
      <x:c r="C601" t="inlineStr">
        <x:is>
          <x:t xml:space="preserve">LEG-D3-Q12-A3</x:t>
        </x:is>
      </x:c>
      <x:c r="D601" t="n">
        <x:v>4</x:v>
      </x:c>
      <x:c r="E601" t="inlineStr">
        <x:is>
          <x:t xml:space="preserve">Optimized: Standard tooling, rapid preservation, and periodic exercises.</x:t>
        </x:is>
      </x:c>
      <x:c r="F601" t="n">
        <x:v>4</x:v>
      </x:c>
      <x:c r="I601" t="inlineStr">
        <x:is>
          <x:t xml:space="preserve">Maintain_and_Audit</x:t>
        </x:is>
      </x:c>
      <x:c r="J601" t="inlineStr">
        <x:is>
          <x:t xml:space="preserve">N</x:t>
        </x:is>
      </x:c>
    </x:row>
    <x:row r="602">
      <x:c r="B602" t="inlineStr">
        <x:is>
          <x:t xml:space="preserve">LEG-D4-Q13</x:t>
        </x:is>
      </x:c>
      <x:c r="C602" t="inlineStr">
        <x:is>
          <x:t xml:space="preserve">LEG-D4-Q13-A0</x:t>
        </x:is>
      </x:c>
      <x:c r="D602" t="n">
        <x:v>1</x:v>
      </x:c>
      <x:c r="E602" t="inlineStr">
        <x:is>
          <x:t xml:space="preserve">I don’t know / not sure.</x:t>
        </x:is>
      </x:c>
      <x:c r="F602" t="n">
        <x:v>0</x:v>
      </x:c>
      <x:c r="G602" t="inlineStr">
        <x:is>
          <x:t xml:space="preserve">unknown</x:t>
        </x:is>
      </x:c>
      <x:c r="H602" t="inlineStr">
        <x:is>
          <x:t xml:space="preserve">Unknown</x:t>
        </x:is>
      </x:c>
      <x:c r="I602" t="inlineStr">
        <x:is>
          <x:t xml:space="preserve">Clarify_Whistle_Channel</x:t>
        </x:is>
      </x:c>
      <x:c r="J602" t="inlineStr">
        <x:is>
          <x:t xml:space="preserve">N</x:t>
        </x:is>
      </x:c>
    </x:row>
    <x:row r="603">
      <x:c r="B603" t="inlineStr">
        <x:is>
          <x:t xml:space="preserve">LEG-D4-Q13</x:t>
        </x:is>
      </x:c>
      <x:c r="C603" t="inlineStr">
        <x:is>
          <x:t xml:space="preserve">LEG-D4-Q13-A1</x:t>
        </x:is>
      </x:c>
      <x:c r="D603" t="n">
        <x:v>2</x:v>
      </x:c>
      <x:c r="E603" t="inlineStr">
        <x:is>
          <x:t xml:space="preserve">No: People report only to managers; retaliation risk is unmanaged.</x:t>
        </x:is>
      </x:c>
      <x:c r="F603" t="n">
        <x:v>0</x:v>
      </x:c>
      <x:c r="G603" t="inlineStr">
        <x:is>
          <x:t xml:space="preserve">culture_risk,legal_exposure</x:t>
        </x:is>
      </x:c>
      <x:c r="H603" t="inlineStr">
        <x:is>
          <x:t xml:space="preserve">Culture Risk</x:t>
        </x:is>
      </x:c>
      <x:c r="I603" t="inlineStr">
        <x:is>
          <x:t xml:space="preserve">Implement_Whistle_Channel</x:t>
        </x:is>
      </x:c>
      <x:c r="J603" t="inlineStr">
        <x:is>
          <x:t xml:space="preserve">N</x:t>
        </x:is>
      </x:c>
    </x:row>
    <x:row r="604">
      <x:c r="B604" t="inlineStr">
        <x:is>
          <x:t xml:space="preserve">LEG-D4-Q13</x:t>
        </x:is>
      </x:c>
      <x:c r="C604" t="inlineStr">
        <x:is>
          <x:t xml:space="preserve">LEG-D4-Q13-A2</x:t>
        </x:is>
      </x:c>
      <x:c r="D604" t="n">
        <x:v>3</x:v>
      </x:c>
      <x:c r="E604" t="inlineStr">
        <x:is>
          <x:t xml:space="preserve">Exists on paper: Hotline/vendor exists but trust is low and leads are poor.</x:t>
        </x:is>
      </x:c>
      <x:c r="F604" t="n">
        <x:v>1</x:v>
      </x:c>
      <x:c r="G604" t="inlineStr">
        <x:is>
          <x:t xml:space="preserve">paper_dragon_signal</x:t>
        </x:is>
      </x:c>
      <x:c r="H604" t="inlineStr">
        <x:is>
          <x:t xml:space="preserve">Paper Dragon</x:t>
        </x:is>
      </x:c>
      <x:c r="I604" t="inlineStr">
        <x:is>
          <x:t xml:space="preserve">Rebuild_Trust_Channel</x:t>
        </x:is>
      </x:c>
      <x:c r="J604" t="inlineStr">
        <x:is>
          <x:t xml:space="preserve">N</x:t>
        </x:is>
      </x:c>
    </x:row>
    <x:row r="605">
      <x:c r="B605" t="inlineStr">
        <x:is>
          <x:t xml:space="preserve">LEG-D4-Q13</x:t>
        </x:is>
      </x:c>
      <x:c r="C605" t="inlineStr">
        <x:is>
          <x:t xml:space="preserve">LEG-D4-Q13-A3</x:t>
        </x:is>
      </x:c>
      <x:c r="D605" t="n">
        <x:v>4</x:v>
      </x:c>
      <x:c r="E605" t="inlineStr">
        <x:is>
          <x:t xml:space="preserve">Yes: Channel exists, used, and case handling is documented.</x:t>
        </x:is>
      </x:c>
      <x:c r="F605" t="n">
        <x:v>3</x:v>
      </x:c>
      <x:c r="I605" t="inlineStr">
        <x:is>
          <x:t xml:space="preserve">Evidence_Request_Channel</x:t>
        </x:is>
      </x:c>
      <x:c r="J605" t="inlineStr">
        <x:is>
          <x:t xml:space="preserve">N</x:t>
        </x:is>
      </x:c>
    </x:row>
    <x:row r="606">
      <x:c r="B606" t="inlineStr">
        <x:is>
          <x:t xml:space="preserve">LEG-D4-Q13</x:t>
        </x:is>
      </x:c>
      <x:c r="C606" t="inlineStr">
        <x:is>
          <x:t xml:space="preserve">LEG-D4-Q13-A4</x:t>
        </x:is>
      </x:c>
      <x:c r="D606" t="n">
        <x:v>5</x:v>
      </x:c>
      <x:c r="E606" t="inlineStr">
        <x:is>
          <x:t xml:space="preserve">Mature: Non-punitive culture + metrics (time to triage, retaliation checks) + periodic review.</x:t>
        </x:is>
      </x:c>
      <x:c r="F606" t="n">
        <x:v>4</x:v>
      </x:c>
      <x:c r="I606" t="inlineStr">
        <x:is>
          <x:t xml:space="preserve">Maintain_and_Audit</x:t>
        </x:is>
      </x:c>
      <x:c r="J606" t="inlineStr">
        <x:is>
          <x:t xml:space="preserve">N</x:t>
        </x:is>
      </x:c>
    </x:row>
    <x:row r="607">
      <x:c r="B607" t="inlineStr">
        <x:is>
          <x:t xml:space="preserve">LEG-D4-Q14</x:t>
        </x:is>
      </x:c>
      <x:c r="C607" t="inlineStr">
        <x:is>
          <x:t xml:space="preserve">LEG-D4-Q14-A0</x:t>
        </x:is>
      </x:c>
      <x:c r="D607" t="n">
        <x:v>1</x:v>
      </x:c>
      <x:c r="E607" t="inlineStr">
        <x:is>
          <x:t xml:space="preserve">No: We don’t track retaliation or follow up on reporters.</x:t>
        </x:is>
      </x:c>
      <x:c r="F607" t="n">
        <x:v>0</x:v>
      </x:c>
      <x:c r="G607" t="inlineStr">
        <x:is>
          <x:t xml:space="preserve">culture_risk</x:t>
        </x:is>
      </x:c>
      <x:c r="H607" t="inlineStr">
        <x:is>
          <x:t xml:space="preserve">Culture Risk</x:t>
        </x:is>
      </x:c>
      <x:c r="I607" t="inlineStr">
        <x:is>
          <x:t xml:space="preserve">Anti_Retaliation_Program</x:t>
        </x:is>
      </x:c>
      <x:c r="J607" t="inlineStr">
        <x:is>
          <x:t xml:space="preserve">N</x:t>
        </x:is>
      </x:c>
    </x:row>
    <x:row r="608">
      <x:c r="B608" t="inlineStr">
        <x:is>
          <x:t xml:space="preserve">LEG-D4-Q14</x:t>
        </x:is>
      </x:c>
      <x:c r="C608" t="inlineStr">
        <x:is>
          <x:t xml:space="preserve">LEG-D4-Q14-A1</x:t>
        </x:is>
      </x:c>
      <x:c r="D608" t="n">
        <x:v>2</x:v>
      </x:c>
      <x:c r="E608" t="inlineStr">
        <x:is>
          <x:t xml:space="preserve">Sometimes: Depends on manager/HR partner.</x:t>
        </x:is>
      </x:c>
      <x:c r="F608" t="n">
        <x:v>1</x:v>
      </x:c>
      <x:c r="G608" t="inlineStr">
        <x:is>
          <x:t xml:space="preserve">operating_model_gap</x:t>
        </x:is>
      </x:c>
      <x:c r="H608" t="inlineStr">
        <x:is>
          <x:t xml:space="preserve">Operating Model Gap</x:t>
        </x:is>
      </x:c>
      <x:c r="I608" t="inlineStr">
        <x:is>
          <x:t xml:space="preserve">Standardize_Anti_Retaliation</x:t>
        </x:is>
      </x:c>
      <x:c r="J608" t="inlineStr">
        <x:is>
          <x:t xml:space="preserve">N</x:t>
        </x:is>
      </x:c>
    </x:row>
    <x:row r="609">
      <x:c r="B609" t="inlineStr">
        <x:is>
          <x:t xml:space="preserve">LEG-D4-Q14</x:t>
        </x:is>
      </x:c>
      <x:c r="C609" t="inlineStr">
        <x:is>
          <x:t xml:space="preserve">LEG-D4-Q14-A2</x:t>
        </x:is>
      </x:c>
      <x:c r="D609" t="n">
        <x:v>3</x:v>
      </x:c>
      <x:c r="E609" t="inlineStr">
        <x:is>
          <x:t xml:space="preserve">Yes: Anti-retaliation checks exist for most cases.</x:t>
        </x:is>
      </x:c>
      <x:c r="F609" t="n">
        <x:v>3</x:v>
      </x:c>
      <x:c r="I609" t="inlineStr">
        <x:is>
          <x:t xml:space="preserve">Evidence_Request_AntiRetaliation</x:t>
        </x:is>
      </x:c>
      <x:c r="J609" t="inlineStr">
        <x:is>
          <x:t xml:space="preserve">N</x:t>
        </x:is>
      </x:c>
    </x:row>
    <x:row r="610">
      <x:c r="B610" t="inlineStr">
        <x:is>
          <x:t xml:space="preserve">LEG-D4-Q14</x:t>
        </x:is>
      </x:c>
      <x:c r="C610" t="inlineStr">
        <x:is>
          <x:t xml:space="preserve">LEG-D4-Q14-A3</x:t>
        </x:is>
      </x:c>
      <x:c r="D610" t="n">
        <x:v>4</x:v>
      </x:c>
      <x:c r="E610" t="inlineStr">
        <x:is>
          <x:t xml:space="preserve">Mature: Formal protections + anonymous feedback + reporting metrics.</x:t>
        </x:is>
      </x:c>
      <x:c r="F610" t="n">
        <x:v>4</x:v>
      </x:c>
      <x:c r="I610" t="inlineStr">
        <x:is>
          <x:t xml:space="preserve">Maintain_and_Audit</x:t>
        </x:is>
      </x:c>
      <x:c r="J610" t="inlineStr">
        <x:is>
          <x:t xml:space="preserve">N</x:t>
        </x:is>
      </x:c>
    </x:row>
    <x:row r="611">
      <x:c r="B611" t="inlineStr">
        <x:is>
          <x:t xml:space="preserve">LEG-D5-Q15</x:t>
        </x:is>
      </x:c>
      <x:c r="C611" t="inlineStr">
        <x:is>
          <x:t xml:space="preserve">LEG-D5-Q15-A0</x:t>
        </x:is>
      </x:c>
      <x:c r="D611" t="n">
        <x:v>1</x:v>
      </x:c>
      <x:c r="E611" t="inlineStr">
        <x:is>
          <x:t xml:space="preserve">No: Contracts rarely cover monitoring/investigation support.</x:t>
        </x:is>
      </x:c>
      <x:c r="F611" t="n">
        <x:v>0</x:v>
      </x:c>
      <x:c r="G611" t="inlineStr">
        <x:is>
          <x:t xml:space="preserve">legal_exposure</x:t>
        </x:is>
      </x:c>
      <x:c r="H611" t="inlineStr">
        <x:is>
          <x:t xml:space="preserve">Legal Exposure</x:t>
        </x:is>
      </x:c>
      <x:c r="I611" t="inlineStr">
        <x:is>
          <x:t xml:space="preserve">Update_Contracts</x:t>
        </x:is>
      </x:c>
      <x:c r="J611" t="inlineStr">
        <x:is>
          <x:t xml:space="preserve">N</x:t>
        </x:is>
      </x:c>
    </x:row>
    <x:row r="612">
      <x:c r="B612" t="inlineStr">
        <x:is>
          <x:t xml:space="preserve">LEG-D5-Q15</x:t>
        </x:is>
      </x:c>
      <x:c r="C612" t="inlineStr">
        <x:is>
          <x:t xml:space="preserve">LEG-D5-Q15-A1</x:t>
        </x:is>
      </x:c>
      <x:c r="D612" t="n">
        <x:v>2</x:v>
      </x:c>
      <x:c r="E612" t="inlineStr">
        <x:is>
          <x:t xml:space="preserve">Partial: Standard clauses exist but not consistently applied.</x:t>
        </x:is>
      </x:c>
      <x:c r="F612" t="n">
        <x:v>1</x:v>
      </x:c>
      <x:c r="G612" t="inlineStr">
        <x:is>
          <x:t xml:space="preserve">paper_dragon_signal</x:t>
        </x:is>
      </x:c>
      <x:c r="H612" t="inlineStr">
        <x:is>
          <x:t xml:space="preserve">Paper Dragon</x:t>
        </x:is>
      </x:c>
      <x:c r="I612" t="inlineStr">
        <x:is>
          <x:t xml:space="preserve">Standardize_Contract_Clauses</x:t>
        </x:is>
      </x:c>
      <x:c r="J612" t="inlineStr">
        <x:is>
          <x:t xml:space="preserve">N</x:t>
        </x:is>
      </x:c>
    </x:row>
    <x:row r="613">
      <x:c r="B613" t="inlineStr">
        <x:is>
          <x:t xml:space="preserve">LEG-D5-Q15</x:t>
        </x:is>
      </x:c>
      <x:c r="C613" t="inlineStr">
        <x:is>
          <x:t xml:space="preserve">LEG-D5-Q15-A2</x:t>
        </x:is>
      </x:c>
      <x:c r="D613" t="n">
        <x:v>3</x:v>
      </x:c>
      <x:c r="E613" t="inlineStr">
        <x:is>
          <x:t xml:space="preserve">Yes: Clauses exist for key vendors and are checked during onboarding.</x:t>
        </x:is>
      </x:c>
      <x:c r="F613" t="n">
        <x:v>3</x:v>
      </x:c>
      <x:c r="I613" t="inlineStr">
        <x:is>
          <x:t xml:space="preserve">Evidence_Request_Contracts</x:t>
        </x:is>
      </x:c>
      <x:c r="J613" t="inlineStr">
        <x:is>
          <x:t xml:space="preserve">N</x:t>
        </x:is>
      </x:c>
    </x:row>
    <x:row r="614">
      <x:c r="B614" t="inlineStr">
        <x:is>
          <x:t xml:space="preserve">LEG-D5-Q15</x:t>
        </x:is>
      </x:c>
      <x:c r="C614" t="inlineStr">
        <x:is>
          <x:t xml:space="preserve">LEG-D5-Q15-A3</x:t>
        </x:is>
      </x:c>
      <x:c r="D614" t="n">
        <x:v>4</x:v>
      </x:c>
      <x:c r="E614" t="inlineStr">
        <x:is>
          <x:t xml:space="preserve">Optimized: Clauses + periodic assurance + vendor cooperation playbooks.</x:t>
        </x:is>
      </x:c>
      <x:c r="F614" t="n">
        <x:v>4</x:v>
      </x:c>
      <x:c r="I614" t="inlineStr">
        <x:is>
          <x:t xml:space="preserve">Maintain_and_Audit</x:t>
        </x:is>
      </x:c>
      <x:c r="J614" t="inlineStr">
        <x:is>
          <x:t xml:space="preserve">N</x:t>
        </x:is>
      </x:c>
    </x:row>
    <x:row r="615">
      <x:c r="B615" t="inlineStr">
        <x:is>
          <x:t xml:space="preserve">LEG-D6-Q16</x:t>
        </x:is>
      </x:c>
      <x:c r="C615" t="inlineStr">
        <x:is>
          <x:t xml:space="preserve">LEG-D6-Q16-A0</x:t>
        </x:is>
      </x:c>
      <x:c r="D615" t="n">
        <x:v>1</x:v>
      </x:c>
      <x:c r="E615" t="inlineStr">
        <x:is>
          <x:t xml:space="preserve">No: We decide during a crisis; roles and criteria are unclear.</x:t>
        </x:is>
      </x:c>
      <x:c r="F615" t="n">
        <x:v>0</x:v>
      </x:c>
      <x:c r="G615" t="inlineStr">
        <x:is>
          <x:t xml:space="preserve">resilience_gap</x:t>
        </x:is>
      </x:c>
      <x:c r="H615" t="inlineStr">
        <x:is>
          <x:t xml:space="preserve">Resilience Gap</x:t>
        </x:is>
      </x:c>
      <x:c r="I615" t="inlineStr">
        <x:is>
          <x:t xml:space="preserve">Define_LE_Criteria</x:t>
        </x:is>
      </x:c>
      <x:c r="J615" t="inlineStr">
        <x:is>
          <x:t xml:space="preserve">N</x:t>
        </x:is>
      </x:c>
    </x:row>
    <x:row r="616">
      <x:c r="B616" t="inlineStr">
        <x:is>
          <x:t xml:space="preserve">LEG-D6-Q16</x:t>
        </x:is>
      </x:c>
      <x:c r="C616" t="inlineStr">
        <x:is>
          <x:t xml:space="preserve">LEG-D6-Q16-A1</x:t>
        </x:is>
      </x:c>
      <x:c r="D616" t="n">
        <x:v>2</x:v>
      </x:c>
      <x:c r="E616" t="inlineStr">
        <x:is>
          <x:t xml:space="preserve">Ad-hoc: A few leaders know contacts, but it’s not documented.</x:t>
        </x:is>
      </x:c>
      <x:c r="F616" t="n">
        <x:v>1</x:v>
      </x:c>
      <x:c r="G616" t="inlineStr">
        <x:is>
          <x:t xml:space="preserve">operating_model_gap</x:t>
        </x:is>
      </x:c>
      <x:c r="H616" t="inlineStr">
        <x:is>
          <x:t xml:space="preserve">Operating Model Gap</x:t>
        </x:is>
      </x:c>
      <x:c r="I616" t="inlineStr">
        <x:is>
          <x:t xml:space="preserve">Document_LE_Process</x:t>
        </x:is>
      </x:c>
      <x:c r="J616" t="inlineStr">
        <x:is>
          <x:t xml:space="preserve">N</x:t>
        </x:is>
      </x:c>
    </x:row>
    <x:row r="617">
      <x:c r="B617" t="inlineStr">
        <x:is>
          <x:t xml:space="preserve">LEG-D6-Q16</x:t>
        </x:is>
      </x:c>
      <x:c r="C617" t="inlineStr">
        <x:is>
          <x:t xml:space="preserve">LEG-D6-Q16-A2</x:t>
        </x:is>
      </x:c>
      <x:c r="D617" t="n">
        <x:v>3</x:v>
      </x:c>
      <x:c r="E617" t="inlineStr">
        <x:is>
          <x:t xml:space="preserve">Yes: Criteria and process exist; tested in tabletop exercises.</x:t>
        </x:is>
      </x:c>
      <x:c r="F617" t="n">
        <x:v>3</x:v>
      </x:c>
      <x:c r="I617" t="inlineStr">
        <x:is>
          <x:t xml:space="preserve">Evidence_Request_LE_Playbook</x:t>
        </x:is>
      </x:c>
      <x:c r="J617" t="inlineStr">
        <x:is>
          <x:t xml:space="preserve">N</x:t>
        </x:is>
      </x:c>
    </x:row>
    <x:row r="618">
      <x:c r="B618" t="inlineStr">
        <x:is>
          <x:t xml:space="preserve">LEG-D6-Q16</x:t>
        </x:is>
      </x:c>
      <x:c r="C618" t="inlineStr">
        <x:is>
          <x:t xml:space="preserve">LEG-D6-Q16-A3</x:t>
        </x:is>
      </x:c>
      <x:c r="D618" t="n">
        <x:v>4</x:v>
      </x:c>
      <x:c r="E618" t="inlineStr">
        <x:is>
          <x:t xml:space="preserve">Mature: Pre-arranged contacts + evidence standards + regular reviews.</x:t>
        </x:is>
      </x:c>
      <x:c r="F618" t="n">
        <x:v>4</x:v>
      </x:c>
      <x:c r="I618" t="inlineStr">
        <x:is>
          <x:t xml:space="preserve">Maintain_and_Audit</x:t>
        </x:is>
      </x:c>
      <x:c r="J618" t="inlineStr">
        <x:is>
          <x:t xml:space="preserve">N</x:t>
        </x:is>
      </x:c>
    </x:row>
    <x:row r="619">
      <x:c r="B619" t="inlineStr">
        <x:is>
          <x:t xml:space="preserve">LEG-D6-Q17</x:t>
        </x:is>
      </x:c>
      <x:c r="C619" t="inlineStr">
        <x:is>
          <x:t xml:space="preserve">LEG-D6-Q17-A0</x:t>
        </x:is>
      </x:c>
      <x:c r="D619" t="n">
        <x:v>1</x:v>
      </x:c>
      <x:c r="E619" t="inlineStr">
        <x:is>
          <x:t xml:space="preserve">No defined approvals; whoever has admin access decides.</x:t>
        </x:is>
      </x:c>
      <x:c r="F619" t="n">
        <x:v>0</x:v>
      </x:c>
      <x:c r="G619" t="inlineStr">
        <x:is>
          <x:t xml:space="preserve">legal_exposure</x:t>
        </x:is>
      </x:c>
      <x:c r="H619" t="inlineStr">
        <x:is>
          <x:t xml:space="preserve">Legal Exposure</x:t>
        </x:is>
      </x:c>
      <x:c r="I619" t="inlineStr">
        <x:is>
          <x:t xml:space="preserve">Define_Approval_Workflow</x:t>
        </x:is>
      </x:c>
      <x:c r="J619" t="inlineStr">
        <x:is>
          <x:t xml:space="preserve">N</x:t>
        </x:is>
      </x:c>
    </x:row>
    <x:row r="620">
      <x:c r="B620" t="inlineStr">
        <x:is>
          <x:t xml:space="preserve">LEG-D6-Q17</x:t>
        </x:is>
      </x:c>
      <x:c r="C620" t="inlineStr">
        <x:is>
          <x:t xml:space="preserve">LEG-D6-Q17-A1</x:t>
        </x:is>
      </x:c>
      <x:c r="D620" t="n">
        <x:v>2</x:v>
      </x:c>
      <x:c r="E620" t="inlineStr">
        <x:is>
          <x:t xml:space="preserve">Partial: Approvals exist but are informal (chat/email) and not retained.</x:t>
        </x:is>
      </x:c>
      <x:c r="F620" t="n">
        <x:v>1</x:v>
      </x:c>
      <x:c r="G620" t="inlineStr">
        <x:is>
          <x:t xml:space="preserve">operating_model_gap</x:t>
        </x:is>
      </x:c>
      <x:c r="H620" t="inlineStr">
        <x:is>
          <x:t xml:space="preserve">Operating Model Gap</x:t>
        </x:is>
      </x:c>
      <x:c r="I620" t="inlineStr">
        <x:is>
          <x:t xml:space="preserve">Formalize_Approvals</x:t>
        </x:is>
      </x:c>
      <x:c r="J620" t="inlineStr">
        <x:is>
          <x:t xml:space="preserve">N</x:t>
        </x:is>
      </x:c>
    </x:row>
    <x:row r="621">
      <x:c r="B621" t="inlineStr">
        <x:is>
          <x:t xml:space="preserve">LEG-D6-Q17</x:t>
        </x:is>
      </x:c>
      <x:c r="C621" t="inlineStr">
        <x:is>
          <x:t xml:space="preserve">LEG-D6-Q17-A2</x:t>
        </x:is>
      </x:c>
      <x:c r="D621" t="n">
        <x:v>3</x:v>
      </x:c>
      <x:c r="E621" t="inlineStr">
        <x:is>
          <x:t xml:space="preserve">Yes: Approvals are documented and retained for most cases.</x:t>
        </x:is>
      </x:c>
      <x:c r="F621" t="n">
        <x:v>3</x:v>
      </x:c>
      <x:c r="I621" t="inlineStr">
        <x:is>
          <x:t xml:space="preserve">Evidence_Request_Approvals</x:t>
        </x:is>
      </x:c>
      <x:c r="J621" t="inlineStr">
        <x:is>
          <x:t xml:space="preserve">N</x:t>
        </x:is>
      </x:c>
    </x:row>
    <x:row r="622">
      <x:c r="B622" t="inlineStr">
        <x:is>
          <x:t xml:space="preserve">LEG-D6-Q17</x:t>
        </x:is>
      </x:c>
      <x:c r="C622" t="inlineStr">
        <x:is>
          <x:t xml:space="preserve">LEG-D6-Q17-A3</x:t>
        </x:is>
      </x:c>
      <x:c r="D622" t="n">
        <x:v>4</x:v>
      </x:c>
      <x:c r="E622" t="inlineStr">
        <x:is>
          <x:t xml:space="preserve">Mature: Multi-party approvals + periodic audit of intrusions.</x:t>
        </x:is>
      </x:c>
      <x:c r="F622" t="n">
        <x:v>4</x:v>
      </x:c>
      <x:c r="I622" t="inlineStr">
        <x:is>
          <x:t xml:space="preserve">Maintain_and_Audit</x:t>
        </x:is>
      </x:c>
      <x:c r="J622" t="inlineStr">
        <x:is>
          <x:t xml:space="preserve">N</x:t>
        </x:is>
      </x:c>
    </x:row>
    <x:row r="623">
      <x:c r="B623" t="inlineStr">
        <x:is>
          <x:t xml:space="preserve">LEG-D7-Q18</x:t>
        </x:is>
      </x:c>
      <x:c r="C623" t="inlineStr">
        <x:is>
          <x:t xml:space="preserve">LEG-D7-Q18-A0</x:t>
        </x:is>
      </x:c>
      <x:c r="D623" t="n">
        <x:v>1</x:v>
      </x:c>
      <x:c r="E623" t="inlineStr">
        <x:is>
          <x:t xml:space="preserve">No: We don’t review fairness or bias risks.</x:t>
        </x:is>
      </x:c>
      <x:c r="F623" t="n">
        <x:v>0</x:v>
      </x:c>
      <x:c r="G623" t="inlineStr">
        <x:is>
          <x:t xml:space="preserve">culture_risk,legal_exposure</x:t>
        </x:is>
      </x:c>
      <x:c r="H623" t="inlineStr">
        <x:is>
          <x:t xml:space="preserve">Culture Risk</x:t>
        </x:is>
      </x:c>
      <x:c r="I623" t="inlineStr">
        <x:is>
          <x:t xml:space="preserve">Bias_Audit</x:t>
        </x:is>
      </x:c>
      <x:c r="J623" t="inlineStr">
        <x:is>
          <x:t xml:space="preserve">N</x:t>
        </x:is>
      </x:c>
    </x:row>
    <x:row r="624">
      <x:c r="B624" t="inlineStr">
        <x:is>
          <x:t xml:space="preserve">LEG-D7-Q18</x:t>
        </x:is>
      </x:c>
      <x:c r="C624" t="inlineStr">
        <x:is>
          <x:t xml:space="preserve">LEG-D7-Q18-A1</x:t>
        </x:is>
      </x:c>
      <x:c r="D624" t="n">
        <x:v>2</x:v>
      </x:c>
      <x:c r="E624" t="inlineStr">
        <x:is>
          <x:t xml:space="preserve">Limited: Concerns handled case-by-case when raised.</x:t>
        </x:is>
      </x:c>
      <x:c r="F624" t="n">
        <x:v>1</x:v>
      </x:c>
      <x:c r="G624" t="inlineStr">
        <x:is>
          <x:t xml:space="preserve">operating_model_gap</x:t>
        </x:is>
      </x:c>
      <x:c r="H624" t="inlineStr">
        <x:is>
          <x:t xml:space="preserve">Operating Model Gap</x:t>
        </x:is>
      </x:c>
      <x:c r="I624" t="inlineStr">
        <x:is>
          <x:t xml:space="preserve">Define_Fairness_Safeguards</x:t>
        </x:is>
      </x:c>
      <x:c r="J624" t="inlineStr">
        <x:is>
          <x:t xml:space="preserve">N</x:t>
        </x:is>
      </x:c>
    </x:row>
    <x:row r="625">
      <x:c r="B625" t="inlineStr">
        <x:is>
          <x:t xml:space="preserve">LEG-D7-Q18</x:t>
        </x:is>
      </x:c>
      <x:c r="C625" t="inlineStr">
        <x:is>
          <x:t xml:space="preserve">LEG-D7-Q18-A2</x:t>
        </x:is>
      </x:c>
      <x:c r="D625" t="n">
        <x:v>3</x:v>
      </x:c>
      <x:c r="E625" t="inlineStr">
        <x:is>
          <x:t xml:space="preserve">Yes: Periodic review and documented safeguards for key processes.</x:t>
        </x:is>
      </x:c>
      <x:c r="F625" t="n">
        <x:v>3</x:v>
      </x:c>
      <x:c r="I625" t="inlineStr">
        <x:is>
          <x:t xml:space="preserve">Evidence_Request_BiasReview</x:t>
        </x:is>
      </x:c>
      <x:c r="J625" t="inlineStr">
        <x:is>
          <x:t xml:space="preserve">N</x:t>
        </x:is>
      </x:c>
    </x:row>
    <x:row r="626">
      <x:c r="B626" t="inlineStr">
        <x:is>
          <x:t xml:space="preserve">LEG-D7-Q18</x:t>
        </x:is>
      </x:c>
      <x:c r="C626" t="inlineStr">
        <x:is>
          <x:t xml:space="preserve">LEG-D7-Q18-A3</x:t>
        </x:is>
      </x:c>
      <x:c r="D626" t="n">
        <x:v>4</x:v>
      </x:c>
      <x:c r="E626" t="inlineStr">
        <x:is>
          <x:t xml:space="preserve">Mature: Regular audits + corrective actions + transparency reporting.</x:t>
        </x:is>
      </x:c>
      <x:c r="F626" t="n">
        <x:v>4</x:v>
      </x:c>
      <x:c r="I626" t="inlineStr">
        <x:is>
          <x:t xml:space="preserve">Maintain_and_Audit</x:t>
        </x:is>
      </x:c>
      <x:c r="J626" t="inlineStr">
        <x:is>
          <x:t xml:space="preserve">N</x:t>
        </x:is>
      </x:c>
    </x:row>
    <x:row r="627">
      <x:c r="B627" t="inlineStr">
        <x:is>
          <x:t xml:space="preserve">DATA-D1-Q01</x:t>
        </x:is>
      </x:c>
      <x:c r="C627" t="inlineStr">
        <x:is>
          <x:t xml:space="preserve">DATA-D1-Q01-A0</x:t>
        </x:is>
      </x:c>
      <x:c r="D627" t="n">
        <x:v>1</x:v>
      </x:c>
      <x:c r="E627" t="inlineStr">
        <x:is>
          <x:t xml:space="preserve">I don’t know / not sure.</x:t>
        </x:is>
      </x:c>
      <x:c r="F627" t="n">
        <x:v>0</x:v>
      </x:c>
      <x:c r="G627" t="inlineStr">
        <x:is>
          <x:t xml:space="preserve">unknown</x:t>
        </x:is>
      </x:c>
      <x:c r="H627" t="inlineStr">
        <x:is>
          <x:t xml:space="preserve">Unknown</x:t>
        </x:is>
      </x:c>
      <x:c r="I627" t="inlineStr">
        <x:is>
          <x:t xml:space="preserve">Clarify_CrownJewels</x:t>
        </x:is>
      </x:c>
      <x:c r="J627" t="inlineStr">
        <x:is>
          <x:t xml:space="preserve">N</x:t>
        </x:is>
      </x:c>
    </x:row>
    <x:row r="628">
      <x:c r="B628" t="inlineStr">
        <x:is>
          <x:t xml:space="preserve">DATA-D1-Q01</x:t>
        </x:is>
      </x:c>
      <x:c r="C628" t="inlineStr">
        <x:is>
          <x:t xml:space="preserve">DATA-D1-Q01-A1</x:t>
        </x:is>
      </x:c>
      <x:c r="D628" t="n">
        <x:v>2</x:v>
      </x:c>
      <x:c r="E628" t="inlineStr">
        <x:is>
          <x:t xml:space="preserve">No: There is no shared view; everything is treated the same.</x:t>
        </x:is>
      </x:c>
      <x:c r="F628" t="n">
        <x:v>0</x:v>
      </x:c>
      <x:c r="G628" t="inlineStr">
        <x:is>
          <x:t xml:space="preserve">visibility_gap</x:t>
        </x:is>
      </x:c>
      <x:c r="H628" t="inlineStr">
        <x:is>
          <x:t xml:space="preserve">Visibility Gap</x:t>
        </x:is>
      </x:c>
      <x:c r="I628" t="inlineStr">
        <x:is>
          <x:t xml:space="preserve">CrownJewel_Workshop</x:t>
        </x:is>
      </x:c>
      <x:c r="J628" t="inlineStr">
        <x:is>
          <x:t xml:space="preserve">N</x:t>
        </x:is>
      </x:c>
    </x:row>
    <x:row r="629">
      <x:c r="B629" t="inlineStr">
        <x:is>
          <x:t xml:space="preserve">DATA-D1-Q01</x:t>
        </x:is>
      </x:c>
      <x:c r="C629" t="inlineStr">
        <x:is>
          <x:t xml:space="preserve">DATA-D1-Q01-A2</x:t>
        </x:is>
      </x:c>
      <x:c r="D629" t="n">
        <x:v>3</x:v>
      </x:c>
      <x:c r="E629" t="inlineStr">
        <x:is>
          <x:t xml:space="preserve">Informal: Key people know, but it’s not written down or agreed broadly.</x:t>
        </x:is>
      </x:c>
      <x:c r="F629" t="n">
        <x:v>1</x:v>
      </x:c>
      <x:c r="G629" t="inlineStr">
        <x:is>
          <x:t xml:space="preserve">shadow_mature_signal</x:t>
        </x:is>
      </x:c>
      <x:c r="H629" t="inlineStr">
        <x:is>
          <x:t xml:space="preserve">Shadow Mature</x:t>
        </x:is>
      </x:c>
      <x:c r="I629" t="inlineStr">
        <x:is>
          <x:t xml:space="preserve">Document_CrownJewels</x:t>
        </x:is>
      </x:c>
      <x:c r="J629" t="inlineStr">
        <x:is>
          <x:t xml:space="preserve">N</x:t>
        </x:is>
      </x:c>
    </x:row>
    <x:row r="630">
      <x:c r="B630" t="inlineStr">
        <x:is>
          <x:t xml:space="preserve">DATA-D1-Q01</x:t>
        </x:is>
      </x:c>
      <x:c r="C630" t="inlineStr">
        <x:is>
          <x:t xml:space="preserve">DATA-D1-Q01-A3</x:t>
        </x:is>
      </x:c>
      <x:c r="D630" t="n">
        <x:v>4</x:v>
      </x:c>
      <x:c r="E630" t="inlineStr">
        <x:is>
          <x:t xml:space="preserve">Defined: A list exists and is used for prioritizing protection.</x:t>
        </x:is>
      </x:c>
      <x:c r="F630" t="n">
        <x:v>3</x:v>
      </x:c>
      <x:c r="I630" t="inlineStr">
        <x:is>
          <x:t xml:space="preserve">Evidence_Request_CJ_List</x:t>
        </x:is>
      </x:c>
      <x:c r="J630" t="inlineStr">
        <x:is>
          <x:t xml:space="preserve">N</x:t>
        </x:is>
      </x:c>
    </x:row>
    <x:row r="631">
      <x:c r="B631" t="inlineStr">
        <x:is>
          <x:t xml:space="preserve">DATA-D1-Q01</x:t>
        </x:is>
      </x:c>
      <x:c r="C631" t="inlineStr">
        <x:is>
          <x:t xml:space="preserve">DATA-D1-Q01-A4</x:t>
        </x:is>
      </x:c>
      <x:c r="D631" t="n">
        <x:v>5</x:v>
      </x:c>
      <x:c r="E631" t="inlineStr">
        <x:is>
          <x:t xml:space="preserve">Mature: Crown jewels are linked to business risk and reviewed after changes (new products/M&amp;A).</x:t>
        </x:is>
      </x:c>
      <x:c r="F631" t="n">
        <x:v>4</x:v>
      </x:c>
      <x:c r="I631" t="inlineStr">
        <x:is>
          <x:t xml:space="preserve">Maintain_and_Audit</x:t>
        </x:is>
      </x:c>
      <x:c r="J631" t="inlineStr">
        <x:is>
          <x:t xml:space="preserve">N</x:t>
        </x:is>
      </x:c>
    </x:row>
    <x:row r="632">
      <x:c r="B632" t="inlineStr">
        <x:is>
          <x:t xml:space="preserve">DATA-D1-Q02</x:t>
        </x:is>
      </x:c>
      <x:c r="C632" t="inlineStr">
        <x:is>
          <x:t xml:space="preserve">DATA-D1-Q02-A0</x:t>
        </x:is>
      </x:c>
      <x:c r="D632" t="n">
        <x:v>1</x:v>
      </x:c>
      <x:c r="E632" t="inlineStr">
        <x:is>
          <x:t xml:space="preserve">No: People disagree or are unsure.</x:t>
        </x:is>
      </x:c>
      <x:c r="F632" t="n">
        <x:v>0</x:v>
      </x:c>
      <x:c r="G632" t="inlineStr">
        <x:is>
          <x:t xml:space="preserve">visibility_gap</x:t>
        </x:is>
      </x:c>
      <x:c r="H632" t="inlineStr">
        <x:is>
          <x:t xml:space="preserve">Visibility Gap</x:t>
        </x:is>
      </x:c>
      <x:c r="I632" t="inlineStr">
        <x:is>
          <x:t xml:space="preserve">CrownJewel_Workshop</x:t>
        </x:is>
      </x:c>
      <x:c r="J632" t="inlineStr">
        <x:is>
          <x:t xml:space="preserve">N</x:t>
        </x:is>
      </x:c>
    </x:row>
    <x:row r="633">
      <x:c r="B633" t="inlineStr">
        <x:is>
          <x:t xml:space="preserve">DATA-D1-Q02</x:t>
        </x:is>
      </x:c>
      <x:c r="C633" t="inlineStr">
        <x:is>
          <x:t xml:space="preserve">DATA-D1-Q02-A1</x:t>
        </x:is>
      </x:c>
      <x:c r="D633" t="n">
        <x:v>2</x:v>
      </x:c>
      <x:c r="E633" t="inlineStr">
        <x:is>
          <x:t xml:space="preserve">Yes, but person-dependent: Only a few ‘veterans’ know.</x:t>
        </x:is>
      </x:c>
      <x:c r="F633" t="n">
        <x:v>2</x:v>
      </x:c>
      <x:c r="G633" t="inlineStr">
        <x:is>
          <x:t xml:space="preserve">shadow_mature_signal,key_person_dependency</x:t>
        </x:is>
      </x:c>
      <x:c r="H633" t="inlineStr">
        <x:is>
          <x:t xml:space="preserve">Shadow Mature</x:t>
        </x:is>
      </x:c>
      <x:c r="I633" t="inlineStr">
        <x:is>
          <x:t xml:space="preserve">Formalize_Knowledge</x:t>
        </x:is>
      </x:c>
      <x:c r="J633" t="inlineStr">
        <x:is>
          <x:t xml:space="preserve">N</x:t>
        </x:is>
      </x:c>
    </x:row>
    <x:row r="634">
      <x:c r="B634" t="inlineStr">
        <x:is>
          <x:t xml:space="preserve">DATA-D1-Q02</x:t>
        </x:is>
      </x:c>
      <x:c r="C634" t="inlineStr">
        <x:is>
          <x:t xml:space="preserve">DATA-D1-Q02-A2</x:t>
        </x:is>
      </x:c>
      <x:c r="D634" t="n">
        <x:v>3</x:v>
      </x:c>
      <x:c r="E634" t="inlineStr">
        <x:is>
          <x:t xml:space="preserve">Yes, broadly: Most leaders could name the top assets and owners.</x:t>
        </x:is>
      </x:c>
      <x:c r="F634" t="n">
        <x:v>3</x:v>
      </x:c>
      <x:c r="G634" t="inlineStr">
        <x:is>
          <x:t xml:space="preserve">shadow_mature_signal</x:t>
        </x:is>
      </x:c>
      <x:c r="H634" t="inlineStr">
        <x:is>
          <x:t xml:space="preserve">Shadow Mature</x:t>
        </x:is>
      </x:c>
      <x:c r="I634" t="inlineStr">
        <x:is>
          <x:t xml:space="preserve">Document_CrownJewels</x:t>
        </x:is>
      </x:c>
      <x:c r="J634" t="inlineStr">
        <x:is>
          <x:t xml:space="preserve">N</x:t>
        </x:is>
      </x:c>
    </x:row>
    <x:row r="635">
      <x:c r="B635" t="inlineStr">
        <x:is>
          <x:t xml:space="preserve">DATA-D1-Q03</x:t>
        </x:is>
      </x:c>
      <x:c r="C635" t="inlineStr">
        <x:is>
          <x:t xml:space="preserve">DATA-D1-Q03-A0</x:t>
        </x:is>
      </x:c>
      <x:c r="D635" t="n">
        <x:v>1</x:v>
      </x:c>
      <x:c r="E635" t="inlineStr">
        <x:is>
          <x:t xml:space="preserve">No: Ownership is unclear; access is decided by IT or local managers.</x:t>
        </x:is>
      </x:c>
      <x:c r="F635" t="n">
        <x:v>0</x:v>
      </x:c>
      <x:c r="G635" t="inlineStr">
        <x:is>
          <x:t xml:space="preserve">operating_model_gap</x:t>
        </x:is>
      </x:c>
      <x:c r="H635" t="inlineStr">
        <x:is>
          <x:t xml:space="preserve">Operating Model Gap</x:t>
        </x:is>
      </x:c>
      <x:c r="I635" t="inlineStr">
        <x:is>
          <x:t xml:space="preserve">Assign_Data_Owners</x:t>
        </x:is>
      </x:c>
      <x:c r="J635" t="inlineStr">
        <x:is>
          <x:t xml:space="preserve">N</x:t>
        </x:is>
      </x:c>
    </x:row>
    <x:row r="636">
      <x:c r="B636" t="inlineStr">
        <x:is>
          <x:t xml:space="preserve">DATA-D1-Q03</x:t>
        </x:is>
      </x:c>
      <x:c r="C636" t="inlineStr">
        <x:is>
          <x:t xml:space="preserve">DATA-D1-Q03-A1</x:t>
        </x:is>
      </x:c>
      <x:c r="D636" t="n">
        <x:v>2</x:v>
      </x:c>
      <x:c r="E636" t="inlineStr">
        <x:is>
          <x:t xml:space="preserve">Partial: Owners exist on paper but approvals are not consistent.</x:t>
        </x:is>
      </x:c>
      <x:c r="F636" t="n">
        <x:v>1</x:v>
      </x:c>
      <x:c r="G636" t="inlineStr">
        <x:is>
          <x:t xml:space="preserve">paper_dragon_signal</x:t>
        </x:is>
      </x:c>
      <x:c r="H636" t="inlineStr">
        <x:is>
          <x:t xml:space="preserve">Paper Dragon</x:t>
        </x:is>
      </x:c>
      <x:c r="I636" t="inlineStr">
        <x:is>
          <x:t xml:space="preserve">Operationalize_Ownership</x:t>
        </x:is>
      </x:c>
      <x:c r="J636" t="inlineStr">
        <x:is>
          <x:t xml:space="preserve">N</x:t>
        </x:is>
      </x:c>
    </x:row>
    <x:row r="637">
      <x:c r="B637" t="inlineStr">
        <x:is>
          <x:t xml:space="preserve">DATA-D1-Q03</x:t>
        </x:is>
      </x:c>
      <x:c r="C637" t="inlineStr">
        <x:is>
          <x:t xml:space="preserve">DATA-D1-Q03-A2</x:t>
        </x:is>
      </x:c>
      <x:c r="D637" t="n">
        <x:v>3</x:v>
      </x:c>
      <x:c r="E637" t="inlineStr">
        <x:is>
          <x:t xml:space="preserve">Yes: Owners approve access for key assets and are involved in exceptions.</x:t>
        </x:is>
      </x:c>
      <x:c r="F637" t="n">
        <x:v>3</x:v>
      </x:c>
      <x:c r="I637" t="inlineStr">
        <x:is>
          <x:t xml:space="preserve">Evidence_Request_Ownership</x:t>
        </x:is>
      </x:c>
      <x:c r="J637" t="inlineStr">
        <x:is>
          <x:t xml:space="preserve">N</x:t>
        </x:is>
      </x:c>
    </x:row>
    <x:row r="638">
      <x:c r="B638" t="inlineStr">
        <x:is>
          <x:t xml:space="preserve">DATA-D1-Q03</x:t>
        </x:is>
      </x:c>
      <x:c r="C638" t="inlineStr">
        <x:is>
          <x:t xml:space="preserve">DATA-D1-Q03-A3</x:t>
        </x:is>
      </x:c>
      <x:c r="D638" t="n">
        <x:v>4</x:v>
      </x:c>
      <x:c r="E638" t="inlineStr">
        <x:is>
          <x:t xml:space="preserve">Mature: Owners track access risk, review regularly, and remove unnecessary access.</x:t>
        </x:is>
      </x:c>
      <x:c r="F638" t="n">
        <x:v>4</x:v>
      </x:c>
      <x:c r="I638" t="inlineStr">
        <x:is>
          <x:t xml:space="preserve">Maintain_and_Audit</x:t>
        </x:is>
      </x:c>
      <x:c r="J638" t="inlineStr">
        <x:is>
          <x:t xml:space="preserve">N</x:t>
        </x:is>
      </x:c>
    </x:row>
    <x:row r="639">
      <x:c r="B639" t="inlineStr">
        <x:is>
          <x:t xml:space="preserve">DATA-D2-Q04</x:t>
        </x:is>
      </x:c>
      <x:c r="C639" t="inlineStr">
        <x:is>
          <x:t xml:space="preserve">DATA-D2-Q04-A0</x:t>
        </x:is>
      </x:c>
      <x:c r="D639" t="n">
        <x:v>1</x:v>
      </x:c>
      <x:c r="E639" t="inlineStr">
        <x:is>
          <x:t xml:space="preserve">I don’t know / not sure.</x:t>
        </x:is>
      </x:c>
      <x:c r="F639" t="n">
        <x:v>0</x:v>
      </x:c>
      <x:c r="G639" t="inlineStr">
        <x:is>
          <x:t xml:space="preserve">unknown</x:t>
        </x:is>
      </x:c>
      <x:c r="H639" t="inlineStr">
        <x:is>
          <x:t xml:space="preserve">Unknown</x:t>
        </x:is>
      </x:c>
      <x:c r="I639" t="inlineStr">
        <x:is>
          <x:t xml:space="preserve">Clarify_DataFlows</x:t>
        </x:is>
      </x:c>
      <x:c r="J639" t="inlineStr">
        <x:is>
          <x:t xml:space="preserve">N</x:t>
        </x:is>
      </x:c>
    </x:row>
    <x:row r="640">
      <x:c r="B640" t="inlineStr">
        <x:is>
          <x:t xml:space="preserve">DATA-D2-Q04</x:t>
        </x:is>
      </x:c>
      <x:c r="C640" t="inlineStr">
        <x:is>
          <x:t xml:space="preserve">DATA-D2-Q04-A1</x:t>
        </x:is>
      </x:c>
      <x:c r="D640" t="n">
        <x:v>2</x:v>
      </x:c>
      <x:c r="E640" t="inlineStr">
        <x:is>
          <x:t xml:space="preserve">No: We don’t map data flows; sharing is mostly uncontrolled.</x:t>
        </x:is>
      </x:c>
      <x:c r="F640" t="n">
        <x:v>0</x:v>
      </x:c>
      <x:c r="G640" t="inlineStr">
        <x:is>
          <x:t xml:space="preserve">visibility_gap</x:t>
        </x:is>
      </x:c>
      <x:c r="H640" t="inlineStr">
        <x:is>
          <x:t xml:space="preserve">Visibility Gap</x:t>
        </x:is>
      </x:c>
      <x:c r="I640" t="inlineStr">
        <x:is>
          <x:t xml:space="preserve">Map_Data_Flows</x:t>
        </x:is>
      </x:c>
      <x:c r="J640" t="inlineStr">
        <x:is>
          <x:t xml:space="preserve">N</x:t>
        </x:is>
      </x:c>
    </x:row>
    <x:row r="641">
      <x:c r="B641" t="inlineStr">
        <x:is>
          <x:t xml:space="preserve">DATA-D2-Q04</x:t>
        </x:is>
      </x:c>
      <x:c r="C641" t="inlineStr">
        <x:is>
          <x:t xml:space="preserve">DATA-D2-Q04-A2</x:t>
        </x:is>
      </x:c>
      <x:c r="D641" t="n">
        <x:v>3</x:v>
      </x:c>
      <x:c r="E641" t="inlineStr">
        <x:is>
          <x:t xml:space="preserve">Partial: We know core systems, but exports/sharing/SaaS are unclear.</x:t>
        </x:is>
      </x:c>
      <x:c r="F641" t="n">
        <x:v>1</x:v>
      </x:c>
      <x:c r="G641" t="inlineStr">
        <x:is>
          <x:t xml:space="preserve">visibility_gap</x:t>
        </x:is>
      </x:c>
      <x:c r="H641" t="inlineStr">
        <x:is>
          <x:t xml:space="preserve">Visibility Gap</x:t>
        </x:is>
      </x:c>
      <x:c r="I641" t="inlineStr">
        <x:is>
          <x:t xml:space="preserve">Complete_Data_Flow_Map</x:t>
        </x:is>
      </x:c>
      <x:c r="J641" t="inlineStr">
        <x:is>
          <x:t xml:space="preserve">N</x:t>
        </x:is>
      </x:c>
    </x:row>
    <x:row r="642">
      <x:c r="B642" t="inlineStr">
        <x:is>
          <x:t xml:space="preserve">DATA-D2-Q04</x:t>
        </x:is>
      </x:c>
      <x:c r="C642" t="inlineStr">
        <x:is>
          <x:t xml:space="preserve">DATA-D2-Q04-A3</x:t>
        </x:is>
      </x:c>
      <x:c r="D642" t="n">
        <x:v>4</x:v>
      </x:c>
      <x:c r="E642" t="inlineStr">
        <x:is>
          <x:t xml:space="preserve">Yes: Flows are documented for key assets and used in decisions.</x:t>
        </x:is>
      </x:c>
      <x:c r="F642" t="n">
        <x:v>3</x:v>
      </x:c>
      <x:c r="I642" t="inlineStr">
        <x:is>
          <x:t xml:space="preserve">Evidence_Request_DataFlows</x:t>
        </x:is>
      </x:c>
      <x:c r="J642" t="inlineStr">
        <x:is>
          <x:t xml:space="preserve">N</x:t>
        </x:is>
      </x:c>
    </x:row>
    <x:row r="643">
      <x:c r="B643" t="inlineStr">
        <x:is>
          <x:t xml:space="preserve">DATA-D2-Q04</x:t>
        </x:is>
      </x:c>
      <x:c r="C643" t="inlineStr">
        <x:is>
          <x:t xml:space="preserve">DATA-D2-Q04-A4</x:t>
        </x:is>
      </x:c>
      <x:c r="D643" t="n">
        <x:v>5</x:v>
      </x:c>
      <x:c r="E643" t="inlineStr">
        <x:is>
          <x:t xml:space="preserve">Mature: Flows are validated and revisited after changes; owners are engaged.</x:t>
        </x:is>
      </x:c>
      <x:c r="F643" t="n">
        <x:v>4</x:v>
      </x:c>
      <x:c r="I643" t="inlineStr">
        <x:is>
          <x:t xml:space="preserve">Maintain_and_Audit</x:t>
        </x:is>
      </x:c>
      <x:c r="J643" t="inlineStr">
        <x:is>
          <x:t xml:space="preserve">N</x:t>
        </x:is>
      </x:c>
    </x:row>
    <x:row r="644">
      <x:c r="B644" t="inlineStr">
        <x:is>
          <x:t xml:space="preserve">DATA-D2-Q05</x:t>
        </x:is>
      </x:c>
      <x:c r="C644" t="inlineStr">
        <x:is>
          <x:t xml:space="preserve">DATA-D2-Q05-A0</x:t>
        </x:is>
      </x:c>
      <x:c r="D644" t="n">
        <x:v>1</x:v>
      </x:c>
      <x:c r="E644" t="inlineStr">
        <x:is>
          <x:t xml:space="preserve">No: Changes happen first; reviews happen (if at all) after issues.</x:t>
        </x:is>
      </x:c>
      <x:c r="F644" t="n">
        <x:v>0</x:v>
      </x:c>
      <x:c r="G644" t="inlineStr">
        <x:is>
          <x:t xml:space="preserve">control_lag</x:t>
        </x:is>
      </x:c>
      <x:c r="H644" t="inlineStr">
        <x:is>
          <x:t xml:space="preserve">Control Lag</x:t>
        </x:is>
      </x:c>
      <x:c r="I644" t="inlineStr">
        <x:is>
          <x:t xml:space="preserve">Change_Governance</x:t>
        </x:is>
      </x:c>
      <x:c r="J644" t="inlineStr">
        <x:is>
          <x:t xml:space="preserve">N</x:t>
        </x:is>
      </x:c>
    </x:row>
    <x:row r="645">
      <x:c r="B645" t="inlineStr">
        <x:is>
          <x:t xml:space="preserve">DATA-D2-Q05</x:t>
        </x:is>
      </x:c>
      <x:c r="C645" t="inlineStr">
        <x:is>
          <x:t xml:space="preserve">DATA-D2-Q05-A1</x:t>
        </x:is>
      </x:c>
      <x:c r="D645" t="n">
        <x:v>2</x:v>
      </x:c>
      <x:c r="E645" t="inlineStr">
        <x:is>
          <x:t xml:space="preserve">Sometimes: Depends on project team; not consistent.</x:t>
        </x:is>
      </x:c>
      <x:c r="F645" t="n">
        <x:v>1</x:v>
      </x:c>
      <x:c r="G645" t="inlineStr">
        <x:is>
          <x:t xml:space="preserve">operating_model_gap</x:t>
        </x:is>
      </x:c>
      <x:c r="H645" t="inlineStr">
        <x:is>
          <x:t xml:space="preserve">Operating Model Gap</x:t>
        </x:is>
      </x:c>
      <x:c r="I645" t="inlineStr">
        <x:is>
          <x:t xml:space="preserve">Standardize_Change_Checks</x:t>
        </x:is>
      </x:c>
      <x:c r="J645" t="inlineStr">
        <x:is>
          <x:t xml:space="preserve">N</x:t>
        </x:is>
      </x:c>
    </x:row>
    <x:row r="646">
      <x:c r="B646" t="inlineStr">
        <x:is>
          <x:t xml:space="preserve">DATA-D2-Q05</x:t>
        </x:is>
      </x:c>
      <x:c r="C646" t="inlineStr">
        <x:is>
          <x:t xml:space="preserve">DATA-D2-Q05-A2</x:t>
        </x:is>
      </x:c>
      <x:c r="D646" t="n">
        <x:v>3</x:v>
      </x:c>
      <x:c r="E646" t="inlineStr">
        <x:is>
          <x:t xml:space="preserve">Yes: Key changes include a mandatory review step.</x:t>
        </x:is>
      </x:c>
      <x:c r="F646" t="n">
        <x:v>3</x:v>
      </x:c>
      <x:c r="I646" t="inlineStr">
        <x:is>
          <x:t xml:space="preserve">Evidence_Request_Change_Process</x:t>
        </x:is>
      </x:c>
      <x:c r="J646" t="inlineStr">
        <x:is>
          <x:t xml:space="preserve">N</x:t>
        </x:is>
      </x:c>
    </x:row>
    <x:row r="647">
      <x:c r="B647" t="inlineStr">
        <x:is>
          <x:t xml:space="preserve">DATA-D2-Q05</x:t>
        </x:is>
      </x:c>
      <x:c r="C647" t="inlineStr">
        <x:is>
          <x:t xml:space="preserve">DATA-D2-Q05-A3</x:t>
        </x:is>
      </x:c>
      <x:c r="D647" t="n">
        <x:v>4</x:v>
      </x:c>
      <x:c r="E647" t="inlineStr">
        <x:is>
          <x:t xml:space="preserve">Mature: Automated triggers (e.g., new SaaS/vendor) plus measured time-to-control.</x:t>
        </x:is>
      </x:c>
      <x:c r="F647" t="n">
        <x:v>4</x:v>
      </x:c>
      <x:c r="I647" t="inlineStr">
        <x:is>
          <x:t xml:space="preserve">Maintain_and_Audit</x:t>
        </x:is>
      </x:c>
      <x:c r="J647" t="inlineStr">
        <x:is>
          <x:t xml:space="preserve">N</x:t>
        </x:is>
      </x:c>
    </x:row>
    <x:row r="648">
      <x:c r="B648" t="inlineStr">
        <x:is>
          <x:t xml:space="preserve">DATA-D3-Q06</x:t>
        </x:is>
      </x:c>
      <x:c r="C648" t="inlineStr">
        <x:is>
          <x:t xml:space="preserve">DATA-D3-Q06-A0</x:t>
        </x:is>
      </x:c>
      <x:c r="D648" t="n">
        <x:v>1</x:v>
      </x:c>
      <x:c r="E648" t="inlineStr">
        <x:is>
          <x:t xml:space="preserve">I don’t know / not sure.</x:t>
        </x:is>
      </x:c>
      <x:c r="F648" t="n">
        <x:v>0</x:v>
      </x:c>
      <x:c r="G648" t="inlineStr">
        <x:is>
          <x:t xml:space="preserve">unknown</x:t>
        </x:is>
      </x:c>
      <x:c r="H648" t="inlineStr">
        <x:is>
          <x:t xml:space="preserve">Unknown</x:t>
        </x:is>
      </x:c>
      <x:c r="I648" t="inlineStr">
        <x:is>
          <x:t xml:space="preserve">Clarify_Workarounds</x:t>
        </x:is>
      </x:c>
      <x:c r="J648" t="inlineStr">
        <x:is>
          <x:t xml:space="preserve">N</x:t>
        </x:is>
      </x:c>
    </x:row>
    <x:row r="649">
      <x:c r="B649" t="inlineStr">
        <x:is>
          <x:t xml:space="preserve">DATA-D3-Q06</x:t>
        </x:is>
      </x:c>
      <x:c r="C649" t="inlineStr">
        <x:is>
          <x:t xml:space="preserve">DATA-D3-Q06-A1</x:t>
        </x:is>
      </x:c>
      <x:c r="D649" t="n">
        <x:v>2</x:v>
      </x:c>
      <x:c r="E649" t="inlineStr">
        <x:is>
          <x:t xml:space="preserve">High: Workarounds are common and accepted as ‘how work gets done’.</x:t>
        </x:is>
      </x:c>
      <x:c r="F649" t="n">
        <x:v>0</x:v>
      </x:c>
      <x:c r="G649" t="inlineStr">
        <x:is>
          <x:t xml:space="preserve">bypass_pressure</x:t>
        </x:is>
      </x:c>
      <x:c r="H649" t="inlineStr">
        <x:is>
          <x:t xml:space="preserve">Bypass Pressure</x:t>
        </x:is>
      </x:c>
      <x:c r="I649" t="inlineStr">
        <x:is>
          <x:t xml:space="preserve">Friction_Reduction</x:t>
        </x:is>
      </x:c>
      <x:c r="J649" t="inlineStr">
        <x:is>
          <x:t xml:space="preserve">N</x:t>
        </x:is>
      </x:c>
    </x:row>
    <x:row r="650">
      <x:c r="B650" t="inlineStr">
        <x:is>
          <x:t xml:space="preserve">DATA-D3-Q06</x:t>
        </x:is>
      </x:c>
      <x:c r="C650" t="inlineStr">
        <x:is>
          <x:t xml:space="preserve">DATA-D3-Q06-A2</x:t>
        </x:is>
      </x:c>
      <x:c r="D650" t="n">
        <x:v>3</x:v>
      </x:c>
      <x:c r="E650" t="inlineStr">
        <x:is>
          <x:t xml:space="preserve">Known but unmanaged: We hear about workarounds, but don’t track or fix causes.</x:t>
        </x:is>
      </x:c>
      <x:c r="F650" t="n">
        <x:v>1</x:v>
      </x:c>
      <x:c r="G650" t="inlineStr">
        <x:is>
          <x:t xml:space="preserve">operating_model_gap</x:t>
        </x:is>
      </x:c>
      <x:c r="H650" t="inlineStr">
        <x:is>
          <x:t xml:space="preserve">Operating Model Gap</x:t>
        </x:is>
      </x:c>
      <x:c r="I650" t="inlineStr">
        <x:is>
          <x:t xml:space="preserve">Measure_Workarounds</x:t>
        </x:is>
      </x:c>
      <x:c r="J650" t="inlineStr">
        <x:is>
          <x:t xml:space="preserve">N</x:t>
        </x:is>
      </x:c>
    </x:row>
    <x:row r="651">
      <x:c r="B651" t="inlineStr">
        <x:is>
          <x:t xml:space="preserve">DATA-D3-Q06</x:t>
        </x:is>
      </x:c>
      <x:c r="C651" t="inlineStr">
        <x:is>
          <x:t xml:space="preserve">DATA-D3-Q06-A3</x:t>
        </x:is>
      </x:c>
      <x:c r="D651" t="n">
        <x:v>4</x:v>
      </x:c>
      <x:c r="E651" t="inlineStr">
        <x:is>
          <x:t xml:space="preserve">Managed: We track key friction points and reduce them over time.</x:t>
        </x:is>
      </x:c>
      <x:c r="F651" t="n">
        <x:v>3</x:v>
      </x:c>
      <x:c r="I651" t="inlineStr">
        <x:is>
          <x:t xml:space="preserve">Evidence_Request_Friction_Metrics</x:t>
        </x:is>
      </x:c>
      <x:c r="J651" t="inlineStr">
        <x:is>
          <x:t xml:space="preserve">N</x:t>
        </x:is>
      </x:c>
    </x:row>
    <x:row r="652">
      <x:c r="B652" t="inlineStr">
        <x:is>
          <x:t xml:space="preserve">DATA-D3-Q06</x:t>
        </x:is>
      </x:c>
      <x:c r="C652" t="inlineStr">
        <x:is>
          <x:t xml:space="preserve">DATA-D3-Q06-A4</x:t>
        </x:is>
      </x:c>
      <x:c r="D652" t="n">
        <x:v>5</x:v>
      </x:c>
      <x:c r="E652" t="inlineStr">
        <x:is>
          <x:t xml:space="preserve">Mature: Controls are designed with business; low bypass and rapid exception handling.</x:t>
        </x:is>
      </x:c>
      <x:c r="F652" t="n">
        <x:v>4</x:v>
      </x:c>
      <x:c r="I652" t="inlineStr">
        <x:is>
          <x:t xml:space="preserve">Maintain_and_Audit</x:t>
        </x:is>
      </x:c>
      <x:c r="J652" t="inlineStr">
        <x:is>
          <x:t xml:space="preserve">N</x:t>
        </x:is>
      </x:c>
    </x:row>
    <x:row r="653">
      <x:c r="B653" t="inlineStr">
        <x:is>
          <x:t xml:space="preserve">DATA-D3-Q07</x:t>
        </x:is>
      </x:c>
      <x:c r="C653" t="inlineStr">
        <x:is>
          <x:t xml:space="preserve">DATA-D3-Q07-A0</x:t>
        </x:is>
      </x:c>
      <x:c r="D653" t="n">
        <x:v>1</x:v>
      </x:c>
      <x:c r="E653" t="inlineStr">
        <x:is>
          <x:t xml:space="preserve">No: People bypass controls because exceptions take too long.</x:t>
        </x:is>
      </x:c>
      <x:c r="F653" t="n">
        <x:v>0</x:v>
      </x:c>
      <x:c r="G653" t="inlineStr">
        <x:is>
          <x:t xml:space="preserve">bypass_pressure</x:t>
        </x:is>
      </x:c>
      <x:c r="H653" t="inlineStr">
        <x:is>
          <x:t xml:space="preserve">Bypass Pressure</x:t>
        </x:is>
      </x:c>
      <x:c r="I653" t="inlineStr">
        <x:is>
          <x:t xml:space="preserve">Build_Exception_Process</x:t>
        </x:is>
      </x:c>
      <x:c r="J653" t="inlineStr">
        <x:is>
          <x:t xml:space="preserve">N</x:t>
        </x:is>
      </x:c>
    </x:row>
    <x:row r="654">
      <x:c r="B654" t="inlineStr">
        <x:is>
          <x:t xml:space="preserve">DATA-D3-Q07</x:t>
        </x:is>
      </x:c>
      <x:c r="C654" t="inlineStr">
        <x:is>
          <x:t xml:space="preserve">DATA-D3-Q07-A1</x:t>
        </x:is>
      </x:c>
      <x:c r="D654" t="n">
        <x:v>2</x:v>
      </x:c>
      <x:c r="E654" t="inlineStr">
        <x:is>
          <x:t xml:space="preserve">Ad-hoc: Exceptions happen via informal chats; not tracked.</x:t>
        </x:is>
      </x:c>
      <x:c r="F654" t="n">
        <x:v>1</x:v>
      </x:c>
      <x:c r="G654" t="inlineStr">
        <x:is>
          <x:t xml:space="preserve">operating_model_gap</x:t>
        </x:is>
      </x:c>
      <x:c r="H654" t="inlineStr">
        <x:is>
          <x:t xml:space="preserve">Operating Model Gap</x:t>
        </x:is>
      </x:c>
      <x:c r="I654" t="inlineStr">
        <x:is>
          <x:t xml:space="preserve">Formalize_Exceptions</x:t>
        </x:is>
      </x:c>
      <x:c r="J654" t="inlineStr">
        <x:is>
          <x:t xml:space="preserve">N</x:t>
        </x:is>
      </x:c>
    </x:row>
    <x:row r="655">
      <x:c r="B655" t="inlineStr">
        <x:is>
          <x:t xml:space="preserve">DATA-D3-Q07</x:t>
        </x:is>
      </x:c>
      <x:c r="C655" t="inlineStr">
        <x:is>
          <x:t xml:space="preserve">DATA-D3-Q07-A2</x:t>
        </x:is>
      </x:c>
      <x:c r="D655" t="n">
        <x:v>3</x:v>
      </x:c>
      <x:c r="E655" t="inlineStr">
        <x:is>
          <x:t xml:space="preserve">Yes: Process exists and meets business needs most of the time.</x:t>
        </x:is>
      </x:c>
      <x:c r="F655" t="n">
        <x:v>3</x:v>
      </x:c>
      <x:c r="I655" t="inlineStr">
        <x:is>
          <x:t xml:space="preserve">Evidence_Request_Exception_Process</x:t>
        </x:is>
      </x:c>
      <x:c r="J655" t="inlineStr">
        <x:is>
          <x:t xml:space="preserve">N</x:t>
        </x:is>
      </x:c>
    </x:row>
    <x:row r="656">
      <x:c r="B656" t="inlineStr">
        <x:is>
          <x:t xml:space="preserve">DATA-D3-Q07</x:t>
        </x:is>
      </x:c>
      <x:c r="C656" t="inlineStr">
        <x:is>
          <x:t xml:space="preserve">DATA-D3-Q07-A3</x:t>
        </x:is>
      </x:c>
      <x:c r="D656" t="n">
        <x:v>4</x:v>
      </x:c>
      <x:c r="E656" t="inlineStr">
        <x:is>
          <x:t xml:space="preserve">Mature: SLA-driven, risk-tiered, and exceptions are reviewed to reduce root causes.</x:t>
        </x:is>
      </x:c>
      <x:c r="F656" t="n">
        <x:v>4</x:v>
      </x:c>
      <x:c r="I656" t="inlineStr">
        <x:is>
          <x:t xml:space="preserve">Maintain_and_Audit</x:t>
        </x:is>
      </x:c>
      <x:c r="J656" t="inlineStr">
        <x:is>
          <x:t xml:space="preserve">N</x:t>
        </x:is>
      </x:c>
    </x:row>
    <x:row r="657">
      <x:c r="B657" t="inlineStr">
        <x:is>
          <x:t xml:space="preserve">DATA-D3-Q08</x:t>
        </x:is>
      </x:c>
      <x:c r="C657" t="inlineStr">
        <x:is>
          <x:t xml:space="preserve">DATA-D3-Q08-A0</x:t>
        </x:is>
      </x:c>
      <x:c r="D657" t="n">
        <x:v>1</x:v>
      </x:c>
      <x:c r="E657" t="inlineStr">
        <x:is>
          <x:t xml:space="preserve">No: Teams choose tools independently; visibility is low.</x:t>
        </x:is>
      </x:c>
      <x:c r="F657" t="n">
        <x:v>0</x:v>
      </x:c>
      <x:c r="G657" t="inlineStr">
        <x:is>
          <x:t xml:space="preserve">visibility_gap,bypass_pressure</x:t>
        </x:is>
      </x:c>
      <x:c r="H657" t="inlineStr">
        <x:is>
          <x:t xml:space="preserve">Visibility Gap</x:t>
        </x:is>
      </x:c>
      <x:c r="I657" t="inlineStr">
        <x:is>
          <x:t xml:space="preserve">SaaS_Onboarding_Path</x:t>
        </x:is>
      </x:c>
      <x:c r="J657" t="inlineStr">
        <x:is>
          <x:t xml:space="preserve">N</x:t>
        </x:is>
      </x:c>
    </x:row>
    <x:row r="658">
      <x:c r="B658" t="inlineStr">
        <x:is>
          <x:t xml:space="preserve">DATA-D3-Q08</x:t>
        </x:is>
      </x:c>
      <x:c r="C658" t="inlineStr">
        <x:is>
          <x:t xml:space="preserve">DATA-D3-Q08-A1</x:t>
        </x:is>
      </x:c>
      <x:c r="D658" t="n">
        <x:v>2</x:v>
      </x:c>
      <x:c r="E658" t="inlineStr">
        <x:is>
          <x:t xml:space="preserve">Partial: There is a process but it is slow, so teams bypass it.</x:t>
        </x:is>
      </x:c>
      <x:c r="F658" t="n">
        <x:v>1</x:v>
      </x:c>
      <x:c r="G658" t="inlineStr">
        <x:is>
          <x:t xml:space="preserve">bypass_pressure</x:t>
        </x:is>
      </x:c>
      <x:c r="H658" t="inlineStr">
        <x:is>
          <x:t xml:space="preserve">Bypass Pressure</x:t>
        </x:is>
      </x:c>
      <x:c r="I658" t="inlineStr">
        <x:is>
          <x:t xml:space="preserve">Speed_Up_Intake</x:t>
        </x:is>
      </x:c>
      <x:c r="J658" t="inlineStr">
        <x:is>
          <x:t xml:space="preserve">N</x:t>
        </x:is>
      </x:c>
    </x:row>
    <x:row r="659">
      <x:c r="B659" t="inlineStr">
        <x:is>
          <x:t xml:space="preserve">DATA-D3-Q08</x:t>
        </x:is>
      </x:c>
      <x:c r="C659" t="inlineStr">
        <x:is>
          <x:t xml:space="preserve">DATA-D3-Q08-A2</x:t>
        </x:is>
      </x:c>
      <x:c r="D659" t="n">
        <x:v>3</x:v>
      </x:c>
      <x:c r="E659" t="inlineStr">
        <x:is>
          <x:t xml:space="preserve">Yes: Most teams use the process and it’s reasonably fast.</x:t>
        </x:is>
      </x:c>
      <x:c r="F659" t="n">
        <x:v>3</x:v>
      </x:c>
      <x:c r="I659" t="inlineStr">
        <x:is>
          <x:t xml:space="preserve">Evidence_Request_SaaS_Intake</x:t>
        </x:is>
      </x:c>
      <x:c r="J659" t="inlineStr">
        <x:is>
          <x:t xml:space="preserve">N</x:t>
        </x:is>
      </x:c>
    </x:row>
    <x:row r="660">
      <x:c r="B660" t="inlineStr">
        <x:is>
          <x:t xml:space="preserve">DATA-D3-Q08</x:t>
        </x:is>
      </x:c>
      <x:c r="C660" t="inlineStr">
        <x:is>
          <x:t xml:space="preserve">DATA-D3-Q08-A3</x:t>
        </x:is>
      </x:c>
      <x:c r="D660" t="n">
        <x:v>4</x:v>
      </x:c>
      <x:c r="E660" t="inlineStr">
        <x:is>
          <x:t xml:space="preserve">Mature: Automated discovery + approved catalog + measured adoption outcomes.</x:t>
        </x:is>
      </x:c>
      <x:c r="F660" t="n">
        <x:v>4</x:v>
      </x:c>
      <x:c r="I660" t="inlineStr">
        <x:is>
          <x:t xml:space="preserve">Maintain_and_Audit</x:t>
        </x:is>
      </x:c>
      <x:c r="J660" t="inlineStr">
        <x:is>
          <x:t xml:space="preserve">N</x:t>
        </x:is>
      </x:c>
    </x:row>
    <x:row r="661">
      <x:c r="B661" t="inlineStr">
        <x:is>
          <x:t xml:space="preserve">DATA-D4-Q09</x:t>
        </x:is>
      </x:c>
      <x:c r="C661" t="inlineStr">
        <x:is>
          <x:t xml:space="preserve">DATA-D4-Q09-A0</x:t>
        </x:is>
      </x:c>
      <x:c r="D661" t="n">
        <x:v>1</x:v>
      </x:c>
      <x:c r="E661" t="inlineStr">
        <x:is>
          <x:t xml:space="preserve">No: We can’t easily list who has high-value access.</x:t>
        </x:is>
      </x:c>
      <x:c r="F661" t="n">
        <x:v>0</x:v>
      </x:c>
      <x:c r="G661" t="inlineStr">
        <x:is>
          <x:t xml:space="preserve">visibility_gap</x:t>
        </x:is>
      </x:c>
      <x:c r="H661" t="inlineStr">
        <x:is>
          <x:t xml:space="preserve">Visibility Gap</x:t>
        </x:is>
      </x:c>
      <x:c r="I661" t="inlineStr">
        <x:is>
          <x:t xml:space="preserve">Map_Critical_Roles</x:t>
        </x:is>
      </x:c>
      <x:c r="J661" t="inlineStr">
        <x:is>
          <x:t xml:space="preserve">N</x:t>
        </x:is>
      </x:c>
    </x:row>
    <x:row r="662">
      <x:c r="B662" t="inlineStr">
        <x:is>
          <x:t xml:space="preserve">DATA-D4-Q09</x:t>
        </x:is>
      </x:c>
      <x:c r="C662" t="inlineStr">
        <x:is>
          <x:t xml:space="preserve">DATA-D4-Q09-A1</x:t>
        </x:is>
      </x:c>
      <x:c r="D662" t="n">
        <x:v>2</x:v>
      </x:c>
      <x:c r="E662" t="inlineStr">
        <x:is>
          <x:t xml:space="preserve">Partial: IT can pull lists, but business does not review them.</x:t>
        </x:is>
      </x:c>
      <x:c r="F662" t="n">
        <x:v>1</x:v>
      </x:c>
      <x:c r="G662" t="inlineStr">
        <x:is>
          <x:t xml:space="preserve">paper_dragon_signal</x:t>
        </x:is>
      </x:c>
      <x:c r="H662" t="inlineStr">
        <x:is>
          <x:t xml:space="preserve">Paper Dragon</x:t>
        </x:is>
      </x:c>
      <x:c r="I662" t="inlineStr">
        <x:is>
          <x:t xml:space="preserve">Business_Review_Access</x:t>
        </x:is>
      </x:c>
      <x:c r="J662" t="inlineStr">
        <x:is>
          <x:t xml:space="preserve">N</x:t>
        </x:is>
      </x:c>
    </x:row>
    <x:row r="663">
      <x:c r="B663" t="inlineStr">
        <x:is>
          <x:t xml:space="preserve">DATA-D4-Q09</x:t>
        </x:is>
      </x:c>
      <x:c r="C663" t="inlineStr">
        <x:is>
          <x:t xml:space="preserve">DATA-D4-Q09-A2</x:t>
        </x:is>
      </x:c>
      <x:c r="D663" t="n">
        <x:v>3</x:v>
      </x:c>
      <x:c r="E663" t="inlineStr">
        <x:is>
          <x:t xml:space="preserve">Yes: Critical roles are defined and reviewed periodically.</x:t>
        </x:is>
      </x:c>
      <x:c r="F663" t="n">
        <x:v>3</x:v>
      </x:c>
      <x:c r="I663" t="inlineStr">
        <x:is>
          <x:t xml:space="preserve">Evidence_Request_Role_Map</x:t>
        </x:is>
      </x:c>
      <x:c r="J663" t="inlineStr">
        <x:is>
          <x:t xml:space="preserve">N</x:t>
        </x:is>
      </x:c>
    </x:row>
    <x:row r="664">
      <x:c r="B664" t="inlineStr">
        <x:is>
          <x:t xml:space="preserve">DATA-D4-Q09</x:t>
        </x:is>
      </x:c>
      <x:c r="C664" t="inlineStr">
        <x:is>
          <x:t xml:space="preserve">DATA-D4-Q09-A3</x:t>
        </x:is>
      </x:c>
      <x:c r="D664" t="n">
        <x:v>4</x:v>
      </x:c>
      <x:c r="E664" t="inlineStr">
        <x:is>
          <x:t xml:space="preserve">Mature: Reviews are risk-based, and access reductions are tracked.</x:t>
        </x:is>
      </x:c>
      <x:c r="F664" t="n">
        <x:v>4</x:v>
      </x:c>
      <x:c r="I664" t="inlineStr">
        <x:is>
          <x:t xml:space="preserve">Maintain_and_Audit</x:t>
        </x:is>
      </x:c>
      <x:c r="J664" t="inlineStr">
        <x:is>
          <x:t xml:space="preserve">N</x:t>
        </x:is>
      </x:c>
    </x:row>
    <x:row r="665">
      <x:c r="B665" t="inlineStr">
        <x:is>
          <x:t xml:space="preserve">DATA-D4-Q10</x:t>
        </x:is>
      </x:c>
      <x:c r="C665" t="inlineStr">
        <x:is>
          <x:t xml:space="preserve">DATA-D4-Q10-A0</x:t>
        </x:is>
      </x:c>
      <x:c r="D665" t="n">
        <x:v>1</x:v>
      </x:c>
      <x:c r="E665" t="inlineStr">
        <x:is>
          <x:t xml:space="preserve">No: Access only grows; removals happen mainly after incidents.</x:t>
        </x:is>
      </x:c>
      <x:c r="F665" t="n">
        <x:v>0</x:v>
      </x:c>
      <x:c r="G665" t="inlineStr">
        <x:is>
          <x:t xml:space="preserve">visibility_gap</x:t>
        </x:is>
      </x:c>
      <x:c r="H665" t="inlineStr">
        <x:is>
          <x:t xml:space="preserve">Visibility Gap</x:t>
        </x:is>
      </x:c>
      <x:c r="I665" t="inlineStr">
        <x:is>
          <x:t xml:space="preserve">Least_Privilege_Plan</x:t>
        </x:is>
      </x:c>
      <x:c r="J665" t="inlineStr">
        <x:is>
          <x:t xml:space="preserve">N</x:t>
        </x:is>
      </x:c>
    </x:row>
    <x:row r="666">
      <x:c r="B666" t="inlineStr">
        <x:is>
          <x:t xml:space="preserve">DATA-D4-Q10</x:t>
        </x:is>
      </x:c>
      <x:c r="C666" t="inlineStr">
        <x:is>
          <x:t xml:space="preserve">DATA-D4-Q10-A1</x:t>
        </x:is>
      </x:c>
      <x:c r="D666" t="n">
        <x:v>2</x:v>
      </x:c>
      <x:c r="E666" t="inlineStr">
        <x:is>
          <x:t xml:space="preserve">Sometimes: Cleanups occur during projects but aren’t routine.</x:t>
        </x:is>
      </x:c>
      <x:c r="F666" t="n">
        <x:v>1</x:v>
      </x:c>
      <x:c r="G666" t="inlineStr">
        <x:is>
          <x:t xml:space="preserve">operating_model_gap</x:t>
        </x:is>
      </x:c>
      <x:c r="H666" t="inlineStr">
        <x:is>
          <x:t xml:space="preserve">Operating Model Gap</x:t>
        </x:is>
      </x:c>
      <x:c r="I666" t="inlineStr">
        <x:is>
          <x:t xml:space="preserve">Routine_Access_Cleanup</x:t>
        </x:is>
      </x:c>
      <x:c r="J666" t="inlineStr">
        <x:is>
          <x:t xml:space="preserve">N</x:t>
        </x:is>
      </x:c>
    </x:row>
    <x:row r="667">
      <x:c r="B667" t="inlineStr">
        <x:is>
          <x:t xml:space="preserve">DATA-D4-Q10</x:t>
        </x:is>
      </x:c>
      <x:c r="C667" t="inlineStr">
        <x:is>
          <x:t xml:space="preserve">DATA-D4-Q10-A2</x:t>
        </x:is>
      </x:c>
      <x:c r="D667" t="n">
        <x:v>3</x:v>
      </x:c>
      <x:c r="E667" t="inlineStr">
        <x:is>
          <x:t xml:space="preserve">Yes: Regular cleanup for key systems; measured reductions.</x:t>
        </x:is>
      </x:c>
      <x:c r="F667" t="n">
        <x:v>3</x:v>
      </x:c>
      <x:c r="I667" t="inlineStr">
        <x:is>
          <x:t xml:space="preserve">Evidence_Request_Access_Review</x:t>
        </x:is>
      </x:c>
      <x:c r="J667" t="inlineStr">
        <x:is>
          <x:t xml:space="preserve">N</x:t>
        </x:is>
      </x:c>
    </x:row>
    <x:row r="668">
      <x:c r="B668" t="inlineStr">
        <x:is>
          <x:t xml:space="preserve">DATA-D4-Q10</x:t>
        </x:is>
      </x:c>
      <x:c r="C668" t="inlineStr">
        <x:is>
          <x:t xml:space="preserve">DATA-D4-Q10-A3</x:t>
        </x:is>
      </x:c>
      <x:c r="D668" t="n">
        <x:v>4</x:v>
      </x:c>
      <x:c r="E668" t="inlineStr">
        <x:is>
          <x:t xml:space="preserve">Mature: Automated signals + owner accountability + continuous improvement.</x:t>
        </x:is>
      </x:c>
      <x:c r="F668" t="n">
        <x:v>4</x:v>
      </x:c>
      <x:c r="I668" t="inlineStr">
        <x:is>
          <x:t xml:space="preserve">Maintain_and_Audit</x:t>
        </x:is>
      </x:c>
      <x:c r="J668" t="inlineStr">
        <x:is>
          <x:t xml:space="preserve">N</x:t>
        </x:is>
      </x:c>
    </x:row>
    <x:row r="669">
      <x:c r="B669" t="inlineStr">
        <x:is>
          <x:t xml:space="preserve">DATA-D5-Q11</x:t>
        </x:is>
      </x:c>
      <x:c r="C669" t="inlineStr">
        <x:is>
          <x:t xml:space="preserve">DATA-D5-Q11-A0</x:t>
        </x:is>
      </x:c>
      <x:c r="D669" t="n">
        <x:v>1</x:v>
      </x:c>
      <x:c r="E669" t="inlineStr">
        <x:is>
          <x:t xml:space="preserve">No: Posture stays the same during events.</x:t>
        </x:is>
      </x:c>
      <x:c r="F669" t="n">
        <x:v>0</x:v>
      </x:c>
      <x:c r="G669" t="inlineStr">
        <x:is>
          <x:t xml:space="preserve">control_lag</x:t>
        </x:is>
      </x:c>
      <x:c r="H669" t="inlineStr">
        <x:is>
          <x:t xml:space="preserve">Control Lag</x:t>
        </x:is>
      </x:c>
      <x:c r="I669" t="inlineStr">
        <x:is>
          <x:t xml:space="preserve">Change_Event_Playbook</x:t>
        </x:is>
      </x:c>
      <x:c r="J669" t="inlineStr">
        <x:is>
          <x:t xml:space="preserve">N</x:t>
        </x:is>
      </x:c>
    </x:row>
    <x:row r="670">
      <x:c r="B670" t="inlineStr">
        <x:is>
          <x:t xml:space="preserve">DATA-D5-Q11</x:t>
        </x:is>
      </x:c>
      <x:c r="C670" t="inlineStr">
        <x:is>
          <x:t xml:space="preserve">DATA-D5-Q11-A1</x:t>
        </x:is>
      </x:c>
      <x:c r="D670" t="n">
        <x:v>2</x:v>
      </x:c>
      <x:c r="E670" t="inlineStr">
        <x:is>
          <x:t xml:space="preserve">Ad-hoc: Leaders ask for checks when worried; no standard triggers.</x:t>
        </x:is>
      </x:c>
      <x:c r="F670" t="n">
        <x:v>1</x:v>
      </x:c>
      <x:c r="G670" t="inlineStr">
        <x:is>
          <x:t xml:space="preserve">operating_model_gap</x:t>
        </x:is>
      </x:c>
      <x:c r="H670" t="inlineStr">
        <x:is>
          <x:t xml:space="preserve">Operating Model Gap</x:t>
        </x:is>
      </x:c>
      <x:c r="I670" t="inlineStr">
        <x:is>
          <x:t xml:space="preserve">Define_Event_Triggers</x:t>
        </x:is>
      </x:c>
      <x:c r="J670" t="inlineStr">
        <x:is>
          <x:t xml:space="preserve">N</x:t>
        </x:is>
      </x:c>
    </x:row>
    <x:row r="671">
      <x:c r="B671" t="inlineStr">
        <x:is>
          <x:t xml:space="preserve">DATA-D5-Q11</x:t>
        </x:is>
      </x:c>
      <x:c r="C671" t="inlineStr">
        <x:is>
          <x:t xml:space="preserve">DATA-D5-Q11-A2</x:t>
        </x:is>
      </x:c>
      <x:c r="D671" t="n">
        <x:v>3</x:v>
      </x:c>
      <x:c r="E671" t="inlineStr">
        <x:is>
          <x:t xml:space="preserve">Yes: Standard playbook used for most major events.</x:t>
        </x:is>
      </x:c>
      <x:c r="F671" t="n">
        <x:v>3</x:v>
      </x:c>
      <x:c r="I671" t="inlineStr">
        <x:is>
          <x:t xml:space="preserve">Evidence_Request_Event_Playbook</x:t>
        </x:is>
      </x:c>
      <x:c r="J671" t="inlineStr">
        <x:is>
          <x:t xml:space="preserve">N</x:t>
        </x:is>
      </x:c>
    </x:row>
    <x:row r="672">
      <x:c r="B672" t="inlineStr">
        <x:is>
          <x:t xml:space="preserve">DATA-D5-Q11</x:t>
        </x:is>
      </x:c>
      <x:c r="C672" t="inlineStr">
        <x:is>
          <x:t xml:space="preserve">DATA-D5-Q11-A3</x:t>
        </x:is>
      </x:c>
      <x:c r="D672" t="n">
        <x:v>4</x:v>
      </x:c>
      <x:c r="E672" t="inlineStr">
        <x:is>
          <x:t xml:space="preserve">Mature: Automated triggers + measured time-to-tighten/relax controls.</x:t>
        </x:is>
      </x:c>
      <x:c r="F672" t="n">
        <x:v>4</x:v>
      </x:c>
      <x:c r="I672" t="inlineStr">
        <x:is>
          <x:t xml:space="preserve">Maintain_and_Audit</x:t>
        </x:is>
      </x:c>
      <x:c r="J672" t="inlineStr">
        <x:is>
          <x:t xml:space="preserve">N</x:t>
        </x:is>
      </x:c>
    </x:row>
    <x:row r="673">
      <x:c r="B673" t="inlineStr">
        <x:is>
          <x:t xml:space="preserve">DATA-D5-Q12</x:t>
        </x:is>
      </x:c>
      <x:c r="C673" t="inlineStr">
        <x:is>
          <x:t xml:space="preserve">DATA-D5-Q12-A0</x:t>
        </x:is>
      </x:c>
      <x:c r="D673" t="n">
        <x:v>1</x:v>
      </x:c>
      <x:c r="E673" t="inlineStr">
        <x:is>
          <x:t xml:space="preserve">No: There is no agreed trigger or process.</x:t>
        </x:is>
      </x:c>
      <x:c r="F673" t="n">
        <x:v>0</x:v>
      </x:c>
      <x:c r="G673" t="inlineStr">
        <x:is>
          <x:t xml:space="preserve">control_lag</x:t>
        </x:is>
      </x:c>
      <x:c r="H673" t="inlineStr">
        <x:is>
          <x:t xml:space="preserve">Control Lag</x:t>
        </x:is>
      </x:c>
      <x:c r="I673" t="inlineStr">
        <x:is>
          <x:t xml:space="preserve">Define_Risk_Posture_Triggers</x:t>
        </x:is>
      </x:c>
      <x:c r="J673" t="inlineStr">
        <x:is>
          <x:t xml:space="preserve">N</x:t>
        </x:is>
      </x:c>
    </x:row>
    <x:row r="674">
      <x:c r="B674" t="inlineStr">
        <x:is>
          <x:t xml:space="preserve">DATA-D5-Q12</x:t>
        </x:is>
      </x:c>
      <x:c r="C674" t="inlineStr">
        <x:is>
          <x:t xml:space="preserve">DATA-D5-Q12-A1</x:t>
        </x:is>
      </x:c>
      <x:c r="D674" t="n">
        <x:v>2</x:v>
      </x:c>
      <x:c r="E674" t="inlineStr">
        <x:is>
          <x:t xml:space="preserve">Informal: Leaders alert security in chats; outcomes vary.</x:t>
        </x:is>
      </x:c>
      <x:c r="F674" t="n">
        <x:v>1</x:v>
      </x:c>
      <x:c r="G674" t="inlineStr">
        <x:is>
          <x:t xml:space="preserve">operating_model_gap</x:t>
        </x:is>
      </x:c>
      <x:c r="H674" t="inlineStr">
        <x:is>
          <x:t xml:space="preserve">Operating Model Gap</x:t>
        </x:is>
      </x:c>
      <x:c r="I674" t="inlineStr">
        <x:is>
          <x:t xml:space="preserve">Formalize_Trigger_Process</x:t>
        </x:is>
      </x:c>
      <x:c r="J674" t="inlineStr">
        <x:is>
          <x:t xml:space="preserve">N</x:t>
        </x:is>
      </x:c>
    </x:row>
    <x:row r="675">
      <x:c r="B675" t="inlineStr">
        <x:is>
          <x:t xml:space="preserve">DATA-D5-Q12</x:t>
        </x:is>
      </x:c>
      <x:c r="C675" t="inlineStr">
        <x:is>
          <x:t xml:space="preserve">DATA-D5-Q12-A2</x:t>
        </x:is>
      </x:c>
      <x:c r="D675" t="n">
        <x:v>3</x:v>
      </x:c>
      <x:c r="E675" t="inlineStr">
        <x:is>
          <x:t xml:space="preserve">Yes: Documented criteria and approvals; used when needed.</x:t>
        </x:is>
      </x:c>
      <x:c r="F675" t="n">
        <x:v>3</x:v>
      </x:c>
      <x:c r="I675" t="inlineStr">
        <x:is>
          <x:t xml:space="preserve">Evidence_Request_Trigger_Criteria</x:t>
        </x:is>
      </x:c>
      <x:c r="J675" t="inlineStr">
        <x:is>
          <x:t xml:space="preserve">N</x:t>
        </x:is>
      </x:c>
    </x:row>
    <x:row r="676">
      <x:c r="B676" t="inlineStr">
        <x:is>
          <x:t xml:space="preserve">DATA-D5-Q12</x:t>
        </x:is>
      </x:c>
      <x:c r="C676" t="inlineStr">
        <x:is>
          <x:t xml:space="preserve">DATA-D5-Q12-A3</x:t>
        </x:is>
      </x:c>
      <x:c r="D676" t="n">
        <x:v>4</x:v>
      </x:c>
      <x:c r="E676" t="inlineStr">
        <x:is>
          <x:t xml:space="preserve">Mature: Integrated into workflow with audit trail and measured effectiveness.</x:t>
        </x:is>
      </x:c>
      <x:c r="F676" t="n">
        <x:v>4</x:v>
      </x:c>
      <x:c r="I676" t="inlineStr">
        <x:is>
          <x:t xml:space="preserve">Maintain_and_Audit</x:t>
        </x:is>
      </x:c>
      <x:c r="J676" t="inlineStr">
        <x:is>
          <x:t xml:space="preserve">N</x:t>
        </x:is>
      </x:c>
    </x:row>
    <x:row r="677">
      <x:c r="B677" t="inlineStr">
        <x:is>
          <x:t xml:space="preserve">DATA-D6-Q13</x:t>
        </x:is>
      </x:c>
      <x:c r="C677" t="inlineStr">
        <x:is>
          <x:t xml:space="preserve">DATA-D6-Q13-A0</x:t>
        </x:is>
      </x:c>
      <x:c r="D677" t="n">
        <x:v>1</x:v>
      </x:c>
      <x:c r="E677" t="inlineStr">
        <x:is>
          <x:t xml:space="preserve">No: We can’t easily list who receives sensitive data.</x:t>
        </x:is>
      </x:c>
      <x:c r="F677" t="n">
        <x:v>0</x:v>
      </x:c>
      <x:c r="G677" t="inlineStr">
        <x:is>
          <x:t xml:space="preserve">visibility_gap</x:t>
        </x:is>
      </x:c>
      <x:c r="H677" t="inlineStr">
        <x:is>
          <x:t xml:space="preserve">Visibility Gap</x:t>
        </x:is>
      </x:c>
      <x:c r="I677" t="inlineStr">
        <x:is>
          <x:t xml:space="preserve">ThirdParty_Inventory</x:t>
        </x:is>
      </x:c>
      <x:c r="J677" t="inlineStr">
        <x:is>
          <x:t xml:space="preserve">N</x:t>
        </x:is>
      </x:c>
    </x:row>
    <x:row r="678">
      <x:c r="B678" t="inlineStr">
        <x:is>
          <x:t xml:space="preserve">DATA-D6-Q13</x:t>
        </x:is>
      </x:c>
      <x:c r="C678" t="inlineStr">
        <x:is>
          <x:t xml:space="preserve">DATA-D6-Q13-A1</x:t>
        </x:is>
      </x:c>
      <x:c r="D678" t="n">
        <x:v>2</x:v>
      </x:c>
      <x:c r="E678" t="inlineStr">
        <x:is>
          <x:t xml:space="preserve">Partial: Procurement has a list, but risk/owners are unclear.</x:t>
        </x:is>
      </x:c>
      <x:c r="F678" t="n">
        <x:v>1</x:v>
      </x:c>
      <x:c r="G678" t="inlineStr">
        <x:is>
          <x:t xml:space="preserve">paper_dragon_signal</x:t>
        </x:is>
      </x:c>
      <x:c r="H678" t="inlineStr">
        <x:is>
          <x:t xml:space="preserve">Paper Dragon</x:t>
        </x:is>
      </x:c>
      <x:c r="I678" t="inlineStr">
        <x:is>
          <x:t xml:space="preserve">Assign_ThirdParty_Owners</x:t>
        </x:is>
      </x:c>
      <x:c r="J678" t="inlineStr">
        <x:is>
          <x:t xml:space="preserve">N</x:t>
        </x:is>
      </x:c>
    </x:row>
    <x:row r="679">
      <x:c r="B679" t="inlineStr">
        <x:is>
          <x:t xml:space="preserve">DATA-D6-Q13</x:t>
        </x:is>
      </x:c>
      <x:c r="C679" t="inlineStr">
        <x:is>
          <x:t xml:space="preserve">DATA-D6-Q13-A2</x:t>
        </x:is>
      </x:c>
      <x:c r="D679" t="n">
        <x:v>3</x:v>
      </x:c>
      <x:c r="E679" t="inlineStr">
        <x:is>
          <x:t xml:space="preserve">Yes: Inventory exists for key vendors and is maintained.</x:t>
        </x:is>
      </x:c>
      <x:c r="F679" t="n">
        <x:v>3</x:v>
      </x:c>
      <x:c r="I679" t="inlineStr">
        <x:is>
          <x:t xml:space="preserve">Evidence_Request_ThirdParty_List</x:t>
        </x:is>
      </x:c>
      <x:c r="J679" t="inlineStr">
        <x:is>
          <x:t xml:space="preserve">N</x:t>
        </x:is>
      </x:c>
    </x:row>
    <x:row r="680">
      <x:c r="B680" t="inlineStr">
        <x:is>
          <x:t xml:space="preserve">DATA-D6-Q13</x:t>
        </x:is>
      </x:c>
      <x:c r="C680" t="inlineStr">
        <x:is>
          <x:t xml:space="preserve">DATA-D6-Q13-A3</x:t>
        </x:is>
      </x:c>
      <x:c r="D680" t="n">
        <x:v>4</x:v>
      </x:c>
      <x:c r="E680" t="inlineStr">
        <x:is>
          <x:t xml:space="preserve">Mature: Inventory + risk scoring + periodic reviews and exit plans.</x:t>
        </x:is>
      </x:c>
      <x:c r="F680" t="n">
        <x:v>4</x:v>
      </x:c>
      <x:c r="I680" t="inlineStr">
        <x:is>
          <x:t xml:space="preserve">Maintain_and_Audit</x:t>
        </x:is>
      </x:c>
      <x:c r="J680" t="inlineStr">
        <x:is>
          <x:t xml:space="preserve">N</x:t>
        </x:is>
      </x:c>
    </x:row>
    <x:row r="681">
      <x:c r="B681" t="inlineStr">
        <x:is>
          <x:t xml:space="preserve">DATA-D7-Q14</x:t>
        </x:is>
      </x:c>
      <x:c r="C681" t="inlineStr">
        <x:is>
          <x:t xml:space="preserve">DATA-D7-Q14-A0</x:t>
        </x:is>
      </x:c>
      <x:c r="D681" t="n">
        <x:v>1</x:v>
      </x:c>
      <x:c r="E681" t="inlineStr">
        <x:is>
          <x:t xml:space="preserve">No: Reporting is mostly technical or compliance-only.</x:t>
        </x:is>
      </x:c>
      <x:c r="F681" t="n">
        <x:v>0</x:v>
      </x:c>
      <x:c r="G681" t="inlineStr">
        <x:is>
          <x:t xml:space="preserve">paper_dragon_signal</x:t>
        </x:is>
      </x:c>
      <x:c r="H681" t="inlineStr">
        <x:is>
          <x:t xml:space="preserve">Paper Dragon</x:t>
        </x:is>
      </x:c>
      <x:c r="I681" t="inlineStr">
        <x:is>
          <x:t xml:space="preserve">Business_Metrics</x:t>
        </x:is>
      </x:c>
      <x:c r="J681" t="inlineStr">
        <x:is>
          <x:t xml:space="preserve">N</x:t>
        </x:is>
      </x:c>
    </x:row>
    <x:row r="682">
      <x:c r="B682" t="inlineStr">
        <x:is>
          <x:t xml:space="preserve">DATA-D7-Q14</x:t>
        </x:is>
      </x:c>
      <x:c r="C682" t="inlineStr">
        <x:is>
          <x:t xml:space="preserve">DATA-D7-Q14-A1</x:t>
        </x:is>
      </x:c>
      <x:c r="D682" t="n">
        <x:v>2</x:v>
      </x:c>
      <x:c r="E682" t="inlineStr">
        <x:is>
          <x:t xml:space="preserve">Some: We have occasional business reporting but it’s not consistent.</x:t>
        </x:is>
      </x:c>
      <x:c r="F682" t="n">
        <x:v>1</x:v>
      </x:c>
      <x:c r="G682" t="inlineStr">
        <x:is>
          <x:t xml:space="preserve">operating_model_gap</x:t>
        </x:is>
      </x:c>
      <x:c r="H682" t="inlineStr">
        <x:is>
          <x:t xml:space="preserve">Operating Model Gap</x:t>
        </x:is>
      </x:c>
      <x:c r="I682" t="inlineStr">
        <x:is>
          <x:t xml:space="preserve">Standardize_Business_Reporting</x:t>
        </x:is>
      </x:c>
      <x:c r="J682" t="inlineStr">
        <x:is>
          <x:t xml:space="preserve">N</x:t>
        </x:is>
      </x:c>
    </x:row>
    <x:row r="683">
      <x:c r="B683" t="inlineStr">
        <x:is>
          <x:t xml:space="preserve">DATA-D7-Q14</x:t>
        </x:is>
      </x:c>
      <x:c r="C683" t="inlineStr">
        <x:is>
          <x:t xml:space="preserve">DATA-D7-Q14-A2</x:t>
        </x:is>
      </x:c>
      <x:c r="D683" t="n">
        <x:v>3</x:v>
      </x:c>
      <x:c r="E683" t="inlineStr">
        <x:is>
          <x:t xml:space="preserve">Yes: Regular dashboard with meaningful business indicators.</x:t>
        </x:is>
      </x:c>
      <x:c r="F683" t="n">
        <x:v>3</x:v>
      </x:c>
      <x:c r="I683" t="inlineStr">
        <x:is>
          <x:t xml:space="preserve">Evidence_Request_Dashboard</x:t>
        </x:is>
      </x:c>
      <x:c r="J683" t="inlineStr">
        <x:is>
          <x:t xml:space="preserve">N</x:t>
        </x:is>
      </x:c>
    </x:row>
    <x:row r="684">
      <x:c r="B684" t="inlineStr">
        <x:is>
          <x:t xml:space="preserve">DATA-D7-Q14</x:t>
        </x:is>
      </x:c>
      <x:c r="C684" t="inlineStr">
        <x:is>
          <x:t xml:space="preserve">DATA-D7-Q14-A3</x:t>
        </x:is>
      </x:c>
      <x:c r="D684" t="n">
        <x:v>4</x:v>
      </x:c>
      <x:c r="E684" t="inlineStr">
        <x:is>
          <x:t xml:space="preserve">Mature: Metrics drive decisions and are tied to remediation priorities.</x:t>
        </x:is>
      </x:c>
      <x:c r="F684" t="n">
        <x:v>4</x:v>
      </x:c>
      <x:c r="I684" t="inlineStr">
        <x:is>
          <x:t xml:space="preserve">Maintain_and_Audit</x:t>
        </x:is>
      </x:c>
      <x:c r="J684" t="inlineStr">
        <x:is>
          <x:t xml:space="preserve">N</x:t>
        </x:is>
      </x:c>
    </x:row>
    <x:row r="685">
      <x:c r="B685" t="inlineStr">
        <x:is>
          <x:t xml:space="preserve">DATA-D8-Q15</x:t>
        </x:is>
      </x:c>
      <x:c r="C685" t="inlineStr">
        <x:is>
          <x:t xml:space="preserve">DATA-D8-Q15-A0</x:t>
        </x:is>
      </x:c>
      <x:c r="D685" t="n">
        <x:v>1</x:v>
      </x:c>
      <x:c r="E685" t="inlineStr">
        <x:is>
          <x:t xml:space="preserve">No: Classification exists only as policy; not used in practice.</x:t>
        </x:is>
      </x:c>
      <x:c r="F685" t="n">
        <x:v>0</x:v>
      </x:c>
      <x:c r="G685" t="inlineStr">
        <x:is>
          <x:t xml:space="preserve">paper_dragon_signal</x:t>
        </x:is>
      </x:c>
      <x:c r="H685" t="inlineStr">
        <x:is>
          <x:t xml:space="preserve">Paper Dragon</x:t>
        </x:is>
      </x:c>
      <x:c r="I685" t="inlineStr">
        <x:is>
          <x:t xml:space="preserve">Practical_Labeling</x:t>
        </x:is>
      </x:c>
      <x:c r="J685" t="inlineStr">
        <x:is>
          <x:t xml:space="preserve">N</x:t>
        </x:is>
      </x:c>
    </x:row>
    <x:row r="686">
      <x:c r="B686" t="inlineStr">
        <x:is>
          <x:t xml:space="preserve">DATA-D8-Q15</x:t>
        </x:is>
      </x:c>
      <x:c r="C686" t="inlineStr">
        <x:is>
          <x:t xml:space="preserve">DATA-D8-Q15-A1</x:t>
        </x:is>
      </x:c>
      <x:c r="D686" t="n">
        <x:v>2</x:v>
      </x:c>
      <x:c r="E686" t="inlineStr">
        <x:is>
          <x:t xml:space="preserve">Partial: Some teams use it, but adoption is uneven.</x:t>
        </x:is>
      </x:c>
      <x:c r="F686" t="n">
        <x:v>1</x:v>
      </x:c>
      <x:c r="G686" t="inlineStr">
        <x:is>
          <x:t xml:space="preserve">operating_model_gap</x:t>
        </x:is>
      </x:c>
      <x:c r="H686" t="inlineStr">
        <x:is>
          <x:t xml:space="preserve">Operating Model Gap</x:t>
        </x:is>
      </x:c>
      <x:c r="I686" t="inlineStr">
        <x:is>
          <x:t xml:space="preserve">Increase_Adoption</x:t>
        </x:is>
      </x:c>
      <x:c r="J686" t="inlineStr">
        <x:is>
          <x:t xml:space="preserve">N</x:t>
        </x:is>
      </x:c>
    </x:row>
    <x:row r="687">
      <x:c r="B687" t="inlineStr">
        <x:is>
          <x:t xml:space="preserve">DATA-D8-Q15</x:t>
        </x:is>
      </x:c>
      <x:c r="C687" t="inlineStr">
        <x:is>
          <x:t xml:space="preserve">DATA-D8-Q15-A2</x:t>
        </x:is>
      </x:c>
      <x:c r="D687" t="n">
        <x:v>3</x:v>
      </x:c>
      <x:c r="E687" t="inlineStr">
        <x:is>
          <x:t xml:space="preserve">Yes: Classification is embedded in key workflows and used broadly.</x:t>
        </x:is>
      </x:c>
      <x:c r="F687" t="n">
        <x:v>3</x:v>
      </x:c>
      <x:c r="I687" t="inlineStr">
        <x:is>
          <x:t xml:space="preserve">Evidence_Request_Labeling</x:t>
        </x:is>
      </x:c>
      <x:c r="J687" t="inlineStr">
        <x:is>
          <x:t xml:space="preserve">N</x:t>
        </x:is>
      </x:c>
    </x:row>
    <x:row r="688">
      <x:c r="B688" t="inlineStr">
        <x:is>
          <x:t xml:space="preserve">DATA-D8-Q15</x:t>
        </x:is>
      </x:c>
      <x:c r="C688" t="inlineStr">
        <x:is>
          <x:t xml:space="preserve">DATA-D8-Q15-A3</x:t>
        </x:is>
      </x:c>
      <x:c r="D688" t="n">
        <x:v>4</x:v>
      </x:c>
      <x:c r="E688" t="inlineStr">
        <x:is>
          <x:t xml:space="preserve">Mature: Measured adoption + automation + continuous improvement.</x:t>
        </x:is>
      </x:c>
      <x:c r="F688" t="n">
        <x:v>4</x:v>
      </x:c>
      <x:c r="I688" t="inlineStr">
        <x:is>
          <x:t xml:space="preserve">Maintain_and_Audit</x:t>
        </x:is>
      </x:c>
      <x:c r="J688" t="inlineStr">
        <x:is>
          <x:t xml:space="preserve">N</x:t>
        </x:is>
      </x:c>
    </x:row>
    <x:row r="689">
      <x:c r="B689" t="inlineStr">
        <x:is>
          <x:t xml:space="preserve">ITIAM-D1-Q01</x:t>
        </x:is>
      </x:c>
      <x:c r="C689" t="inlineStr">
        <x:is>
          <x:t xml:space="preserve">ITIAM-D1-Q01-A0</x:t>
        </x:is>
      </x:c>
      <x:c r="D689" t="n">
        <x:v>1</x:v>
      </x:c>
      <x:c r="E689" t="inlineStr">
        <x:is>
          <x:t xml:space="preserve">I don’t know / not sure.</x:t>
        </x:is>
      </x:c>
      <x:c r="F689" t="n">
        <x:v>0</x:v>
      </x:c>
      <x:c r="G689" t="inlineStr">
        <x:is>
          <x:t xml:space="preserve">unknown</x:t>
        </x:is>
      </x:c>
      <x:c r="H689" t="inlineStr">
        <x:is>
          <x:t xml:space="preserve">Unknown</x:t>
        </x:is>
      </x:c>
      <x:c r="I689" t="inlineStr">
        <x:is>
          <x:t xml:space="preserve">Clarify_Offboarding</x:t>
        </x:is>
      </x:c>
      <x:c r="J689" t="inlineStr">
        <x:is>
          <x:t xml:space="preserve">N</x:t>
        </x:is>
      </x:c>
    </x:row>
    <x:row r="690">
      <x:c r="B690" t="inlineStr">
        <x:is>
          <x:t xml:space="preserve">ITIAM-D1-Q01</x:t>
        </x:is>
      </x:c>
      <x:c r="C690" t="inlineStr">
        <x:is>
          <x:t xml:space="preserve">ITIAM-D1-Q01-A1</x:t>
        </x:is>
      </x:c>
      <x:c r="D690" t="n">
        <x:v>2</x:v>
      </x:c>
      <x:c r="E690" t="inlineStr">
        <x:is>
          <x:t xml:space="preserve">Slow: Access removal can take days or weeks; depends on tickets.</x:t>
        </x:is>
      </x:c>
      <x:c r="F690" t="n">
        <x:v>0</x:v>
      </x:c>
      <x:c r="G690" t="inlineStr">
        <x:is>
          <x:t xml:space="preserve">control_lag</x:t>
        </x:is>
      </x:c>
      <x:c r="H690" t="inlineStr">
        <x:is>
          <x:t xml:space="preserve">Control Lag</x:t>
        </x:is>
      </x:c>
      <x:c r="I690" t="inlineStr">
        <x:is>
          <x:t xml:space="preserve">Improve_Offboarding</x:t>
        </x:is>
      </x:c>
      <x:c r="J690" t="inlineStr">
        <x:is>
          <x:t xml:space="preserve">N</x:t>
        </x:is>
      </x:c>
    </x:row>
    <x:row r="691">
      <x:c r="B691" t="inlineStr">
        <x:is>
          <x:t xml:space="preserve">ITIAM-D1-Q01</x:t>
        </x:is>
      </x:c>
      <x:c r="C691" t="inlineStr">
        <x:is>
          <x:t xml:space="preserve">ITIAM-D1-Q01-A2</x:t>
        </x:is>
      </x:c>
      <x:c r="D691" t="n">
        <x:v>3</x:v>
      </x:c>
      <x:c r="E691" t="inlineStr">
        <x:is>
          <x:t xml:space="preserve">Same-day, manual: Admins usually remove access within a day using checklists.</x:t>
        </x:is>
      </x:c>
      <x:c r="F691" t="n">
        <x:v>2</x:v>
      </x:c>
      <x:c r="G691" t="inlineStr">
        <x:is>
          <x:t xml:space="preserve">shadow_mature_signal</x:t>
        </x:is>
      </x:c>
      <x:c r="H691" t="inlineStr">
        <x:is>
          <x:t xml:space="preserve">Shadow Mature</x:t>
        </x:is>
      </x:c>
      <x:c r="I691" t="inlineStr">
        <x:is>
          <x:t xml:space="preserve">Automate_JML</x:t>
        </x:is>
      </x:c>
      <x:c r="J691" t="inlineStr">
        <x:is>
          <x:t xml:space="preserve">N</x:t>
        </x:is>
      </x:c>
    </x:row>
    <x:row r="692">
      <x:c r="B692" t="inlineStr">
        <x:is>
          <x:t xml:space="preserve">ITIAM-D1-Q01</x:t>
        </x:is>
      </x:c>
      <x:c r="C692" t="inlineStr">
        <x:is>
          <x:t xml:space="preserve">ITIAM-D1-Q01-A3</x:t>
        </x:is>
      </x:c>
      <x:c r="D692" t="n">
        <x:v>4</x:v>
      </x:c>
      <x:c r="E692" t="inlineStr">
        <x:is>
          <x:t xml:space="preserve">Fast: Most access removed within hours using standardized process.</x:t>
        </x:is>
      </x:c>
      <x:c r="F692" t="n">
        <x:v>3</x:v>
      </x:c>
      <x:c r="I692" t="inlineStr">
        <x:is>
          <x:t xml:space="preserve">Evidence_Request_JML</x:t>
        </x:is>
      </x:c>
      <x:c r="J692" t="inlineStr">
        <x:is>
          <x:t xml:space="preserve">N</x:t>
        </x:is>
      </x:c>
    </x:row>
    <x:row r="693">
      <x:c r="B693" t="inlineStr">
        <x:is>
          <x:t xml:space="preserve">ITIAM-D1-Q01</x:t>
        </x:is>
      </x:c>
      <x:c r="C693" t="inlineStr">
        <x:is>
          <x:t xml:space="preserve">ITIAM-D1-Q01-A4</x:t>
        </x:is>
      </x:c>
      <x:c r="D693" t="n">
        <x:v>5</x:v>
      </x:c>
      <x:c r="E693" t="inlineStr">
        <x:is>
          <x:t xml:space="preserve">Optimized: Automated deprovisioning triggered by HR events; verified completion.</x:t>
        </x:is>
      </x:c>
      <x:c r="F693" t="n">
        <x:v>4</x:v>
      </x:c>
      <x:c r="I693" t="inlineStr">
        <x:is>
          <x:t xml:space="preserve">Maintain_and_Audit</x:t>
        </x:is>
      </x:c>
      <x:c r="J693" t="inlineStr">
        <x:is>
          <x:t xml:space="preserve">N</x:t>
        </x:is>
      </x:c>
    </x:row>
    <x:row r="694">
      <x:c r="B694" t="inlineStr">
        <x:is>
          <x:t xml:space="preserve">ITIAM-D1-Q02</x:t>
        </x:is>
      </x:c>
      <x:c r="C694" t="inlineStr">
        <x:is>
          <x:t xml:space="preserve">ITIAM-D1-Q02-A0</x:t>
        </x:is>
      </x:c>
      <x:c r="D694" t="n">
        <x:v>1</x:v>
      </x:c>
      <x:c r="E694" t="inlineStr">
        <x:is>
          <x:t xml:space="preserve">No: It’s inconsistent; depends on who is available.</x:t>
        </x:is>
      </x:c>
      <x:c r="F694" t="n">
        <x:v>0</x:v>
      </x:c>
      <x:c r="G694" t="inlineStr">
        <x:is>
          <x:t xml:space="preserve">operating_model_gap</x:t>
        </x:is>
      </x:c>
      <x:c r="H694" t="inlineStr">
        <x:is>
          <x:t xml:space="preserve">Operating Model Gap</x:t>
        </x:is>
      </x:c>
      <x:c r="I694" t="inlineStr">
        <x:is>
          <x:t xml:space="preserve">Standardize_Manual_JML</x:t>
        </x:is>
      </x:c>
      <x:c r="J694" t="inlineStr">
        <x:is>
          <x:t xml:space="preserve">N</x:t>
        </x:is>
      </x:c>
    </x:row>
    <x:row r="695">
      <x:c r="B695" t="inlineStr">
        <x:is>
          <x:t xml:space="preserve">ITIAM-D1-Q02</x:t>
        </x:is>
      </x:c>
      <x:c r="C695" t="inlineStr">
        <x:is>
          <x:t xml:space="preserve">ITIAM-D1-Q02-A1</x:t>
        </x:is>
      </x:c>
      <x:c r="D695" t="n">
        <x:v>2</x:v>
      </x:c>
      <x:c r="E695" t="inlineStr">
        <x:is>
          <x:t xml:space="preserve">Yes, but person-dependent: A few admins ‘know the steps’.</x:t>
        </x:is>
      </x:c>
      <x:c r="F695" t="n">
        <x:v>2</x:v>
      </x:c>
      <x:c r="G695" t="inlineStr">
        <x:is>
          <x:t xml:space="preserve">shadow_mature_signal,key_person_dependency</x:t>
        </x:is>
      </x:c>
      <x:c r="H695" t="inlineStr">
        <x:is>
          <x:t xml:space="preserve">Shadow Mature</x:t>
        </x:is>
      </x:c>
      <x:c r="I695" t="inlineStr">
        <x:is>
          <x:t xml:space="preserve">Document_Checklists</x:t>
        </x:is>
      </x:c>
      <x:c r="J695" t="inlineStr">
        <x:is>
          <x:t xml:space="preserve">N</x:t>
        </x:is>
      </x:c>
    </x:row>
    <x:row r="696">
      <x:c r="B696" t="inlineStr">
        <x:is>
          <x:t xml:space="preserve">ITIAM-D1-Q02</x:t>
        </x:is>
      </x:c>
      <x:c r="C696" t="inlineStr">
        <x:is>
          <x:t xml:space="preserve">ITIAM-D1-Q02-A2</x:t>
        </x:is>
      </x:c>
      <x:c r="D696" t="n">
        <x:v>3</x:v>
      </x:c>
      <x:c r="E696" t="inlineStr">
        <x:is>
          <x:t xml:space="preserve">Yes: Checklist + approvals are used consistently for most exits.</x:t>
        </x:is>
      </x:c>
      <x:c r="F696" t="n">
        <x:v>3</x:v>
      </x:c>
      <x:c r="G696" t="inlineStr">
        <x:is>
          <x:t xml:space="preserve">shadow_mature_signal</x:t>
        </x:is>
      </x:c>
      <x:c r="H696" t="inlineStr">
        <x:is>
          <x:t xml:space="preserve">Shadow Mature</x:t>
        </x:is>
      </x:c>
      <x:c r="I696" t="inlineStr">
        <x:is>
          <x:t xml:space="preserve">Automate_JML</x:t>
        </x:is>
      </x:c>
      <x:c r="J696" t="inlineStr">
        <x:is>
          <x:t xml:space="preserve">N</x:t>
        </x:is>
      </x:c>
    </x:row>
    <x:row r="697">
      <x:c r="B697" t="inlineStr">
        <x:is>
          <x:t xml:space="preserve">ITIAM-D1-Q03</x:t>
        </x:is>
      </x:c>
      <x:c r="C697" t="inlineStr">
        <x:is>
          <x:t xml:space="preserve">ITIAM-D1-Q03-A0</x:t>
        </x:is>
      </x:c>
      <x:c r="D697" t="n">
        <x:v>1</x:v>
      </x:c>
      <x:c r="E697" t="inlineStr">
        <x:is>
          <x:t xml:space="preserve">No: HR and IT processes are disconnected.</x:t>
        </x:is>
      </x:c>
      <x:c r="F697" t="n">
        <x:v>0</x:v>
      </x:c>
      <x:c r="G697" t="inlineStr">
        <x:is>
          <x:t xml:space="preserve">control_lag</x:t>
        </x:is>
      </x:c>
      <x:c r="H697" t="inlineStr">
        <x:is>
          <x:t xml:space="preserve">Control Lag</x:t>
        </x:is>
      </x:c>
      <x:c r="I697" t="inlineStr">
        <x:is>
          <x:t xml:space="preserve">Integrate_HR_IT</x:t>
        </x:is>
      </x:c>
      <x:c r="J697" t="inlineStr">
        <x:is>
          <x:t xml:space="preserve">N</x:t>
        </x:is>
      </x:c>
    </x:row>
    <x:row r="698">
      <x:c r="B698" t="inlineStr">
        <x:is>
          <x:t xml:space="preserve">ITIAM-D1-Q03</x:t>
        </x:is>
      </x:c>
      <x:c r="C698" t="inlineStr">
        <x:is>
          <x:t xml:space="preserve">ITIAM-D1-Q03-A1</x:t>
        </x:is>
      </x:c>
      <x:c r="D698" t="n">
        <x:v>2</x:v>
      </x:c>
      <x:c r="E698" t="inlineStr">
        <x:is>
          <x:t xml:space="preserve">Partial: Some systems are automated; others rely on tickets/emails.</x:t>
        </x:is>
      </x:c>
      <x:c r="F698" t="n">
        <x:v>1</x:v>
      </x:c>
      <x:c r="G698" t="inlineStr">
        <x:is>
          <x:t xml:space="preserve">operating_model_gap</x:t>
        </x:is>
      </x:c>
      <x:c r="H698" t="inlineStr">
        <x:is>
          <x:t xml:space="preserve">Operating Model Gap</x:t>
        </x:is>
      </x:c>
      <x:c r="I698" t="inlineStr">
        <x:is>
          <x:t xml:space="preserve">Expand_Automation</x:t>
        </x:is>
      </x:c>
      <x:c r="J698" t="inlineStr">
        <x:is>
          <x:t xml:space="preserve">N</x:t>
        </x:is>
      </x:c>
    </x:row>
    <x:row r="699">
      <x:c r="B699" t="inlineStr">
        <x:is>
          <x:t xml:space="preserve">ITIAM-D1-Q03</x:t>
        </x:is>
      </x:c>
      <x:c r="C699" t="inlineStr">
        <x:is>
          <x:t xml:space="preserve">ITIAM-D1-Q03-A2</x:t>
        </x:is>
      </x:c>
      <x:c r="D699" t="n">
        <x:v>3</x:v>
      </x:c>
      <x:c r="E699" t="inlineStr">
        <x:is>
          <x:t xml:space="preserve">Yes: Most systems are automated for JML events.</x:t>
        </x:is>
      </x:c>
      <x:c r="F699" t="n">
        <x:v>3</x:v>
      </x:c>
      <x:c r="I699" t="inlineStr">
        <x:is>
          <x:t xml:space="preserve">Evidence_Request_Integration</x:t>
        </x:is>
      </x:c>
      <x:c r="J699" t="inlineStr">
        <x:is>
          <x:t xml:space="preserve">N</x:t>
        </x:is>
      </x:c>
    </x:row>
    <x:row r="700">
      <x:c r="B700" t="inlineStr">
        <x:is>
          <x:t xml:space="preserve">ITIAM-D1-Q03</x:t>
        </x:is>
      </x:c>
      <x:c r="C700" t="inlineStr">
        <x:is>
          <x:t xml:space="preserve">ITIAM-D1-Q03-A3</x:t>
        </x:is>
      </x:c>
      <x:c r="D700" t="n">
        <x:v>4</x:v>
      </x:c>
      <x:c r="E700" t="inlineStr">
        <x:is>
          <x:t xml:space="preserve">Optimized: Automated + reconciliation reports confirm all access removed/updated.</x:t>
        </x:is>
      </x:c>
      <x:c r="F700" t="n">
        <x:v>4</x:v>
      </x:c>
      <x:c r="I700" t="inlineStr">
        <x:is>
          <x:t xml:space="preserve">Maintain_and_Audit</x:t>
        </x:is>
      </x:c>
      <x:c r="J700" t="inlineStr">
        <x:is>
          <x:t xml:space="preserve">N</x:t>
        </x:is>
      </x:c>
    </x:row>
    <x:row r="701">
      <x:c r="B701" t="inlineStr">
        <x:is>
          <x:t xml:space="preserve">ITIAM-D2-Q04</x:t>
        </x:is>
      </x:c>
      <x:c r="C701" t="inlineStr">
        <x:is>
          <x:t xml:space="preserve">ITIAM-D2-Q04-A0</x:t>
        </x:is>
      </x:c>
      <x:c r="D701" t="n">
        <x:v>1</x:v>
      </x:c>
      <x:c r="E701" t="inlineStr">
        <x:is>
          <x:t xml:space="preserve">No: We can’t quickly produce an accurate access list.</x:t>
        </x:is>
      </x:c>
      <x:c r="F701" t="n">
        <x:v>0</x:v>
      </x:c>
      <x:c r="G701" t="inlineStr">
        <x:is>
          <x:t xml:space="preserve">visibility_gap</x:t>
        </x:is>
      </x:c>
      <x:c r="H701" t="inlineStr">
        <x:is>
          <x:t xml:space="preserve">Visibility Gap</x:t>
        </x:is>
      </x:c>
      <x:c r="I701" t="inlineStr">
        <x:is>
          <x:t xml:space="preserve">Access_Inventory</x:t>
        </x:is>
      </x:c>
      <x:c r="J701" t="inlineStr">
        <x:is>
          <x:t xml:space="preserve">N</x:t>
        </x:is>
      </x:c>
    </x:row>
    <x:row r="702">
      <x:c r="B702" t="inlineStr">
        <x:is>
          <x:t xml:space="preserve">ITIAM-D2-Q04</x:t>
        </x:is>
      </x:c>
      <x:c r="C702" t="inlineStr">
        <x:is>
          <x:t xml:space="preserve">ITIAM-D2-Q04-A1</x:t>
        </x:is>
      </x:c>
      <x:c r="D702" t="n">
        <x:v>2</x:v>
      </x:c>
      <x:c r="E702" t="inlineStr">
        <x:is>
          <x:t xml:space="preserve">Partial: Some systems are covered; SaaS and shared accounts are gaps.</x:t>
        </x:is>
      </x:c>
      <x:c r="F702" t="n">
        <x:v>1</x:v>
      </x:c>
      <x:c r="G702" t="inlineStr">
        <x:is>
          <x:t xml:space="preserve">visibility_gap</x:t>
        </x:is>
      </x:c>
      <x:c r="H702" t="inlineStr">
        <x:is>
          <x:t xml:space="preserve">Visibility Gap</x:t>
        </x:is>
      </x:c>
      <x:c r="I702" t="inlineStr">
        <x:is>
          <x:t xml:space="preserve">Expand_Coverage</x:t>
        </x:is>
      </x:c>
      <x:c r="J702" t="inlineStr">
        <x:is>
          <x:t xml:space="preserve">N</x:t>
        </x:is>
      </x:c>
    </x:row>
    <x:row r="703">
      <x:c r="B703" t="inlineStr">
        <x:is>
          <x:t xml:space="preserve">ITIAM-D2-Q04</x:t>
        </x:is>
      </x:c>
      <x:c r="C703" t="inlineStr">
        <x:is>
          <x:t xml:space="preserve">ITIAM-D2-Q04-A2</x:t>
        </x:is>
      </x:c>
      <x:c r="D703" t="n">
        <x:v>3</x:v>
      </x:c>
      <x:c r="E703" t="inlineStr">
        <x:is>
          <x:t xml:space="preserve">Yes: We can produce reliable access lists for key systems.</x:t>
        </x:is>
      </x:c>
      <x:c r="F703" t="n">
        <x:v>3</x:v>
      </x:c>
      <x:c r="I703" t="inlineStr">
        <x:is>
          <x:t xml:space="preserve">Evidence_Request_Access_List</x:t>
        </x:is>
      </x:c>
      <x:c r="J703" t="inlineStr">
        <x:is>
          <x:t xml:space="preserve">N</x:t>
        </x:is>
      </x:c>
    </x:row>
    <x:row r="704">
      <x:c r="B704" t="inlineStr">
        <x:is>
          <x:t xml:space="preserve">ITIAM-D2-Q04</x:t>
        </x:is>
      </x:c>
      <x:c r="C704" t="inlineStr">
        <x:is>
          <x:t xml:space="preserve">ITIAM-D2-Q04-A3</x:t>
        </x:is>
      </x:c>
      <x:c r="D704" t="n">
        <x:v>4</x:v>
      </x:c>
      <x:c r="E704" t="inlineStr">
        <x:is>
          <x:t xml:space="preserve">Optimized: Near-real-time visibility and ownership of access lists.</x:t>
        </x:is>
      </x:c>
      <x:c r="F704" t="n">
        <x:v>4</x:v>
      </x:c>
      <x:c r="I704" t="inlineStr">
        <x:is>
          <x:t xml:space="preserve">Maintain_and_Audit</x:t>
        </x:is>
      </x:c>
      <x:c r="J704" t="inlineStr">
        <x:is>
          <x:t xml:space="preserve">N</x:t>
        </x:is>
      </x:c>
    </x:row>
    <x:row r="705">
      <x:c r="B705" t="inlineStr">
        <x:is>
          <x:t xml:space="preserve">ITIAM-D2-Q05</x:t>
        </x:is>
      </x:c>
      <x:c r="C705" t="inlineStr">
        <x:is>
          <x:t xml:space="preserve">ITIAM-D2-Q05-A0</x:t>
        </x:is>
      </x:c>
      <x:c r="D705" t="n">
        <x:v>1</x:v>
      </x:c>
      <x:c r="E705" t="inlineStr">
        <x:is>
          <x:t xml:space="preserve">No: Access reviews are rare or only after incidents.</x:t>
        </x:is>
      </x:c>
      <x:c r="F705" t="n">
        <x:v>0</x:v>
      </x:c>
      <x:c r="G705" t="inlineStr">
        <x:is>
          <x:t xml:space="preserve">visibility_gap</x:t>
        </x:is>
      </x:c>
      <x:c r="H705" t="inlineStr">
        <x:is>
          <x:t xml:space="preserve">Visibility Gap</x:t>
        </x:is>
      </x:c>
      <x:c r="I705" t="inlineStr">
        <x:is>
          <x:t xml:space="preserve">Access_Reviews</x:t>
        </x:is>
      </x:c>
      <x:c r="J705" t="inlineStr">
        <x:is>
          <x:t xml:space="preserve">N</x:t>
        </x:is>
      </x:c>
    </x:row>
    <x:row r="706">
      <x:c r="B706" t="inlineStr">
        <x:is>
          <x:t xml:space="preserve">ITIAM-D2-Q05</x:t>
        </x:is>
      </x:c>
      <x:c r="C706" t="inlineStr">
        <x:is>
          <x:t xml:space="preserve">ITIAM-D2-Q05-A1</x:t>
        </x:is>
      </x:c>
      <x:c r="D706" t="n">
        <x:v>2</x:v>
      </x:c>
      <x:c r="E706" t="inlineStr">
        <x:is>
          <x:t xml:space="preserve">Ad-hoc: Reviews happen sometimes but are not tracked to closure.</x:t>
        </x:is>
      </x:c>
      <x:c r="F706" t="n">
        <x:v>1</x:v>
      </x:c>
      <x:c r="G706" t="inlineStr">
        <x:is>
          <x:t xml:space="preserve">operating_model_gap</x:t>
        </x:is>
      </x:c>
      <x:c r="H706" t="inlineStr">
        <x:is>
          <x:t xml:space="preserve">Operating Model Gap</x:t>
        </x:is>
      </x:c>
      <x:c r="I706" t="inlineStr">
        <x:is>
          <x:t xml:space="preserve">Standardize_Access_Reviews</x:t>
        </x:is>
      </x:c>
      <x:c r="J706" t="inlineStr">
        <x:is>
          <x:t xml:space="preserve">N</x:t>
        </x:is>
      </x:c>
    </x:row>
    <x:row r="707">
      <x:c r="B707" t="inlineStr">
        <x:is>
          <x:t xml:space="preserve">ITIAM-D2-Q05</x:t>
        </x:is>
      </x:c>
      <x:c r="C707" t="inlineStr">
        <x:is>
          <x:t xml:space="preserve">ITIAM-D2-Q05-A2</x:t>
        </x:is>
      </x:c>
      <x:c r="D707" t="n">
        <x:v>3</x:v>
      </x:c>
      <x:c r="E707" t="inlineStr">
        <x:is>
          <x:t xml:space="preserve">Yes: Reviews occur for key systems and removals are tracked.</x:t>
        </x:is>
      </x:c>
      <x:c r="F707" t="n">
        <x:v>3</x:v>
      </x:c>
      <x:c r="I707" t="inlineStr">
        <x:is>
          <x:t xml:space="preserve">Evidence_Request_AccessReview</x:t>
        </x:is>
      </x:c>
      <x:c r="J707" t="inlineStr">
        <x:is>
          <x:t xml:space="preserve">N</x:t>
        </x:is>
      </x:c>
    </x:row>
    <x:row r="708">
      <x:c r="B708" t="inlineStr">
        <x:is>
          <x:t xml:space="preserve">ITIAM-D2-Q05</x:t>
        </x:is>
      </x:c>
      <x:c r="C708" t="inlineStr">
        <x:is>
          <x:t xml:space="preserve">ITIAM-D2-Q05-A3</x:t>
        </x:is>
      </x:c>
      <x:c r="D708" t="n">
        <x:v>4</x:v>
      </x:c>
      <x:c r="E708" t="inlineStr">
        <x:is>
          <x:t xml:space="preserve">Optimized: Risk-based frequency + automation + audit trail.</x:t>
        </x:is>
      </x:c>
      <x:c r="F708" t="n">
        <x:v>4</x:v>
      </x:c>
      <x:c r="I708" t="inlineStr">
        <x:is>
          <x:t xml:space="preserve">Maintain_and_Audit</x:t>
        </x:is>
      </x:c>
      <x:c r="J708" t="inlineStr">
        <x:is>
          <x:t xml:space="preserve">N</x:t>
        </x:is>
      </x:c>
    </x:row>
    <x:row r="709">
      <x:c r="B709" t="inlineStr">
        <x:is>
          <x:t xml:space="preserve">ITIAM-D3-Q06</x:t>
        </x:is>
      </x:c>
      <x:c r="C709" t="inlineStr">
        <x:is>
          <x:t xml:space="preserve">ITIAM-D3-Q06-A0</x:t>
        </x:is>
      </x:c>
      <x:c r="D709" t="n">
        <x:v>1</x:v>
      </x:c>
      <x:c r="E709" t="inlineStr">
        <x:is>
          <x:t xml:space="preserve">I don’t know / not sure.</x:t>
        </x:is>
      </x:c>
      <x:c r="F709" t="n">
        <x:v>0</x:v>
      </x:c>
      <x:c r="G709" t="inlineStr">
        <x:is>
          <x:t xml:space="preserve">unknown</x:t>
        </x:is>
      </x:c>
      <x:c r="H709" t="inlineStr">
        <x:is>
          <x:t xml:space="preserve">Unknown</x:t>
        </x:is>
      </x:c>
      <x:c r="I709" t="inlineStr">
        <x:is>
          <x:t xml:space="preserve">Clarify_Privileged</x:t>
        </x:is>
      </x:c>
      <x:c r="J709" t="inlineStr">
        <x:is>
          <x:t xml:space="preserve">N</x:t>
        </x:is>
      </x:c>
    </x:row>
    <x:row r="710">
      <x:c r="B710" t="inlineStr">
        <x:is>
          <x:t xml:space="preserve">ITIAM-D3-Q06</x:t>
        </x:is>
      </x:c>
      <x:c r="C710" t="inlineStr">
        <x:is>
          <x:t xml:space="preserve">ITIAM-D3-Q06-A1</x:t>
        </x:is>
      </x:c>
      <x:c r="D710" t="n">
        <x:v>2</x:v>
      </x:c>
      <x:c r="E710" t="inlineStr">
        <x:is>
          <x:t xml:space="preserve">Weak: Shared admin accounts or standing privilege with little oversight.</x:t>
        </x:is>
      </x:c>
      <x:c r="F710" t="n">
        <x:v>0</x:v>
      </x:c>
      <x:c r="G710" t="inlineStr">
        <x:is>
          <x:t xml:space="preserve">visibility_gap,legal_exposure</x:t>
        </x:is>
      </x:c>
      <x:c r="H710" t="inlineStr">
        <x:is>
          <x:t xml:space="preserve">Visibility Gap</x:t>
        </x:is>
      </x:c>
      <x:c r="I710" t="inlineStr">
        <x:is>
          <x:t xml:space="preserve">Implement_PAM</x:t>
        </x:is>
      </x:c>
      <x:c r="J710" t="inlineStr">
        <x:is>
          <x:t xml:space="preserve">N</x:t>
        </x:is>
      </x:c>
    </x:row>
    <x:row r="711">
      <x:c r="B711" t="inlineStr">
        <x:is>
          <x:t xml:space="preserve">ITIAM-D3-Q06</x:t>
        </x:is>
      </x:c>
      <x:c r="C711" t="inlineStr">
        <x:is>
          <x:t xml:space="preserve">ITIAM-D3-Q06-A2</x:t>
        </x:is>
      </x:c>
      <x:c r="D711" t="n">
        <x:v>3</x:v>
      </x:c>
      <x:c r="E711" t="inlineStr">
        <x:is>
          <x:t xml:space="preserve">Basic: Named accounts and MFA, but standing privilege is common.</x:t>
        </x:is>
      </x:c>
      <x:c r="F711" t="n">
        <x:v>1</x:v>
      </x:c>
      <x:c r="G711" t="inlineStr">
        <x:is>
          <x:t xml:space="preserve">operating_model_gap</x:t>
        </x:is>
      </x:c>
      <x:c r="H711" t="inlineStr">
        <x:is>
          <x:t xml:space="preserve">Operating Model Gap</x:t>
        </x:is>
      </x:c>
      <x:c r="I711" t="inlineStr">
        <x:is>
          <x:t xml:space="preserve">Reduce_Standing_Privilege</x:t>
        </x:is>
      </x:c>
      <x:c r="J711" t="inlineStr">
        <x:is>
          <x:t xml:space="preserve">N</x:t>
        </x:is>
      </x:c>
    </x:row>
    <x:row r="712">
      <x:c r="B712" t="inlineStr">
        <x:is>
          <x:t xml:space="preserve">ITIAM-D3-Q06</x:t>
        </x:is>
      </x:c>
      <x:c r="C712" t="inlineStr">
        <x:is>
          <x:t xml:space="preserve">ITIAM-D3-Q06-A3</x:t>
        </x:is>
      </x:c>
      <x:c r="D712" t="n">
        <x:v>4</x:v>
      </x:c>
      <x:c r="E712" t="inlineStr">
        <x:is>
          <x:t xml:space="preserve">Strong: Approval + logging for most privileged actions; limited standing privilege.</x:t>
        </x:is>
      </x:c>
      <x:c r="F712" t="n">
        <x:v>3</x:v>
      </x:c>
      <x:c r="I712" t="inlineStr">
        <x:is>
          <x:t xml:space="preserve">Evidence_Request_PAM</x:t>
        </x:is>
      </x:c>
      <x:c r="J712" t="inlineStr">
        <x:is>
          <x:t xml:space="preserve">N</x:t>
        </x:is>
      </x:c>
    </x:row>
    <x:row r="713">
      <x:c r="B713" t="inlineStr">
        <x:is>
          <x:t xml:space="preserve">ITIAM-D3-Q06</x:t>
        </x:is>
      </x:c>
      <x:c r="C713" t="inlineStr">
        <x:is>
          <x:t xml:space="preserve">ITIAM-D3-Q06-A4</x:t>
        </x:is>
      </x:c>
      <x:c r="D713" t="n">
        <x:v>5</x:v>
      </x:c>
      <x:c r="E713" t="inlineStr">
        <x:is>
          <x:t xml:space="preserve">Optimized: Just-in-time (time-bound) privilege + session controls + regular reviews.</x:t>
        </x:is>
      </x:c>
      <x:c r="F713" t="n">
        <x:v>4</x:v>
      </x:c>
      <x:c r="I713" t="inlineStr">
        <x:is>
          <x:t xml:space="preserve">Maintain_and_Audit</x:t>
        </x:is>
      </x:c>
      <x:c r="J713" t="inlineStr">
        <x:is>
          <x:t xml:space="preserve">N</x:t>
        </x:is>
      </x:c>
    </x:row>
    <x:row r="714">
      <x:c r="B714" t="inlineStr">
        <x:is>
          <x:t xml:space="preserve">ITIAM-D3-Q07</x:t>
        </x:is>
      </x:c>
      <x:c r="C714" t="inlineStr">
        <x:is>
          <x:t xml:space="preserve">ITIAM-D3-Q07-A0</x:t>
        </x:is>
      </x:c>
      <x:c r="D714" t="n">
        <x:v>1</x:v>
      </x:c>
      <x:c r="E714" t="inlineStr">
        <x:is>
          <x:t xml:space="preserve">No: Break-glass exists but isn’t reviewed; usage is unclear.</x:t>
        </x:is>
      </x:c>
      <x:c r="F714" t="n">
        <x:v>0</x:v>
      </x:c>
      <x:c r="G714" t="inlineStr">
        <x:is>
          <x:t xml:space="preserve">visibility_gap</x:t>
        </x:is>
      </x:c>
      <x:c r="H714" t="inlineStr">
        <x:is>
          <x:t xml:space="preserve">Visibility Gap</x:t>
        </x:is>
      </x:c>
      <x:c r="I714" t="inlineStr">
        <x:is>
          <x:t xml:space="preserve">Control_BreakGlass</x:t>
        </x:is>
      </x:c>
      <x:c r="J714" t="inlineStr">
        <x:is>
          <x:t xml:space="preserve">N</x:t>
        </x:is>
      </x:c>
    </x:row>
    <x:row r="715">
      <x:c r="B715" t="inlineStr">
        <x:is>
          <x:t xml:space="preserve">ITIAM-D3-Q07</x:t>
        </x:is>
      </x:c>
      <x:c r="C715" t="inlineStr">
        <x:is>
          <x:t xml:space="preserve">ITIAM-D3-Q07-A1</x:t>
        </x:is>
      </x:c>
      <x:c r="D715" t="n">
        <x:v>2</x:v>
      </x:c>
      <x:c r="E715" t="inlineStr">
        <x:is>
          <x:t xml:space="preserve">Partial: Logs exist, but reviews are inconsistent.</x:t>
        </x:is>
      </x:c>
      <x:c r="F715" t="n">
        <x:v>1</x:v>
      </x:c>
      <x:c r="G715" t="inlineStr">
        <x:is>
          <x:t xml:space="preserve">operating_model_gap</x:t>
        </x:is>
      </x:c>
      <x:c r="H715" t="inlineStr">
        <x:is>
          <x:t xml:space="preserve">Operating Model Gap</x:t>
        </x:is>
      </x:c>
      <x:c r="I715" t="inlineStr">
        <x:is>
          <x:t xml:space="preserve">Review_BreakGlass</x:t>
        </x:is>
      </x:c>
      <x:c r="J715" t="inlineStr">
        <x:is>
          <x:t xml:space="preserve">N</x:t>
        </x:is>
      </x:c>
    </x:row>
    <x:row r="716">
      <x:c r="B716" t="inlineStr">
        <x:is>
          <x:t xml:space="preserve">ITIAM-D3-Q07</x:t>
        </x:is>
      </x:c>
      <x:c r="C716" t="inlineStr">
        <x:is>
          <x:t xml:space="preserve">ITIAM-D3-Q07-A2</x:t>
        </x:is>
      </x:c>
      <x:c r="D716" t="n">
        <x:v>3</x:v>
      </x:c>
      <x:c r="E716" t="inlineStr">
        <x:is>
          <x:t xml:space="preserve">Yes: Every use is reviewed and documented.</x:t>
        </x:is>
      </x:c>
      <x:c r="F716" t="n">
        <x:v>3</x:v>
      </x:c>
      <x:c r="I716" t="inlineStr">
        <x:is>
          <x:t xml:space="preserve">Evidence_Request_BG_Logs</x:t>
        </x:is>
      </x:c>
      <x:c r="J716" t="inlineStr">
        <x:is>
          <x:t xml:space="preserve">N</x:t>
        </x:is>
      </x:c>
    </x:row>
    <x:row r="717">
      <x:c r="B717" t="inlineStr">
        <x:is>
          <x:t xml:space="preserve">ITIAM-D3-Q07</x:t>
        </x:is>
      </x:c>
      <x:c r="C717" t="inlineStr">
        <x:is>
          <x:t xml:space="preserve">ITIAM-D3-Q07-A3</x:t>
        </x:is>
      </x:c>
      <x:c r="D717" t="n">
        <x:v>4</x:v>
      </x:c>
      <x:c r="E717" t="inlineStr">
        <x:is>
          <x:t xml:space="preserve">Optimized: Automated alerts, approval workflow, and drills.</x:t>
        </x:is>
      </x:c>
      <x:c r="F717" t="n">
        <x:v>4</x:v>
      </x:c>
      <x:c r="I717" t="inlineStr">
        <x:is>
          <x:t xml:space="preserve">Maintain_and_Audit</x:t>
        </x:is>
      </x:c>
      <x:c r="J717" t="inlineStr">
        <x:is>
          <x:t xml:space="preserve">N</x:t>
        </x:is>
      </x:c>
    </x:row>
    <x:row r="718">
      <x:c r="B718" t="inlineStr">
        <x:is>
          <x:t xml:space="preserve">ITIAM-D3-Q08</x:t>
        </x:is>
      </x:c>
      <x:c r="C718" t="inlineStr">
        <x:is>
          <x:t xml:space="preserve">ITIAM-D3-Q08-A0</x:t>
        </x:is>
      </x:c>
      <x:c r="D718" t="n">
        <x:v>1</x:v>
      </x:c>
      <x:c r="E718" t="inlineStr">
        <x:is>
          <x:t xml:space="preserve">No: Privileged actions are hard to attribute after the fact.</x:t>
        </x:is>
      </x:c>
      <x:c r="F718" t="n">
        <x:v>0</x:v>
      </x:c>
      <x:c r="G718" t="inlineStr">
        <x:is>
          <x:t xml:space="preserve">visibility_gap</x:t>
        </x:is>
      </x:c>
      <x:c r="H718" t="inlineStr">
        <x:is>
          <x:t xml:space="preserve">Visibility Gap</x:t>
        </x:is>
      </x:c>
      <x:c r="I718" t="inlineStr">
        <x:is>
          <x:t xml:space="preserve">Privileged_Auditing</x:t>
        </x:is>
      </x:c>
      <x:c r="J718" t="inlineStr">
        <x:is>
          <x:t xml:space="preserve">N</x:t>
        </x:is>
      </x:c>
    </x:row>
    <x:row r="719">
      <x:c r="B719" t="inlineStr">
        <x:is>
          <x:t xml:space="preserve">ITIAM-D3-Q08</x:t>
        </x:is>
      </x:c>
      <x:c r="C719" t="inlineStr">
        <x:is>
          <x:t xml:space="preserve">ITIAM-D3-Q08-A1</x:t>
        </x:is>
      </x:c>
      <x:c r="D719" t="n">
        <x:v>2</x:v>
      </x:c>
      <x:c r="E719" t="inlineStr">
        <x:is>
          <x:t xml:space="preserve">Partial: Some systems log well; others are blind spots.</x:t>
        </x:is>
      </x:c>
      <x:c r="F719" t="n">
        <x:v>1</x:v>
      </x:c>
      <x:c r="G719" t="inlineStr">
        <x:is>
          <x:t xml:space="preserve">visibility_gap</x:t>
        </x:is>
      </x:c>
      <x:c r="H719" t="inlineStr">
        <x:is>
          <x:t xml:space="preserve">Visibility Gap</x:t>
        </x:is>
      </x:c>
      <x:c r="I719" t="inlineStr">
        <x:is>
          <x:t xml:space="preserve">Expand_Privileged_Logging</x:t>
        </x:is>
      </x:c>
      <x:c r="J719" t="inlineStr">
        <x:is>
          <x:t xml:space="preserve">N</x:t>
        </x:is>
      </x:c>
    </x:row>
    <x:row r="720">
      <x:c r="B720" t="inlineStr">
        <x:is>
          <x:t xml:space="preserve">ITIAM-D3-Q08</x:t>
        </x:is>
      </x:c>
      <x:c r="C720" t="inlineStr">
        <x:is>
          <x:t xml:space="preserve">ITIAM-D3-Q08-A2</x:t>
        </x:is>
      </x:c>
      <x:c r="D720" t="n">
        <x:v>3</x:v>
      </x:c>
      <x:c r="E720" t="inlineStr">
        <x:is>
          <x:t xml:space="preserve">Yes: Critical systems have strong auditing/recording.</x:t>
        </x:is>
      </x:c>
      <x:c r="F720" t="n">
        <x:v>3</x:v>
      </x:c>
      <x:c r="I720" t="inlineStr">
        <x:is>
          <x:t xml:space="preserve">Evidence_Request_Priv_Sessions</x:t>
        </x:is>
      </x:c>
      <x:c r="J720" t="inlineStr">
        <x:is>
          <x:t xml:space="preserve">N</x:t>
        </x:is>
      </x:c>
    </x:row>
    <x:row r="721">
      <x:c r="B721" t="inlineStr">
        <x:is>
          <x:t xml:space="preserve">ITIAM-D3-Q08</x:t>
        </x:is>
      </x:c>
      <x:c r="C721" t="inlineStr">
        <x:is>
          <x:t xml:space="preserve">ITIAM-D3-Q08-A3</x:t>
        </x:is>
      </x:c>
      <x:c r="D721" t="n">
        <x:v>4</x:v>
      </x:c>
      <x:c r="E721" t="inlineStr">
        <x:is>
          <x:t xml:space="preserve">Optimized: Tamper-resistant logs + periodic review and testing.</x:t>
        </x:is>
      </x:c>
      <x:c r="F721" t="n">
        <x:v>4</x:v>
      </x:c>
      <x:c r="I721" t="inlineStr">
        <x:is>
          <x:t xml:space="preserve">Maintain_and_Audit</x:t>
        </x:is>
      </x:c>
      <x:c r="J721" t="inlineStr">
        <x:is>
          <x:t xml:space="preserve">N</x:t>
        </x:is>
      </x:c>
    </x:row>
    <x:row r="722">
      <x:c r="B722" t="inlineStr">
        <x:is>
          <x:t xml:space="preserve">ITIAM-D4-Q09</x:t>
        </x:is>
      </x:c>
      <x:c r="C722" t="inlineStr">
        <x:is>
          <x:t xml:space="preserve">ITIAM-D4-Q09-A0</x:t>
        </x:is>
      </x:c>
      <x:c r="D722" t="n">
        <x:v>1</x:v>
      </x:c>
      <x:c r="E722" t="inlineStr">
        <x:is>
          <x:t xml:space="preserve">No: Contractors often keep access longer and controls are weaker.</x:t>
        </x:is>
      </x:c>
      <x:c r="F722" t="n">
        <x:v>0</x:v>
      </x:c>
      <x:c r="G722" t="inlineStr">
        <x:is>
          <x:t xml:space="preserve">visibility_gap</x:t>
        </x:is>
      </x:c>
      <x:c r="H722" t="inlineStr">
        <x:is>
          <x:t xml:space="preserve">Visibility Gap</x:t>
        </x:is>
      </x:c>
      <x:c r="I722" t="inlineStr">
        <x:is>
          <x:t xml:space="preserve">Contractor_Control</x:t>
        </x:is>
      </x:c>
      <x:c r="J722" t="inlineStr">
        <x:is>
          <x:t xml:space="preserve">N</x:t>
        </x:is>
      </x:c>
    </x:row>
    <x:row r="723">
      <x:c r="B723" t="inlineStr">
        <x:is>
          <x:t xml:space="preserve">ITIAM-D4-Q09</x:t>
        </x:is>
      </x:c>
      <x:c r="C723" t="inlineStr">
        <x:is>
          <x:t xml:space="preserve">ITIAM-D4-Q09-A1</x:t>
        </x:is>
      </x:c>
      <x:c r="D723" t="n">
        <x:v>2</x:v>
      </x:c>
      <x:c r="E723" t="inlineStr">
        <x:is>
          <x:t xml:space="preserve">Partial: Controls exist but depend on project manager discipline.</x:t>
        </x:is>
      </x:c>
      <x:c r="F723" t="n">
        <x:v>1</x:v>
      </x:c>
      <x:c r="G723" t="inlineStr">
        <x:is>
          <x:t xml:space="preserve">operating_model_gap</x:t>
        </x:is>
      </x:c>
      <x:c r="H723" t="inlineStr">
        <x:is>
          <x:t xml:space="preserve">Operating Model Gap</x:t>
        </x:is>
      </x:c>
      <x:c r="I723" t="inlineStr">
        <x:is>
          <x:t xml:space="preserve">Standardize_Contractor_Process</x:t>
        </x:is>
      </x:c>
      <x:c r="J723" t="inlineStr">
        <x:is>
          <x:t xml:space="preserve">N</x:t>
        </x:is>
      </x:c>
    </x:row>
    <x:row r="724">
      <x:c r="B724" t="inlineStr">
        <x:is>
          <x:t xml:space="preserve">ITIAM-D4-Q09</x:t>
        </x:is>
      </x:c>
      <x:c r="C724" t="inlineStr">
        <x:is>
          <x:t xml:space="preserve">ITIAM-D4-Q09-A2</x:t>
        </x:is>
      </x:c>
      <x:c r="D724" t="n">
        <x:v>3</x:v>
      </x:c>
      <x:c r="E724" t="inlineStr">
        <x:is>
          <x:t xml:space="preserve">Yes: Most contractors follow standard identity and offboarding controls.</x:t>
        </x:is>
      </x:c>
      <x:c r="F724" t="n">
        <x:v>3</x:v>
      </x:c>
      <x:c r="I724" t="inlineStr">
        <x:is>
          <x:t xml:space="preserve">Evidence_Request_Contractor</x:t>
        </x:is>
      </x:c>
      <x:c r="J724" t="inlineStr">
        <x:is>
          <x:t xml:space="preserve">N</x:t>
        </x:is>
      </x:c>
    </x:row>
    <x:row r="725">
      <x:c r="B725" t="inlineStr">
        <x:is>
          <x:t xml:space="preserve">ITIAM-D4-Q09</x:t>
        </x:is>
      </x:c>
      <x:c r="C725" t="inlineStr">
        <x:is>
          <x:t xml:space="preserve">ITIAM-D4-Q09-A3</x:t>
        </x:is>
      </x:c>
      <x:c r="D725" t="n">
        <x:v>4</x:v>
      </x:c>
      <x:c r="E725" t="inlineStr">
        <x:is>
          <x:t xml:space="preserve">Optimized: Automated expiry, periodic reviews, and vendor accountability.</x:t>
        </x:is>
      </x:c>
      <x:c r="F725" t="n">
        <x:v>4</x:v>
      </x:c>
      <x:c r="I725" t="inlineStr">
        <x:is>
          <x:t xml:space="preserve">Maintain_and_Audit</x:t>
        </x:is>
      </x:c>
      <x:c r="J725" t="inlineStr">
        <x:is>
          <x:t xml:space="preserve">N</x:t>
        </x:is>
      </x:c>
    </x:row>
    <x:row r="726">
      <x:c r="B726" t="inlineStr">
        <x:is>
          <x:t xml:space="preserve">ITIAM-D4-Q10</x:t>
        </x:is>
      </x:c>
      <x:c r="C726" t="inlineStr">
        <x:is>
          <x:t xml:space="preserve">ITIAM-D4-Q10-A0</x:t>
        </x:is>
      </x:c>
      <x:c r="D726" t="n">
        <x:v>1</x:v>
      </x:c>
      <x:c r="E726" t="inlineStr">
        <x:is>
          <x:t xml:space="preserve">No: Shared logins are common for vendors/MSPs.</x:t>
        </x:is>
      </x:c>
      <x:c r="F726" t="n">
        <x:v>0</x:v>
      </x:c>
      <x:c r="G726" t="inlineStr">
        <x:is>
          <x:t xml:space="preserve">visibility_gap</x:t>
        </x:is>
      </x:c>
      <x:c r="H726" t="inlineStr">
        <x:is>
          <x:t xml:space="preserve">Visibility Gap</x:t>
        </x:is>
      </x:c>
      <x:c r="I726" t="inlineStr">
        <x:is>
          <x:t xml:space="preserve">Eliminate_Shared_Accounts</x:t>
        </x:is>
      </x:c>
      <x:c r="J726" t="inlineStr">
        <x:is>
          <x:t xml:space="preserve">N</x:t>
        </x:is>
      </x:c>
    </x:row>
    <x:row r="727">
      <x:c r="B727" t="inlineStr">
        <x:is>
          <x:t xml:space="preserve">ITIAM-D4-Q10</x:t>
        </x:is>
      </x:c>
      <x:c r="C727" t="inlineStr">
        <x:is>
          <x:t xml:space="preserve">ITIAM-D4-Q10-A1</x:t>
        </x:is>
      </x:c>
      <x:c r="D727" t="n">
        <x:v>2</x:v>
      </x:c>
      <x:c r="E727" t="inlineStr">
        <x:is>
          <x:t xml:space="preserve">Partial: Named accounts exist but shared accounts remain in some systems.</x:t>
        </x:is>
      </x:c>
      <x:c r="F727" t="n">
        <x:v>1</x:v>
      </x:c>
      <x:c r="G727" t="inlineStr">
        <x:is>
          <x:t xml:space="preserve">visibility_gap</x:t>
        </x:is>
      </x:c>
      <x:c r="H727" t="inlineStr">
        <x:is>
          <x:t xml:space="preserve">Visibility Gap</x:t>
        </x:is>
      </x:c>
      <x:c r="I727" t="inlineStr">
        <x:is>
          <x:t xml:space="preserve">Complete_Migration</x:t>
        </x:is>
      </x:c>
      <x:c r="J727" t="inlineStr">
        <x:is>
          <x:t xml:space="preserve">N</x:t>
        </x:is>
      </x:c>
    </x:row>
    <x:row r="728">
      <x:c r="B728" t="inlineStr">
        <x:is>
          <x:t xml:space="preserve">ITIAM-D4-Q10</x:t>
        </x:is>
      </x:c>
      <x:c r="C728" t="inlineStr">
        <x:is>
          <x:t xml:space="preserve">ITIAM-D4-Q10-A2</x:t>
        </x:is>
      </x:c>
      <x:c r="D728" t="n">
        <x:v>3</x:v>
      </x:c>
      <x:c r="E728" t="inlineStr">
        <x:is>
          <x:t xml:space="preserve">Yes: Named accounts + MFA are standard for vendor access.</x:t>
        </x:is>
      </x:c>
      <x:c r="F728" t="n">
        <x:v>3</x:v>
      </x:c>
      <x:c r="I728" t="inlineStr">
        <x:is>
          <x:t xml:space="preserve">Evidence_Request_Vendor_IDs</x:t>
        </x:is>
      </x:c>
      <x:c r="J728" t="inlineStr">
        <x:is>
          <x:t xml:space="preserve">N</x:t>
        </x:is>
      </x:c>
    </x:row>
    <x:row r="729">
      <x:c r="B729" t="inlineStr">
        <x:is>
          <x:t xml:space="preserve">ITIAM-D4-Q10</x:t>
        </x:is>
      </x:c>
      <x:c r="C729" t="inlineStr">
        <x:is>
          <x:t xml:space="preserve">ITIAM-D4-Q10-A3</x:t>
        </x:is>
      </x:c>
      <x:c r="D729" t="n">
        <x:v>4</x:v>
      </x:c>
      <x:c r="E729" t="inlineStr">
        <x:is>
          <x:t xml:space="preserve">Optimized: Vendor access is time-bound and monitored like privileged access.</x:t>
        </x:is>
      </x:c>
      <x:c r="F729" t="n">
        <x:v>4</x:v>
      </x:c>
      <x:c r="I729" t="inlineStr">
        <x:is>
          <x:t xml:space="preserve">Maintain_and_Audit</x:t>
        </x:is>
      </x:c>
      <x:c r="J729" t="inlineStr">
        <x:is>
          <x:t xml:space="preserve">N</x:t>
        </x:is>
      </x:c>
    </x:row>
    <x:row r="730">
      <x:c r="B730" t="inlineStr">
        <x:is>
          <x:t xml:space="preserve">ITIAM-D5-Q11</x:t>
        </x:is>
      </x:c>
      <x:c r="C730" t="inlineStr">
        <x:is>
          <x:t xml:space="preserve">ITIAM-D5-Q11-A0</x:t>
        </x:is>
      </x:c>
      <x:c r="D730" t="n">
        <x:v>1</x:v>
      </x:c>
      <x:c r="E730" t="inlineStr">
        <x:is>
          <x:t xml:space="preserve">I don’t know / not sure.</x:t>
        </x:is>
      </x:c>
      <x:c r="F730" t="n">
        <x:v>0</x:v>
      </x:c>
      <x:c r="G730" t="inlineStr">
        <x:is>
          <x:t xml:space="preserve">unknown</x:t>
        </x:is>
      </x:c>
      <x:c r="H730" t="inlineStr">
        <x:is>
          <x:t xml:space="preserve">Unknown</x:t>
        </x:is>
      </x:c>
      <x:c r="I730" t="inlineStr">
        <x:is>
          <x:t xml:space="preserve">Clarify_Bypass</x:t>
        </x:is>
      </x:c>
      <x:c r="J730" t="inlineStr">
        <x:is>
          <x:t xml:space="preserve">N</x:t>
        </x:is>
      </x:c>
    </x:row>
    <x:row r="731">
      <x:c r="B731" t="inlineStr">
        <x:is>
          <x:t xml:space="preserve">ITIAM-D5-Q11</x:t>
        </x:is>
      </x:c>
      <x:c r="C731" t="inlineStr">
        <x:is>
          <x:t xml:space="preserve">ITIAM-D5-Q11-A1</x:t>
        </x:is>
      </x:c>
      <x:c r="D731" t="n">
        <x:v>2</x:v>
      </x:c>
      <x:c r="E731" t="inlineStr">
        <x:is>
          <x:t xml:space="preserve">Yes, common: Work often requires bypassing controls.</x:t>
        </x:is>
      </x:c>
      <x:c r="F731" t="n">
        <x:v>0</x:v>
      </x:c>
      <x:c r="G731" t="inlineStr">
        <x:is>
          <x:t xml:space="preserve">bypass_pressure</x:t>
        </x:is>
      </x:c>
      <x:c r="H731" t="inlineStr">
        <x:is>
          <x:t xml:space="preserve">Bypass Pressure</x:t>
        </x:is>
      </x:c>
      <x:c r="I731" t="inlineStr">
        <x:is>
          <x:t xml:space="preserve">Reduce_Bypass</x:t>
        </x:is>
      </x:c>
      <x:c r="J731" t="inlineStr">
        <x:is>
          <x:t xml:space="preserve">N</x:t>
        </x:is>
      </x:c>
    </x:row>
    <x:row r="732">
      <x:c r="B732" t="inlineStr">
        <x:is>
          <x:t xml:space="preserve">ITIAM-D5-Q11</x:t>
        </x:is>
      </x:c>
      <x:c r="C732" t="inlineStr">
        <x:is>
          <x:t xml:space="preserve">ITIAM-D5-Q11-A2</x:t>
        </x:is>
      </x:c>
      <x:c r="D732" t="n">
        <x:v>3</x:v>
      </x:c>
      <x:c r="E732" t="inlineStr">
        <x:is>
          <x:t xml:space="preserve">Sometimes: Bypasses occur under time pressure; not tracked.</x:t>
        </x:is>
      </x:c>
      <x:c r="F732" t="n">
        <x:v>1</x:v>
      </x:c>
      <x:c r="G732" t="inlineStr">
        <x:is>
          <x:t xml:space="preserve">operating_model_gap</x:t>
        </x:is>
      </x:c>
      <x:c r="H732" t="inlineStr">
        <x:is>
          <x:t xml:space="preserve">Operating Model Gap</x:t>
        </x:is>
      </x:c>
      <x:c r="I732" t="inlineStr">
        <x:is>
          <x:t xml:space="preserve">Track_Bypass</x:t>
        </x:is>
      </x:c>
      <x:c r="J732" t="inlineStr">
        <x:is>
          <x:t xml:space="preserve">N</x:t>
        </x:is>
      </x:c>
    </x:row>
    <x:row r="733">
      <x:c r="B733" t="inlineStr">
        <x:is>
          <x:t xml:space="preserve">ITIAM-D5-Q11</x:t>
        </x:is>
      </x:c>
      <x:c r="C733" t="inlineStr">
        <x:is>
          <x:t xml:space="preserve">ITIAM-D5-Q11-A3</x:t>
        </x:is>
      </x:c>
      <x:c r="D733" t="n">
        <x:v>4</x:v>
      </x:c>
      <x:c r="E733" t="inlineStr">
        <x:is>
          <x:t xml:space="preserve">Rare: Bypasses are investigated and root causes addressed.</x:t>
        </x:is>
      </x:c>
      <x:c r="F733" t="n">
        <x:v>3</x:v>
      </x:c>
      <x:c r="I733" t="inlineStr">
        <x:is>
          <x:t xml:space="preserve">Evidence_Request_Bypass_Handling</x:t>
        </x:is>
      </x:c>
      <x:c r="J733" t="inlineStr">
        <x:is>
          <x:t xml:space="preserve">N</x:t>
        </x:is>
      </x:c>
    </x:row>
    <x:row r="734">
      <x:c r="B734" t="inlineStr">
        <x:is>
          <x:t xml:space="preserve">ITIAM-D5-Q11</x:t>
        </x:is>
      </x:c>
      <x:c r="C734" t="inlineStr">
        <x:is>
          <x:t xml:space="preserve">ITIAM-D5-Q11-A4</x:t>
        </x:is>
      </x:c>
      <x:c r="D734" t="n">
        <x:v>5</x:v>
      </x:c>
      <x:c r="E734" t="inlineStr">
        <x:is>
          <x:t xml:space="preserve">Optimized: Low bypass due to good UX + fast exceptions + monitoring.</x:t>
        </x:is>
      </x:c>
      <x:c r="F734" t="n">
        <x:v>4</x:v>
      </x:c>
      <x:c r="I734" t="inlineStr">
        <x:is>
          <x:t xml:space="preserve">Maintain_and_Audit</x:t>
        </x:is>
      </x:c>
      <x:c r="J734" t="inlineStr">
        <x:is>
          <x:t xml:space="preserve">N</x:t>
        </x:is>
      </x:c>
    </x:row>
    <x:row r="735">
      <x:c r="B735" t="inlineStr">
        <x:is>
          <x:t xml:space="preserve">ITIAM-D5-Q12</x:t>
        </x:is>
      </x:c>
      <x:c r="C735" t="inlineStr">
        <x:is>
          <x:t xml:space="preserve">ITIAM-D5-Q12-A0</x:t>
        </x:is>
      </x:c>
      <x:c r="D735" t="n">
        <x:v>1</x:v>
      </x:c>
      <x:c r="E735" t="inlineStr">
        <x:is>
          <x:t xml:space="preserve">No: Requests are slow; people find workarounds.</x:t>
        </x:is>
      </x:c>
      <x:c r="F735" t="n">
        <x:v>0</x:v>
      </x:c>
      <x:c r="G735" t="inlineStr">
        <x:is>
          <x:t xml:space="preserve">bypass_pressure</x:t>
        </x:is>
      </x:c>
      <x:c r="H735" t="inlineStr">
        <x:is>
          <x:t xml:space="preserve">Bypass Pressure</x:t>
        </x:is>
      </x:c>
      <x:c r="I735" t="inlineStr">
        <x:is>
          <x:t xml:space="preserve">Improve_Access_Request</x:t>
        </x:is>
      </x:c>
      <x:c r="J735" t="inlineStr">
        <x:is>
          <x:t xml:space="preserve">N</x:t>
        </x:is>
      </x:c>
    </x:row>
    <x:row r="736">
      <x:c r="B736" t="inlineStr">
        <x:is>
          <x:t xml:space="preserve">ITIAM-D5-Q12</x:t>
        </x:is>
      </x:c>
      <x:c r="C736" t="inlineStr">
        <x:is>
          <x:t xml:space="preserve">ITIAM-D5-Q12-A1</x:t>
        </x:is>
      </x:c>
      <x:c r="D736" t="n">
        <x:v>2</x:v>
      </x:c>
      <x:c r="E736" t="inlineStr">
        <x:is>
          <x:t xml:space="preserve">Partial: SLAs exist but are not consistently met.</x:t>
        </x:is>
      </x:c>
      <x:c r="F736" t="n">
        <x:v>1</x:v>
      </x:c>
      <x:c r="G736" t="inlineStr">
        <x:is>
          <x:t xml:space="preserve">operating_model_gap</x:t>
        </x:is>
      </x:c>
      <x:c r="H736" t="inlineStr">
        <x:is>
          <x:t xml:space="preserve">Operating Model Gap</x:t>
        </x:is>
      </x:c>
      <x:c r="I736" t="inlineStr">
        <x:is>
          <x:t xml:space="preserve">Enforce_SLA</x:t>
        </x:is>
      </x:c>
      <x:c r="J736" t="inlineStr">
        <x:is>
          <x:t xml:space="preserve">N</x:t>
        </x:is>
      </x:c>
    </x:row>
    <x:row r="737">
      <x:c r="B737" t="inlineStr">
        <x:is>
          <x:t xml:space="preserve">ITIAM-D5-Q12</x:t>
        </x:is>
      </x:c>
      <x:c r="C737" t="inlineStr">
        <x:is>
          <x:t xml:space="preserve">ITIAM-D5-Q12-A2</x:t>
        </x:is>
      </x:c>
      <x:c r="D737" t="n">
        <x:v>3</x:v>
      </x:c>
      <x:c r="E737" t="inlineStr">
        <x:is>
          <x:t xml:space="preserve">Yes: SLAs are met for most requests; exceptions are documented.</x:t>
        </x:is>
      </x:c>
      <x:c r="F737" t="n">
        <x:v>3</x:v>
      </x:c>
      <x:c r="I737" t="inlineStr">
        <x:is>
          <x:t xml:space="preserve">Evidence_Request_SLA</x:t>
        </x:is>
      </x:c>
      <x:c r="J737" t="inlineStr">
        <x:is>
          <x:t xml:space="preserve">N</x:t>
        </x:is>
      </x:c>
    </x:row>
    <x:row r="738">
      <x:c r="B738" t="inlineStr">
        <x:is>
          <x:t xml:space="preserve">ITIAM-D5-Q12</x:t>
        </x:is>
      </x:c>
      <x:c r="C738" t="inlineStr">
        <x:is>
          <x:t xml:space="preserve">ITIAM-D5-Q12-A3</x:t>
        </x:is>
      </x:c>
      <x:c r="D738" t="n">
        <x:v>4</x:v>
      </x:c>
      <x:c r="E738" t="inlineStr">
        <x:is>
          <x:t xml:space="preserve">Optimized: Automated provisioning for low-risk access and measured cycle time.</x:t>
        </x:is>
      </x:c>
      <x:c r="F738" t="n">
        <x:v>4</x:v>
      </x:c>
      <x:c r="I738" t="inlineStr">
        <x:is>
          <x:t xml:space="preserve">Maintain_and_Audit</x:t>
        </x:is>
      </x:c>
      <x:c r="J738" t="inlineStr">
        <x:is>
          <x:t xml:space="preserve">N</x:t>
        </x:is>
      </x:c>
    </x:row>
    <x:row r="739">
      <x:c r="B739" t="inlineStr">
        <x:is>
          <x:t xml:space="preserve">ITIAM-D6-Q13</x:t>
        </x:is>
      </x:c>
      <x:c r="C739" t="inlineStr">
        <x:is>
          <x:t xml:space="preserve">ITIAM-D6-Q13-A0</x:t>
        </x:is>
      </x:c>
      <x:c r="D739" t="n">
        <x:v>1</x:v>
      </x:c>
      <x:c r="E739" t="inlineStr">
        <x:is>
          <x:t xml:space="preserve">No: We cannot quickly disable access across systems.</x:t>
        </x:is>
      </x:c>
      <x:c r="F739" t="n">
        <x:v>0</x:v>
      </x:c>
      <x:c r="G739" t="inlineStr">
        <x:is>
          <x:t xml:space="preserve">resilience_gap</x:t>
        </x:is>
      </x:c>
      <x:c r="H739" t="inlineStr">
        <x:is>
          <x:t xml:space="preserve">Resilience Gap</x:t>
        </x:is>
      </x:c>
      <x:c r="I739" t="inlineStr">
        <x:is>
          <x:t xml:space="preserve">Containment_Playbook</x:t>
        </x:is>
      </x:c>
      <x:c r="J739" t="inlineStr">
        <x:is>
          <x:t xml:space="preserve">N</x:t>
        </x:is>
      </x:c>
    </x:row>
    <x:row r="740">
      <x:c r="B740" t="inlineStr">
        <x:is>
          <x:t xml:space="preserve">ITIAM-D6-Q13</x:t>
        </x:is>
      </x:c>
      <x:c r="C740" t="inlineStr">
        <x:is>
          <x:t xml:space="preserve">ITIAM-D6-Q13-A1</x:t>
        </x:is>
      </x:c>
      <x:c r="D740" t="n">
        <x:v>2</x:v>
      </x:c>
      <x:c r="E740" t="inlineStr">
        <x:is>
          <x:t xml:space="preserve">Partial: We can disable core accounts but some SaaS/tokens remain active.</x:t>
        </x:is>
      </x:c>
      <x:c r="F740" t="n">
        <x:v>1</x:v>
      </x:c>
      <x:c r="G740" t="inlineStr">
        <x:is>
          <x:t xml:space="preserve">resilience_gap</x:t>
        </x:is>
      </x:c>
      <x:c r="H740" t="inlineStr">
        <x:is>
          <x:t xml:space="preserve">Resilience Gap</x:t>
        </x:is>
      </x:c>
      <x:c r="I740" t="inlineStr">
        <x:is>
          <x:t xml:space="preserve">Improve_Token_Revocation</x:t>
        </x:is>
      </x:c>
      <x:c r="J740" t="inlineStr">
        <x:is>
          <x:t xml:space="preserve">N</x:t>
        </x:is>
      </x:c>
    </x:row>
    <x:row r="741">
      <x:c r="B741" t="inlineStr">
        <x:is>
          <x:t xml:space="preserve">ITIAM-D6-Q13</x:t>
        </x:is>
      </x:c>
      <x:c r="C741" t="inlineStr">
        <x:is>
          <x:t xml:space="preserve">ITIAM-D6-Q13-A2</x:t>
        </x:is>
      </x:c>
      <x:c r="D741" t="n">
        <x:v>3</x:v>
      </x:c>
      <x:c r="E741" t="inlineStr">
        <x:is>
          <x:t xml:space="preserve">Yes: We can disable access quickly for most systems.</x:t>
        </x:is>
      </x:c>
      <x:c r="F741" t="n">
        <x:v>3</x:v>
      </x:c>
      <x:c r="I741" t="inlineStr">
        <x:is>
          <x:t xml:space="preserve">Evidence_Request_Containment</x:t>
        </x:is>
      </x:c>
      <x:c r="J741" t="inlineStr">
        <x:is>
          <x:t xml:space="preserve">N</x:t>
        </x:is>
      </x:c>
    </x:row>
    <x:row r="742">
      <x:c r="B742" t="inlineStr">
        <x:is>
          <x:t xml:space="preserve">ITIAM-D6-Q13</x:t>
        </x:is>
      </x:c>
      <x:c r="C742" t="inlineStr">
        <x:is>
          <x:t xml:space="preserve">ITIAM-D6-Q13-A3</x:t>
        </x:is>
      </x:c>
      <x:c r="D742" t="n">
        <x:v>4</x:v>
      </x:c>
      <x:c r="E742" t="inlineStr">
        <x:is>
          <x:t xml:space="preserve">Optimized: Automated containment (risk-based) with audit trail and rollback.</x:t>
        </x:is>
      </x:c>
      <x:c r="F742" t="n">
        <x:v>4</x:v>
      </x:c>
      <x:c r="I742" t="inlineStr">
        <x:is>
          <x:t xml:space="preserve">Maintain_and_Audit</x:t>
        </x:is>
      </x:c>
      <x:c r="J742" t="inlineStr">
        <x:is>
          <x:t xml:space="preserve">N</x:t>
        </x:is>
      </x:c>
    </x:row>
    <x:row r="743">
      <x:c r="B743" t="inlineStr">
        <x:is>
          <x:t xml:space="preserve">ITIAM-D6-Q14</x:t>
        </x:is>
      </x:c>
      <x:c r="C743" t="inlineStr">
        <x:is>
          <x:t xml:space="preserve">ITIAM-D6-Q14-A0</x:t>
        </x:is>
      </x:c>
      <x:c r="D743" t="n">
        <x:v>1</x:v>
      </x:c>
      <x:c r="E743" t="inlineStr">
        <x:is>
          <x:t xml:space="preserve">No: Responses are manual and depend on people being available.</x:t>
        </x:is>
      </x:c>
      <x:c r="F743" t="n">
        <x:v>0</x:v>
      </x:c>
      <x:c r="G743" t="inlineStr">
        <x:is>
          <x:t xml:space="preserve">resilience_gap</x:t>
        </x:is>
      </x:c>
      <x:c r="H743" t="inlineStr">
        <x:is>
          <x:t xml:space="preserve">Resilience Gap</x:t>
        </x:is>
      </x:c>
      <x:c r="I743" t="inlineStr">
        <x:is>
          <x:t xml:space="preserve">Automate_Containment</x:t>
        </x:is>
      </x:c>
      <x:c r="J743" t="inlineStr">
        <x:is>
          <x:t xml:space="preserve">N</x:t>
        </x:is>
      </x:c>
    </x:row>
    <x:row r="744">
      <x:c r="B744" t="inlineStr">
        <x:is>
          <x:t xml:space="preserve">ITIAM-D6-Q14</x:t>
        </x:is>
      </x:c>
      <x:c r="C744" t="inlineStr">
        <x:is>
          <x:t xml:space="preserve">ITIAM-D6-Q14-A1</x:t>
        </x:is>
      </x:c>
      <x:c r="D744" t="n">
        <x:v>2</x:v>
      </x:c>
      <x:c r="E744" t="inlineStr">
        <x:is>
          <x:t xml:space="preserve">Some: Limited playbooks exist for a few systems.</x:t>
        </x:is>
      </x:c>
      <x:c r="F744" t="n">
        <x:v>1</x:v>
      </x:c>
      <x:c r="G744" t="inlineStr">
        <x:is>
          <x:t xml:space="preserve">operating_model_gap</x:t>
        </x:is>
      </x:c>
      <x:c r="H744" t="inlineStr">
        <x:is>
          <x:t xml:space="preserve">Operating Model Gap</x:t>
        </x:is>
      </x:c>
      <x:c r="I744" t="inlineStr">
        <x:is>
          <x:t xml:space="preserve">Expand_Playbooks</x:t>
        </x:is>
      </x:c>
      <x:c r="J744" t="inlineStr">
        <x:is>
          <x:t xml:space="preserve">N</x:t>
        </x:is>
      </x:c>
    </x:row>
    <x:row r="745">
      <x:c r="B745" t="inlineStr">
        <x:is>
          <x:t xml:space="preserve">ITIAM-D6-Q14</x:t>
        </x:is>
      </x:c>
      <x:c r="C745" t="inlineStr">
        <x:is>
          <x:t xml:space="preserve">ITIAM-D6-Q14-A2</x:t>
        </x:is>
      </x:c>
      <x:c r="D745" t="n">
        <x:v>3</x:v>
      </x:c>
      <x:c r="E745" t="inlineStr">
        <x:is>
          <x:t xml:space="preserve">Yes: Common identity risks have automated responses.</x:t>
        </x:is>
      </x:c>
      <x:c r="F745" t="n">
        <x:v>3</x:v>
      </x:c>
      <x:c r="I745" t="inlineStr">
        <x:is>
          <x:t xml:space="preserve">Evidence_Request_Playbooks</x:t>
        </x:is>
      </x:c>
      <x:c r="J745" t="inlineStr">
        <x:is>
          <x:t xml:space="preserve">N</x:t>
        </x:is>
      </x:c>
    </x:row>
    <x:row r="746">
      <x:c r="B746" t="inlineStr">
        <x:is>
          <x:t xml:space="preserve">ITIAM-D6-Q14</x:t>
        </x:is>
      </x:c>
      <x:c r="C746" t="inlineStr">
        <x:is>
          <x:t xml:space="preserve">ITIAM-D6-Q14-A3</x:t>
        </x:is>
      </x:c>
      <x:c r="D746" t="n">
        <x:v>4</x:v>
      </x:c>
      <x:c r="E746" t="inlineStr">
        <x:is>
          <x:t xml:space="preserve">Optimized: Risk-based automation with testing and governance.</x:t>
        </x:is>
      </x:c>
      <x:c r="F746" t="n">
        <x:v>4</x:v>
      </x:c>
      <x:c r="I746" t="inlineStr">
        <x:is>
          <x:t xml:space="preserve">Maintain_and_Audit</x:t>
        </x:is>
      </x:c>
      <x:c r="J746" t="inlineStr">
        <x:is>
          <x:t xml:space="preserve">N</x:t>
        </x:is>
      </x:c>
    </x:row>
    <x:row r="747">
      <x:c r="B747" t="inlineStr">
        <x:is>
          <x:t xml:space="preserve">ITIAM-D7-Q15</x:t>
        </x:is>
      </x:c>
      <x:c r="C747" t="inlineStr">
        <x:is>
          <x:t xml:space="preserve">ITIAM-D7-Q15-A0</x:t>
        </x:is>
      </x:c>
      <x:c r="D747" t="n">
        <x:v>1</x:v>
      </x:c>
      <x:c r="E747" t="inlineStr">
        <x:is>
          <x:t xml:space="preserve">No: Logs are scattered or short-lived; investigations are slow.</x:t>
        </x:is>
      </x:c>
      <x:c r="F747" t="n">
        <x:v>0</x:v>
      </x:c>
      <x:c r="G747" t="inlineStr">
        <x:is>
          <x:t xml:space="preserve">visibility_gap</x:t>
        </x:is>
      </x:c>
      <x:c r="H747" t="inlineStr">
        <x:is>
          <x:t xml:space="preserve">Visibility Gap</x:t>
        </x:is>
      </x:c>
      <x:c r="I747" t="inlineStr">
        <x:is>
          <x:t xml:space="preserve">Centralize_Logs</x:t>
        </x:is>
      </x:c>
      <x:c r="J747" t="inlineStr">
        <x:is>
          <x:t xml:space="preserve">N</x:t>
        </x:is>
      </x:c>
    </x:row>
    <x:row r="748">
      <x:c r="B748" t="inlineStr">
        <x:is>
          <x:t xml:space="preserve">ITIAM-D7-Q15</x:t>
        </x:is>
      </x:c>
      <x:c r="C748" t="inlineStr">
        <x:is>
          <x:t xml:space="preserve">ITIAM-D7-Q15-A1</x:t>
        </x:is>
      </x:c>
      <x:c r="D748" t="n">
        <x:v>2</x:v>
      </x:c>
      <x:c r="E748" t="inlineStr">
        <x:is>
          <x:t xml:space="preserve">Partial: Logs exist but coverage gaps or retention issues remain.</x:t>
        </x:is>
      </x:c>
      <x:c r="F748" t="n">
        <x:v>1</x:v>
      </x:c>
      <x:c r="G748" t="inlineStr">
        <x:is>
          <x:t xml:space="preserve">visibility_gap</x:t>
        </x:is>
      </x:c>
      <x:c r="H748" t="inlineStr">
        <x:is>
          <x:t xml:space="preserve">Visibility Gap</x:t>
        </x:is>
      </x:c>
      <x:c r="I748" t="inlineStr">
        <x:is>
          <x:t xml:space="preserve">Improve_Log_Coverage</x:t>
        </x:is>
      </x:c>
      <x:c r="J748" t="inlineStr">
        <x:is>
          <x:t xml:space="preserve">N</x:t>
        </x:is>
      </x:c>
    </x:row>
    <x:row r="749">
      <x:c r="B749" t="inlineStr">
        <x:is>
          <x:t xml:space="preserve">ITIAM-D7-Q15</x:t>
        </x:is>
      </x:c>
      <x:c r="C749" t="inlineStr">
        <x:is>
          <x:t xml:space="preserve">ITIAM-D7-Q15-A2</x:t>
        </x:is>
      </x:c>
      <x:c r="D749" t="n">
        <x:v>3</x:v>
      </x:c>
      <x:c r="E749" t="inlineStr">
        <x:is>
          <x:t xml:space="preserve">Yes: Central logging for key identity actions; retention supports investigations.</x:t>
        </x:is>
      </x:c>
      <x:c r="F749" t="n">
        <x:v>3</x:v>
      </x:c>
      <x:c r="I749" t="inlineStr">
        <x:is>
          <x:t xml:space="preserve">Evidence_Request_Logs</x:t>
        </x:is>
      </x:c>
      <x:c r="J749" t="inlineStr">
        <x:is>
          <x:t xml:space="preserve">N</x:t>
        </x:is>
      </x:c>
    </x:row>
    <x:row r="750">
      <x:c r="B750" t="inlineStr">
        <x:is>
          <x:t xml:space="preserve">ITIAM-D7-Q15</x:t>
        </x:is>
      </x:c>
      <x:c r="C750" t="inlineStr">
        <x:is>
          <x:t xml:space="preserve">ITIAM-D7-Q15-A3</x:t>
        </x:is>
      </x:c>
      <x:c r="D750" t="n">
        <x:v>4</x:v>
      </x:c>
      <x:c r="E750" t="inlineStr">
        <x:is>
          <x:t xml:space="preserve">Optimized: Tamper-resistant logs + regular verification and alerting.</x:t>
        </x:is>
      </x:c>
      <x:c r="F750" t="n">
        <x:v>4</x:v>
      </x:c>
      <x:c r="I750" t="inlineStr">
        <x:is>
          <x:t xml:space="preserve">Maintain_and_Audit</x:t>
        </x:is>
      </x:c>
      <x:c r="J750" t="inlineStr">
        <x:is>
          <x:t xml:space="preserve">N</x:t>
        </x:is>
      </x:c>
    </x:row>
    <x:row r="751">
      <x:c r="B751" t="inlineStr">
        <x:is>
          <x:t xml:space="preserve">ITIAM-D8-Q16</x:t>
        </x:is>
      </x:c>
      <x:c r="C751" t="inlineStr">
        <x:is>
          <x:t xml:space="preserve">ITIAM-D8-Q16-A0</x:t>
        </x:is>
      </x:c>
      <x:c r="D751" t="n">
        <x:v>1</x:v>
      </x:c>
      <x:c r="E751" t="inlineStr">
        <x:is>
          <x:t xml:space="preserve">No: Role/access updates take months after changes.</x:t>
        </x:is>
      </x:c>
      <x:c r="F751" t="n">
        <x:v>0</x:v>
      </x:c>
      <x:c r="G751" t="inlineStr">
        <x:is>
          <x:t xml:space="preserve">control_lag</x:t>
        </x:is>
      </x:c>
      <x:c r="H751" t="inlineStr">
        <x:is>
          <x:t xml:space="preserve">Control Lag</x:t>
        </x:is>
      </x:c>
      <x:c r="I751" t="inlineStr">
        <x:is>
          <x:t xml:space="preserve">Reduce_Control_Lag</x:t>
        </x:is>
      </x:c>
      <x:c r="J751" t="inlineStr">
        <x:is>
          <x:t xml:space="preserve">N</x:t>
        </x:is>
      </x:c>
    </x:row>
    <x:row r="752">
      <x:c r="B752" t="inlineStr">
        <x:is>
          <x:t xml:space="preserve">ITIAM-D8-Q16</x:t>
        </x:is>
      </x:c>
      <x:c r="C752" t="inlineStr">
        <x:is>
          <x:t xml:space="preserve">ITIAM-D8-Q16-A1</x:t>
        </x:is>
      </x:c>
      <x:c r="D752" t="n">
        <x:v>2</x:v>
      </x:c>
      <x:c r="E752" t="inlineStr">
        <x:is>
          <x:t xml:space="preserve">Sometimes: Depends on the scale of change and team capacity.</x:t>
        </x:is>
      </x:c>
      <x:c r="F752" t="n">
        <x:v>1</x:v>
      </x:c>
      <x:c r="G752" t="inlineStr">
        <x:is>
          <x:t xml:space="preserve">operating_model_gap</x:t>
        </x:is>
      </x:c>
      <x:c r="H752" t="inlineStr">
        <x:is>
          <x:t xml:space="preserve">Operating Model Gap</x:t>
        </x:is>
      </x:c>
      <x:c r="I752" t="inlineStr">
        <x:is>
          <x:t xml:space="preserve">Plan_For_Change</x:t>
        </x:is>
      </x:c>
      <x:c r="J752" t="inlineStr">
        <x:is>
          <x:t xml:space="preserve">N</x:t>
        </x:is>
      </x:c>
    </x:row>
    <x:row r="753">
      <x:c r="B753" t="inlineStr">
        <x:is>
          <x:t xml:space="preserve">ITIAM-D8-Q16</x:t>
        </x:is>
      </x:c>
      <x:c r="C753" t="inlineStr">
        <x:is>
          <x:t xml:space="preserve">ITIAM-D8-Q16-A2</x:t>
        </x:is>
      </x:c>
      <x:c r="D753" t="n">
        <x:v>3</x:v>
      </x:c>
      <x:c r="E753" t="inlineStr">
        <x:is>
          <x:t xml:space="preserve">Yes: Access updates are part of change projects and tracked.</x:t>
        </x:is>
      </x:c>
      <x:c r="F753" t="n">
        <x:v>3</x:v>
      </x:c>
      <x:c r="I753" t="inlineStr">
        <x:is>
          <x:t xml:space="preserve">Evidence_Request_Change_Access</x:t>
        </x:is>
      </x:c>
      <x:c r="J753" t="inlineStr">
        <x:is>
          <x:t xml:space="preserve">N</x:t>
        </x:is>
      </x:c>
    </x:row>
    <x:row r="754">
      <x:c r="B754" t="inlineStr">
        <x:is>
          <x:t xml:space="preserve">ITIAM-D8-Q16</x:t>
        </x:is>
      </x:c>
      <x:c r="C754" t="inlineStr">
        <x:is>
          <x:t xml:space="preserve">ITIAM-D8-Q16-A3</x:t>
        </x:is>
      </x:c>
      <x:c r="D754" t="n">
        <x:v>4</x:v>
      </x:c>
      <x:c r="E754" t="inlineStr">
        <x:is>
          <x:t xml:space="preserve">Optimized: Automated triggers + measured lag time + continuous controls.</x:t>
        </x:is>
      </x:c>
      <x:c r="F754" t="n">
        <x:v>4</x:v>
      </x:c>
      <x:c r="I754" t="inlineStr">
        <x:is>
          <x:t xml:space="preserve">Maintain_and_Audit</x:t>
        </x:is>
      </x:c>
      <x:c r="J754" t="inlineStr">
        <x:is>
          <x:t xml:space="preserve">N</x:t>
        </x:is>
      </x:c>
    </x:row>
    <x:row r="755">
      <x:c r="B755" t="inlineStr">
        <x:is>
          <x:t xml:space="preserve">ITIAM-D9-Q17</x:t>
        </x:is>
      </x:c>
      <x:c r="C755" t="inlineStr">
        <x:is>
          <x:t xml:space="preserve">ITIAM-D9-Q17-A0</x:t>
        </x:is>
      </x:c>
      <x:c r="D755" t="n">
        <x:v>1</x:v>
      </x:c>
      <x:c r="E755" t="inlineStr">
        <x:is>
          <x:t xml:space="preserve">No: Matching identities across systems is manual and error-prone.</x:t>
        </x:is>
      </x:c>
      <x:c r="F755" t="n">
        <x:v>0</x:v>
      </x:c>
      <x:c r="G755" t="inlineStr">
        <x:is>
          <x:t xml:space="preserve">visibility_gap</x:t>
        </x:is>
      </x:c>
      <x:c r="H755" t="inlineStr">
        <x:is>
          <x:t xml:space="preserve">Visibility Gap</x:t>
        </x:is>
      </x:c>
      <x:c r="I755" t="inlineStr">
        <x:is>
          <x:t xml:space="preserve">Identity_Correlation</x:t>
        </x:is>
      </x:c>
      <x:c r="J755" t="inlineStr">
        <x:is>
          <x:t xml:space="preserve">N</x:t>
        </x:is>
      </x:c>
    </x:row>
    <x:row r="756">
      <x:c r="B756" t="inlineStr">
        <x:is>
          <x:t xml:space="preserve">ITIAM-D9-Q17</x:t>
        </x:is>
      </x:c>
      <x:c r="C756" t="inlineStr">
        <x:is>
          <x:t xml:space="preserve">ITIAM-D9-Q17-A1</x:t>
        </x:is>
      </x:c>
      <x:c r="D756" t="n">
        <x:v>2</x:v>
      </x:c>
      <x:c r="E756" t="inlineStr">
        <x:is>
          <x:t xml:space="preserve">Partial: Some systems link well; others are inconsistent.</x:t>
        </x:is>
      </x:c>
      <x:c r="F756" t="n">
        <x:v>1</x:v>
      </x:c>
      <x:c r="G756" t="inlineStr">
        <x:is>
          <x:t xml:space="preserve">visibility_gap</x:t>
        </x:is>
      </x:c>
      <x:c r="H756" t="inlineStr">
        <x:is>
          <x:t xml:space="preserve">Visibility Gap</x:t>
        </x:is>
      </x:c>
      <x:c r="I756" t="inlineStr">
        <x:is>
          <x:t xml:space="preserve">Unify_Identity_Key</x:t>
        </x:is>
      </x:c>
      <x:c r="J756" t="inlineStr">
        <x:is>
          <x:t xml:space="preserve">N</x:t>
        </x:is>
      </x:c>
    </x:row>
    <x:row r="757">
      <x:c r="B757" t="inlineStr">
        <x:is>
          <x:t xml:space="preserve">ITIAM-D9-Q17</x:t>
        </x:is>
      </x:c>
      <x:c r="C757" t="inlineStr">
        <x:is>
          <x:t xml:space="preserve">ITIAM-D9-Q17-A2</x:t>
        </x:is>
      </x:c>
      <x:c r="D757" t="n">
        <x:v>3</x:v>
      </x:c>
      <x:c r="E757" t="inlineStr">
        <x:is>
          <x:t xml:space="preserve">Yes: Unique IDs are used broadly; attribution is reliable.</x:t>
        </x:is>
      </x:c>
      <x:c r="F757" t="n">
        <x:v>3</x:v>
      </x:c>
      <x:c r="I757" t="inlineStr">
        <x:is>
          <x:t xml:space="preserve">Evidence_Request_ID_Key</x:t>
        </x:is>
      </x:c>
      <x:c r="J757" t="inlineStr">
        <x:is>
          <x:t xml:space="preserve">N</x:t>
        </x:is>
      </x:c>
    </x:row>
    <x:row r="758">
      <x:c r="B758" t="inlineStr">
        <x:is>
          <x:t xml:space="preserve">ITIAM-D9-Q17</x:t>
        </x:is>
      </x:c>
      <x:c r="C758" t="inlineStr">
        <x:is>
          <x:t xml:space="preserve">ITIAM-D9-Q17-A3</x:t>
        </x:is>
      </x:c>
      <x:c r="D758" t="n">
        <x:v>4</x:v>
      </x:c>
      <x:c r="E758" t="inlineStr">
        <x:is>
          <x:t xml:space="preserve">Optimized: Automated correlation + quality checks + audit trail.</x:t>
        </x:is>
      </x:c>
      <x:c r="F758" t="n">
        <x:v>4</x:v>
      </x:c>
      <x:c r="I758" t="inlineStr">
        <x:is>
          <x:t xml:space="preserve">Maintain_and_Audit</x:t>
        </x:is>
      </x:c>
      <x:c r="J758" t="inlineStr">
        <x:is>
          <x:t xml:space="preserve">N</x:t>
        </x:is>
      </x:c>
    </x:row>
    <x:row r="759">
      <x:c r="B759" t="inlineStr">
        <x:is>
          <x:t xml:space="preserve">ITIAM-D9-Q18</x:t>
        </x:is>
      </x:c>
      <x:c r="C759" t="inlineStr">
        <x:is>
          <x:t xml:space="preserve">ITIAM-D9-Q18-A0</x:t>
        </x:is>
      </x:c>
      <x:c r="D759" t="n">
        <x:v>1</x:v>
      </x:c>
      <x:c r="E759" t="inlineStr">
        <x:is>
          <x:t xml:space="preserve">No: Sensitive actions can be performed with standing privileges.</x:t>
        </x:is>
      </x:c>
      <x:c r="F759" t="n">
        <x:v>0</x:v>
      </x:c>
      <x:c r="G759" t="inlineStr">
        <x:is>
          <x:t xml:space="preserve">visibility_gap</x:t>
        </x:is>
      </x:c>
      <x:c r="H759" t="inlineStr">
        <x:is>
          <x:t xml:space="preserve">Visibility Gap</x:t>
        </x:is>
      </x:c>
      <x:c r="I759" t="inlineStr">
        <x:is>
          <x:t xml:space="preserve">StepUp_Controls</x:t>
        </x:is>
      </x:c>
      <x:c r="J759" t="inlineStr">
        <x:is>
          <x:t xml:space="preserve">N</x:t>
        </x:is>
      </x:c>
    </x:row>
    <x:row r="760">
      <x:c r="B760" t="inlineStr">
        <x:is>
          <x:t xml:space="preserve">ITIAM-D9-Q18</x:t>
        </x:is>
      </x:c>
      <x:c r="C760" t="inlineStr">
        <x:is>
          <x:t xml:space="preserve">ITIAM-D9-Q18-A1</x:t>
        </x:is>
      </x:c>
      <x:c r="D760" t="n">
        <x:v>2</x:v>
      </x:c>
      <x:c r="E760" t="inlineStr">
        <x:is>
          <x:t xml:space="preserve">Partial: Some actions require step-up; coverage is inconsistent.</x:t>
        </x:is>
      </x:c>
      <x:c r="F760" t="n">
        <x:v>1</x:v>
      </x:c>
      <x:c r="G760" t="inlineStr">
        <x:is>
          <x:t xml:space="preserve">operating_model_gap</x:t>
        </x:is>
      </x:c>
      <x:c r="H760" t="inlineStr">
        <x:is>
          <x:t xml:space="preserve">Operating Model Gap</x:t>
        </x:is>
      </x:c>
      <x:c r="I760" t="inlineStr">
        <x:is>
          <x:t xml:space="preserve">Expand_StepUp</x:t>
        </x:is>
      </x:c>
      <x:c r="J760" t="inlineStr">
        <x:is>
          <x:t xml:space="preserve">N</x:t>
        </x:is>
      </x:c>
    </x:row>
    <x:row r="761">
      <x:c r="B761" t="inlineStr">
        <x:is>
          <x:t xml:space="preserve">ITIAM-D9-Q18</x:t>
        </x:is>
      </x:c>
      <x:c r="C761" t="inlineStr">
        <x:is>
          <x:t xml:space="preserve">ITIAM-D9-Q18-A2</x:t>
        </x:is>
      </x:c>
      <x:c r="D761" t="n">
        <x:v>3</x:v>
      </x:c>
      <x:c r="E761" t="inlineStr">
        <x:is>
          <x:t xml:space="preserve">Yes: Step-up controls cover most high-risk actions.</x:t>
        </x:is>
      </x:c>
      <x:c r="F761" t="n">
        <x:v>3</x:v>
      </x:c>
      <x:c r="I761" t="inlineStr">
        <x:is>
          <x:t xml:space="preserve">Evidence_Request_StepUp</x:t>
        </x:is>
      </x:c>
      <x:c r="J761" t="inlineStr">
        <x:is>
          <x:t xml:space="preserve">N</x:t>
        </x:is>
      </x:c>
    </x:row>
    <x:row r="762">
      <x:c r="B762" t="inlineStr">
        <x:is>
          <x:t xml:space="preserve">ITIAM-D9-Q18</x:t>
        </x:is>
      </x:c>
      <x:c r="C762" t="inlineStr">
        <x:is>
          <x:t xml:space="preserve">ITIAM-D9-Q18-A3</x:t>
        </x:is>
      </x:c>
      <x:c r="D762" t="n">
        <x:v>4</x:v>
      </x:c>
      <x:c r="E762" t="inlineStr">
        <x:is>
          <x:t xml:space="preserve">Optimized: Risk-based, tested controls with continuous review.</x:t>
        </x:is>
      </x:c>
      <x:c r="F762" t="n">
        <x:v>4</x:v>
      </x:c>
      <x:c r="I762" t="inlineStr">
        <x:is>
          <x:t xml:space="preserve">Maintain_and_Audit</x:t>
        </x:is>
      </x:c>
      <x:c r="J762" t="inlineStr">
        <x:is>
          <x:t xml:space="preserve">N</x:t>
        </x:is>
      </x:c>
    </x:row>
    <x:row r="763">
      <x:c r="B763" t="inlineStr">
        <x:is>
          <x:t xml:space="preserve">AUD-D1-Q01</x:t>
        </x:is>
      </x:c>
      <x:c r="C763" t="inlineStr">
        <x:is>
          <x:t xml:space="preserve">AUD-D1-Q01-A0</x:t>
        </x:is>
      </x:c>
      <x:c r="D763" t="n">
        <x:v>1</x:v>
      </x:c>
      <x:c r="E763" t="inlineStr">
        <x:is>
          <x:t xml:space="preserve">I don’t know / not sure.</x:t>
        </x:is>
      </x:c>
      <x:c r="F763" t="n">
        <x:v>0</x:v>
      </x:c>
      <x:c r="G763" t="inlineStr">
        <x:is>
          <x:t xml:space="preserve">unknown</x:t>
        </x:is>
      </x:c>
      <x:c r="H763" t="inlineStr">
        <x:is>
          <x:t xml:space="preserve">Unknown</x:t>
        </x:is>
      </x:c>
      <x:c r="I763" t="inlineStr">
        <x:is>
          <x:t xml:space="preserve">Clarify_Risk_Owners</x:t>
        </x:is>
      </x:c>
      <x:c r="J763" t="inlineStr">
        <x:is>
          <x:t xml:space="preserve">N</x:t>
        </x:is>
      </x:c>
    </x:row>
    <x:row r="764">
      <x:c r="B764" t="inlineStr">
        <x:is>
          <x:t xml:space="preserve">AUD-D1-Q01</x:t>
        </x:is>
      </x:c>
      <x:c r="C764" t="inlineStr">
        <x:is>
          <x:t xml:space="preserve">AUD-D1-Q01-A1</x:t>
        </x:is>
      </x:c>
      <x:c r="D764" t="n">
        <x:v>2</x:v>
      </x:c>
      <x:c r="E764" t="inlineStr">
        <x:is>
          <x:t xml:space="preserve">No: Insider risk is not in ERM; ownership is unclear.</x:t>
        </x:is>
      </x:c>
      <x:c r="F764" t="n">
        <x:v>0</x:v>
      </x:c>
      <x:c r="G764" t="inlineStr">
        <x:is>
          <x:t xml:space="preserve">governance_gap</x:t>
        </x:is>
      </x:c>
      <x:c r="H764" t="inlineStr">
        <x:is>
          <x:t xml:space="preserve">Operating Model Gap</x:t>
        </x:is>
      </x:c>
      <x:c r="I764" t="inlineStr">
        <x:is>
          <x:t xml:space="preserve">Integrate_ERM</x:t>
        </x:is>
      </x:c>
      <x:c r="J764" t="inlineStr">
        <x:is>
          <x:t xml:space="preserve">N</x:t>
        </x:is>
      </x:c>
    </x:row>
    <x:row r="765">
      <x:c r="B765" t="inlineStr">
        <x:is>
          <x:t xml:space="preserve">AUD-D1-Q01</x:t>
        </x:is>
      </x:c>
      <x:c r="C765" t="inlineStr">
        <x:is>
          <x:t xml:space="preserve">AUD-D1-Q01-A2</x:t>
        </x:is>
      </x:c>
      <x:c r="D765" t="n">
        <x:v>3</x:v>
      </x:c>
      <x:c r="E765" t="inlineStr">
        <x:is>
          <x:t xml:space="preserve">Partial: Mentioned in risk registers but not actively managed.</x:t>
        </x:is>
      </x:c>
      <x:c r="F765" t="n">
        <x:v>1</x:v>
      </x:c>
      <x:c r="G765" t="inlineStr">
        <x:is>
          <x:t xml:space="preserve">paper_dragon_signal</x:t>
        </x:is>
      </x:c>
      <x:c r="H765" t="inlineStr">
        <x:is>
          <x:t xml:space="preserve">Paper Dragon</x:t>
        </x:is>
      </x:c>
      <x:c r="I765" t="inlineStr">
        <x:is>
          <x:t xml:space="preserve">Operationalize_ERM</x:t>
        </x:is>
      </x:c>
      <x:c r="J765" t="inlineStr">
        <x:is>
          <x:t xml:space="preserve">N</x:t>
        </x:is>
      </x:c>
    </x:row>
    <x:row r="766">
      <x:c r="B766" t="inlineStr">
        <x:is>
          <x:t xml:space="preserve">AUD-D1-Q01</x:t>
        </x:is>
      </x:c>
      <x:c r="C766" t="inlineStr">
        <x:is>
          <x:t xml:space="preserve">AUD-D1-Q01-A3</x:t>
        </x:is>
      </x:c>
      <x:c r="D766" t="n">
        <x:v>4</x:v>
      </x:c>
      <x:c r="E766" t="inlineStr">
        <x:is>
          <x:t xml:space="preserve">Yes: Defined in ERM with owners and escalation paths.</x:t>
        </x:is>
      </x:c>
      <x:c r="F766" t="n">
        <x:v>3</x:v>
      </x:c>
      <x:c r="I766" t="inlineStr">
        <x:is>
          <x:t xml:space="preserve">Evidence_Request_ERM</x:t>
        </x:is>
      </x:c>
      <x:c r="J766" t="inlineStr">
        <x:is>
          <x:t xml:space="preserve">N</x:t>
        </x:is>
      </x:c>
    </x:row>
    <x:row r="767">
      <x:c r="B767" t="inlineStr">
        <x:is>
          <x:t xml:space="preserve">AUD-D1-Q01</x:t>
        </x:is>
      </x:c>
      <x:c r="C767" t="inlineStr">
        <x:is>
          <x:t xml:space="preserve">AUD-D1-Q01-A4</x:t>
        </x:is>
      </x:c>
      <x:c r="D767" t="n">
        <x:v>5</x:v>
      </x:c>
      <x:c r="E767" t="inlineStr">
        <x:is>
          <x:t xml:space="preserve">Mature: Appetite, KRIs, and decisions are reviewed regularly; changes trigger updates.</x:t>
        </x:is>
      </x:c>
      <x:c r="F767" t="n">
        <x:v>4</x:v>
      </x:c>
      <x:c r="I767" t="inlineStr">
        <x:is>
          <x:t xml:space="preserve">Maintain_and_Audit</x:t>
        </x:is>
      </x:c>
      <x:c r="J767" t="inlineStr">
        <x:is>
          <x:t xml:space="preserve">N</x:t>
        </x:is>
      </x:c>
    </x:row>
    <x:row r="768">
      <x:c r="B768" t="inlineStr">
        <x:is>
          <x:t xml:space="preserve">AUD-D1-Q02</x:t>
        </x:is>
      </x:c>
      <x:c r="C768" t="inlineStr">
        <x:is>
          <x:t xml:space="preserve">AUD-D1-Q02-A0</x:t>
        </x:is>
      </x:c>
      <x:c r="D768" t="n">
        <x:v>1</x:v>
      </x:c>
      <x:c r="E768" t="inlineStr">
        <x:is>
          <x:t xml:space="preserve">No: We don’t test operating effectiveness; we rely on policy statements.</x:t>
        </x:is>
      </x:c>
      <x:c r="F768" t="n">
        <x:v>0</x:v>
      </x:c>
      <x:c r="G768" t="inlineStr">
        <x:is>
          <x:t xml:space="preserve">paper_dragon_signal</x:t>
        </x:is>
      </x:c>
      <x:c r="H768" t="inlineStr">
        <x:is>
          <x:t xml:space="preserve">Paper Dragon</x:t>
        </x:is>
      </x:c>
      <x:c r="I768" t="inlineStr">
        <x:is>
          <x:t xml:space="preserve">Control_Testing</x:t>
        </x:is>
      </x:c>
      <x:c r="J768" t="inlineStr">
        <x:is>
          <x:t xml:space="preserve">N</x:t>
        </x:is>
      </x:c>
    </x:row>
    <x:row r="769">
      <x:c r="B769" t="inlineStr">
        <x:is>
          <x:t xml:space="preserve">AUD-D1-Q02</x:t>
        </x:is>
      </x:c>
      <x:c r="C769" t="inlineStr">
        <x:is>
          <x:t xml:space="preserve">AUD-D1-Q02-A1</x:t>
        </x:is>
      </x:c>
      <x:c r="D769" t="n">
        <x:v>2</x:v>
      </x:c>
      <x:c r="E769" t="inlineStr">
        <x:is>
          <x:t xml:space="preserve">Ad-hoc: Testing happens occasionally or only for compliance.</x:t>
        </x:is>
      </x:c>
      <x:c r="F769" t="n">
        <x:v>1</x:v>
      </x:c>
      <x:c r="G769" t="inlineStr">
        <x:is>
          <x:t xml:space="preserve">operating_model_gap</x:t>
        </x:is>
      </x:c>
      <x:c r="H769" t="inlineStr">
        <x:is>
          <x:t xml:space="preserve">Operating Model Gap</x:t>
        </x:is>
      </x:c>
      <x:c r="I769" t="inlineStr">
        <x:is>
          <x:t xml:space="preserve">Assurance_Plan</x:t>
        </x:is>
      </x:c>
      <x:c r="J769" t="inlineStr">
        <x:is>
          <x:t xml:space="preserve">N</x:t>
        </x:is>
      </x:c>
    </x:row>
    <x:row r="770">
      <x:c r="B770" t="inlineStr">
        <x:is>
          <x:t xml:space="preserve">AUD-D1-Q02</x:t>
        </x:is>
      </x:c>
      <x:c r="C770" t="inlineStr">
        <x:is>
          <x:t xml:space="preserve">AUD-D1-Q02-A2</x:t>
        </x:is>
      </x:c>
      <x:c r="D770" t="n">
        <x:v>3</x:v>
      </x:c>
      <x:c r="E770" t="inlineStr">
        <x:is>
          <x:t xml:space="preserve">Yes: A testing schedule exists and results are tracked.</x:t>
        </x:is>
      </x:c>
      <x:c r="F770" t="n">
        <x:v>3</x:v>
      </x:c>
      <x:c r="I770" t="inlineStr">
        <x:is>
          <x:t xml:space="preserve">Evidence_Request_Testing</x:t>
        </x:is>
      </x:c>
      <x:c r="J770" t="inlineStr">
        <x:is>
          <x:t xml:space="preserve">N</x:t>
        </x:is>
      </x:c>
    </x:row>
    <x:row r="771">
      <x:c r="B771" t="inlineStr">
        <x:is>
          <x:t xml:space="preserve">AUD-D1-Q02</x:t>
        </x:is>
      </x:c>
      <x:c r="C771" t="inlineStr">
        <x:is>
          <x:t xml:space="preserve">AUD-D1-Q02-A3</x:t>
        </x:is>
      </x:c>
      <x:c r="D771" t="n">
        <x:v>4</x:v>
      </x:c>
      <x:c r="E771" t="inlineStr">
        <x:is>
          <x:t xml:space="preserve">Mature: Risk-based testing + independent challenge + trend reporting.</x:t>
        </x:is>
      </x:c>
      <x:c r="F771" t="n">
        <x:v>4</x:v>
      </x:c>
      <x:c r="I771" t="inlineStr">
        <x:is>
          <x:t xml:space="preserve">Maintain_and_Audit</x:t>
        </x:is>
      </x:c>
      <x:c r="J771" t="inlineStr">
        <x:is>
          <x:t xml:space="preserve">N</x:t>
        </x:is>
      </x:c>
    </x:row>
    <x:row r="772">
      <x:c r="B772" t="inlineStr">
        <x:is>
          <x:t xml:space="preserve">AUD-D1-Q03</x:t>
        </x:is>
      </x:c>
      <x:c r="C772" t="inlineStr">
        <x:is>
          <x:t xml:space="preserve">AUD-D1-Q03-A0</x:t>
        </x:is>
      </x:c>
      <x:c r="D772" t="n">
        <x:v>1</x:v>
      </x:c>
      <x:c r="E772" t="inlineStr">
        <x:is>
          <x:t xml:space="preserve">No: Evidence is hard to find; practices are not recorded.</x:t>
        </x:is>
      </x:c>
      <x:c r="F772" t="n">
        <x:v>0</x:v>
      </x:c>
      <x:c r="G772" t="inlineStr">
        <x:is>
          <x:t xml:space="preserve">paper_dragon_signal</x:t>
        </x:is>
      </x:c>
      <x:c r="H772" t="inlineStr">
        <x:is>
          <x:t xml:space="preserve">Paper Dragon</x:t>
        </x:is>
      </x:c>
      <x:c r="I772" t="inlineStr">
        <x:is>
          <x:t xml:space="preserve">Evidence_Model</x:t>
        </x:is>
      </x:c>
      <x:c r="J772" t="inlineStr">
        <x:is>
          <x:t xml:space="preserve">N</x:t>
        </x:is>
      </x:c>
    </x:row>
    <x:row r="773">
      <x:c r="B773" t="inlineStr">
        <x:is>
          <x:t xml:space="preserve">AUD-D1-Q03</x:t>
        </x:is>
      </x:c>
      <x:c r="C773" t="inlineStr">
        <x:is>
          <x:t xml:space="preserve">AUD-D1-Q03-A1</x:t>
        </x:is>
      </x:c>
      <x:c r="D773" t="n">
        <x:v>2</x:v>
      </x:c>
      <x:c r="E773" t="inlineStr">
        <x:is>
          <x:t xml:space="preserve">Some: Evidence exists for a few areas but not consistently.</x:t>
        </x:is>
      </x:c>
      <x:c r="F773" t="n">
        <x:v>1</x:v>
      </x:c>
      <x:c r="G773" t="inlineStr">
        <x:is>
          <x:t xml:space="preserve">operating_model_gap</x:t>
        </x:is>
      </x:c>
      <x:c r="H773" t="inlineStr">
        <x:is>
          <x:t xml:space="preserve">Operating Model Gap</x:t>
        </x:is>
      </x:c>
      <x:c r="I773" t="inlineStr">
        <x:is>
          <x:t xml:space="preserve">Standardize_Evidence</x:t>
        </x:is>
      </x:c>
      <x:c r="J773" t="inlineStr">
        <x:is>
          <x:t xml:space="preserve">N</x:t>
        </x:is>
      </x:c>
    </x:row>
    <x:row r="774">
      <x:c r="B774" t="inlineStr">
        <x:is>
          <x:t xml:space="preserve">AUD-D1-Q03</x:t>
        </x:is>
      </x:c>
      <x:c r="C774" t="inlineStr">
        <x:is>
          <x:t xml:space="preserve">AUD-D1-Q03-A2</x:t>
        </x:is>
      </x:c>
      <x:c r="D774" t="n">
        <x:v>3</x:v>
      </x:c>
      <x:c r="E774" t="inlineStr">
        <x:is>
          <x:t xml:space="preserve">Yes: Evidence is maintained for most key controls.</x:t>
        </x:is>
      </x:c>
      <x:c r="F774" t="n">
        <x:v>3</x:v>
      </x:c>
      <x:c r="I774" t="inlineStr">
        <x:is>
          <x:t xml:space="preserve">Evidence_Request_EvidenceSet</x:t>
        </x:is>
      </x:c>
      <x:c r="J774" t="inlineStr">
        <x:is>
          <x:t xml:space="preserve">N</x:t>
        </x:is>
      </x:c>
    </x:row>
    <x:row r="775">
      <x:c r="B775" t="inlineStr">
        <x:is>
          <x:t xml:space="preserve">AUD-D1-Q03</x:t>
        </x:is>
      </x:c>
      <x:c r="C775" t="inlineStr">
        <x:is>
          <x:t xml:space="preserve">AUD-D1-Q03-A3</x:t>
        </x:is>
      </x:c>
      <x:c r="D775" t="n">
        <x:v>4</x:v>
      </x:c>
      <x:c r="E775" t="inlineStr">
        <x:is>
          <x:t xml:space="preserve">Mature: Evidence is automated where possible and independently sampled.</x:t>
        </x:is>
      </x:c>
      <x:c r="F775" t="n">
        <x:v>4</x:v>
      </x:c>
      <x:c r="I775" t="inlineStr">
        <x:is>
          <x:t xml:space="preserve">Maintain_and_Audit</x:t>
        </x:is>
      </x:c>
      <x:c r="J775" t="inlineStr">
        <x:is>
          <x:t xml:space="preserve">N</x:t>
        </x:is>
      </x:c>
    </x:row>
    <x:row r="776">
      <x:c r="B776" t="inlineStr">
        <x:is>
          <x:t xml:space="preserve">AUD-D2-Q04</x:t>
        </x:is>
      </x:c>
      <x:c r="C776" t="inlineStr">
        <x:is>
          <x:t xml:space="preserve">AUD-D2-Q04-A0</x:t>
        </x:is>
      </x:c>
      <x:c r="D776" t="n">
        <x:v>1</x:v>
      </x:c>
      <x:c r="E776" t="inlineStr">
        <x:is>
          <x:t xml:space="preserve">No: Findings often remain open or get lost.</x:t>
        </x:is>
      </x:c>
      <x:c r="F776" t="n">
        <x:v>0</x:v>
      </x:c>
      <x:c r="G776" t="inlineStr">
        <x:is>
          <x:t xml:space="preserve">operating_model_gap</x:t>
        </x:is>
      </x:c>
      <x:c r="H776" t="inlineStr">
        <x:is>
          <x:t xml:space="preserve">Operating Model Gap</x:t>
        </x:is>
      </x:c>
      <x:c r="I776" t="inlineStr">
        <x:is>
          <x:t xml:space="preserve">Remediation_Tracking</x:t>
        </x:is>
      </x:c>
      <x:c r="J776" t="inlineStr">
        <x:is>
          <x:t xml:space="preserve">N</x:t>
        </x:is>
      </x:c>
    </x:row>
    <x:row r="777">
      <x:c r="B777" t="inlineStr">
        <x:is>
          <x:t xml:space="preserve">AUD-D2-Q04</x:t>
        </x:is>
      </x:c>
      <x:c r="C777" t="inlineStr">
        <x:is>
          <x:t xml:space="preserve">AUD-D2-Q04-A1</x:t>
        </x:is>
      </x:c>
      <x:c r="D777" t="n">
        <x:v>2</x:v>
      </x:c>
      <x:c r="E777" t="inlineStr">
        <x:is>
          <x:t xml:space="preserve">Partial: Tracking exists but escalation is inconsistent.</x:t>
        </x:is>
      </x:c>
      <x:c r="F777" t="n">
        <x:v>1</x:v>
      </x:c>
      <x:c r="G777" t="inlineStr">
        <x:is>
          <x:t xml:space="preserve">operating_model_gap</x:t>
        </x:is>
      </x:c>
      <x:c r="H777" t="inlineStr">
        <x:is>
          <x:t xml:space="preserve">Operating Model Gap</x:t>
        </x:is>
      </x:c>
      <x:c r="I777" t="inlineStr">
        <x:is>
          <x:t xml:space="preserve">Escalation_Process</x:t>
        </x:is>
      </x:c>
      <x:c r="J777" t="inlineStr">
        <x:is>
          <x:t xml:space="preserve">N</x:t>
        </x:is>
      </x:c>
    </x:row>
    <x:row r="778">
      <x:c r="B778" t="inlineStr">
        <x:is>
          <x:t xml:space="preserve">AUD-D2-Q04</x:t>
        </x:is>
      </x:c>
      <x:c r="C778" t="inlineStr">
        <x:is>
          <x:t xml:space="preserve">AUD-D2-Q04-A2</x:t>
        </x:is>
      </x:c>
      <x:c r="D778" t="n">
        <x:v>3</x:v>
      </x:c>
      <x:c r="E778" t="inlineStr">
        <x:is>
          <x:t xml:space="preserve">Yes: Central tracking with owners, deadlines, and closure evidence.</x:t>
        </x:is>
      </x:c>
      <x:c r="F778" t="n">
        <x:v>3</x:v>
      </x:c>
      <x:c r="I778" t="inlineStr">
        <x:is>
          <x:t xml:space="preserve">Evidence_Request_Remediation</x:t>
        </x:is>
      </x:c>
      <x:c r="J778" t="inlineStr">
        <x:is>
          <x:t xml:space="preserve">N</x:t>
        </x:is>
      </x:c>
    </x:row>
    <x:row r="779">
      <x:c r="B779" t="inlineStr">
        <x:is>
          <x:t xml:space="preserve">AUD-D2-Q04</x:t>
        </x:is>
      </x:c>
      <x:c r="C779" t="inlineStr">
        <x:is>
          <x:t xml:space="preserve">AUD-D2-Q04-A3</x:t>
        </x:is>
      </x:c>
      <x:c r="D779" t="n">
        <x:v>4</x:v>
      </x:c>
      <x:c r="E779" t="inlineStr">
        <x:is>
          <x:t xml:space="preserve">Mature: Trend analysis and root-cause prevention; board visibility for critical items.</x:t>
        </x:is>
      </x:c>
      <x:c r="F779" t="n">
        <x:v>4</x:v>
      </x:c>
      <x:c r="I779" t="inlineStr">
        <x:is>
          <x:t xml:space="preserve">Maintain_and_Audit</x:t>
        </x:is>
      </x:c>
      <x:c r="J779" t="inlineStr">
        <x:is>
          <x:t xml:space="preserve">N</x:t>
        </x:is>
      </x:c>
    </x:row>
    <x:row r="780">
      <x:c r="B780" t="inlineStr">
        <x:is>
          <x:t xml:space="preserve">AUD-D2-Q05</x:t>
        </x:is>
      </x:c>
      <x:c r="C780" t="inlineStr">
        <x:is>
          <x:t xml:space="preserve">AUD-D2-Q05-A0</x:t>
        </x:is>
      </x:c>
      <x:c r="D780" t="n">
        <x:v>1</x:v>
      </x:c>
      <x:c r="E780" t="inlineStr">
        <x:is>
          <x:t xml:space="preserve">No: Reporting is inconsistent or purely technical.</x:t>
        </x:is>
      </x:c>
      <x:c r="F780" t="n">
        <x:v>0</x:v>
      </x:c>
      <x:c r="G780" t="inlineStr">
        <x:is>
          <x:t xml:space="preserve">paper_dragon_signal</x:t>
        </x:is>
      </x:c>
      <x:c r="H780" t="inlineStr">
        <x:is>
          <x:t xml:space="preserve">Paper Dragon</x:t>
        </x:is>
      </x:c>
      <x:c r="I780" t="inlineStr">
        <x:is>
          <x:t xml:space="preserve">Improve_KRIs</x:t>
        </x:is>
      </x:c>
      <x:c r="J780" t="inlineStr">
        <x:is>
          <x:t xml:space="preserve">N</x:t>
        </x:is>
      </x:c>
    </x:row>
    <x:row r="781">
      <x:c r="B781" t="inlineStr">
        <x:is>
          <x:t xml:space="preserve">AUD-D2-Q05</x:t>
        </x:is>
      </x:c>
      <x:c r="C781" t="inlineStr">
        <x:is>
          <x:t xml:space="preserve">AUD-D2-Q05-A1</x:t>
        </x:is>
      </x:c>
      <x:c r="D781" t="n">
        <x:v>2</x:v>
      </x:c>
      <x:c r="E781" t="inlineStr">
        <x:is>
          <x:t xml:space="preserve">Some: Occasional reporting but it doesn’t influence decisions.</x:t>
        </x:is>
      </x:c>
      <x:c r="F781" t="n">
        <x:v>1</x:v>
      </x:c>
      <x:c r="G781" t="inlineStr">
        <x:is>
          <x:t xml:space="preserve">operating_model_gap</x:t>
        </x:is>
      </x:c>
      <x:c r="H781" t="inlineStr">
        <x:is>
          <x:t xml:space="preserve">Operating Model Gap</x:t>
        </x:is>
      </x:c>
      <x:c r="I781" t="inlineStr">
        <x:is>
          <x:t xml:space="preserve">Decision_Oriented_Reporting</x:t>
        </x:is>
      </x:c>
      <x:c r="J781" t="inlineStr">
        <x:is>
          <x:t xml:space="preserve">N</x:t>
        </x:is>
      </x:c>
    </x:row>
    <x:row r="782">
      <x:c r="B782" t="inlineStr">
        <x:is>
          <x:t xml:space="preserve">AUD-D2-Q05</x:t>
        </x:is>
      </x:c>
      <x:c r="C782" t="inlineStr">
        <x:is>
          <x:t xml:space="preserve">AUD-D2-Q05-A2</x:t>
        </x:is>
      </x:c>
      <x:c r="D782" t="n">
        <x:v>3</x:v>
      </x:c>
      <x:c r="E782" t="inlineStr">
        <x:is>
          <x:t xml:space="preserve">Yes: Regular leadership reporting with clear actions/owners.</x:t>
        </x:is>
      </x:c>
      <x:c r="F782" t="n">
        <x:v>3</x:v>
      </x:c>
      <x:c r="I782" t="inlineStr">
        <x:is>
          <x:t xml:space="preserve">Evidence_Request_KRI</x:t>
        </x:is>
      </x:c>
      <x:c r="J782" t="inlineStr">
        <x:is>
          <x:t xml:space="preserve">N</x:t>
        </x:is>
      </x:c>
    </x:row>
    <x:row r="783">
      <x:c r="B783" t="inlineStr">
        <x:is>
          <x:t xml:space="preserve">AUD-D2-Q05</x:t>
        </x:is>
      </x:c>
      <x:c r="C783" t="inlineStr">
        <x:is>
          <x:t xml:space="preserve">AUD-D2-Q05-A3</x:t>
        </x:is>
      </x:c>
      <x:c r="D783" t="n">
        <x:v>4</x:v>
      </x:c>
      <x:c r="E783" t="inlineStr">
        <x:is>
          <x:t xml:space="preserve">Mature: Metrics tied to risk appetite and investment priorities; trend-based.</x:t>
        </x:is>
      </x:c>
      <x:c r="F783" t="n">
        <x:v>4</x:v>
      </x:c>
      <x:c r="I783" t="inlineStr">
        <x:is>
          <x:t xml:space="preserve">Maintain_and_Audit</x:t>
        </x:is>
      </x:c>
      <x:c r="J783" t="inlineStr">
        <x:is>
          <x:t xml:space="preserve">N</x:t>
        </x:is>
      </x:c>
    </x:row>
    <x:row r="784">
      <x:c r="B784" t="inlineStr">
        <x:is>
          <x:t xml:space="preserve">AUD-D3-Q06</x:t>
        </x:is>
      </x:c>
      <x:c r="C784" t="inlineStr">
        <x:is>
          <x:t xml:space="preserve">AUD-D3-Q06-A0</x:t>
        </x:is>
      </x:c>
      <x:c r="D784" t="n">
        <x:v>1</x:v>
      </x:c>
      <x:c r="E784" t="inlineStr">
        <x:is>
          <x:t xml:space="preserve">No: Change events are handled operationally; risk controls lag behind.</x:t>
        </x:is>
      </x:c>
      <x:c r="F784" t="n">
        <x:v>0</x:v>
      </x:c>
      <x:c r="G784" t="inlineStr">
        <x:is>
          <x:t xml:space="preserve">control_lag</x:t>
        </x:is>
      </x:c>
      <x:c r="H784" t="inlineStr">
        <x:is>
          <x:t xml:space="preserve">Control Lag</x:t>
        </x:is>
      </x:c>
      <x:c r="I784" t="inlineStr">
        <x:is>
          <x:t xml:space="preserve">Change_Risk_Assessment</x:t>
        </x:is>
      </x:c>
      <x:c r="J784" t="inlineStr">
        <x:is>
          <x:t xml:space="preserve">N</x:t>
        </x:is>
      </x:c>
    </x:row>
    <x:row r="785">
      <x:c r="B785" t="inlineStr">
        <x:is>
          <x:t xml:space="preserve">AUD-D3-Q06</x:t>
        </x:is>
      </x:c>
      <x:c r="C785" t="inlineStr">
        <x:is>
          <x:t xml:space="preserve">AUD-D3-Q06-A1</x:t>
        </x:is>
      </x:c>
      <x:c r="D785" t="n">
        <x:v>2</x:v>
      </x:c>
      <x:c r="E785" t="inlineStr">
        <x:is>
          <x:t xml:space="preserve">Ad-hoc: Some events trigger reviews, but criteria vary.</x:t>
        </x:is>
      </x:c>
      <x:c r="F785" t="n">
        <x:v>1</x:v>
      </x:c>
      <x:c r="G785" t="inlineStr">
        <x:is>
          <x:t xml:space="preserve">operating_model_gap</x:t>
        </x:is>
      </x:c>
      <x:c r="H785" t="inlineStr">
        <x:is>
          <x:t xml:space="preserve">Operating Model Gap</x:t>
        </x:is>
      </x:c>
      <x:c r="I785" t="inlineStr">
        <x:is>
          <x:t xml:space="preserve">Standardize_Change_Risk</x:t>
        </x:is>
      </x:c>
      <x:c r="J785" t="inlineStr">
        <x:is>
          <x:t xml:space="preserve">N</x:t>
        </x:is>
      </x:c>
    </x:row>
    <x:row r="786">
      <x:c r="B786" t="inlineStr">
        <x:is>
          <x:t xml:space="preserve">AUD-D3-Q06</x:t>
        </x:is>
      </x:c>
      <x:c r="C786" t="inlineStr">
        <x:is>
          <x:t xml:space="preserve">AUD-D3-Q06-A2</x:t>
        </x:is>
      </x:c>
      <x:c r="D786" t="n">
        <x:v>3</x:v>
      </x:c>
      <x:c r="E786" t="inlineStr">
        <x:is>
          <x:t xml:space="preserve">Yes: Standard assessment is used for major events.</x:t>
        </x:is>
      </x:c>
      <x:c r="F786" t="n">
        <x:v>3</x:v>
      </x:c>
      <x:c r="I786" t="inlineStr">
        <x:is>
          <x:t xml:space="preserve">Evidence_Request_Change_Risk</x:t>
        </x:is>
      </x:c>
      <x:c r="J786" t="inlineStr">
        <x:is>
          <x:t xml:space="preserve">N</x:t>
        </x:is>
      </x:c>
    </x:row>
    <x:row r="787">
      <x:c r="B787" t="inlineStr">
        <x:is>
          <x:t xml:space="preserve">AUD-D3-Q06</x:t>
        </x:is>
      </x:c>
      <x:c r="C787" t="inlineStr">
        <x:is>
          <x:t xml:space="preserve">AUD-D3-Q06-A3</x:t>
        </x:is>
      </x:c>
      <x:c r="D787" t="n">
        <x:v>4</x:v>
      </x:c>
      <x:c r="E787" t="inlineStr">
        <x:is>
          <x:t xml:space="preserve">Mature: Automated triggers + measured lag time + continuous improvement.</x:t>
        </x:is>
      </x:c>
      <x:c r="F787" t="n">
        <x:v>4</x:v>
      </x:c>
      <x:c r="I787" t="inlineStr">
        <x:is>
          <x:t xml:space="preserve">Maintain_and_Audit</x:t>
        </x:is>
      </x:c>
      <x:c r="J787" t="inlineStr">
        <x:is>
          <x:t xml:space="preserve">N</x:t>
        </x:is>
      </x:c>
    </x:row>
    <x:row r="788">
      <x:c r="B788" t="inlineStr">
        <x:is>
          <x:t xml:space="preserve">AUD-D3-Q07</x:t>
        </x:is>
      </x:c>
      <x:c r="C788" t="inlineStr">
        <x:is>
          <x:t xml:space="preserve">AUD-D3-Q07-A0</x:t>
        </x:is>
      </x:c>
      <x:c r="D788" t="n">
        <x:v>1</x:v>
      </x:c>
      <x:c r="E788" t="inlineStr">
        <x:is>
          <x:t xml:space="preserve">No: The same team designs and approves monitoring.</x:t>
        </x:is>
      </x:c>
      <x:c r="F788" t="n">
        <x:v>0</x:v>
      </x:c>
      <x:c r="G788" t="inlineStr">
        <x:is>
          <x:t xml:space="preserve">legal_exposure</x:t>
        </x:is>
      </x:c>
      <x:c r="H788" t="inlineStr">
        <x:is>
          <x:t xml:space="preserve">Legal Exposure</x:t>
        </x:is>
      </x:c>
      <x:c r="I788" t="inlineStr">
        <x:is>
          <x:t xml:space="preserve">Independent_Review</x:t>
        </x:is>
      </x:c>
      <x:c r="J788" t="inlineStr">
        <x:is>
          <x:t xml:space="preserve">N</x:t>
        </x:is>
      </x:c>
    </x:row>
    <x:row r="789">
      <x:c r="B789" t="inlineStr">
        <x:is>
          <x:t xml:space="preserve">AUD-D3-Q07</x:t>
        </x:is>
      </x:c>
      <x:c r="C789" t="inlineStr">
        <x:is>
          <x:t xml:space="preserve">AUD-D3-Q07-A1</x:t>
        </x:is>
      </x:c>
      <x:c r="D789" t="n">
        <x:v>2</x:v>
      </x:c>
      <x:c r="E789" t="inlineStr">
        <x:is>
          <x:t xml:space="preserve">Partial: Reviews happen sometimes but aren’t consistent or documented.</x:t>
        </x:is>
      </x:c>
      <x:c r="F789" t="n">
        <x:v>1</x:v>
      </x:c>
      <x:c r="G789" t="inlineStr">
        <x:is>
          <x:t xml:space="preserve">operating_model_gap</x:t>
        </x:is>
      </x:c>
      <x:c r="H789" t="inlineStr">
        <x:is>
          <x:t xml:space="preserve">Operating Model Gap</x:t>
        </x:is>
      </x:c>
      <x:c r="I789" t="inlineStr">
        <x:is>
          <x:t xml:space="preserve">Formalize_Independent_Review</x:t>
        </x:is>
      </x:c>
      <x:c r="J789" t="inlineStr">
        <x:is>
          <x:t xml:space="preserve">N</x:t>
        </x:is>
      </x:c>
    </x:row>
    <x:row r="790">
      <x:c r="B790" t="inlineStr">
        <x:is>
          <x:t xml:space="preserve">AUD-D3-Q07</x:t>
        </x:is>
      </x:c>
      <x:c r="C790" t="inlineStr">
        <x:is>
          <x:t xml:space="preserve">AUD-D3-Q07-A2</x:t>
        </x:is>
      </x:c>
      <x:c r="D790" t="n">
        <x:v>3</x:v>
      </x:c>
      <x:c r="E790" t="inlineStr">
        <x:is>
          <x:t xml:space="preserve">Yes: Independent review is required for key monitoring changes.</x:t>
        </x:is>
      </x:c>
      <x:c r="F790" t="n">
        <x:v>3</x:v>
      </x:c>
      <x:c r="I790" t="inlineStr">
        <x:is>
          <x:t xml:space="preserve">Evidence_Request_Review</x:t>
        </x:is>
      </x:c>
      <x:c r="J790" t="inlineStr">
        <x:is>
          <x:t xml:space="preserve">N</x:t>
        </x:is>
      </x:c>
    </x:row>
    <x:row r="791">
      <x:c r="B791" t="inlineStr">
        <x:is>
          <x:t xml:space="preserve">AUD-D3-Q07</x:t>
        </x:is>
      </x:c>
      <x:c r="C791" t="inlineStr">
        <x:is>
          <x:t xml:space="preserve">AUD-D3-Q07-A3</x:t>
        </x:is>
      </x:c>
      <x:c r="D791" t="n">
        <x:v>4</x:v>
      </x:c>
      <x:c r="E791" t="inlineStr">
        <x:is>
          <x:t xml:space="preserve">Mature: Periodic audits + documented safeguards + improvements tracked.</x:t>
        </x:is>
      </x:c>
      <x:c r="F791" t="n">
        <x:v>4</x:v>
      </x:c>
      <x:c r="I791" t="inlineStr">
        <x:is>
          <x:t xml:space="preserve">Maintain_and_Audit</x:t>
        </x:is>
      </x:c>
      <x:c r="J791" t="inlineStr">
        <x:is>
          <x:t xml:space="preserve">N</x:t>
        </x:is>
      </x:c>
    </x:row>
    <x:row r="792">
      <x:c r="B792" t="inlineStr">
        <x:is>
          <x:t xml:space="preserve">AUD-D4-Q08</x:t>
        </x:is>
      </x:c>
      <x:c r="C792" t="inlineStr">
        <x:is>
          <x:t xml:space="preserve">AUD-D4-Q08-A0</x:t>
        </x:is>
      </x:c>
      <x:c r="D792" t="n">
        <x:v>1</x:v>
      </x:c>
      <x:c r="E792" t="inlineStr">
        <x:is>
          <x:t xml:space="preserve">No: Vendors are trusted by default; limited assurance.</x:t>
        </x:is>
      </x:c>
      <x:c r="F792" t="n">
        <x:v>0</x:v>
      </x:c>
      <x:c r="G792" t="inlineStr">
        <x:is>
          <x:t xml:space="preserve">visibility_gap</x:t>
        </x:is>
      </x:c>
      <x:c r="H792" t="inlineStr">
        <x:is>
          <x:t xml:space="preserve">Visibility Gap</x:t>
        </x:is>
      </x:c>
      <x:c r="I792" t="inlineStr">
        <x:is>
          <x:t xml:space="preserve">ThirdParty_Assurance</x:t>
        </x:is>
      </x:c>
      <x:c r="J792" t="inlineStr">
        <x:is>
          <x:t xml:space="preserve">N</x:t>
        </x:is>
      </x:c>
    </x:row>
    <x:row r="793">
      <x:c r="B793" t="inlineStr">
        <x:is>
          <x:t xml:space="preserve">AUD-D4-Q08</x:t>
        </x:is>
      </x:c>
      <x:c r="C793" t="inlineStr">
        <x:is>
          <x:t xml:space="preserve">AUD-D4-Q08-A1</x:t>
        </x:is>
      </x:c>
      <x:c r="D793" t="n">
        <x:v>2</x:v>
      </x:c>
      <x:c r="E793" t="inlineStr">
        <x:is>
          <x:t xml:space="preserve">Partial: Contracts mention it, but evidence is rarely checked.</x:t>
        </x:is>
      </x:c>
      <x:c r="F793" t="n">
        <x:v>1</x:v>
      </x:c>
      <x:c r="G793" t="inlineStr">
        <x:is>
          <x:t xml:space="preserve">paper_dragon_signal</x:t>
        </x:is>
      </x:c>
      <x:c r="H793" t="inlineStr">
        <x:is>
          <x:t xml:space="preserve">Paper Dragon</x:t>
        </x:is>
      </x:c>
      <x:c r="I793" t="inlineStr">
        <x:is>
          <x:t xml:space="preserve">Enforce_Vendor_Evidence</x:t>
        </x:is>
      </x:c>
      <x:c r="J793" t="inlineStr">
        <x:is>
          <x:t xml:space="preserve">N</x:t>
        </x:is>
      </x:c>
    </x:row>
    <x:row r="794">
      <x:c r="B794" t="inlineStr">
        <x:is>
          <x:t xml:space="preserve">AUD-D4-Q08</x:t>
        </x:is>
      </x:c>
      <x:c r="C794" t="inlineStr">
        <x:is>
          <x:t xml:space="preserve">AUD-D4-Q08-A2</x:t>
        </x:is>
      </x:c>
      <x:c r="D794" t="n">
        <x:v>3</x:v>
      </x:c>
      <x:c r="E794" t="inlineStr">
        <x:is>
          <x:t xml:space="preserve">Yes: Key vendors provide evidence and are reviewed periodically.</x:t>
        </x:is>
      </x:c>
      <x:c r="F794" t="n">
        <x:v>3</x:v>
      </x:c>
      <x:c r="I794" t="inlineStr">
        <x:is>
          <x:t xml:space="preserve">Evidence_Request_Vendor</x:t>
        </x:is>
      </x:c>
      <x:c r="J794" t="inlineStr">
        <x:is>
          <x:t xml:space="preserve">N</x:t>
        </x:is>
      </x:c>
    </x:row>
    <x:row r="795">
      <x:c r="B795" t="inlineStr">
        <x:is>
          <x:t xml:space="preserve">AUD-D4-Q08</x:t>
        </x:is>
      </x:c>
      <x:c r="C795" t="inlineStr">
        <x:is>
          <x:t xml:space="preserve">AUD-D4-Q08-A3</x:t>
        </x:is>
      </x:c>
      <x:c r="D795" t="n">
        <x:v>4</x:v>
      </x:c>
      <x:c r="E795" t="inlineStr">
        <x:is>
          <x:t xml:space="preserve">Mature: Risk-based assurance with exit plans and exercise of cooperation clauses.</x:t>
        </x:is>
      </x:c>
      <x:c r="F795" t="n">
        <x:v>4</x:v>
      </x:c>
      <x:c r="I795" t="inlineStr">
        <x:is>
          <x:t xml:space="preserve">Maintain_and_Audit</x:t>
        </x:is>
      </x:c>
      <x:c r="J795" t="inlineStr">
        <x:is>
          <x:t xml:space="preserve">N</x:t>
        </x:is>
      </x:c>
    </x:row>
    <x:row r="796">
      <x:c r="B796" t="inlineStr">
        <x:is>
          <x:t xml:space="preserve">AUD-D5-Q09</x:t>
        </x:is>
      </x:c>
      <x:c r="C796" t="inlineStr">
        <x:is>
          <x:t xml:space="preserve">AUD-D5-Q09-A0</x:t>
        </x:is>
      </x:c>
      <x:c r="D796" t="n">
        <x:v>1</x:v>
      </x:c>
      <x:c r="E796" t="inlineStr">
        <x:is>
          <x:t xml:space="preserve">No: Reviews happen, but improvements are not tracked or retested.</x:t>
        </x:is>
      </x:c>
      <x:c r="F796" t="n">
        <x:v>0</x:v>
      </x:c>
      <x:c r="G796" t="inlineStr">
        <x:is>
          <x:t xml:space="preserve">resilience_gap</x:t>
        </x:is>
      </x:c>
      <x:c r="H796" t="inlineStr">
        <x:is>
          <x:t xml:space="preserve">Resilience Gap</x:t>
        </x:is>
      </x:c>
      <x:c r="I796" t="inlineStr">
        <x:is>
          <x:t xml:space="preserve">Lessons_Learned</x:t>
        </x:is>
      </x:c>
      <x:c r="J796" t="inlineStr">
        <x:is>
          <x:t xml:space="preserve">N</x:t>
        </x:is>
      </x:c>
    </x:row>
    <x:row r="797">
      <x:c r="B797" t="inlineStr">
        <x:is>
          <x:t xml:space="preserve">AUD-D5-Q09</x:t>
        </x:is>
      </x:c>
      <x:c r="C797" t="inlineStr">
        <x:is>
          <x:t xml:space="preserve">AUD-D5-Q09-A1</x:t>
        </x:is>
      </x:c>
      <x:c r="D797" t="n">
        <x:v>2</x:v>
      </x:c>
      <x:c r="E797" t="inlineStr">
        <x:is>
          <x:t xml:space="preserve">Partial: Improvements are planned but often delayed.</x:t>
        </x:is>
      </x:c>
      <x:c r="F797" t="n">
        <x:v>1</x:v>
      </x:c>
      <x:c r="G797" t="inlineStr">
        <x:is>
          <x:t xml:space="preserve">operating_model_gap</x:t>
        </x:is>
      </x:c>
      <x:c r="H797" t="inlineStr">
        <x:is>
          <x:t xml:space="preserve">Operating Model Gap</x:t>
        </x:is>
      </x:c>
      <x:c r="I797" t="inlineStr">
        <x:is>
          <x:t xml:space="preserve">Track_Improvements</x:t>
        </x:is>
      </x:c>
      <x:c r="J797" t="inlineStr">
        <x:is>
          <x:t xml:space="preserve">N</x:t>
        </x:is>
      </x:c>
    </x:row>
    <x:row r="798">
      <x:c r="B798" t="inlineStr">
        <x:is>
          <x:t xml:space="preserve">AUD-D5-Q09</x:t>
        </x:is>
      </x:c>
      <x:c r="C798" t="inlineStr">
        <x:is>
          <x:t xml:space="preserve">AUD-D5-Q09-A2</x:t>
        </x:is>
      </x:c>
      <x:c r="D798" t="n">
        <x:v>3</x:v>
      </x:c>
      <x:c r="E798" t="inlineStr">
        <x:is>
          <x:t xml:space="preserve">Yes: Reviews lead to changes and follow-up is verified.</x:t>
        </x:is>
      </x:c>
      <x:c r="F798" t="n">
        <x:v>3</x:v>
      </x:c>
      <x:c r="I798" t="inlineStr">
        <x:is>
          <x:t xml:space="preserve">Evidence_Request_PostMortem</x:t>
        </x:is>
      </x:c>
      <x:c r="J798" t="inlineStr">
        <x:is>
          <x:t xml:space="preserve">N</x:t>
        </x:is>
      </x:c>
    </x:row>
    <x:row r="799">
      <x:c r="B799" t="inlineStr">
        <x:is>
          <x:t xml:space="preserve">AUD-D5-Q09</x:t>
        </x:is>
      </x:c>
      <x:c r="C799" t="inlineStr">
        <x:is>
          <x:t xml:space="preserve">AUD-D5-Q09-A3</x:t>
        </x:is>
      </x:c>
      <x:c r="D799" t="n">
        <x:v>4</x:v>
      </x:c>
      <x:c r="E799" t="inlineStr">
        <x:is>
          <x:t xml:space="preserve">Mature: Pattern analysis prevents recurrence; changes are measured for effectiveness.</x:t>
        </x:is>
      </x:c>
      <x:c r="F799" t="n">
        <x:v>4</x:v>
      </x:c>
      <x:c r="I799" t="inlineStr">
        <x:is>
          <x:t xml:space="preserve">Maintain_and_Audit</x:t>
        </x:is>
      </x:c>
      <x:c r="J799" t="inlineStr">
        <x:is>
          <x:t xml:space="preserve">N</x:t>
        </x:is>
      </x:c>
    </x:row>
    <x:row r="800">
      <x:c r="B800" t="inlineStr">
        <x:is>
          <x:t xml:space="preserve">AUD-D6-Q10</x:t>
        </x:is>
      </x:c>
      <x:c r="C800" t="inlineStr">
        <x:is>
          <x:t xml:space="preserve">AUD-D6-Q10-A0</x:t>
        </x:is>
      </x:c>
      <x:c r="D800" t="n">
        <x:v>1</x:v>
      </x:c>
      <x:c r="E800" t="inlineStr">
        <x:is>
          <x:t xml:space="preserve">No: Monitoring data is broadly accessible or weakly controlled.</x:t>
        </x:is>
      </x:c>
      <x:c r="F800" t="n">
        <x:v>0</x:v>
      </x:c>
      <x:c r="G800" t="inlineStr">
        <x:is>
          <x:t xml:space="preserve">legal_exposure</x:t>
        </x:is>
      </x:c>
      <x:c r="H800" t="inlineStr">
        <x:is>
          <x:t xml:space="preserve">Legal Exposure</x:t>
        </x:is>
      </x:c>
      <x:c r="I800" t="inlineStr">
        <x:is>
          <x:t xml:space="preserve">Protect_Monitoring_Data</x:t>
        </x:is>
      </x:c>
      <x:c r="J800" t="inlineStr">
        <x:is>
          <x:t xml:space="preserve">N</x:t>
        </x:is>
      </x:c>
    </x:row>
    <x:row r="801">
      <x:c r="B801" t="inlineStr">
        <x:is>
          <x:t xml:space="preserve">AUD-D6-Q10</x:t>
        </x:is>
      </x:c>
      <x:c r="C801" t="inlineStr">
        <x:is>
          <x:t xml:space="preserve">AUD-D6-Q10-A1</x:t>
        </x:is>
      </x:c>
      <x:c r="D801" t="n">
        <x:v>2</x:v>
      </x:c>
      <x:c r="E801" t="inlineStr">
        <x:is>
          <x:t xml:space="preserve">Partial: Controls exist but reviews are inconsistent.</x:t>
        </x:is>
      </x:c>
      <x:c r="F801" t="n">
        <x:v>1</x:v>
      </x:c>
      <x:c r="G801" t="inlineStr">
        <x:is>
          <x:t xml:space="preserve">operating_model_gap</x:t>
        </x:is>
      </x:c>
      <x:c r="H801" t="inlineStr">
        <x:is>
          <x:t xml:space="preserve">Operating Model Gap</x:t>
        </x:is>
      </x:c>
      <x:c r="I801" t="inlineStr">
        <x:is>
          <x:t xml:space="preserve">Periodic_Reviews</x:t>
        </x:is>
      </x:c>
      <x:c r="J801" t="inlineStr">
        <x:is>
          <x:t xml:space="preserve">N</x:t>
        </x:is>
      </x:c>
    </x:row>
    <x:row r="802">
      <x:c r="B802" t="inlineStr">
        <x:is>
          <x:t xml:space="preserve">AUD-D6-Q10</x:t>
        </x:is>
      </x:c>
      <x:c r="C802" t="inlineStr">
        <x:is>
          <x:t xml:space="preserve">AUD-D6-Q10-A2</x:t>
        </x:is>
      </x:c>
      <x:c r="D802" t="n">
        <x:v>3</x:v>
      </x:c>
      <x:c r="E802" t="inlineStr">
        <x:is>
          <x:t xml:space="preserve">Yes: Strong controls and periodic reviews are in place.</x:t>
        </x:is>
      </x:c>
      <x:c r="F802" t="n">
        <x:v>3</x:v>
      </x:c>
      <x:c r="I802" t="inlineStr">
        <x:is>
          <x:t xml:space="preserve">Evidence_Request_Protection</x:t>
        </x:is>
      </x:c>
      <x:c r="J802" t="inlineStr">
        <x:is>
          <x:t xml:space="preserve">N</x:t>
        </x:is>
      </x:c>
    </x:row>
    <x:row r="803">
      <x:c r="B803" t="inlineStr">
        <x:is>
          <x:t xml:space="preserve">AUD-D6-Q10</x:t>
        </x:is>
      </x:c>
      <x:c r="C803" t="inlineStr">
        <x:is>
          <x:t xml:space="preserve">AUD-D6-Q10-A3</x:t>
        </x:is>
      </x:c>
      <x:c r="D803" t="n">
        <x:v>4</x:v>
      </x:c>
      <x:c r="E803" t="inlineStr">
        <x:is>
          <x:t xml:space="preserve">Mature: Independent audits and continuous improvement.</x:t>
        </x:is>
      </x:c>
      <x:c r="F803" t="n">
        <x:v>4</x:v>
      </x:c>
      <x:c r="I803" t="inlineStr">
        <x:is>
          <x:t xml:space="preserve">Maintain_and_Audit</x:t>
        </x:is>
      </x:c>
      <x:c r="J803" t="inlineStr">
        <x:is>
          <x:t xml:space="preserve">N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customWidth="1"/>
    <x:col min="2" max="2" width="13" customWidth="1"/>
    <x:col min="3" max="3" width="10" customWidth="1"/>
    <x:col min="4" max="4" width="28" customWidth="1"/>
    <x:col min="5" max="5" width="10" customWidth="1"/>
    <x:col min="6" max="6" width="10" customWidth="1"/>
    <x:col min="7" max="7" width="10" customWidth="1"/>
    <x:col min="8" max="8" width="10" customWidth="1"/>
    <x:col min="9" max="9" width="60" customWidth="1"/>
    <x:col min="10" max="10" width="60" customWidth="1"/>
    <x:col min="11" max="11" width="60" customWidth="1"/>
    <x:col min="12" max="12" width="18" customWidth="1"/>
    <x:col min="13" max="13" width="10" customWidth="1"/>
    <x:col min="14" max="14" width="10" customWidth="1"/>
    <x:col min="15" max="15" width="10" customWidth="1"/>
    <x:col min="16" max="16" width="16" customWidth="1"/>
    <x:col min="17" max="17" width="10" customWidth="1"/>
    <x:col min="18" max="18" width="60" customWidth="1"/>
    <x:col min="19" max="19" width="11" customWidth="1"/>
    <x:col min="20" max="20" width="40" customWidth="1"/>
    <x:col min="21" max="21" width="21" customWidth="1"/>
    <x:col min="22" max="22" width="33" customWidth="1"/>
    <x:col min="23" max="23" width="17" customWidth="1"/>
    <x:col min="24" max="24" width="60" customWidth="1"/>
    <x:col min="25" max="25" width="56" customWidth="1"/>
    <x:col min="26" max="26" width="56" customWidth="1"/>
    <x:col min="27" max="27" width="56" customWidth="1"/>
    <x:col min="28" max="28" width="56" customWidth="1"/>
    <x:col min="29" max="29" width="56" customWidth="1"/>
    <x:col min="30" max="30" width="56" customWidth="1"/>
    <x:col min="31" max="31" width="56" customWidth="1"/>
    <x:col min="32" max="32" width="56" customWidth="1"/>
    <x:col min="33" max="33" width="56" customWidth="1"/>
  </x:cols>
  <x:sheetData>
    <x:row r="1">
      <x:c r="A1" s="1" t="inlineStr">
        <x:is>
          <x:t xml:space="preserve">Pack</x:t>
        </x:is>
      </x:c>
      <x:c r="B1" s="1" t="inlineStr">
        <x:is>
          <x:t xml:space="preserve">Q-ID</x:t>
        </x:is>
      </x:c>
      <x:c r="C1" s="1" t="inlineStr">
        <x:is>
          <x:t xml:space="preserve">Tier</x:t>
        </x:is>
      </x:c>
      <x:c r="D1" s="1" t="inlineStr">
        <x:is>
          <x:t xml:space="preserve">Domain</x:t>
        </x:is>
      </x:c>
      <x:c r="E1" s="1" t="inlineStr">
        <x:is>
          <x:t xml:space="preserve">Axis1</x:t>
        </x:is>
      </x:c>
      <x:c r="F1" s="1" t="inlineStr">
        <x:is>
          <x:t xml:space="preserve">W1</x:t>
        </x:is>
      </x:c>
      <x:c r="G1" s="1" t="inlineStr">
        <x:is>
          <x:t xml:space="preserve">Axis2</x:t>
        </x:is>
      </x:c>
      <x:c r="H1" s="1" t="inlineStr">
        <x:is>
          <x:t xml:space="preserve">W2</x:t>
        </x:is>
      </x:c>
      <x:c r="I1" s="1" t="inlineStr">
        <x:is>
          <x:t xml:space="preserve">Question Text</x:t>
        </x:is>
      </x:c>
      <x:c r="J1" s="1" t="inlineStr">
        <x:is>
          <x:t xml:space="preserve">Guidance</x:t>
        </x:is>
      </x:c>
      <x:c r="K1" s="1" t="inlineStr">
        <x:is>
          <x:t xml:space="preserve">Logic/Branching</x:t>
        </x:is>
      </x:c>
      <x:c r="L1" s="1" t="inlineStr">
        <x:is>
          <x:t xml:space="preserve">EvidencePolicyID</x:t>
        </x:is>
      </x:c>
      <x:c r="M1" s="1" t="inlineStr">
        <x:is>
          <x:t xml:space="preserve">CW</x:t>
        </x:is>
      </x:c>
      <x:c r="N1" s="1" t="inlineStr">
        <x:is>
          <x:t xml:space="preserve">TH</x:t>
        </x:is>
      </x:c>
      <x:c r="O1" s="1" t="inlineStr">
        <x:is>
          <x:t xml:space="preserve">Scope</x:t>
        </x:is>
      </x:c>
      <x:c r="P1" s="1" t="inlineStr">
        <x:is>
          <x:t xml:space="preserve">A-ID</x:t>
        </x:is>
      </x:c>
      <x:c r="Q1" s="1" t="inlineStr">
        <x:is>
          <x:t xml:space="preserve">Option #</x:t>
        </x:is>
      </x:c>
      <x:c r="R1" s="1" t="inlineStr">
        <x:is>
          <x:t xml:space="preserve">Answer Option Text</x:t>
        </x:is>
      </x:c>
      <x:c r="S1" s="1" t="inlineStr">
        <x:is>
          <x:t xml:space="preserve">BaseScore</x:t>
        </x:is>
      </x:c>
      <x:c r="T1" s="1" t="inlineStr">
        <x:is>
          <x:t xml:space="preserve">Tags</x:t>
        </x:is>
      </x:c>
      <x:c r="U1" s="1" t="inlineStr">
        <x:is>
          <x:t xml:space="preserve">FractureType</x:t>
        </x:is>
      </x:c>
      <x:c r="V1" s="1" t="inlineStr">
        <x:is>
          <x:t xml:space="preserve">FollowUpTrigger</x:t>
        </x:is>
      </x:c>
      <x:c r="W1" s="1" t="inlineStr">
        <x:is>
          <x:t xml:space="preserve">NegativeControl</x:t>
        </x:is>
      </x:c>
      <x:c r="X1" s="1" t="inlineStr">
        <x:is>
          <x:t xml:space="preserve">Evidence Hint</x:t>
        </x:is>
      </x:c>
      <x:c r="Y1" s="1" t="inlineStr">
        <x:is>
          <x:t xml:space="preserve">Pts_G</x:t>
        </x:is>
      </x:c>
      <x:c r="Z1" s="1" t="inlineStr">
        <x:is>
          <x:t xml:space="preserve">Pts_E</x:t>
        </x:is>
      </x:c>
      <x:c r="AA1" s="1" t="inlineStr">
        <x:is>
          <x:t xml:space="preserve">Pts_T</x:t>
        </x:is>
      </x:c>
      <x:c r="AB1" s="1" t="inlineStr">
        <x:is>
          <x:t xml:space="preserve">Pts_L</x:t>
        </x:is>
      </x:c>
      <x:c r="AC1" s="1" t="inlineStr">
        <x:is>
          <x:t xml:space="preserve">Pts_H</x:t>
        </x:is>
      </x:c>
      <x:c r="AD1" s="1" t="inlineStr">
        <x:is>
          <x:t xml:space="preserve">Pts_V</x:t>
        </x:is>
      </x:c>
      <x:c r="AE1" s="1" t="inlineStr">
        <x:is>
          <x:t xml:space="preserve">Pts_R</x:t>
        </x:is>
      </x:c>
      <x:c r="AF1" s="1" t="inlineStr">
        <x:is>
          <x:t xml:space="preserve">Pts_F</x:t>
        </x:is>
      </x:c>
      <x:c r="AG1" s="1" t="inlineStr">
        <x:is>
          <x:t xml:space="preserve">Pts_W</x:t>
        </x:is>
      </x:c>
      <x:c r="AH1" t="inlineStr">
        <x:is>
          <x:t xml:space="preserve">IRMMF Domain</x:t>
        </x:is>
      </x:c>
      <x:c r="AI1" t="inlineStr">
        <x:is>
          <x:t xml:space="preserve">IRMMF Function</x:t>
        </x:is>
      </x:c>
      <x:c r="AJ1" t="inlineStr">
        <x:is>
          <x:t xml:space="preserve">IRMMF Sub-capability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EXCO-D1-Q01</x:t>
        </x:is>
      </x:c>
      <x:c r="C2" t="inlineStr">
        <x:is>
          <x:t xml:space="preserve">T1</x:t>
        </x:is>
      </x:c>
      <x:c r="D2" t="inlineStr">
        <x:is>
          <x:t xml:space="preserve">1. Strategy &amp; Governance</x:t>
        </x:is>
      </x:c>
      <x:c r="E2" t="inlineStr">
        <x:is>
          <x:t xml:space="preserve">G</x:t>
        </x:is>
      </x:c>
      <x:c r="F2" t="n">
        <x:v>1</x:v>
      </x:c>
      <x:c r="G2" t="inlineStr">
        <x:is>
          <x:t xml:space="preserve">-</x:t>
        </x:is>
      </x:c>
      <x:c r="I2" t="inlineStr">
        <x:is>
          <x:t xml:space="preserve">How is the insider risk program officially authorised?</x:t>
        </x:is>
      </x:c>
      <x:c r="J2" t="inlineStr">
        <x:is>
          <x:t xml:space="preserve">Think about a signed charter/decision, named sponsor, and whether funding is formally approved.</x:t>
        </x:is>
      </x:c>
      <x:c r="L2" t="inlineStr">
        <x:is>
          <x:t xml:space="preserve">GOV_STD</x:t>
        </x:is>
      </x:c>
      <x:c r="M2" t="n">
        <x:v>1</x:v>
      </x:c>
      <x:c r="P2" t="inlineStr">
        <x:is>
          <x:t xml:space="preserve">EXCO-D1-Q01-A0</x:t>
        </x:is>
      </x:c>
      <x:c r="Q2" t="n">
        <x:v>1</x:v>
      </x:c>
      <x:c r="R2" t="inlineStr">
        <x:is>
          <x:t xml:space="preserve">I don’t know / not sure.</x:t>
        </x:is>
      </x:c>
      <x:c r="S2" t="n">
        <x:v>0</x:v>
      </x:c>
      <x:c r="T2" t="inlineStr">
        <x:is>
          <x:t xml:space="preserve">unknown</x:t>
        </x:is>
      </x:c>
      <x:c r="U2" t="inlineStr">
        <x:is>
          <x:t xml:space="preserve">Unknown</x:t>
        </x:is>
      </x:c>
      <x:c r="V2" t="inlineStr">
        <x:is>
          <x:t xml:space="preserve">Clarify_Stakeholders</x:t>
        </x:is>
      </x:c>
      <x:c r="W2" t="inlineStr">
        <x:is>
          <x:t xml:space="preserve">N</x:t>
        </x:is>
      </x:c>
      <x:c r="Y2">
        <x:f>(S2*IF(E2="G",F2,0))+(S2*IF(G2="G",H2,0))</x:f>
        <x:v>0</x:v>
      </x:c>
      <x:c r="Z2">
        <x:f>(S2*IF(E2="E",F2,0))+(S2*IF(G2="E",H2,0))</x:f>
        <x:v>0</x:v>
      </x:c>
      <x:c r="AA2">
        <x:f>(S2*IF(E2="T",F2,0))+(S2*IF(G2="T",H2,0))</x:f>
        <x:v>0</x:v>
      </x:c>
      <x:c r="AB2">
        <x:f>(S2*IF(E2="L",F2,0))+(S2*IF(G2="L",H2,0))</x:f>
        <x:v>0</x:v>
      </x:c>
      <x:c r="AC2">
        <x:f>(S2*IF(E2="H",F2,0))+(S2*IF(G2="H",H2,0))</x:f>
        <x:v>0</x:v>
      </x:c>
      <x:c r="AD2">
        <x:f>(S2*IF(E2="V",F2,0))+(S2*IF(G2="V",H2,0))</x:f>
        <x:v>0</x:v>
      </x:c>
      <x:c r="AE2">
        <x:f>(S2*IF(E2="R",F2,0))+(S2*IF(G2="R",H2,0))</x:f>
        <x:v>0</x:v>
      </x:c>
      <x:c r="AF2">
        <x:f>(S2*IF(E2="F",F2,0))+(S2*IF(G2="F",H2,0))</x:f>
        <x:v>0</x:v>
      </x:c>
      <x:c r="AG2">
        <x:f>(S2*IF(E2="W",F2,0))+(S2*IF(G2="W",H2,0))</x:f>
        <x:v>0</x:v>
      </x:c>
      <x:c r="AH2" t="inlineStr">
        <x:is>
          <x:t xml:space="preserve">1. Strategy &amp; Governance</x:t>
        </x:is>
      </x:c>
      <x:c r="AI2" t="inlineStr">
        <x:is>
          <x:t xml:space="preserve">Program Management</x:t>
        </x:is>
      </x:c>
      <x:c r="AJ2" t="inlineStr">
        <x:is>
          <x:t xml:space="preserve">Charter &amp; authority model</x:t>
        </x:is>
      </x:c>
    </x:row>
    <x:row r="3">
      <x:c r="A3" t="inlineStr">
        <x:is>
          <x:t xml:space="preserve">Executive</x:t>
        </x:is>
      </x:c>
      <x:c r="B3" t="inlineStr">
        <x:is>
          <x:t xml:space="preserve">EXCO-D1-Q01</x:t>
        </x:is>
      </x:c>
      <x:c r="C3" t="inlineStr">
        <x:is>
          <x:t xml:space="preserve">T1</x:t>
        </x:is>
      </x:c>
      <x:c r="D3" t="inlineStr">
        <x:is>
          <x:t xml:space="preserve">1. Strategy &amp; Governance</x:t>
        </x:is>
      </x:c>
      <x:c r="E3" t="inlineStr">
        <x:is>
          <x:t xml:space="preserve">G</x:t>
        </x:is>
      </x:c>
      <x:c r="F3" t="n">
        <x:v>1</x:v>
      </x:c>
      <x:c r="G3" t="inlineStr">
        <x:is>
          <x:t xml:space="preserve">-</x:t>
        </x:is>
      </x:c>
      <x:c r="I3" t="inlineStr">
        <x:is>
          <x:t xml:space="preserve">How is the insider risk program officially authorised?</x:t>
        </x:is>
      </x:c>
      <x:c r="J3" t="inlineStr">
        <x:is>
          <x:t xml:space="preserve">Think about a signed charter/decision, named sponsor, and whether funding is formally approved.</x:t>
        </x:is>
      </x:c>
      <x:c r="L3" t="inlineStr">
        <x:is>
          <x:t xml:space="preserve">GOV_STD</x:t>
        </x:is>
      </x:c>
      <x:c r="M3" t="n">
        <x:v>1</x:v>
      </x:c>
      <x:c r="P3" t="inlineStr">
        <x:is>
          <x:t xml:space="preserve">EXCO-D1-Q01-A1</x:t>
        </x:is>
      </x:c>
      <x:c r="Q3" t="n">
        <x:v>2</x:v>
      </x:c>
      <x:c r="R3" t="inlineStr">
        <x:is>
          <x:t xml:space="preserve">No formal decision or budget; work happens only when incidents occur.</x:t>
        </x:is>
      </x:c>
      <x:c r="S3" t="n">
        <x:v>0</x:v>
      </x:c>
      <x:c r="T3" t="inlineStr">
        <x:is>
          <x:t xml:space="preserve">foundational_gap</x:t>
        </x:is>
      </x:c>
      <x:c r="U3" t="inlineStr">
        <x:is>
          <x:t xml:space="preserve">Operating Model Gap</x:t>
        </x:is>
      </x:c>
      <x:c r="V3" t="inlineStr">
        <x:is>
          <x:t xml:space="preserve">Foundational_Setup</x:t>
        </x:is>
      </x:c>
      <x:c r="W3" t="inlineStr">
        <x:is>
          <x:t xml:space="preserve">N</x:t>
        </x:is>
      </x:c>
      <x:c r="Y3">
        <x:f>(S3*IF(E3="G",F3,0))+(S3*IF(G3="G",H3,0))</x:f>
        <x:v>0</x:v>
      </x:c>
      <x:c r="Z3">
        <x:f>(S3*IF(E3="E",F3,0))+(S3*IF(G3="E",H3,0))</x:f>
        <x:v>0</x:v>
      </x:c>
      <x:c r="AA3">
        <x:f>(S3*IF(E3="T",F3,0))+(S3*IF(G3="T",H3,0))</x:f>
        <x:v>0</x:v>
      </x:c>
      <x:c r="AB3">
        <x:f>(S3*IF(E3="L",F3,0))+(S3*IF(G3="L",H3,0))</x:f>
        <x:v>0</x:v>
      </x:c>
      <x:c r="AC3">
        <x:f>(S3*IF(E3="H",F3,0))+(S3*IF(G3="H",H3,0))</x:f>
        <x:v>0</x:v>
      </x:c>
      <x:c r="AD3">
        <x:f>(S3*IF(E3="V",F3,0))+(S3*IF(G3="V",H3,0))</x:f>
        <x:v>0</x:v>
      </x:c>
      <x:c r="AE3">
        <x:f>(S3*IF(E3="R",F3,0))+(S3*IF(G3="R",H3,0))</x:f>
        <x:v>0</x:v>
      </x:c>
      <x:c r="AF3">
        <x:f>(S3*IF(E3="F",F3,0))+(S3*IF(G3="F",H3,0))</x:f>
        <x:v>0</x:v>
      </x:c>
      <x:c r="AG3">
        <x:f>(S3*IF(E3="W",F3,0))+(S3*IF(G3="W",H3,0))</x:f>
        <x:v>0</x:v>
      </x:c>
      <x:c r="AH3" t="inlineStr">
        <x:is>
          <x:t xml:space="preserve">1. Strategy &amp; Governance</x:t>
        </x:is>
      </x:c>
      <x:c r="AI3" t="inlineStr">
        <x:is>
          <x:t xml:space="preserve">Program Management</x:t>
        </x:is>
      </x:c>
      <x:c r="AJ3" t="inlineStr">
        <x:is>
          <x:t xml:space="preserve">Charter &amp; authority model</x:t>
        </x:is>
      </x:c>
    </x:row>
    <x:row r="4">
      <x:c r="A4" t="inlineStr">
        <x:is>
          <x:t xml:space="preserve">Executive</x:t>
        </x:is>
      </x:c>
      <x:c r="B4" t="inlineStr">
        <x:is>
          <x:t xml:space="preserve">EXCO-D1-Q01</x:t>
        </x:is>
      </x:c>
      <x:c r="C4" t="inlineStr">
        <x:is>
          <x:t xml:space="preserve">T1</x:t>
        </x:is>
      </x:c>
      <x:c r="D4" t="inlineStr">
        <x:is>
          <x:t xml:space="preserve">1. Strategy &amp; Governance</x:t>
        </x:is>
      </x:c>
      <x:c r="E4" t="inlineStr">
        <x:is>
          <x:t xml:space="preserve">G</x:t>
        </x:is>
      </x:c>
      <x:c r="F4" t="n">
        <x:v>1</x:v>
      </x:c>
      <x:c r="G4" t="inlineStr">
        <x:is>
          <x:t xml:space="preserve">-</x:t>
        </x:is>
      </x:c>
      <x:c r="I4" t="inlineStr">
        <x:is>
          <x:t xml:space="preserve">How is the insider risk program officially authorised?</x:t>
        </x:is>
      </x:c>
      <x:c r="J4" t="inlineStr">
        <x:is>
          <x:t xml:space="preserve">Think about a signed charter/decision, named sponsor, and whether funding is formally approved.</x:t>
        </x:is>
      </x:c>
      <x:c r="L4" t="inlineStr">
        <x:is>
          <x:t xml:space="preserve">GOV_STD</x:t>
        </x:is>
      </x:c>
      <x:c r="M4" t="n">
        <x:v>1</x:v>
      </x:c>
      <x:c r="P4" t="inlineStr">
        <x:is>
          <x:t xml:space="preserve">EXCO-D1-Q01-A2</x:t>
        </x:is>
      </x:c>
      <x:c r="Q4" t="n">
        <x:v>3</x:v>
      </x:c>
      <x:c r="R4" t="inlineStr">
        <x:is>
          <x:t xml:space="preserve">Verbal agreement that it matters, but nothing is written down or funded.</x:t>
        </x:is>
      </x:c>
      <x:c r="S4" t="n">
        <x:v>1</x:v>
      </x:c>
      <x:c r="T4" t="inlineStr">
        <x:is>
          <x:t xml:space="preserve">shadow_signal</x:t>
        </x:is>
      </x:c>
      <x:c r="U4" t="inlineStr">
        <x:is>
          <x:t xml:space="preserve">Shadow Mature</x:t>
        </x:is>
      </x:c>
      <x:c r="V4" t="inlineStr">
        <x:is>
          <x:t xml:space="preserve">Run_Shadow_Probe</x:t>
        </x:is>
      </x:c>
      <x:c r="W4" t="inlineStr">
        <x:is>
          <x:t xml:space="preserve">N</x:t>
        </x:is>
      </x:c>
      <x:c r="Y4">
        <x:f>(S4*IF(E4="G",F4,0))+(S4*IF(G4="G",H4,0))</x:f>
        <x:v>1</x:v>
      </x:c>
      <x:c r="Z4">
        <x:f>(S4*IF(E4="E",F4,0))+(S4*IF(G4="E",H4,0))</x:f>
        <x:v>0</x:v>
      </x:c>
      <x:c r="AA4">
        <x:f>(S4*IF(E4="T",F4,0))+(S4*IF(G4="T",H4,0))</x:f>
        <x:v>0</x:v>
      </x:c>
      <x:c r="AB4">
        <x:f>(S4*IF(E4="L",F4,0))+(S4*IF(G4="L",H4,0))</x:f>
        <x:v>0</x:v>
      </x:c>
      <x:c r="AC4">
        <x:f>(S4*IF(E4="H",F4,0))+(S4*IF(G4="H",H4,0))</x:f>
        <x:v>0</x:v>
      </x:c>
      <x:c r="AD4">
        <x:f>(S4*IF(E4="V",F4,0))+(S4*IF(G4="V",H4,0))</x:f>
        <x:v>0</x:v>
      </x:c>
      <x:c r="AE4">
        <x:f>(S4*IF(E4="R",F4,0))+(S4*IF(G4="R",H4,0))</x:f>
        <x:v>0</x:v>
      </x:c>
      <x:c r="AF4">
        <x:f>(S4*IF(E4="F",F4,0))+(S4*IF(G4="F",H4,0))</x:f>
        <x:v>0</x:v>
      </x:c>
      <x:c r="AG4">
        <x:f>(S4*IF(E4="W",F4,0))+(S4*IF(G4="W",H4,0))</x:f>
        <x:v>0</x:v>
      </x:c>
      <x:c r="AH4" t="inlineStr">
        <x:is>
          <x:t xml:space="preserve">1. Strategy &amp; Governance</x:t>
        </x:is>
      </x:c>
      <x:c r="AI4" t="inlineStr">
        <x:is>
          <x:t xml:space="preserve">Program Management</x:t>
        </x:is>
      </x:c>
      <x:c r="AJ4" t="inlineStr">
        <x:is>
          <x:t xml:space="preserve">Charter &amp; authority model</x:t>
        </x:is>
      </x:c>
    </x:row>
    <x:row r="5">
      <x:c r="A5" t="inlineStr">
        <x:is>
          <x:t xml:space="preserve">Executive</x:t>
        </x:is>
      </x:c>
      <x:c r="B5" t="inlineStr">
        <x:is>
          <x:t xml:space="preserve">EXCO-D1-Q01</x:t>
        </x:is>
      </x:c>
      <x:c r="C5" t="inlineStr">
        <x:is>
          <x:t xml:space="preserve">T1</x:t>
        </x:is>
      </x:c>
      <x:c r="D5" t="inlineStr">
        <x:is>
          <x:t xml:space="preserve">1. Strategy &amp; Governance</x:t>
        </x:is>
      </x:c>
      <x:c r="E5" t="inlineStr">
        <x:is>
          <x:t xml:space="preserve">G</x:t>
        </x:is>
      </x:c>
      <x:c r="F5" t="n">
        <x:v>1</x:v>
      </x:c>
      <x:c r="G5" t="inlineStr">
        <x:is>
          <x:t xml:space="preserve">-</x:t>
        </x:is>
      </x:c>
      <x:c r="I5" t="inlineStr">
        <x:is>
          <x:t xml:space="preserve">How is the insider risk program officially authorised?</x:t>
        </x:is>
      </x:c>
      <x:c r="J5" t="inlineStr">
        <x:is>
          <x:t xml:space="preserve">Think about a signed charter/decision, named sponsor, and whether funding is formally approved.</x:t>
        </x:is>
      </x:c>
      <x:c r="L5" t="inlineStr">
        <x:is>
          <x:t xml:space="preserve">GOV_STD</x:t>
        </x:is>
      </x:c>
      <x:c r="M5" t="n">
        <x:v>1</x:v>
      </x:c>
      <x:c r="P5" t="inlineStr">
        <x:is>
          <x:t xml:space="preserve">EXCO-D1-Q01-A3</x:t>
        </x:is>
      </x:c>
      <x:c r="Q5" t="n">
        <x:v>4</x:v>
      </x:c>
      <x:c r="R5" t="inlineStr">
        <x:is>
          <x:t xml:space="preserve">Written policy/statement exists, but it has not been reviewed/approved at executive or board level.</x:t>
        </x:is>
      </x:c>
      <x:c r="S5" t="n">
        <x:v>2</x:v>
      </x:c>
      <x:c r="T5" t="inlineStr">
        <x:is>
          <x:t xml:space="preserve">paper_dragon_signal</x:t>
        </x:is>
      </x:c>
      <x:c r="U5" t="inlineStr">
        <x:is>
          <x:t xml:space="preserve">Paper Dragon</x:t>
        </x:is>
      </x:c>
      <x:c r="V5" t="inlineStr">
        <x:is>
          <x:t xml:space="preserve">Request_Evidence</x:t>
        </x:is>
      </x:c>
      <x:c r="W5" t="inlineStr">
        <x:is>
          <x:t xml:space="preserve">Y</x:t>
        </x:is>
      </x:c>
      <x:c r="X5" t="inlineStr">
        <x:is>
          <x:t xml:space="preserve">Provide policy/charter and last approval date.</x:t>
        </x:is>
      </x:c>
      <x:c r="Y5">
        <x:f>(S5*IF(E5="G",F5,0))+(S5*IF(G5="G",H5,0))</x:f>
        <x:v>2</x:v>
      </x:c>
      <x:c r="Z5">
        <x:f>(S5*IF(E5="E",F5,0))+(S5*IF(G5="E",H5,0))</x:f>
        <x:v>0</x:v>
      </x:c>
      <x:c r="AA5">
        <x:f>(S5*IF(E5="T",F5,0))+(S5*IF(G5="T",H5,0))</x:f>
        <x:v>0</x:v>
      </x:c>
      <x:c r="AB5">
        <x:f>(S5*IF(E5="L",F5,0))+(S5*IF(G5="L",H5,0))</x:f>
        <x:v>0</x:v>
      </x:c>
      <x:c r="AC5">
        <x:f>(S5*IF(E5="H",F5,0))+(S5*IF(G5="H",H5,0))</x:f>
        <x:v>0</x:v>
      </x:c>
      <x:c r="AD5">
        <x:f>(S5*IF(E5="V",F5,0))+(S5*IF(G5="V",H5,0))</x:f>
        <x:v>0</x:v>
      </x:c>
      <x:c r="AE5">
        <x:f>(S5*IF(E5="R",F5,0))+(S5*IF(G5="R",H5,0))</x:f>
        <x:v>0</x:v>
      </x:c>
      <x:c r="AF5">
        <x:f>(S5*IF(E5="F",F5,0))+(S5*IF(G5="F",H5,0))</x:f>
        <x:v>0</x:v>
      </x:c>
      <x:c r="AG5">
        <x:f>(S5*IF(E5="W",F5,0))+(S5*IF(G5="W",H5,0))</x:f>
        <x:v>0</x:v>
      </x:c>
      <x:c r="AH5" t="inlineStr">
        <x:is>
          <x:t xml:space="preserve">1. Strategy &amp; Governance</x:t>
        </x:is>
      </x:c>
      <x:c r="AI5" t="inlineStr">
        <x:is>
          <x:t xml:space="preserve">Program Management</x:t>
        </x:is>
      </x:c>
      <x:c r="AJ5" t="inlineStr">
        <x:is>
          <x:t xml:space="preserve">Charter &amp; authority model</x:t>
        </x:is>
      </x:c>
    </x:row>
    <x:row r="6">
      <x:c r="A6" t="inlineStr">
        <x:is>
          <x:t xml:space="preserve">Executive</x:t>
        </x:is>
      </x:c>
      <x:c r="B6" t="inlineStr">
        <x:is>
          <x:t xml:space="preserve">EXCO-D1-Q01</x:t>
        </x:is>
      </x:c>
      <x:c r="C6" t="inlineStr">
        <x:is>
          <x:t xml:space="preserve">T1</x:t>
        </x:is>
      </x:c>
      <x:c r="D6" t="inlineStr">
        <x:is>
          <x:t xml:space="preserve">1. Strategy &amp; Governance</x:t>
        </x:is>
      </x:c>
      <x:c r="E6" t="inlineStr">
        <x:is>
          <x:t xml:space="preserve">G</x:t>
        </x:is>
      </x:c>
      <x:c r="F6" t="n">
        <x:v>1</x:v>
      </x:c>
      <x:c r="G6" t="inlineStr">
        <x:is>
          <x:t xml:space="preserve">-</x:t>
        </x:is>
      </x:c>
      <x:c r="I6" t="inlineStr">
        <x:is>
          <x:t xml:space="preserve">How is the insider risk program officially authorised?</x:t>
        </x:is>
      </x:c>
      <x:c r="J6" t="inlineStr">
        <x:is>
          <x:t xml:space="preserve">Think about a signed charter/decision, named sponsor, and whether funding is formally approved.</x:t>
        </x:is>
      </x:c>
      <x:c r="L6" t="inlineStr">
        <x:is>
          <x:t xml:space="preserve">GOV_STD</x:t>
        </x:is>
      </x:c>
      <x:c r="M6" t="n">
        <x:v>1</x:v>
      </x:c>
      <x:c r="P6" t="inlineStr">
        <x:is>
          <x:t xml:space="preserve">EXCO-D1-Q01-A4</x:t>
        </x:is>
      </x:c>
      <x:c r="Q6" t="n">
        <x:v>5</x:v>
      </x:c>
      <x:c r="R6" t="inlineStr">
        <x:is>
          <x:t xml:space="preserve">Executive-approved plan exists with clear goals and dedicated funding (reviewed at least annually).</x:t>
        </x:is>
      </x:c>
      <x:c r="S6" t="n">
        <x:v>3</x:v>
      </x:c>
      <x:c r="T6" t="inlineStr">
        <x:is>
          <x:t xml:space="preserve">good_practice</x:t>
        </x:is>
      </x:c>
      <x:c r="V6" t="inlineStr">
        <x:is>
          <x:t xml:space="preserve">Request_Evidence</x:t>
        </x:is>
      </x:c>
      <x:c r="W6" t="inlineStr">
        <x:is>
          <x:t xml:space="preserve">Y</x:t>
        </x:is>
      </x:c>
      <x:c r="X6" t="inlineStr">
        <x:is>
          <x:t xml:space="preserve">Provide board/exco minute or signed approval; budget line.</x:t>
        </x:is>
      </x:c>
      <x:c r="Y6">
        <x:f>(S6*IF(E6="G",F6,0))+(S6*IF(G6="G",H6,0))</x:f>
        <x:v>3</x:v>
      </x:c>
      <x:c r="Z6">
        <x:f>(S6*IF(E6="E",F6,0))+(S6*IF(G6="E",H6,0))</x:f>
        <x:v>0</x:v>
      </x:c>
      <x:c r="AA6">
        <x:f>(S6*IF(E6="T",F6,0))+(S6*IF(G6="T",H6,0))</x:f>
        <x:v>0</x:v>
      </x:c>
      <x:c r="AB6">
        <x:f>(S6*IF(E6="L",F6,0))+(S6*IF(G6="L",H6,0))</x:f>
        <x:v>0</x:v>
      </x:c>
      <x:c r="AC6">
        <x:f>(S6*IF(E6="H",F6,0))+(S6*IF(G6="H",H6,0))</x:f>
        <x:v>0</x:v>
      </x:c>
      <x:c r="AD6">
        <x:f>(S6*IF(E6="V",F6,0))+(S6*IF(G6="V",H6,0))</x:f>
        <x:v>0</x:v>
      </x:c>
      <x:c r="AE6">
        <x:f>(S6*IF(E6="R",F6,0))+(S6*IF(G6="R",H6,0))</x:f>
        <x:v>0</x:v>
      </x:c>
      <x:c r="AF6">
        <x:f>(S6*IF(E6="F",F6,0))+(S6*IF(G6="F",H6,0))</x:f>
        <x:v>0</x:v>
      </x:c>
      <x:c r="AG6">
        <x:f>(S6*IF(E6="W",F6,0))+(S6*IF(G6="W",H6,0))</x:f>
        <x:v>0</x:v>
      </x:c>
      <x:c r="AH6" t="inlineStr">
        <x:is>
          <x:t xml:space="preserve">1. Strategy &amp; Governance</x:t>
        </x:is>
      </x:c>
      <x:c r="AI6" t="inlineStr">
        <x:is>
          <x:t xml:space="preserve">Program Management</x:t>
        </x:is>
      </x:c>
      <x:c r="AJ6" t="inlineStr">
        <x:is>
          <x:t xml:space="preserve">Charter &amp; authority model</x:t>
        </x:is>
      </x:c>
    </x:row>
    <x:row r="7">
      <x:c r="A7" t="inlineStr">
        <x:is>
          <x:t xml:space="preserve">Executive</x:t>
        </x:is>
      </x:c>
      <x:c r="B7" t="inlineStr">
        <x:is>
          <x:t xml:space="preserve">EXCO-D1-Q01</x:t>
        </x:is>
      </x:c>
      <x:c r="C7" t="inlineStr">
        <x:is>
          <x:t xml:space="preserve">T1</x:t>
        </x:is>
      </x:c>
      <x:c r="D7" t="inlineStr">
        <x:is>
          <x:t xml:space="preserve">1. Strategy &amp; Governance</x:t>
        </x:is>
      </x:c>
      <x:c r="E7" t="inlineStr">
        <x:is>
          <x:t xml:space="preserve">G</x:t>
        </x:is>
      </x:c>
      <x:c r="F7" t="n">
        <x:v>1</x:v>
      </x:c>
      <x:c r="G7" t="inlineStr">
        <x:is>
          <x:t xml:space="preserve">-</x:t>
        </x:is>
      </x:c>
      <x:c r="I7" t="inlineStr">
        <x:is>
          <x:t xml:space="preserve">How is the insider risk program officially authorised?</x:t>
        </x:is>
      </x:c>
      <x:c r="J7" t="inlineStr">
        <x:is>
          <x:t xml:space="preserve">Think about a signed charter/decision, named sponsor, and whether funding is formally approved.</x:t>
        </x:is>
      </x:c>
      <x:c r="L7" t="inlineStr">
        <x:is>
          <x:t xml:space="preserve">GOV_STD</x:t>
        </x:is>
      </x:c>
      <x:c r="M7" t="n">
        <x:v>1</x:v>
      </x:c>
      <x:c r="P7" t="inlineStr">
        <x:is>
          <x:t xml:space="preserve">EXCO-D1-Q01-A5</x:t>
        </x:is>
      </x:c>
      <x:c r="Q7" t="n">
        <x:v>6</x:v>
      </x:c>
      <x:c r="R7" t="inlineStr">
        <x:is>
          <x:t xml:space="preserve">Formal charter with cross-functional decision rights (HR/Legal/Security/Data) and measurable objectives.</x:t>
        </x:is>
      </x:c>
      <x:c r="S7" t="n">
        <x:v>4</x:v>
      </x:c>
      <x:c r="T7" t="inlineStr">
        <x:is>
          <x:t xml:space="preserve">optimized</x:t>
        </x:is>
      </x:c>
      <x:c r="V7" t="inlineStr">
        <x:is>
          <x:t xml:space="preserve">Request_Evidence</x:t>
        </x:is>
      </x:c>
      <x:c r="W7" t="inlineStr">
        <x:is>
          <x:t xml:space="preserve">Y</x:t>
        </x:is>
      </x:c>
      <x:c r="X7" t="inlineStr">
        <x:is>
          <x:t xml:space="preserve">Provide charter + RACI + meeting cadence evidence.</x:t>
        </x:is>
      </x:c>
      <x:c r="Y7">
        <x:f>(S7*IF(E7="G",F7,0))+(S7*IF(G7="G",H7,0))</x:f>
        <x:v>4</x:v>
      </x:c>
      <x:c r="Z7">
        <x:f>(S7*IF(E7="E",F7,0))+(S7*IF(G7="E",H7,0))</x:f>
        <x:v>0</x:v>
      </x:c>
      <x:c r="AA7">
        <x:f>(S7*IF(E7="T",F7,0))+(S7*IF(G7="T",H7,0))</x:f>
        <x:v>0</x:v>
      </x:c>
      <x:c r="AB7">
        <x:f>(S7*IF(E7="L",F7,0))+(S7*IF(G7="L",H7,0))</x:f>
        <x:v>0</x:v>
      </x:c>
      <x:c r="AC7">
        <x:f>(S7*IF(E7="H",F7,0))+(S7*IF(G7="H",H7,0))</x:f>
        <x:v>0</x:v>
      </x:c>
      <x:c r="AD7">
        <x:f>(S7*IF(E7="V",F7,0))+(S7*IF(G7="V",H7,0))</x:f>
        <x:v>0</x:v>
      </x:c>
      <x:c r="AE7">
        <x:f>(S7*IF(E7="R",F7,0))+(S7*IF(G7="R",H7,0))</x:f>
        <x:v>0</x:v>
      </x:c>
      <x:c r="AF7">
        <x:f>(S7*IF(E7="F",F7,0))+(S7*IF(G7="F",H7,0))</x:f>
        <x:v>0</x:v>
      </x:c>
      <x:c r="AG7">
        <x:f>(S7*IF(E7="W",F7,0))+(S7*IF(G7="W",H7,0))</x:f>
        <x:v>0</x:v>
      </x:c>
      <x:c r="AH7" t="inlineStr">
        <x:is>
          <x:t xml:space="preserve">1. Strategy &amp; Governance</x:t>
        </x:is>
      </x:c>
      <x:c r="AI7" t="inlineStr">
        <x:is>
          <x:t xml:space="preserve">Program Management</x:t>
        </x:is>
      </x:c>
      <x:c r="AJ7" t="inlineStr">
        <x:is>
          <x:t xml:space="preserve">Charter &amp; authority model</x:t>
        </x:is>
      </x:c>
    </x:row>
    <x:row r="8">
      <x:c r="A8" t="inlineStr">
        <x:is>
          <x:t xml:space="preserve">Executive</x:t>
        </x:is>
      </x:c>
      <x:c r="B8" t="inlineStr">
        <x:is>
          <x:t xml:space="preserve">EXCO-D1-Q02</x:t>
        </x:is>
      </x:c>
      <x:c r="C8" t="inlineStr">
        <x:is>
          <x:t xml:space="preserve">T2</x:t>
        </x:is>
      </x:c>
      <x:c r="D8" t="inlineStr">
        <x:is>
          <x:t xml:space="preserve">1. Strategy &amp; Governance</x:t>
        </x:is>
      </x:c>
      <x:c r="E8" t="inlineStr">
        <x:is>
          <x:t xml:space="preserve">E</x:t>
        </x:is>
      </x:c>
      <x:c r="F8" t="n">
        <x:v>1</x:v>
      </x:c>
      <x:c r="G8" t="inlineStr">
        <x:is>
          <x:t xml:space="preserve">-</x:t>
        </x:is>
      </x:c>
      <x:c r="I8" t="inlineStr">
        <x:is>
          <x:t xml:space="preserve">(Shadow probe) Even without formal approval, are there consistent “habits” to prevent sensitive data loss?</x:t>
        </x:is>
      </x:c>
      <x:c r="J8" t="inlineStr">
        <x:is>
          <x:t xml:space="preserve">Examples: managers consistently enforce leaver checks, sensitive projects use extra approvals, privileged actions are reviewed.</x:t>
        </x:is>
      </x:c>
      <x:c r="L8" t="inlineStr">
        <x:is>
          <x:t xml:space="preserve">OPS_STD</x:t>
        </x:is>
      </x:c>
      <x:c r="M8" t="n">
        <x:v>1</x:v>
      </x:c>
      <x:c r="P8" t="inlineStr">
        <x:is>
          <x:t xml:space="preserve">EXCO-D1-Q02-A1</x:t>
        </x:is>
      </x:c>
      <x:c r="Q8" t="n">
        <x:v>1</x:v>
      </x:c>
      <x:c r="R8" t="inlineStr">
        <x:is>
          <x:t xml:space="preserve">No—controls are inconsistent; we mainly rely on standard IT security (e.g., antivirus, firewall).</x:t>
        </x:is>
      </x:c>
      <x:c r="S8" t="n">
        <x:v>0</x:v>
      </x:c>
      <x:c r="T8" t="inlineStr">
        <x:is>
          <x:t xml:space="preserve">foundational_gap</x:t>
        </x:is>
      </x:c>
      <x:c r="U8" t="inlineStr">
        <x:is>
          <x:t xml:space="preserve">Operating Model Gap</x:t>
        </x:is>
      </x:c>
      <x:c r="V8" t="inlineStr">
        <x:is>
          <x:t xml:space="preserve">Foundational_Setup</x:t>
        </x:is>
      </x:c>
      <x:c r="W8" t="inlineStr">
        <x:is>
          <x:t xml:space="preserve">N</x:t>
        </x:is>
      </x:c>
      <x:c r="Y8">
        <x:f>(S8*IF(E8="G",F8,0))+(S8*IF(G8="G",H8,0))</x:f>
        <x:v>0</x:v>
      </x:c>
      <x:c r="Z8">
        <x:f>(S8*IF(E8="E",F8,0))+(S8*IF(G8="E",H8,0))</x:f>
        <x:v>0</x:v>
      </x:c>
      <x:c r="AA8">
        <x:f>(S8*IF(E8="T",F8,0))+(S8*IF(G8="T",H8,0))</x:f>
        <x:v>0</x:v>
      </x:c>
      <x:c r="AB8">
        <x:f>(S8*IF(E8="L",F8,0))+(S8*IF(G8="L",H8,0))</x:f>
        <x:v>0</x:v>
      </x:c>
      <x:c r="AC8">
        <x:f>(S8*IF(E8="H",F8,0))+(S8*IF(G8="H",H8,0))</x:f>
        <x:v>0</x:v>
      </x:c>
      <x:c r="AD8">
        <x:f>(S8*IF(E8="V",F8,0))+(S8*IF(G8="V",H8,0))</x:f>
        <x:v>0</x:v>
      </x:c>
      <x:c r="AE8">
        <x:f>(S8*IF(E8="R",F8,0))+(S8*IF(G8="R",H8,0))</x:f>
        <x:v>0</x:v>
      </x:c>
      <x:c r="AF8">
        <x:f>(S8*IF(E8="F",F8,0))+(S8*IF(G8="F",H8,0))</x:f>
        <x:v>0</x:v>
      </x:c>
      <x:c r="AG8">
        <x:f>(S8*IF(E8="W",F8,0))+(S8*IF(G8="W",H8,0))</x:f>
        <x:v>0</x:v>
      </x:c>
      <x:c r="AH8" t="inlineStr">
        <x:is>
          <x:t xml:space="preserve">5. Human-Centric Culture</x:t>
        </x:is>
      </x:c>
      <x:c r="AI8" t="inlineStr">
        <x:is>
          <x:t xml:space="preserve">Human Lifecycle</x:t>
        </x:is>
      </x:c>
      <x:c r="AJ8" t="inlineStr">
        <x:is>
          <x:t xml:space="preserve">Enhanced JML Synchronization</x:t>
        </x:is>
      </x:c>
    </x:row>
    <x:row r="9">
      <x:c r="A9" t="inlineStr">
        <x:is>
          <x:t xml:space="preserve">Executive</x:t>
        </x:is>
      </x:c>
      <x:c r="B9" t="inlineStr">
        <x:is>
          <x:t xml:space="preserve">EXCO-D1-Q02</x:t>
        </x:is>
      </x:c>
      <x:c r="C9" t="inlineStr">
        <x:is>
          <x:t xml:space="preserve">T2</x:t>
        </x:is>
      </x:c>
      <x:c r="D9" t="inlineStr">
        <x:is>
          <x:t xml:space="preserve">1. Strategy &amp; Governance</x:t>
        </x:is>
      </x:c>
      <x:c r="E9" t="inlineStr">
        <x:is>
          <x:t xml:space="preserve">E</x:t>
        </x:is>
      </x:c>
      <x:c r="F9" t="n">
        <x:v>1</x:v>
      </x:c>
      <x:c r="G9" t="inlineStr">
        <x:is>
          <x:t xml:space="preserve">-</x:t>
        </x:is>
      </x:c>
      <x:c r="I9" t="inlineStr">
        <x:is>
          <x:t xml:space="preserve">(Shadow probe) Even without formal approval, are there consistent “habits” to prevent sensitive data loss?</x:t>
        </x:is>
      </x:c>
      <x:c r="J9" t="inlineStr">
        <x:is>
          <x:t xml:space="preserve">Examples: managers consistently enforce leaver checks, sensitive projects use extra approvals, privileged actions are reviewed.</x:t>
        </x:is>
      </x:c>
      <x:c r="L9" t="inlineStr">
        <x:is>
          <x:t xml:space="preserve">OPS_STD</x:t>
        </x:is>
      </x:c>
      <x:c r="M9" t="n">
        <x:v>1</x:v>
      </x:c>
      <x:c r="P9" t="inlineStr">
        <x:is>
          <x:t xml:space="preserve">EXCO-D1-Q02-A2</x:t>
        </x:is>
      </x:c>
      <x:c r="Q9" t="n">
        <x:v>2</x:v>
      </x:c>
      <x:c r="R9" t="inlineStr">
        <x:is>
          <x:t xml:space="preserve">Some teams do ad-hoc checks, but it depends on individuals and isn’t repeatable.</x:t>
        </x:is>
      </x:c>
      <x:c r="S9" t="n">
        <x:v>1</x:v>
      </x:c>
      <x:c r="T9" t="inlineStr">
        <x:is>
          <x:t xml:space="preserve">key_person_dependency,shadow_signal</x:t>
        </x:is>
      </x:c>
      <x:c r="U9" t="inlineStr">
        <x:is>
          <x:t xml:space="preserve">Shadow Mature</x:t>
        </x:is>
      </x:c>
      <x:c r="V9" t="inlineStr">
        <x:is>
          <x:t xml:space="preserve">Capture_Informal_Practices</x:t>
        </x:is>
      </x:c>
      <x:c r="W9" t="inlineStr">
        <x:is>
          <x:t xml:space="preserve">N</x:t>
        </x:is>
      </x:c>
      <x:c r="Y9">
        <x:f>(S9*IF(E9="G",F9,0))+(S9*IF(G9="G",H9,0))</x:f>
        <x:v>0</x:v>
      </x:c>
      <x:c r="Z9">
        <x:f>(S9*IF(E9="E",F9,0))+(S9*IF(G9="E",H9,0))</x:f>
        <x:v>1</x:v>
      </x:c>
      <x:c r="AA9">
        <x:f>(S9*IF(E9="T",F9,0))+(S9*IF(G9="T",H9,0))</x:f>
        <x:v>0</x:v>
      </x:c>
      <x:c r="AB9">
        <x:f>(S9*IF(E9="L",F9,0))+(S9*IF(G9="L",H9,0))</x:f>
        <x:v>0</x:v>
      </x:c>
      <x:c r="AC9">
        <x:f>(S9*IF(E9="H",F9,0))+(S9*IF(G9="H",H9,0))</x:f>
        <x:v>0</x:v>
      </x:c>
      <x:c r="AD9">
        <x:f>(S9*IF(E9="V",F9,0))+(S9*IF(G9="V",H9,0))</x:f>
        <x:v>0</x:v>
      </x:c>
      <x:c r="AE9">
        <x:f>(S9*IF(E9="R",F9,0))+(S9*IF(G9="R",H9,0))</x:f>
        <x:v>0</x:v>
      </x:c>
      <x:c r="AF9">
        <x:f>(S9*IF(E9="F",F9,0))+(S9*IF(G9="F",H9,0))</x:f>
        <x:v>0</x:v>
      </x:c>
      <x:c r="AG9">
        <x:f>(S9*IF(E9="W",F9,0))+(S9*IF(G9="W",H9,0))</x:f>
        <x:v>0</x:v>
      </x:c>
      <x:c r="AH9" t="inlineStr">
        <x:is>
          <x:t xml:space="preserve">5. Human-Centric Culture</x:t>
        </x:is>
      </x:c>
      <x:c r="AI9" t="inlineStr">
        <x:is>
          <x:t xml:space="preserve">Human Lifecycle</x:t>
        </x:is>
      </x:c>
      <x:c r="AJ9" t="inlineStr">
        <x:is>
          <x:t xml:space="preserve">Enhanced JML Synchronization</x:t>
        </x:is>
      </x:c>
    </x:row>
    <x:row r="10">
      <x:c r="A10" t="inlineStr">
        <x:is>
          <x:t xml:space="preserve">Executive</x:t>
        </x:is>
      </x:c>
      <x:c r="B10" t="inlineStr">
        <x:is>
          <x:t xml:space="preserve">EXCO-D1-Q02</x:t>
        </x:is>
      </x:c>
      <x:c r="C10" t="inlineStr">
        <x:is>
          <x:t xml:space="preserve">T2</x:t>
        </x:is>
      </x:c>
      <x:c r="D10" t="inlineStr">
        <x:is>
          <x:t xml:space="preserve">1. Strategy &amp; Governance</x:t>
        </x:is>
      </x:c>
      <x:c r="E10" t="inlineStr">
        <x:is>
          <x:t xml:space="preserve">E</x:t>
        </x:is>
      </x:c>
      <x:c r="F10" t="n">
        <x:v>1</x:v>
      </x:c>
      <x:c r="G10" t="inlineStr">
        <x:is>
          <x:t xml:space="preserve">-</x:t>
        </x:is>
      </x:c>
      <x:c r="I10" t="inlineStr">
        <x:is>
          <x:t xml:space="preserve">(Shadow probe) Even without formal approval, are there consistent “habits” to prevent sensitive data loss?</x:t>
        </x:is>
      </x:c>
      <x:c r="J10" t="inlineStr">
        <x:is>
          <x:t xml:space="preserve">Examples: managers consistently enforce leaver checks, sensitive projects use extra approvals, privileged actions are reviewed.</x:t>
        </x:is>
      </x:c>
      <x:c r="L10" t="inlineStr">
        <x:is>
          <x:t xml:space="preserve">OPS_STD</x:t>
        </x:is>
      </x:c>
      <x:c r="M10" t="n">
        <x:v>1</x:v>
      </x:c>
      <x:c r="P10" t="inlineStr">
        <x:is>
          <x:t xml:space="preserve">EXCO-D1-Q02-A3</x:t>
        </x:is>
      </x:c>
      <x:c r="Q10" t="n">
        <x:v>3</x:v>
      </x:c>
      <x:c r="R10" t="inlineStr">
        <x:is>
          <x:t xml:space="preserve">Yes—there are repeatable habits in key areas (e.g., leavers, privileged access), but they are not documented or measured.</x:t>
        </x:is>
      </x:c>
      <x:c r="S10" t="n">
        <x:v>2</x:v>
      </x:c>
      <x:c r="T10" t="inlineStr">
        <x:is>
          <x:t xml:space="preserve">shadow_mature_signal</x:t>
        </x:is>
      </x:c>
      <x:c r="U10" t="inlineStr">
        <x:is>
          <x:t xml:space="preserve">Shadow Mature</x:t>
        </x:is>
      </x:c>
      <x:c r="V10" t="inlineStr">
        <x:is>
          <x:t xml:space="preserve">Formalize_Playbook</x:t>
        </x:is>
      </x:c>
      <x:c r="W10" t="inlineStr">
        <x:is>
          <x:t xml:space="preserve">N</x:t>
        </x:is>
      </x:c>
      <x:c r="Y10">
        <x:f>(S10*IF(E10="G",F10,0))+(S10*IF(G10="G",H10,0))</x:f>
        <x:v>0</x:v>
      </x:c>
      <x:c r="Z10">
        <x:f>(S10*IF(E10="E",F10,0))+(S10*IF(G10="E",H10,0))</x:f>
        <x:v>2</x:v>
      </x:c>
      <x:c r="AA10">
        <x:f>(S10*IF(E10="T",F10,0))+(S10*IF(G10="T",H10,0))</x:f>
        <x:v>0</x:v>
      </x:c>
      <x:c r="AB10">
        <x:f>(S10*IF(E10="L",F10,0))+(S10*IF(G10="L",H10,0))</x:f>
        <x:v>0</x:v>
      </x:c>
      <x:c r="AC10">
        <x:f>(S10*IF(E10="H",F10,0))+(S10*IF(G10="H",H10,0))</x:f>
        <x:v>0</x:v>
      </x:c>
      <x:c r="AD10">
        <x:f>(S10*IF(E10="V",F10,0))+(S10*IF(G10="V",H10,0))</x:f>
        <x:v>0</x:v>
      </x:c>
      <x:c r="AE10">
        <x:f>(S10*IF(E10="R",F10,0))+(S10*IF(G10="R",H10,0))</x:f>
        <x:v>0</x:v>
      </x:c>
      <x:c r="AF10">
        <x:f>(S10*IF(E10="F",F10,0))+(S10*IF(G10="F",H10,0))</x:f>
        <x:v>0</x:v>
      </x:c>
      <x:c r="AG10">
        <x:f>(S10*IF(E10="W",F10,0))+(S10*IF(G10="W",H10,0))</x:f>
        <x:v>0</x:v>
      </x:c>
      <x:c r="AH10" t="inlineStr">
        <x:is>
          <x:t xml:space="preserve">5. Human-Centric Culture</x:t>
        </x:is>
      </x:c>
      <x:c r="AI10" t="inlineStr">
        <x:is>
          <x:t xml:space="preserve">Human Lifecycle</x:t>
        </x:is>
      </x:c>
      <x:c r="AJ10" t="inlineStr">
        <x:is>
          <x:t xml:space="preserve">Enhanced JML Synchronization</x:t>
        </x:is>
      </x:c>
    </x:row>
    <x:row r="11">
      <x:c r="A11" t="inlineStr">
        <x:is>
          <x:t xml:space="preserve">Executive</x:t>
        </x:is>
      </x:c>
      <x:c r="B11" t="inlineStr">
        <x:is>
          <x:t xml:space="preserve">EXCO-D1-Q02</x:t>
        </x:is>
      </x:c>
      <x:c r="C11" t="inlineStr">
        <x:is>
          <x:t xml:space="preserve">T2</x:t>
        </x:is>
      </x:c>
      <x:c r="D11" t="inlineStr">
        <x:is>
          <x:t xml:space="preserve">1. Strategy &amp; Governance</x:t>
        </x:is>
      </x:c>
      <x:c r="E11" t="inlineStr">
        <x:is>
          <x:t xml:space="preserve">E</x:t>
        </x:is>
      </x:c>
      <x:c r="F11" t="n">
        <x:v>1</x:v>
      </x:c>
      <x:c r="G11" t="inlineStr">
        <x:is>
          <x:t xml:space="preserve">-</x:t>
        </x:is>
      </x:c>
      <x:c r="I11" t="inlineStr">
        <x:is>
          <x:t xml:space="preserve">(Shadow probe) Even without formal approval, are there consistent “habits” to prevent sensitive data loss?</x:t>
        </x:is>
      </x:c>
      <x:c r="J11" t="inlineStr">
        <x:is>
          <x:t xml:space="preserve">Examples: managers consistently enforce leaver checks, sensitive projects use extra approvals, privileged actions are reviewed.</x:t>
        </x:is>
      </x:c>
      <x:c r="L11" t="inlineStr">
        <x:is>
          <x:t xml:space="preserve">OPS_STD</x:t>
        </x:is>
      </x:c>
      <x:c r="M11" t="n">
        <x:v>1</x:v>
      </x:c>
      <x:c r="P11" t="inlineStr">
        <x:is>
          <x:t xml:space="preserve">EXCO-D1-Q02-A4</x:t>
        </x:is>
      </x:c>
      <x:c r="Q11" t="n">
        <x:v>4</x:v>
      </x:c>
      <x:c r="R11" t="inlineStr">
        <x:is>
          <x:t xml:space="preserve">Yes—repeatable habits exist and are tracked (e.g., checks completed, exceptions logged) even if governance is still light.</x:t>
        </x:is>
      </x:c>
      <x:c r="S11" t="n">
        <x:v>3</x:v>
      </x:c>
      <x:c r="T11" t="inlineStr">
        <x:is>
          <x:t xml:space="preserve">execution_strength</x:t>
        </x:is>
      </x:c>
      <x:c r="U11" t="inlineStr">
        <x:is>
          <x:t xml:space="preserve">Shadow Mature</x:t>
        </x:is>
      </x:c>
      <x:c r="V11" t="inlineStr">
        <x:is>
          <x:t xml:space="preserve">Scale_And_Govern</x:t>
        </x:is>
      </x:c>
      <x:c r="W11" t="inlineStr">
        <x:is>
          <x:t xml:space="preserve">N</x:t>
        </x:is>
      </x:c>
      <x:c r="Y11">
        <x:f>(S11*IF(E11="G",F11,0))+(S11*IF(G11="G",H11,0))</x:f>
        <x:v>0</x:v>
      </x:c>
      <x:c r="Z11">
        <x:f>(S11*IF(E11="E",F11,0))+(S11*IF(G11="E",H11,0))</x:f>
        <x:v>3</x:v>
      </x:c>
      <x:c r="AA11">
        <x:f>(S11*IF(E11="T",F11,0))+(S11*IF(G11="T",H11,0))</x:f>
        <x:v>0</x:v>
      </x:c>
      <x:c r="AB11">
        <x:f>(S11*IF(E11="L",F11,0))+(S11*IF(G11="L",H11,0))</x:f>
        <x:v>0</x:v>
      </x:c>
      <x:c r="AC11">
        <x:f>(S11*IF(E11="H",F11,0))+(S11*IF(G11="H",H11,0))</x:f>
        <x:v>0</x:v>
      </x:c>
      <x:c r="AD11">
        <x:f>(S11*IF(E11="V",F11,0))+(S11*IF(G11="V",H11,0))</x:f>
        <x:v>0</x:v>
      </x:c>
      <x:c r="AE11">
        <x:f>(S11*IF(E11="R",F11,0))+(S11*IF(G11="R",H11,0))</x:f>
        <x:v>0</x:v>
      </x:c>
      <x:c r="AF11">
        <x:f>(S11*IF(E11="F",F11,0))+(S11*IF(G11="F",H11,0))</x:f>
        <x:v>0</x:v>
      </x:c>
      <x:c r="AG11">
        <x:f>(S11*IF(E11="W",F11,0))+(S11*IF(G11="W",H11,0))</x:f>
        <x:v>0</x:v>
      </x:c>
      <x:c r="AH11" t="inlineStr">
        <x:is>
          <x:t xml:space="preserve">5. Human-Centric Culture</x:t>
        </x:is>
      </x:c>
      <x:c r="AI11" t="inlineStr">
        <x:is>
          <x:t xml:space="preserve">Human Lifecycle</x:t>
        </x:is>
      </x:c>
      <x:c r="AJ11" t="inlineStr">
        <x:is>
          <x:t xml:space="preserve">Enhanced JML Synchronization</x:t>
        </x:is>
      </x:c>
    </x:row>
    <x:row r="12">
      <x:c r="A12" t="inlineStr">
        <x:is>
          <x:t xml:space="preserve">Executive</x:t>
        </x:is>
      </x:c>
      <x:c r="B12" t="inlineStr">
        <x:is>
          <x:t xml:space="preserve">EXCO-D1-Q03</x:t>
        </x:is>
      </x:c>
      <x:c r="C12" t="inlineStr">
        <x:is>
          <x:t xml:space="preserve">T2</x:t>
        </x:is>
      </x:c>
      <x:c r="D12" t="inlineStr">
        <x:is>
          <x:t xml:space="preserve">1. Strategy &amp; Governance</x:t>
        </x:is>
      </x:c>
      <x:c r="E12" t="inlineStr">
        <x:is>
          <x:t xml:space="preserve">G</x:t>
        </x:is>
      </x:c>
      <x:c r="F12" t="n">
        <x:v>0.6</x:v>
      </x:c>
      <x:c r="G12" t="inlineStr">
        <x:is>
          <x:t xml:space="preserve">E</x:t>
        </x:is>
      </x:c>
      <x:c r="H12" t="n">
        <x:v>0.4</x:v>
      </x:c>
      <x:c r="I12" t="inlineStr">
        <x:is>
          <x:t xml:space="preserve">Who has final decision authority for insider risk actions (and who pays for them)?</x:t>
        </x:is>
      </x:c>
      <x:c r="J12" t="inlineStr">
        <x:is>
          <x:t xml:space="preserve">Look for a named owner who can make trade-offs across HR, Legal, Security and the business.</x:t>
        </x:is>
      </x:c>
      <x:c r="L12" t="inlineStr">
        <x:is>
          <x:t xml:space="preserve">GOV_STD</x:t>
        </x:is>
      </x:c>
      <x:c r="M12" t="n">
        <x:v>1</x:v>
      </x:c>
      <x:c r="P12" t="inlineStr">
        <x:is>
          <x:t xml:space="preserve">EXCO-D1-Q03-A0</x:t>
        </x:is>
      </x:c>
      <x:c r="Q12" t="n">
        <x:v>1</x:v>
      </x:c>
      <x:c r="R12" t="inlineStr">
        <x:is>
          <x:t xml:space="preserve">I don’t know / not sure.</x:t>
        </x:is>
      </x:c>
      <x:c r="S12" t="n">
        <x:v>0</x:v>
      </x:c>
      <x:c r="T12" t="inlineStr">
        <x:is>
          <x:t xml:space="preserve">unknown</x:t>
        </x:is>
      </x:c>
      <x:c r="U12" t="inlineStr">
        <x:is>
          <x:t xml:space="preserve">Unknown</x:t>
        </x:is>
      </x:c>
      <x:c r="V12" t="inlineStr">
        <x:is>
          <x:t xml:space="preserve">Clarify_Stakeholders</x:t>
        </x:is>
      </x:c>
      <x:c r="W12" t="inlineStr">
        <x:is>
          <x:t xml:space="preserve">N</x:t>
        </x:is>
      </x:c>
      <x:c r="Y12">
        <x:f>(S12*IF(E12="G",F12,0))+(S12*IF(G12="G",H12,0))</x:f>
        <x:v>0</x:v>
      </x:c>
      <x:c r="Z12">
        <x:f>(S12*IF(E12="E",F12,0))+(S12*IF(G12="E",H12,0))</x:f>
        <x:v>0</x:v>
      </x:c>
      <x:c r="AA12">
        <x:f>(S12*IF(E12="T",F12,0))+(S12*IF(G12="T",H12,0))</x:f>
        <x:v>0</x:v>
      </x:c>
      <x:c r="AB12">
        <x:f>(S12*IF(E12="L",F12,0))+(S12*IF(G12="L",H12,0))</x:f>
        <x:v>0</x:v>
      </x:c>
      <x:c r="AC12">
        <x:f>(S12*IF(E12="H",F12,0))+(S12*IF(G12="H",H12,0))</x:f>
        <x:v>0</x:v>
      </x:c>
      <x:c r="AD12">
        <x:f>(S12*IF(E12="V",F12,0))+(S12*IF(G12="V",H12,0))</x:f>
        <x:v>0</x:v>
      </x:c>
      <x:c r="AE12">
        <x:f>(S12*IF(E12="R",F12,0))+(S12*IF(G12="R",H12,0))</x:f>
        <x:v>0</x:v>
      </x:c>
      <x:c r="AF12">
        <x:f>(S12*IF(E12="F",F12,0))+(S12*IF(G12="F",H12,0))</x:f>
        <x:v>0</x:v>
      </x:c>
      <x:c r="AG12">
        <x:f>(S12*IF(E12="W",F12,0))+(S12*IF(G12="W",H12,0))</x:f>
        <x:v>0</x:v>
      </x:c>
      <x:c r="AH12" t="inlineStr">
        <x:is>
          <x:t xml:space="preserve">1. Strategy &amp; Governance</x:t>
        </x:is>
      </x:c>
      <x:c r="AI12" t="inlineStr">
        <x:is>
          <x:t xml:space="preserve">Organization &amp; RACI</x:t>
        </x:is>
      </x:c>
      <x:c r="AJ12" t="inlineStr">
        <x:is>
          <x:t xml:space="preserve">RACI &amp; decision rights</x:t>
        </x:is>
      </x:c>
    </x:row>
    <x:row r="13">
      <x:c r="A13" t="inlineStr">
        <x:is>
          <x:t xml:space="preserve">Executive</x:t>
        </x:is>
      </x:c>
      <x:c r="B13" t="inlineStr">
        <x:is>
          <x:t xml:space="preserve">EXCO-D1-Q03</x:t>
        </x:is>
      </x:c>
      <x:c r="C13" t="inlineStr">
        <x:is>
          <x:t xml:space="preserve">T2</x:t>
        </x:is>
      </x:c>
      <x:c r="D13" t="inlineStr">
        <x:is>
          <x:t xml:space="preserve">1. Strategy &amp; Governance</x:t>
        </x:is>
      </x:c>
      <x:c r="E13" t="inlineStr">
        <x:is>
          <x:t xml:space="preserve">G</x:t>
        </x:is>
      </x:c>
      <x:c r="F13" t="n">
        <x:v>0.6</x:v>
      </x:c>
      <x:c r="G13" t="inlineStr">
        <x:is>
          <x:t xml:space="preserve">E</x:t>
        </x:is>
      </x:c>
      <x:c r="H13" t="n">
        <x:v>0.4</x:v>
      </x:c>
      <x:c r="I13" t="inlineStr">
        <x:is>
          <x:t xml:space="preserve">Who has final decision authority for insider risk actions (and who pays for them)?</x:t>
        </x:is>
      </x:c>
      <x:c r="J13" t="inlineStr">
        <x:is>
          <x:t xml:space="preserve">Look for a named owner who can make trade-offs across HR, Legal, Security and the business.</x:t>
        </x:is>
      </x:c>
      <x:c r="L13" t="inlineStr">
        <x:is>
          <x:t xml:space="preserve">GOV_STD</x:t>
        </x:is>
      </x:c>
      <x:c r="M13" t="n">
        <x:v>1</x:v>
      </x:c>
      <x:c r="P13" t="inlineStr">
        <x:is>
          <x:t xml:space="preserve">EXCO-D1-Q03-A1</x:t>
        </x:is>
      </x:c>
      <x:c r="Q13" t="n">
        <x:v>2</x:v>
      </x:c>
      <x:c r="R13" t="inlineStr">
        <x:is>
          <x:t xml:space="preserve">No one—ownership is spread and decisions are made case-by-case.</x:t>
        </x:is>
      </x:c>
      <x:c r="S13" t="n">
        <x:v>0</x:v>
      </x:c>
      <x:c r="T13" t="inlineStr">
        <x:is>
          <x:t xml:space="preserve">foundational_gap</x:t>
        </x:is>
      </x:c>
      <x:c r="U13" t="inlineStr">
        <x:is>
          <x:t xml:space="preserve">Operating Model Gap</x:t>
        </x:is>
      </x:c>
      <x:c r="V13" t="inlineStr">
        <x:is>
          <x:t xml:space="preserve">Define_Ownership</x:t>
        </x:is>
      </x:c>
      <x:c r="W13" t="inlineStr">
        <x:is>
          <x:t xml:space="preserve">N</x:t>
        </x:is>
      </x:c>
      <x:c r="Y13">
        <x:f>(S13*IF(E13="G",F13,0))+(S13*IF(G13="G",H13,0))</x:f>
        <x:v>0</x:v>
      </x:c>
      <x:c r="Z13">
        <x:f>(S13*IF(E13="E",F13,0))+(S13*IF(G13="E",H13,0))</x:f>
        <x:v>0</x:v>
      </x:c>
      <x:c r="AA13">
        <x:f>(S13*IF(E13="T",F13,0))+(S13*IF(G13="T",H13,0))</x:f>
        <x:v>0</x:v>
      </x:c>
      <x:c r="AB13">
        <x:f>(S13*IF(E13="L",F13,0))+(S13*IF(G13="L",H13,0))</x:f>
        <x:v>0</x:v>
      </x:c>
      <x:c r="AC13">
        <x:f>(S13*IF(E13="H",F13,0))+(S13*IF(G13="H",H13,0))</x:f>
        <x:v>0</x:v>
      </x:c>
      <x:c r="AD13">
        <x:f>(S13*IF(E13="V",F13,0))+(S13*IF(G13="V",H13,0))</x:f>
        <x:v>0</x:v>
      </x:c>
      <x:c r="AE13">
        <x:f>(S13*IF(E13="R",F13,0))+(S13*IF(G13="R",H13,0))</x:f>
        <x:v>0</x:v>
      </x:c>
      <x:c r="AF13">
        <x:f>(S13*IF(E13="F",F13,0))+(S13*IF(G13="F",H13,0))</x:f>
        <x:v>0</x:v>
      </x:c>
      <x:c r="AG13">
        <x:f>(S13*IF(E13="W",F13,0))+(S13*IF(G13="W",H13,0))</x:f>
        <x:v>0</x:v>
      </x:c>
      <x:c r="AH13" t="inlineStr">
        <x:is>
          <x:t xml:space="preserve">1. Strategy &amp; Governance</x:t>
        </x:is>
      </x:c>
      <x:c r="AI13" t="inlineStr">
        <x:is>
          <x:t xml:space="preserve">Organization &amp; RACI</x:t>
        </x:is>
      </x:c>
      <x:c r="AJ13" t="inlineStr">
        <x:is>
          <x:t xml:space="preserve">RACI &amp; decision rights</x:t>
        </x:is>
      </x:c>
    </x:row>
    <x:row r="14">
      <x:c r="A14" t="inlineStr">
        <x:is>
          <x:t xml:space="preserve">Executive</x:t>
        </x:is>
      </x:c>
      <x:c r="B14" t="inlineStr">
        <x:is>
          <x:t xml:space="preserve">EXCO-D1-Q03</x:t>
        </x:is>
      </x:c>
      <x:c r="C14" t="inlineStr">
        <x:is>
          <x:t xml:space="preserve">T2</x:t>
        </x:is>
      </x:c>
      <x:c r="D14" t="inlineStr">
        <x:is>
          <x:t xml:space="preserve">1. Strategy &amp; Governance</x:t>
        </x:is>
      </x:c>
      <x:c r="E14" t="inlineStr">
        <x:is>
          <x:t xml:space="preserve">G</x:t>
        </x:is>
      </x:c>
      <x:c r="F14" t="n">
        <x:v>0.6</x:v>
      </x:c>
      <x:c r="G14" t="inlineStr">
        <x:is>
          <x:t xml:space="preserve">E</x:t>
        </x:is>
      </x:c>
      <x:c r="H14" t="n">
        <x:v>0.4</x:v>
      </x:c>
      <x:c r="I14" t="inlineStr">
        <x:is>
          <x:t xml:space="preserve">Who has final decision authority for insider risk actions (and who pays for them)?</x:t>
        </x:is>
      </x:c>
      <x:c r="J14" t="inlineStr">
        <x:is>
          <x:t xml:space="preserve">Look for a named owner who can make trade-offs across HR, Legal, Security and the business.</x:t>
        </x:is>
      </x:c>
      <x:c r="L14" t="inlineStr">
        <x:is>
          <x:t xml:space="preserve">GOV_STD</x:t>
        </x:is>
      </x:c>
      <x:c r="M14" t="n">
        <x:v>1</x:v>
      </x:c>
      <x:c r="P14" t="inlineStr">
        <x:is>
          <x:t xml:space="preserve">EXCO-D1-Q03-A2</x:t>
        </x:is>
      </x:c>
      <x:c r="Q14" t="n">
        <x:v>3</x:v>
      </x:c>
      <x:c r="R14" t="inlineStr">
        <x:is>
          <x:t xml:space="preserve">Security/IT owns it, but has limited authority across HR/Legal/business units.</x:t>
        </x:is>
      </x:c>
      <x:c r="S14" t="n">
        <x:v>1</x:v>
      </x:c>
      <x:c r="T14" t="inlineStr">
        <x:is>
          <x:t xml:space="preserve">siloed</x:t>
        </x:is>
      </x:c>
      <x:c r="U14" t="inlineStr">
        <x:is>
          <x:t xml:space="preserve">Operating Model Gap</x:t>
        </x:is>
      </x:c>
      <x:c r="V14" t="inlineStr">
        <x:is>
          <x:t xml:space="preserve">Design_Ops_Model</x:t>
        </x:is>
      </x:c>
      <x:c r="W14" t="inlineStr">
        <x:is>
          <x:t xml:space="preserve">N</x:t>
        </x:is>
      </x:c>
      <x:c r="Y14">
        <x:f>(S14*IF(E14="G",F14,0))+(S14*IF(G14="G",H14,0))</x:f>
        <x:v>0.6</x:v>
      </x:c>
      <x:c r="Z14">
        <x:f>(S14*IF(E14="E",F14,0))+(S14*IF(G14="E",H14,0))</x:f>
        <x:v>0.4</x:v>
      </x:c>
      <x:c r="AA14">
        <x:f>(S14*IF(E14="T",F14,0))+(S14*IF(G14="T",H14,0))</x:f>
        <x:v>0</x:v>
      </x:c>
      <x:c r="AB14">
        <x:f>(S14*IF(E14="L",F14,0))+(S14*IF(G14="L",H14,0))</x:f>
        <x:v>0</x:v>
      </x:c>
      <x:c r="AC14">
        <x:f>(S14*IF(E14="H",F14,0))+(S14*IF(G14="H",H14,0))</x:f>
        <x:v>0</x:v>
      </x:c>
      <x:c r="AD14">
        <x:f>(S14*IF(E14="V",F14,0))+(S14*IF(G14="V",H14,0))</x:f>
        <x:v>0</x:v>
      </x:c>
      <x:c r="AE14">
        <x:f>(S14*IF(E14="R",F14,0))+(S14*IF(G14="R",H14,0))</x:f>
        <x:v>0</x:v>
      </x:c>
      <x:c r="AF14">
        <x:f>(S14*IF(E14="F",F14,0))+(S14*IF(G14="F",H14,0))</x:f>
        <x:v>0</x:v>
      </x:c>
      <x:c r="AG14">
        <x:f>(S14*IF(E14="W",F14,0))+(S14*IF(G14="W",H14,0))</x:f>
        <x:v>0</x:v>
      </x:c>
      <x:c r="AH14" t="inlineStr">
        <x:is>
          <x:t xml:space="preserve">1. Strategy &amp; Governance</x:t>
        </x:is>
      </x:c>
      <x:c r="AI14" t="inlineStr">
        <x:is>
          <x:t xml:space="preserve">Organization &amp; RACI</x:t>
        </x:is>
      </x:c>
      <x:c r="AJ14" t="inlineStr">
        <x:is>
          <x:t xml:space="preserve">RACI &amp; decision rights</x:t>
        </x:is>
      </x:c>
    </x:row>
    <x:row r="15">
      <x:c r="A15" t="inlineStr">
        <x:is>
          <x:t xml:space="preserve">Executive</x:t>
        </x:is>
      </x:c>
      <x:c r="B15" t="inlineStr">
        <x:is>
          <x:t xml:space="preserve">EXCO-D1-Q03</x:t>
        </x:is>
      </x:c>
      <x:c r="C15" t="inlineStr">
        <x:is>
          <x:t xml:space="preserve">T2</x:t>
        </x:is>
      </x:c>
      <x:c r="D15" t="inlineStr">
        <x:is>
          <x:t xml:space="preserve">1. Strategy &amp; Governance</x:t>
        </x:is>
      </x:c>
      <x:c r="E15" t="inlineStr">
        <x:is>
          <x:t xml:space="preserve">G</x:t>
        </x:is>
      </x:c>
      <x:c r="F15" t="n">
        <x:v>0.6</x:v>
      </x:c>
      <x:c r="G15" t="inlineStr">
        <x:is>
          <x:t xml:space="preserve">E</x:t>
        </x:is>
      </x:c>
      <x:c r="H15" t="n">
        <x:v>0.4</x:v>
      </x:c>
      <x:c r="I15" t="inlineStr">
        <x:is>
          <x:t xml:space="preserve">Who has final decision authority for insider risk actions (and who pays for them)?</x:t>
        </x:is>
      </x:c>
      <x:c r="J15" t="inlineStr">
        <x:is>
          <x:t xml:space="preserve">Look for a named owner who can make trade-offs across HR, Legal, Security and the business.</x:t>
        </x:is>
      </x:c>
      <x:c r="L15" t="inlineStr">
        <x:is>
          <x:t xml:space="preserve">GOV_STD</x:t>
        </x:is>
      </x:c>
      <x:c r="M15" t="n">
        <x:v>1</x:v>
      </x:c>
      <x:c r="P15" t="inlineStr">
        <x:is>
          <x:t xml:space="preserve">EXCO-D1-Q03-A3</x:t>
        </x:is>
      </x:c>
      <x:c r="Q15" t="n">
        <x:v>4</x:v>
      </x:c>
      <x:c r="R15" t="inlineStr">
        <x:is>
          <x:t xml:space="preserve">A committee meets occasionally, but has no budget authority or clear escalation path.</x:t>
        </x:is>
      </x:c>
      <x:c r="S15" t="n">
        <x:v>2</x:v>
      </x:c>
      <x:c r="T15" t="inlineStr">
        <x:is>
          <x:t xml:space="preserve">paper_process</x:t>
        </x:is>
      </x:c>
      <x:c r="U15" t="inlineStr">
        <x:is>
          <x:t xml:space="preserve">Paper Dragon</x:t>
        </x:is>
      </x:c>
      <x:c r="V15" t="inlineStr">
        <x:is>
          <x:t xml:space="preserve">Strengthen_Governance</x:t>
        </x:is>
      </x:c>
      <x:c r="W15" t="inlineStr">
        <x:is>
          <x:t xml:space="preserve">N</x:t>
        </x:is>
      </x:c>
      <x:c r="Y15">
        <x:f>(S15*IF(E15="G",F15,0))+(S15*IF(G15="G",H15,0))</x:f>
        <x:v>1.2</x:v>
      </x:c>
      <x:c r="Z15">
        <x:f>(S15*IF(E15="E",F15,0))+(S15*IF(G15="E",H15,0))</x:f>
        <x:v>0.8</x:v>
      </x:c>
      <x:c r="AA15">
        <x:f>(S15*IF(E15="T",F15,0))+(S15*IF(G15="T",H15,0))</x:f>
        <x:v>0</x:v>
      </x:c>
      <x:c r="AB15">
        <x:f>(S15*IF(E15="L",F15,0))+(S15*IF(G15="L",H15,0))</x:f>
        <x:v>0</x:v>
      </x:c>
      <x:c r="AC15">
        <x:f>(S15*IF(E15="H",F15,0))+(S15*IF(G15="H",H15,0))</x:f>
        <x:v>0</x:v>
      </x:c>
      <x:c r="AD15">
        <x:f>(S15*IF(E15="V",F15,0))+(S15*IF(G15="V",H15,0))</x:f>
        <x:v>0</x:v>
      </x:c>
      <x:c r="AE15">
        <x:f>(S15*IF(E15="R",F15,0))+(S15*IF(G15="R",H15,0))</x:f>
        <x:v>0</x:v>
      </x:c>
      <x:c r="AF15">
        <x:f>(S15*IF(E15="F",F15,0))+(S15*IF(G15="F",H15,0))</x:f>
        <x:v>0</x:v>
      </x:c>
      <x:c r="AG15">
        <x:f>(S15*IF(E15="W",F15,0))+(S15*IF(G15="W",H15,0))</x:f>
        <x:v>0</x:v>
      </x:c>
      <x:c r="AH15" t="inlineStr">
        <x:is>
          <x:t xml:space="preserve">1. Strategy &amp; Governance</x:t>
        </x:is>
      </x:c>
      <x:c r="AI15" t="inlineStr">
        <x:is>
          <x:t xml:space="preserve">Organization &amp; RACI</x:t>
        </x:is>
      </x:c>
      <x:c r="AJ15" t="inlineStr">
        <x:is>
          <x:t xml:space="preserve">RACI &amp; decision rights</x:t>
        </x:is>
      </x:c>
    </x:row>
    <x:row r="16">
      <x:c r="A16" t="inlineStr">
        <x:is>
          <x:t xml:space="preserve">Executive</x:t>
        </x:is>
      </x:c>
      <x:c r="B16" t="inlineStr">
        <x:is>
          <x:t xml:space="preserve">EXCO-D1-Q03</x:t>
        </x:is>
      </x:c>
      <x:c r="C16" t="inlineStr">
        <x:is>
          <x:t xml:space="preserve">T2</x:t>
        </x:is>
      </x:c>
      <x:c r="D16" t="inlineStr">
        <x:is>
          <x:t xml:space="preserve">1. Strategy &amp; Governance</x:t>
        </x:is>
      </x:c>
      <x:c r="E16" t="inlineStr">
        <x:is>
          <x:t xml:space="preserve">G</x:t>
        </x:is>
      </x:c>
      <x:c r="F16" t="n">
        <x:v>0.6</x:v>
      </x:c>
      <x:c r="G16" t="inlineStr">
        <x:is>
          <x:t xml:space="preserve">E</x:t>
        </x:is>
      </x:c>
      <x:c r="H16" t="n">
        <x:v>0.4</x:v>
      </x:c>
      <x:c r="I16" t="inlineStr">
        <x:is>
          <x:t xml:space="preserve">Who has final decision authority for insider risk actions (and who pays for them)?</x:t>
        </x:is>
      </x:c>
      <x:c r="J16" t="inlineStr">
        <x:is>
          <x:t xml:space="preserve">Look for a named owner who can make trade-offs across HR, Legal, Security and the business.</x:t>
        </x:is>
      </x:c>
      <x:c r="L16" t="inlineStr">
        <x:is>
          <x:t xml:space="preserve">GOV_STD</x:t>
        </x:is>
      </x:c>
      <x:c r="M16" t="n">
        <x:v>1</x:v>
      </x:c>
      <x:c r="P16" t="inlineStr">
        <x:is>
          <x:t xml:space="preserve">EXCO-D1-Q03-A4</x:t>
        </x:is>
      </x:c>
      <x:c r="Q16" t="n">
        <x:v>5</x:v>
      </x:c>
      <x:c r="R16" t="inlineStr">
        <x:is>
          <x:t xml:space="preserve">An executive sponsor owns it with clear escalation and budget authority.</x:t>
        </x:is>
      </x:c>
      <x:c r="S16" t="n">
        <x:v>3</x:v>
      </x:c>
      <x:c r="T16" t="inlineStr">
        <x:is>
          <x:t xml:space="preserve">good_practice</x:t>
        </x:is>
      </x:c>
      <x:c r="V16" t="inlineStr">
        <x:is>
          <x:t xml:space="preserve">Request_Evidence</x:t>
        </x:is>
      </x:c>
      <x:c r="W16" t="inlineStr">
        <x:is>
          <x:t xml:space="preserve">Y</x:t>
        </x:is>
      </x:c>
      <x:c r="X16" t="inlineStr">
        <x:is>
          <x:t xml:space="preserve">Provide governance doc showing decision rights and escalation.</x:t>
        </x:is>
      </x:c>
      <x:c r="Y16">
        <x:f>(S16*IF(E16="G",F16,0))+(S16*IF(G16="G",H16,0))</x:f>
        <x:v>1.7999999999999998</x:v>
      </x:c>
      <x:c r="Z16">
        <x:f>(S16*IF(E16="E",F16,0))+(S16*IF(G16="E",H16,0))</x:f>
        <x:v>1.2000000000000002</x:v>
      </x:c>
      <x:c r="AA16">
        <x:f>(S16*IF(E16="T",F16,0))+(S16*IF(G16="T",H16,0))</x:f>
        <x:v>0</x:v>
      </x:c>
      <x:c r="AB16">
        <x:f>(S16*IF(E16="L",F16,0))+(S16*IF(G16="L",H16,0))</x:f>
        <x:v>0</x:v>
      </x:c>
      <x:c r="AC16">
        <x:f>(S16*IF(E16="H",F16,0))+(S16*IF(G16="H",H16,0))</x:f>
        <x:v>0</x:v>
      </x:c>
      <x:c r="AD16">
        <x:f>(S16*IF(E16="V",F16,0))+(S16*IF(G16="V",H16,0))</x:f>
        <x:v>0</x:v>
      </x:c>
      <x:c r="AE16">
        <x:f>(S16*IF(E16="R",F16,0))+(S16*IF(G16="R",H16,0))</x:f>
        <x:v>0</x:v>
      </x:c>
      <x:c r="AF16">
        <x:f>(S16*IF(E16="F",F16,0))+(S16*IF(G16="F",H16,0))</x:f>
        <x:v>0</x:v>
      </x:c>
      <x:c r="AG16">
        <x:f>(S16*IF(E16="W",F16,0))+(S16*IF(G16="W",H16,0))</x:f>
        <x:v>0</x:v>
      </x:c>
      <x:c r="AH16" t="inlineStr">
        <x:is>
          <x:t xml:space="preserve">1. Strategy &amp; Governance</x:t>
        </x:is>
      </x:c>
      <x:c r="AI16" t="inlineStr">
        <x:is>
          <x:t xml:space="preserve">Organization &amp; RACI</x:t>
        </x:is>
      </x:c>
      <x:c r="AJ16" t="inlineStr">
        <x:is>
          <x:t xml:space="preserve">RACI &amp; decision rights</x:t>
        </x:is>
      </x:c>
    </x:row>
    <x:row r="17">
      <x:c r="A17" t="inlineStr">
        <x:is>
          <x:t xml:space="preserve">Executive</x:t>
        </x:is>
      </x:c>
      <x:c r="B17" t="inlineStr">
        <x:is>
          <x:t xml:space="preserve">EXCO-D1-Q03</x:t>
        </x:is>
      </x:c>
      <x:c r="C17" t="inlineStr">
        <x:is>
          <x:t xml:space="preserve">T2</x:t>
        </x:is>
      </x:c>
      <x:c r="D17" t="inlineStr">
        <x:is>
          <x:t xml:space="preserve">1. Strategy &amp; Governance</x:t>
        </x:is>
      </x:c>
      <x:c r="E17" t="inlineStr">
        <x:is>
          <x:t xml:space="preserve">G</x:t>
        </x:is>
      </x:c>
      <x:c r="F17" t="n">
        <x:v>0.6</x:v>
      </x:c>
      <x:c r="G17" t="inlineStr">
        <x:is>
          <x:t xml:space="preserve">E</x:t>
        </x:is>
      </x:c>
      <x:c r="H17" t="n">
        <x:v>0.4</x:v>
      </x:c>
      <x:c r="I17" t="inlineStr">
        <x:is>
          <x:t xml:space="preserve">Who has final decision authority for insider risk actions (and who pays for them)?</x:t>
        </x:is>
      </x:c>
      <x:c r="J17" t="inlineStr">
        <x:is>
          <x:t xml:space="preserve">Look for a named owner who can make trade-offs across HR, Legal, Security and the business.</x:t>
        </x:is>
      </x:c>
      <x:c r="L17" t="inlineStr">
        <x:is>
          <x:t xml:space="preserve">GOV_STD</x:t>
        </x:is>
      </x:c>
      <x:c r="M17" t="n">
        <x:v>1</x:v>
      </x:c>
      <x:c r="P17" t="inlineStr">
        <x:is>
          <x:t xml:space="preserve">EXCO-D1-Q03-A5</x:t>
        </x:is>
      </x:c>
      <x:c r="Q17" t="n">
        <x:v>6</x:v>
      </x:c>
      <x:c r="R17" t="inlineStr">
        <x:is>
          <x:t xml:space="preserve">Executive sponsor + department KPIs (HR/Legal/Security/Data) and a regular review cadence.</x:t>
        </x:is>
      </x:c>
      <x:c r="S17" t="n">
        <x:v>4</x:v>
      </x:c>
      <x:c r="T17" t="inlineStr">
        <x:is>
          <x:t xml:space="preserve">optimized</x:t>
        </x:is>
      </x:c>
      <x:c r="V17" t="inlineStr">
        <x:is>
          <x:t xml:space="preserve">Request_Evidence</x:t>
        </x:is>
      </x:c>
      <x:c r="W17" t="inlineStr">
        <x:is>
          <x:t xml:space="preserve">Y</x:t>
        </x:is>
      </x:c>
      <x:c r="X17" t="inlineStr">
        <x:is>
          <x:t xml:space="preserve">Provide KPI pack / steering minutes.</x:t>
        </x:is>
      </x:c>
      <x:c r="Y17">
        <x:f>(S17*IF(E17="G",F17,0))+(S17*IF(G17="G",H17,0))</x:f>
        <x:v>2.4</x:v>
      </x:c>
      <x:c r="Z17">
        <x:f>(S17*IF(E17="E",F17,0))+(S17*IF(G17="E",H17,0))</x:f>
        <x:v>1.6</x:v>
      </x:c>
      <x:c r="AA17">
        <x:f>(S17*IF(E17="T",F17,0))+(S17*IF(G17="T",H17,0))</x:f>
        <x:v>0</x:v>
      </x:c>
      <x:c r="AB17">
        <x:f>(S17*IF(E17="L",F17,0))+(S17*IF(G17="L",H17,0))</x:f>
        <x:v>0</x:v>
      </x:c>
      <x:c r="AC17">
        <x:f>(S17*IF(E17="H",F17,0))+(S17*IF(G17="H",H17,0))</x:f>
        <x:v>0</x:v>
      </x:c>
      <x:c r="AD17">
        <x:f>(S17*IF(E17="V",F17,0))+(S17*IF(G17="V",H17,0))</x:f>
        <x:v>0</x:v>
      </x:c>
      <x:c r="AE17">
        <x:f>(S17*IF(E17="R",F17,0))+(S17*IF(G17="R",H17,0))</x:f>
        <x:v>0</x:v>
      </x:c>
      <x:c r="AF17">
        <x:f>(S17*IF(E17="F",F17,0))+(S17*IF(G17="F",H17,0))</x:f>
        <x:v>0</x:v>
      </x:c>
      <x:c r="AG17">
        <x:f>(S17*IF(E17="W",F17,0))+(S17*IF(G17="W",H17,0))</x:f>
        <x:v>0</x:v>
      </x:c>
      <x:c r="AH17" t="inlineStr">
        <x:is>
          <x:t xml:space="preserve">1. Strategy &amp; Governance</x:t>
        </x:is>
      </x:c>
      <x:c r="AI17" t="inlineStr">
        <x:is>
          <x:t xml:space="preserve">Organization &amp; RACI</x:t>
        </x:is>
      </x:c>
      <x:c r="AJ17" t="inlineStr">
        <x:is>
          <x:t xml:space="preserve">RACI &amp; decision rights</x:t>
        </x:is>
      </x:c>
    </x:row>
    <x:row r="18">
      <x:c r="A18" t="inlineStr">
        <x:is>
          <x:t xml:space="preserve">Executive</x:t>
        </x:is>
      </x:c>
      <x:c r="B18" t="inlineStr">
        <x:is>
          <x:t xml:space="preserve">EXCO-D1-Q04</x:t>
        </x:is>
      </x:c>
      <x:c r="C18" t="inlineStr">
        <x:is>
          <x:t xml:space="preserve">T2</x:t>
        </x:is>
      </x:c>
      <x:c r="D18" t="inlineStr">
        <x:is>
          <x:t xml:space="preserve">1. Strategy &amp; Governance</x:t>
        </x:is>
      </x:c>
      <x:c r="E18" t="inlineStr">
        <x:is>
          <x:t xml:space="preserve">G</x:t>
        </x:is>
      </x:c>
      <x:c r="F18" t="n">
        <x:v>0.5</x:v>
      </x:c>
      <x:c r="G18" t="inlineStr">
        <x:is>
          <x:t xml:space="preserve">E</x:t>
        </x:is>
      </x:c>
      <x:c r="H18" t="n">
        <x:v>0.5</x:v>
      </x:c>
      <x:c r="I18" t="inlineStr">
        <x:is>
          <x:t xml:space="preserve">How does the program operate day-to-day across departments?</x:t>
        </x:is>
      </x:c>
      <x:c r="J18" t="inlineStr">
        <x:is>
          <x:t xml:space="preserve">Think about whether there is a defined cross-functional working group, how cases are triaged, and how changes are implemented.</x:t>
        </x:is>
      </x:c>
      <x:c r="L18" t="inlineStr">
        <x:is>
          <x:t xml:space="preserve">GOV_STD</x:t>
        </x:is>
      </x:c>
      <x:c r="M18" t="n">
        <x:v>1</x:v>
      </x:c>
      <x:c r="P18" t="inlineStr">
        <x:is>
          <x:t xml:space="preserve">EXCO-D1-Q04-A0</x:t>
        </x:is>
      </x:c>
      <x:c r="Q18" t="n">
        <x:v>1</x:v>
      </x:c>
      <x:c r="R18" t="inlineStr">
        <x:is>
          <x:t xml:space="preserve">I don’t know / not sure.</x:t>
        </x:is>
      </x:c>
      <x:c r="S18" t="n">
        <x:v>0</x:v>
      </x:c>
      <x:c r="T18" t="inlineStr">
        <x:is>
          <x:t xml:space="preserve">unknown</x:t>
        </x:is>
      </x:c>
      <x:c r="U18" t="inlineStr">
        <x:is>
          <x:t xml:space="preserve">Unknown</x:t>
        </x:is>
      </x:c>
      <x:c r="V18" t="inlineStr">
        <x:is>
          <x:t xml:space="preserve">Clarify_Stakeholders</x:t>
        </x:is>
      </x:c>
      <x:c r="W18" t="inlineStr">
        <x:is>
          <x:t xml:space="preserve">N</x:t>
        </x:is>
      </x:c>
      <x:c r="Y18">
        <x:f>(S18*IF(E18="G",F18,0))+(S18*IF(G18="G",H18,0))</x:f>
        <x:v>0</x:v>
      </x:c>
      <x:c r="Z18">
        <x:f>(S18*IF(E18="E",F18,0))+(S18*IF(G18="E",H18,0))</x:f>
        <x:v>0</x:v>
      </x:c>
      <x:c r="AA18">
        <x:f>(S18*IF(E18="T",F18,0))+(S18*IF(G18="T",H18,0))</x:f>
        <x:v>0</x:v>
      </x:c>
      <x:c r="AB18">
        <x:f>(S18*IF(E18="L",F18,0))+(S18*IF(G18="L",H18,0))</x:f>
        <x:v>0</x:v>
      </x:c>
      <x:c r="AC18">
        <x:f>(S18*IF(E18="H",F18,0))+(S18*IF(G18="H",H18,0))</x:f>
        <x:v>0</x:v>
      </x:c>
      <x:c r="AD18">
        <x:f>(S18*IF(E18="V",F18,0))+(S18*IF(G18="V",H18,0))</x:f>
        <x:v>0</x:v>
      </x:c>
      <x:c r="AE18">
        <x:f>(S18*IF(E18="R",F18,0))+(S18*IF(G18="R",H18,0))</x:f>
        <x:v>0</x:v>
      </x:c>
      <x:c r="AF18">
        <x:f>(S18*IF(E18="F",F18,0))+(S18*IF(G18="F",H18,0))</x:f>
        <x:v>0</x:v>
      </x:c>
      <x:c r="AG18">
        <x:f>(S18*IF(E18="W",F18,0))+(S18*IF(G18="W",H18,0))</x:f>
        <x:v>0</x:v>
      </x:c>
      <x:c r="AH18" t="inlineStr">
        <x:is>
          <x:t xml:space="preserve">1. Strategy &amp; Governance</x:t>
        </x:is>
      </x:c>
      <x:c r="AI18" t="inlineStr">
        <x:is>
          <x:t xml:space="preserve">Organization &amp; RACI</x:t>
        </x:is>
      </x:c>
      <x:c r="AJ18" t="inlineStr">
        <x:is>
          <x:t xml:space="preserve">Operational working group (ITWG/triage cell)</x:t>
        </x:is>
      </x:c>
    </x:row>
    <x:row r="19">
      <x:c r="A19" t="inlineStr">
        <x:is>
          <x:t xml:space="preserve">Executive</x:t>
        </x:is>
      </x:c>
      <x:c r="B19" t="inlineStr">
        <x:is>
          <x:t xml:space="preserve">EXCO-D1-Q04</x:t>
        </x:is>
      </x:c>
      <x:c r="C19" t="inlineStr">
        <x:is>
          <x:t xml:space="preserve">T2</x:t>
        </x:is>
      </x:c>
      <x:c r="D19" t="inlineStr">
        <x:is>
          <x:t xml:space="preserve">1. Strategy &amp; Governance</x:t>
        </x:is>
      </x:c>
      <x:c r="E19" t="inlineStr">
        <x:is>
          <x:t xml:space="preserve">G</x:t>
        </x:is>
      </x:c>
      <x:c r="F19" t="n">
        <x:v>0.5</x:v>
      </x:c>
      <x:c r="G19" t="inlineStr">
        <x:is>
          <x:t xml:space="preserve">E</x:t>
        </x:is>
      </x:c>
      <x:c r="H19" t="n">
        <x:v>0.5</x:v>
      </x:c>
      <x:c r="I19" t="inlineStr">
        <x:is>
          <x:t xml:space="preserve">How does the program operate day-to-day across departments?</x:t>
        </x:is>
      </x:c>
      <x:c r="J19" t="inlineStr">
        <x:is>
          <x:t xml:space="preserve">Think about whether there is a defined cross-functional working group, how cases are triaged, and how changes are implemented.</x:t>
        </x:is>
      </x:c>
      <x:c r="L19" t="inlineStr">
        <x:is>
          <x:t xml:space="preserve">GOV_STD</x:t>
        </x:is>
      </x:c>
      <x:c r="M19" t="n">
        <x:v>1</x:v>
      </x:c>
      <x:c r="P19" t="inlineStr">
        <x:is>
          <x:t xml:space="preserve">EXCO-D1-Q04-A1</x:t>
        </x:is>
      </x:c>
      <x:c r="Q19" t="n">
        <x:v>2</x:v>
      </x:c>
      <x:c r="R19" t="inlineStr">
        <x:is>
          <x:t xml:space="preserve">Each department acts on its own; coordination happens only during crises.</x:t>
        </x:is>
      </x:c>
      <x:c r="S19" t="n">
        <x:v>0</x:v>
      </x:c>
      <x:c r="T19" t="inlineStr">
        <x:is>
          <x:t xml:space="preserve">siloed</x:t>
        </x:is>
      </x:c>
      <x:c r="U19" t="inlineStr">
        <x:is>
          <x:t xml:space="preserve">Operating Model Gap</x:t>
        </x:is>
      </x:c>
      <x:c r="V19" t="inlineStr">
        <x:is>
          <x:t xml:space="preserve">Create_Working_Group</x:t>
        </x:is>
      </x:c>
      <x:c r="W19" t="inlineStr">
        <x:is>
          <x:t xml:space="preserve">N</x:t>
        </x:is>
      </x:c>
      <x:c r="Y19">
        <x:f>(S19*IF(E19="G",F19,0))+(S19*IF(G19="G",H19,0))</x:f>
        <x:v>0</x:v>
      </x:c>
      <x:c r="Z19">
        <x:f>(S19*IF(E19="E",F19,0))+(S19*IF(G19="E",H19,0))</x:f>
        <x:v>0</x:v>
      </x:c>
      <x:c r="AA19">
        <x:f>(S19*IF(E19="T",F19,0))+(S19*IF(G19="T",H19,0))</x:f>
        <x:v>0</x:v>
      </x:c>
      <x:c r="AB19">
        <x:f>(S19*IF(E19="L",F19,0))+(S19*IF(G19="L",H19,0))</x:f>
        <x:v>0</x:v>
      </x:c>
      <x:c r="AC19">
        <x:f>(S19*IF(E19="H",F19,0))+(S19*IF(G19="H",H19,0))</x:f>
        <x:v>0</x:v>
      </x:c>
      <x:c r="AD19">
        <x:f>(S19*IF(E19="V",F19,0))+(S19*IF(G19="V",H19,0))</x:f>
        <x:v>0</x:v>
      </x:c>
      <x:c r="AE19">
        <x:f>(S19*IF(E19="R",F19,0))+(S19*IF(G19="R",H19,0))</x:f>
        <x:v>0</x:v>
      </x:c>
      <x:c r="AF19">
        <x:f>(S19*IF(E19="F",F19,0))+(S19*IF(G19="F",H19,0))</x:f>
        <x:v>0</x:v>
      </x:c>
      <x:c r="AG19">
        <x:f>(S19*IF(E19="W",F19,0))+(S19*IF(G19="W",H19,0))</x:f>
        <x:v>0</x:v>
      </x:c>
      <x:c r="AH19" t="inlineStr">
        <x:is>
          <x:t xml:space="preserve">1. Strategy &amp; Governance</x:t>
        </x:is>
      </x:c>
      <x:c r="AI19" t="inlineStr">
        <x:is>
          <x:t xml:space="preserve">Organization &amp; RACI</x:t>
        </x:is>
      </x:c>
      <x:c r="AJ19" t="inlineStr">
        <x:is>
          <x:t xml:space="preserve">Operational working group (ITWG/triage cell)</x:t>
        </x:is>
      </x:c>
    </x:row>
    <x:row r="20">
      <x:c r="A20" t="inlineStr">
        <x:is>
          <x:t xml:space="preserve">Executive</x:t>
        </x:is>
      </x:c>
      <x:c r="B20" t="inlineStr">
        <x:is>
          <x:t xml:space="preserve">EXCO-D1-Q04</x:t>
        </x:is>
      </x:c>
      <x:c r="C20" t="inlineStr">
        <x:is>
          <x:t xml:space="preserve">T2</x:t>
        </x:is>
      </x:c>
      <x:c r="D20" t="inlineStr">
        <x:is>
          <x:t xml:space="preserve">1. Strategy &amp; Governance</x:t>
        </x:is>
      </x:c>
      <x:c r="E20" t="inlineStr">
        <x:is>
          <x:t xml:space="preserve">G</x:t>
        </x:is>
      </x:c>
      <x:c r="F20" t="n">
        <x:v>0.5</x:v>
      </x:c>
      <x:c r="G20" t="inlineStr">
        <x:is>
          <x:t xml:space="preserve">E</x:t>
        </x:is>
      </x:c>
      <x:c r="H20" t="n">
        <x:v>0.5</x:v>
      </x:c>
      <x:c r="I20" t="inlineStr">
        <x:is>
          <x:t xml:space="preserve">How does the program operate day-to-day across departments?</x:t>
        </x:is>
      </x:c>
      <x:c r="J20" t="inlineStr">
        <x:is>
          <x:t xml:space="preserve">Think about whether there is a defined cross-functional working group, how cases are triaged, and how changes are implemented.</x:t>
        </x:is>
      </x:c>
      <x:c r="L20" t="inlineStr">
        <x:is>
          <x:t xml:space="preserve">GOV_STD</x:t>
        </x:is>
      </x:c>
      <x:c r="M20" t="n">
        <x:v>1</x:v>
      </x:c>
      <x:c r="P20" t="inlineStr">
        <x:is>
          <x:t xml:space="preserve">EXCO-D1-Q04-A2</x:t>
        </x:is>
      </x:c>
      <x:c r="Q20" t="n">
        <x:v>3</x:v>
      </x:c>
      <x:c r="R20" t="inlineStr">
        <x:is>
          <x:t xml:space="preserve">People collaborate informally for incidents, but there is no routine coordination.</x:t>
        </x:is>
      </x:c>
      <x:c r="S20" t="n">
        <x:v>1</x:v>
      </x:c>
      <x:c r="T20" t="inlineStr">
        <x:is>
          <x:t xml:space="preserve">informal_only</x:t>
        </x:is>
      </x:c>
      <x:c r="U20" t="inlineStr">
        <x:is>
          <x:t xml:space="preserve">Shadow Mature</x:t>
        </x:is>
      </x:c>
      <x:c r="V20" t="inlineStr">
        <x:is>
          <x:t xml:space="preserve">Formalize_Cadence</x:t>
        </x:is>
      </x:c>
      <x:c r="W20" t="inlineStr">
        <x:is>
          <x:t xml:space="preserve">N</x:t>
        </x:is>
      </x:c>
      <x:c r="Y20">
        <x:f>(S20*IF(E20="G",F20,0))+(S20*IF(G20="G",H20,0))</x:f>
        <x:v>0.5</x:v>
      </x:c>
      <x:c r="Z20">
        <x:f>(S20*IF(E20="E",F20,0))+(S20*IF(G20="E",H20,0))</x:f>
        <x:v>0.5</x:v>
      </x:c>
      <x:c r="AA20">
        <x:f>(S20*IF(E20="T",F20,0))+(S20*IF(G20="T",H20,0))</x:f>
        <x:v>0</x:v>
      </x:c>
      <x:c r="AB20">
        <x:f>(S20*IF(E20="L",F20,0))+(S20*IF(G20="L",H20,0))</x:f>
        <x:v>0</x:v>
      </x:c>
      <x:c r="AC20">
        <x:f>(S20*IF(E20="H",F20,0))+(S20*IF(G20="H",H20,0))</x:f>
        <x:v>0</x:v>
      </x:c>
      <x:c r="AD20">
        <x:f>(S20*IF(E20="V",F20,0))+(S20*IF(G20="V",H20,0))</x:f>
        <x:v>0</x:v>
      </x:c>
      <x:c r="AE20">
        <x:f>(S20*IF(E20="R",F20,0))+(S20*IF(G20="R",H20,0))</x:f>
        <x:v>0</x:v>
      </x:c>
      <x:c r="AF20">
        <x:f>(S20*IF(E20="F",F20,0))+(S20*IF(G20="F",H20,0))</x:f>
        <x:v>0</x:v>
      </x:c>
      <x:c r="AG20">
        <x:f>(S20*IF(E20="W",F20,0))+(S20*IF(G20="W",H20,0))</x:f>
        <x:v>0</x:v>
      </x:c>
      <x:c r="AH20" t="inlineStr">
        <x:is>
          <x:t xml:space="preserve">1. Strategy &amp; Governance</x:t>
        </x:is>
      </x:c>
      <x:c r="AI20" t="inlineStr">
        <x:is>
          <x:t xml:space="preserve">Organization &amp; RACI</x:t>
        </x:is>
      </x:c>
      <x:c r="AJ20" t="inlineStr">
        <x:is>
          <x:t xml:space="preserve">Operational working group (ITWG/triage cell)</x:t>
        </x:is>
      </x:c>
    </x:row>
    <x:row r="21">
      <x:c r="A21" t="inlineStr">
        <x:is>
          <x:t xml:space="preserve">Executive</x:t>
        </x:is>
      </x:c>
      <x:c r="B21" t="inlineStr">
        <x:is>
          <x:t xml:space="preserve">EXCO-D1-Q04</x:t>
        </x:is>
      </x:c>
      <x:c r="C21" t="inlineStr">
        <x:is>
          <x:t xml:space="preserve">T2</x:t>
        </x:is>
      </x:c>
      <x:c r="D21" t="inlineStr">
        <x:is>
          <x:t xml:space="preserve">1. Strategy &amp; Governance</x:t>
        </x:is>
      </x:c>
      <x:c r="E21" t="inlineStr">
        <x:is>
          <x:t xml:space="preserve">G</x:t>
        </x:is>
      </x:c>
      <x:c r="F21" t="n">
        <x:v>0.5</x:v>
      </x:c>
      <x:c r="G21" t="inlineStr">
        <x:is>
          <x:t xml:space="preserve">E</x:t>
        </x:is>
      </x:c>
      <x:c r="H21" t="n">
        <x:v>0.5</x:v>
      </x:c>
      <x:c r="I21" t="inlineStr">
        <x:is>
          <x:t xml:space="preserve">How does the program operate day-to-day across departments?</x:t>
        </x:is>
      </x:c>
      <x:c r="J21" t="inlineStr">
        <x:is>
          <x:t xml:space="preserve">Think about whether there is a defined cross-functional working group, how cases are triaged, and how changes are implemented.</x:t>
        </x:is>
      </x:c>
      <x:c r="L21" t="inlineStr">
        <x:is>
          <x:t xml:space="preserve">GOV_STD</x:t>
        </x:is>
      </x:c>
      <x:c r="M21" t="n">
        <x:v>1</x:v>
      </x:c>
      <x:c r="P21" t="inlineStr">
        <x:is>
          <x:t xml:space="preserve">EXCO-D1-Q04-A3</x:t>
        </x:is>
      </x:c>
      <x:c r="Q21" t="n">
        <x:v>4</x:v>
      </x:c>
      <x:c r="R21" t="inlineStr">
        <x:is>
          <x:t xml:space="preserve">There is a defined process, but adoption is inconsistent across business units.</x:t>
        </x:is>
      </x:c>
      <x:c r="S21" t="n">
        <x:v>2</x:v>
      </x:c>
      <x:c r="T21" t="inlineStr">
        <x:is>
          <x:t xml:space="preserve">inconsistent_execution</x:t>
        </x:is>
      </x:c>
      <x:c r="U21" t="inlineStr">
        <x:is>
          <x:t xml:space="preserve">Paper Dragon</x:t>
        </x:is>
      </x:c>
      <x:c r="V21" t="inlineStr">
        <x:is>
          <x:t xml:space="preserve">Improve_Adoption</x:t>
        </x:is>
      </x:c>
      <x:c r="W21" t="inlineStr">
        <x:is>
          <x:t xml:space="preserve">N</x:t>
        </x:is>
      </x:c>
      <x:c r="Y21">
        <x:f>(S21*IF(E21="G",F21,0))+(S21*IF(G21="G",H21,0))</x:f>
        <x:v>1</x:v>
      </x:c>
      <x:c r="Z21">
        <x:f>(S21*IF(E21="E",F21,0))+(S21*IF(G21="E",H21,0))</x:f>
        <x:v>1</x:v>
      </x:c>
      <x:c r="AA21">
        <x:f>(S21*IF(E21="T",F21,0))+(S21*IF(G21="T",H21,0))</x:f>
        <x:v>0</x:v>
      </x:c>
      <x:c r="AB21">
        <x:f>(S21*IF(E21="L",F21,0))+(S21*IF(G21="L",H21,0))</x:f>
        <x:v>0</x:v>
      </x:c>
      <x:c r="AC21">
        <x:f>(S21*IF(E21="H",F21,0))+(S21*IF(G21="H",H21,0))</x:f>
        <x:v>0</x:v>
      </x:c>
      <x:c r="AD21">
        <x:f>(S21*IF(E21="V",F21,0))+(S21*IF(G21="V",H21,0))</x:f>
        <x:v>0</x:v>
      </x:c>
      <x:c r="AE21">
        <x:f>(S21*IF(E21="R",F21,0))+(S21*IF(G21="R",H21,0))</x:f>
        <x:v>0</x:v>
      </x:c>
      <x:c r="AF21">
        <x:f>(S21*IF(E21="F",F21,0))+(S21*IF(G21="F",H21,0))</x:f>
        <x:v>0</x:v>
      </x:c>
      <x:c r="AG21">
        <x:f>(S21*IF(E21="W",F21,0))+(S21*IF(G21="W",H21,0))</x:f>
        <x:v>0</x:v>
      </x:c>
      <x:c r="AH21" t="inlineStr">
        <x:is>
          <x:t xml:space="preserve">1. Strategy &amp; Governance</x:t>
        </x:is>
      </x:c>
      <x:c r="AI21" t="inlineStr">
        <x:is>
          <x:t xml:space="preserve">Organization &amp; RACI</x:t>
        </x:is>
      </x:c>
      <x:c r="AJ21" t="inlineStr">
        <x:is>
          <x:t xml:space="preserve">Operational working group (ITWG/triage cell)</x:t>
        </x:is>
      </x:c>
    </x:row>
    <x:row r="22">
      <x:c r="A22" t="inlineStr">
        <x:is>
          <x:t xml:space="preserve">Executive</x:t>
        </x:is>
      </x:c>
      <x:c r="B22" t="inlineStr">
        <x:is>
          <x:t xml:space="preserve">EXCO-D1-Q04</x:t>
        </x:is>
      </x:c>
      <x:c r="C22" t="inlineStr">
        <x:is>
          <x:t xml:space="preserve">T2</x:t>
        </x:is>
      </x:c>
      <x:c r="D22" t="inlineStr">
        <x:is>
          <x:t xml:space="preserve">1. Strategy &amp; Governance</x:t>
        </x:is>
      </x:c>
      <x:c r="E22" t="inlineStr">
        <x:is>
          <x:t xml:space="preserve">G</x:t>
        </x:is>
      </x:c>
      <x:c r="F22" t="n">
        <x:v>0.5</x:v>
      </x:c>
      <x:c r="G22" t="inlineStr">
        <x:is>
          <x:t xml:space="preserve">E</x:t>
        </x:is>
      </x:c>
      <x:c r="H22" t="n">
        <x:v>0.5</x:v>
      </x:c>
      <x:c r="I22" t="inlineStr">
        <x:is>
          <x:t xml:space="preserve">How does the program operate day-to-day across departments?</x:t>
        </x:is>
      </x:c>
      <x:c r="J22" t="inlineStr">
        <x:is>
          <x:t xml:space="preserve">Think about whether there is a defined cross-functional working group, how cases are triaged, and how changes are implemented.</x:t>
        </x:is>
      </x:c>
      <x:c r="L22" t="inlineStr">
        <x:is>
          <x:t xml:space="preserve">GOV_STD</x:t>
        </x:is>
      </x:c>
      <x:c r="M22" t="n">
        <x:v>1</x:v>
      </x:c>
      <x:c r="P22" t="inlineStr">
        <x:is>
          <x:t xml:space="preserve">EXCO-D1-Q04-A4</x:t>
        </x:is>
      </x:c>
      <x:c r="Q22" t="n">
        <x:v>5</x:v>
      </x:c>
      <x:c r="R22" t="inlineStr">
        <x:is>
          <x:t xml:space="preserve">There is a cross-functional working group and routine cadence (e.g., monthly), with tracked actions.</x:t>
        </x:is>
      </x:c>
      <x:c r="S22" t="n">
        <x:v>3</x:v>
      </x:c>
      <x:c r="T22" t="inlineStr">
        <x:is>
          <x:t xml:space="preserve">good_practice</x:t>
        </x:is>
      </x:c>
      <x:c r="V22" t="inlineStr">
        <x:is>
          <x:t xml:space="preserve">Request_Evidence</x:t>
        </x:is>
      </x:c>
      <x:c r="W22" t="inlineStr">
        <x:is>
          <x:t xml:space="preserve">Y</x:t>
        </x:is>
      </x:c>
      <x:c r="X22" t="inlineStr">
        <x:is>
          <x:t xml:space="preserve">Provide meeting cadence and action log.</x:t>
        </x:is>
      </x:c>
      <x:c r="Y22">
        <x:f>(S22*IF(E22="G",F22,0))+(S22*IF(G22="G",H22,0))</x:f>
        <x:v>1.5</x:v>
      </x:c>
      <x:c r="Z22">
        <x:f>(S22*IF(E22="E",F22,0))+(S22*IF(G22="E",H22,0))</x:f>
        <x:v>1.5</x:v>
      </x:c>
      <x:c r="AA22">
        <x:f>(S22*IF(E22="T",F22,0))+(S22*IF(G22="T",H22,0))</x:f>
        <x:v>0</x:v>
      </x:c>
      <x:c r="AB22">
        <x:f>(S22*IF(E22="L",F22,0))+(S22*IF(G22="L",H22,0))</x:f>
        <x:v>0</x:v>
      </x:c>
      <x:c r="AC22">
        <x:f>(S22*IF(E22="H",F22,0))+(S22*IF(G22="H",H22,0))</x:f>
        <x:v>0</x:v>
      </x:c>
      <x:c r="AD22">
        <x:f>(S22*IF(E22="V",F22,0))+(S22*IF(G22="V",H22,0))</x:f>
        <x:v>0</x:v>
      </x:c>
      <x:c r="AE22">
        <x:f>(S22*IF(E22="R",F22,0))+(S22*IF(G22="R",H22,0))</x:f>
        <x:v>0</x:v>
      </x:c>
      <x:c r="AF22">
        <x:f>(S22*IF(E22="F",F22,0))+(S22*IF(G22="F",H22,0))</x:f>
        <x:v>0</x:v>
      </x:c>
      <x:c r="AG22">
        <x:f>(S22*IF(E22="W",F22,0))+(S22*IF(G22="W",H22,0))</x:f>
        <x:v>0</x:v>
      </x:c>
      <x:c r="AH22" t="inlineStr">
        <x:is>
          <x:t xml:space="preserve">1. Strategy &amp; Governance</x:t>
        </x:is>
      </x:c>
      <x:c r="AI22" t="inlineStr">
        <x:is>
          <x:t xml:space="preserve">Organization &amp; RACI</x:t>
        </x:is>
      </x:c>
      <x:c r="AJ22" t="inlineStr">
        <x:is>
          <x:t xml:space="preserve">Operational working group (ITWG/triage cell)</x:t>
        </x:is>
      </x:c>
    </x:row>
    <x:row r="23">
      <x:c r="A23" t="inlineStr">
        <x:is>
          <x:t xml:space="preserve">Executive</x:t>
        </x:is>
      </x:c>
      <x:c r="B23" t="inlineStr">
        <x:is>
          <x:t xml:space="preserve">EXCO-D1-Q04</x:t>
        </x:is>
      </x:c>
      <x:c r="C23" t="inlineStr">
        <x:is>
          <x:t xml:space="preserve">T2</x:t>
        </x:is>
      </x:c>
      <x:c r="D23" t="inlineStr">
        <x:is>
          <x:t xml:space="preserve">1. Strategy &amp; Governance</x:t>
        </x:is>
      </x:c>
      <x:c r="E23" t="inlineStr">
        <x:is>
          <x:t xml:space="preserve">G</x:t>
        </x:is>
      </x:c>
      <x:c r="F23" t="n">
        <x:v>0.5</x:v>
      </x:c>
      <x:c r="G23" t="inlineStr">
        <x:is>
          <x:t xml:space="preserve">E</x:t>
        </x:is>
      </x:c>
      <x:c r="H23" t="n">
        <x:v>0.5</x:v>
      </x:c>
      <x:c r="I23" t="inlineStr">
        <x:is>
          <x:t xml:space="preserve">How does the program operate day-to-day across departments?</x:t>
        </x:is>
      </x:c>
      <x:c r="J23" t="inlineStr">
        <x:is>
          <x:t xml:space="preserve">Think about whether there is a defined cross-functional working group, how cases are triaged, and how changes are implemented.</x:t>
        </x:is>
      </x:c>
      <x:c r="L23" t="inlineStr">
        <x:is>
          <x:t xml:space="preserve">GOV_STD</x:t>
        </x:is>
      </x:c>
      <x:c r="M23" t="n">
        <x:v>1</x:v>
      </x:c>
      <x:c r="P23" t="inlineStr">
        <x:is>
          <x:t xml:space="preserve">EXCO-D1-Q04-A5</x:t>
        </x:is>
      </x:c>
      <x:c r="Q23" t="n">
        <x:v>6</x:v>
      </x:c>
      <x:c r="R23" t="inlineStr">
        <x:is>
          <x:t xml:space="preserve">Operating model is integrated into business processes (joiner/mover/leaver, sensitive projects, vendor onboarding) with measurable outcomes.</x:t>
        </x:is>
      </x:c>
      <x:c r="S23" t="n">
        <x:v>4</x:v>
      </x:c>
      <x:c r="T23" t="inlineStr">
        <x:is>
          <x:t xml:space="preserve">optimized</x:t>
        </x:is>
      </x:c>
      <x:c r="V23" t="inlineStr">
        <x:is>
          <x:t xml:space="preserve">Request_Evidence</x:t>
        </x:is>
      </x:c>
      <x:c r="W23" t="inlineStr">
        <x:is>
          <x:t xml:space="preserve">Y</x:t>
        </x:is>
      </x:c>
      <x:c r="Y23">
        <x:f>(S23*IF(E23="G",F23,0))+(S23*IF(G23="G",H23,0))</x:f>
        <x:v>2</x:v>
      </x:c>
      <x:c r="Z23">
        <x:f>(S23*IF(E23="E",F23,0))+(S23*IF(G23="E",H23,0))</x:f>
        <x:v>2</x:v>
      </x:c>
      <x:c r="AA23">
        <x:f>(S23*IF(E23="T",F23,0))+(S23*IF(G23="T",H23,0))</x:f>
        <x:v>0</x:v>
      </x:c>
      <x:c r="AB23">
        <x:f>(S23*IF(E23="L",F23,0))+(S23*IF(G23="L",H23,0))</x:f>
        <x:v>0</x:v>
      </x:c>
      <x:c r="AC23">
        <x:f>(S23*IF(E23="H",F23,0))+(S23*IF(G23="H",H23,0))</x:f>
        <x:v>0</x:v>
      </x:c>
      <x:c r="AD23">
        <x:f>(S23*IF(E23="V",F23,0))+(S23*IF(G23="V",H23,0))</x:f>
        <x:v>0</x:v>
      </x:c>
      <x:c r="AE23">
        <x:f>(S23*IF(E23="R",F23,0))+(S23*IF(G23="R",H23,0))</x:f>
        <x:v>0</x:v>
      </x:c>
      <x:c r="AF23">
        <x:f>(S23*IF(E23="F",F23,0))+(S23*IF(G23="F",H23,0))</x:f>
        <x:v>0</x:v>
      </x:c>
      <x:c r="AG23">
        <x:f>(S23*IF(E23="W",F23,0))+(S23*IF(G23="W",H23,0))</x:f>
        <x:v>0</x:v>
      </x:c>
      <x:c r="AH23" t="inlineStr">
        <x:is>
          <x:t xml:space="preserve">1. Strategy &amp; Governance</x:t>
        </x:is>
      </x:c>
      <x:c r="AI23" t="inlineStr">
        <x:is>
          <x:t xml:space="preserve">Organization &amp; RACI</x:t>
        </x:is>
      </x:c>
      <x:c r="AJ23" t="inlineStr">
        <x:is>
          <x:t xml:space="preserve">Operational working group (ITWG/triage cell)</x:t>
        </x:is>
      </x:c>
    </x:row>
    <x:row r="24">
      <x:c r="A24" t="inlineStr">
        <x:is>
          <x:t xml:space="preserve">Executive</x:t>
        </x:is>
      </x:c>
      <x:c r="B24" t="inlineStr">
        <x:is>
          <x:t xml:space="preserve">EXCO-D1-Q05</x:t>
        </x:is>
      </x:c>
      <x:c r="C24" t="inlineStr">
        <x:is>
          <x:t xml:space="preserve">T3</x:t>
        </x:is>
      </x:c>
      <x:c r="D24" t="inlineStr">
        <x:is>
          <x:t xml:space="preserve">1. Strategy &amp; Governance</x:t>
        </x:is>
      </x:c>
      <x:c r="E24" t="inlineStr">
        <x:is>
          <x:t xml:space="preserve">G</x:t>
        </x:is>
      </x:c>
      <x:c r="F24" t="n">
        <x:v>1</x:v>
      </x:c>
      <x:c r="G24" t="inlineStr">
        <x:is>
          <x:t xml:space="preserve">-</x:t>
        </x:is>
      </x:c>
      <x:c r="I24" t="inlineStr">
        <x:is>
          <x:t xml:space="preserve">Is there a dedicated budget for insider risk activities (people/process/tooling), and is it ring-fenced?</x:t>
        </x:is>
      </x:c>
      <x:c r="J24" t="inlineStr">
        <x:is>
          <x:t xml:space="preserve">Budget can be small, but should be identifiable and protected from being reallocated without review.</x:t>
        </x:is>
      </x:c>
      <x:c r="L24" t="inlineStr">
        <x:is>
          <x:t xml:space="preserve">GOV_STD</x:t>
        </x:is>
      </x:c>
      <x:c r="M24" t="n">
        <x:v>1</x:v>
      </x:c>
      <x:c r="P24" t="inlineStr">
        <x:is>
          <x:t xml:space="preserve">EXCO-D1-Q05-A0</x:t>
        </x:is>
      </x:c>
      <x:c r="Q24" t="n">
        <x:v>1</x:v>
      </x:c>
      <x:c r="R24" t="inlineStr">
        <x:is>
          <x:t xml:space="preserve">I don’t know / not sure.</x:t>
        </x:is>
      </x:c>
      <x:c r="S24" t="n">
        <x:v>0</x:v>
      </x:c>
      <x:c r="T24" t="inlineStr">
        <x:is>
          <x:t xml:space="preserve">unknown</x:t>
        </x:is>
      </x:c>
      <x:c r="U24" t="inlineStr">
        <x:is>
          <x:t xml:space="preserve">Unknown</x:t>
        </x:is>
      </x:c>
      <x:c r="V24" t="inlineStr">
        <x:is>
          <x:t xml:space="preserve">Clarify_Budget</x:t>
        </x:is>
      </x:c>
      <x:c r="W24" t="inlineStr">
        <x:is>
          <x:t xml:space="preserve">N</x:t>
        </x:is>
      </x:c>
      <x:c r="Y24">
        <x:f>(S24*IF(E24="G",F24,0))+(S24*IF(G24="G",H24,0))</x:f>
        <x:v>0</x:v>
      </x:c>
      <x:c r="Z24">
        <x:f>(S24*IF(E24="E",F24,0))+(S24*IF(G24="E",H24,0))</x:f>
        <x:v>0</x:v>
      </x:c>
      <x:c r="AA24">
        <x:f>(S24*IF(E24="T",F24,0))+(S24*IF(G24="T",H24,0))</x:f>
        <x:v>0</x:v>
      </x:c>
      <x:c r="AB24">
        <x:f>(S24*IF(E24="L",F24,0))+(S24*IF(G24="L",H24,0))</x:f>
        <x:v>0</x:v>
      </x:c>
      <x:c r="AC24">
        <x:f>(S24*IF(E24="H",F24,0))+(S24*IF(G24="H",H24,0))</x:f>
        <x:v>0</x:v>
      </x:c>
      <x:c r="AD24">
        <x:f>(S24*IF(E24="V",F24,0))+(S24*IF(G24="V",H24,0))</x:f>
        <x:v>0</x:v>
      </x:c>
      <x:c r="AE24">
        <x:f>(S24*IF(E24="R",F24,0))+(S24*IF(G24="R",H24,0))</x:f>
        <x:v>0</x:v>
      </x:c>
      <x:c r="AF24">
        <x:f>(S24*IF(E24="F",F24,0))+(S24*IF(G24="F",H24,0))</x:f>
        <x:v>0</x:v>
      </x:c>
      <x:c r="AG24">
        <x:f>(S24*IF(E24="W",F24,0))+(S24*IF(G24="W",H24,0))</x:f>
        <x:v>0</x:v>
      </x:c>
      <x:c r="AH24" t="inlineStr">
        <x:is>
          <x:t xml:space="preserve">1. Strategy &amp; Governance</x:t>
        </x:is>
      </x:c>
      <x:c r="AI24" t="inlineStr">
        <x:is>
          <x:t xml:space="preserve">Program Management</x:t>
        </x:is>
      </x:c>
      <x:c r="AJ24" t="inlineStr">
        <x:is>
          <x:t xml:space="preserve">Funding &amp; resourcing model (OpEx/CapEx)</x:t>
        </x:is>
      </x:c>
    </x:row>
    <x:row r="25">
      <x:c r="A25" t="inlineStr">
        <x:is>
          <x:t xml:space="preserve">Executive</x:t>
        </x:is>
      </x:c>
      <x:c r="B25" t="inlineStr">
        <x:is>
          <x:t xml:space="preserve">EXCO-D1-Q05</x:t>
        </x:is>
      </x:c>
      <x:c r="C25" t="inlineStr">
        <x:is>
          <x:t xml:space="preserve">T3</x:t>
        </x:is>
      </x:c>
      <x:c r="D25" t="inlineStr">
        <x:is>
          <x:t xml:space="preserve">1. Strategy &amp; Governance</x:t>
        </x:is>
      </x:c>
      <x:c r="E25" t="inlineStr">
        <x:is>
          <x:t xml:space="preserve">G</x:t>
        </x:is>
      </x:c>
      <x:c r="F25" t="n">
        <x:v>1</x:v>
      </x:c>
      <x:c r="G25" t="inlineStr">
        <x:is>
          <x:t xml:space="preserve">-</x:t>
        </x:is>
      </x:c>
      <x:c r="I25" t="inlineStr">
        <x:is>
          <x:t xml:space="preserve">Is there a dedicated budget for insider risk activities (people/process/tooling), and is it ring-fenced?</x:t>
        </x:is>
      </x:c>
      <x:c r="J25" t="inlineStr">
        <x:is>
          <x:t xml:space="preserve">Budget can be small, but should be identifiable and protected from being reallocated without review.</x:t>
        </x:is>
      </x:c>
      <x:c r="L25" t="inlineStr">
        <x:is>
          <x:t xml:space="preserve">GOV_STD</x:t>
        </x:is>
      </x:c>
      <x:c r="M25" t="n">
        <x:v>1</x:v>
      </x:c>
      <x:c r="P25" t="inlineStr">
        <x:is>
          <x:t xml:space="preserve">EXCO-D1-Q05-A1</x:t>
        </x:is>
      </x:c>
      <x:c r="Q25" t="n">
        <x:v>2</x:v>
      </x:c>
      <x:c r="R25" t="inlineStr">
        <x:is>
          <x:t xml:space="preserve">No—costs are absorbed ad-hoc in IT/security or HR.</x:t>
        </x:is>
      </x:c>
      <x:c r="S25" t="n">
        <x:v>0</x:v>
      </x:c>
      <x:c r="T25" t="inlineStr">
        <x:is>
          <x:t xml:space="preserve">foundational_gap</x:t>
        </x:is>
      </x:c>
      <x:c r="U25" t="inlineStr">
        <x:is>
          <x:t xml:space="preserve">Operating Model Gap</x:t>
        </x:is>
      </x:c>
      <x:c r="V25" t="inlineStr">
        <x:is>
          <x:t xml:space="preserve">Define_Funding_Model</x:t>
        </x:is>
      </x:c>
      <x:c r="W25" t="inlineStr">
        <x:is>
          <x:t xml:space="preserve">N</x:t>
        </x:is>
      </x:c>
      <x:c r="Y25">
        <x:f>(S25*IF(E25="G",F25,0))+(S25*IF(G25="G",H25,0))</x:f>
        <x:v>0</x:v>
      </x:c>
      <x:c r="Z25">
        <x:f>(S25*IF(E25="E",F25,0))+(S25*IF(G25="E",H25,0))</x:f>
        <x:v>0</x:v>
      </x:c>
      <x:c r="AA25">
        <x:f>(S25*IF(E25="T",F25,0))+(S25*IF(G25="T",H25,0))</x:f>
        <x:v>0</x:v>
      </x:c>
      <x:c r="AB25">
        <x:f>(S25*IF(E25="L",F25,0))+(S25*IF(G25="L",H25,0))</x:f>
        <x:v>0</x:v>
      </x:c>
      <x:c r="AC25">
        <x:f>(S25*IF(E25="H",F25,0))+(S25*IF(G25="H",H25,0))</x:f>
        <x:v>0</x:v>
      </x:c>
      <x:c r="AD25">
        <x:f>(S25*IF(E25="V",F25,0))+(S25*IF(G25="V",H25,0))</x:f>
        <x:v>0</x:v>
      </x:c>
      <x:c r="AE25">
        <x:f>(S25*IF(E25="R",F25,0))+(S25*IF(G25="R",H25,0))</x:f>
        <x:v>0</x:v>
      </x:c>
      <x:c r="AF25">
        <x:f>(S25*IF(E25="F",F25,0))+(S25*IF(G25="F",H25,0))</x:f>
        <x:v>0</x:v>
      </x:c>
      <x:c r="AG25">
        <x:f>(S25*IF(E25="W",F25,0))+(S25*IF(G25="W",H25,0))</x:f>
        <x:v>0</x:v>
      </x:c>
      <x:c r="AH25" t="inlineStr">
        <x:is>
          <x:t xml:space="preserve">1. Strategy &amp; Governance</x:t>
        </x:is>
      </x:c>
      <x:c r="AI25" t="inlineStr">
        <x:is>
          <x:t xml:space="preserve">Program Management</x:t>
        </x:is>
      </x:c>
      <x:c r="AJ25" t="inlineStr">
        <x:is>
          <x:t xml:space="preserve">Funding &amp; resourcing model (OpEx/CapEx)</x:t>
        </x:is>
      </x:c>
    </x:row>
    <x:row r="26">
      <x:c r="A26" t="inlineStr">
        <x:is>
          <x:t xml:space="preserve">Executive</x:t>
        </x:is>
      </x:c>
      <x:c r="B26" t="inlineStr">
        <x:is>
          <x:t xml:space="preserve">EXCO-D1-Q05</x:t>
        </x:is>
      </x:c>
      <x:c r="C26" t="inlineStr">
        <x:is>
          <x:t xml:space="preserve">T3</x:t>
        </x:is>
      </x:c>
      <x:c r="D26" t="inlineStr">
        <x:is>
          <x:t xml:space="preserve">1. Strategy &amp; Governance</x:t>
        </x:is>
      </x:c>
      <x:c r="E26" t="inlineStr">
        <x:is>
          <x:t xml:space="preserve">G</x:t>
        </x:is>
      </x:c>
      <x:c r="F26" t="n">
        <x:v>1</x:v>
      </x:c>
      <x:c r="G26" t="inlineStr">
        <x:is>
          <x:t xml:space="preserve">-</x:t>
        </x:is>
      </x:c>
      <x:c r="I26" t="inlineStr">
        <x:is>
          <x:t xml:space="preserve">Is there a dedicated budget for insider risk activities (people/process/tooling), and is it ring-fenced?</x:t>
        </x:is>
      </x:c>
      <x:c r="J26" t="inlineStr">
        <x:is>
          <x:t xml:space="preserve">Budget can be small, but should be identifiable and protected from being reallocated without review.</x:t>
        </x:is>
      </x:c>
      <x:c r="L26" t="inlineStr">
        <x:is>
          <x:t xml:space="preserve">GOV_STD</x:t>
        </x:is>
      </x:c>
      <x:c r="M26" t="n">
        <x:v>1</x:v>
      </x:c>
      <x:c r="P26" t="inlineStr">
        <x:is>
          <x:t xml:space="preserve">EXCO-D1-Q05-A2</x:t>
        </x:is>
      </x:c>
      <x:c r="Q26" t="n">
        <x:v>3</x:v>
      </x:c>
      <x:c r="R26" t="inlineStr">
        <x:is>
          <x:t xml:space="preserve">Some funding exists but is regularly reallocated; priorities change without oversight.</x:t>
        </x:is>
      </x:c>
      <x:c r="S26" t="n">
        <x:v>1</x:v>
      </x:c>
      <x:c r="T26" t="inlineStr">
        <x:is>
          <x:t xml:space="preserve">unstable_funding</x:t>
        </x:is>
      </x:c>
      <x:c r="U26" t="inlineStr">
        <x:is>
          <x:t xml:space="preserve">Control Lag</x:t>
        </x:is>
      </x:c>
      <x:c r="V26" t="inlineStr">
        <x:is>
          <x:t xml:space="preserve">Stabilize_Funding</x:t>
        </x:is>
      </x:c>
      <x:c r="W26" t="inlineStr">
        <x:is>
          <x:t xml:space="preserve">N</x:t>
        </x:is>
      </x:c>
      <x:c r="Y26">
        <x:f>(S26*IF(E26="G",F26,0))+(S26*IF(G26="G",H26,0))</x:f>
        <x:v>1</x:v>
      </x:c>
      <x:c r="Z26">
        <x:f>(S26*IF(E26="E",F26,0))+(S26*IF(G26="E",H26,0))</x:f>
        <x:v>0</x:v>
      </x:c>
      <x:c r="AA26">
        <x:f>(S26*IF(E26="T",F26,0))+(S26*IF(G26="T",H26,0))</x:f>
        <x:v>0</x:v>
      </x:c>
      <x:c r="AB26">
        <x:f>(S26*IF(E26="L",F26,0))+(S26*IF(G26="L",H26,0))</x:f>
        <x:v>0</x:v>
      </x:c>
      <x:c r="AC26">
        <x:f>(S26*IF(E26="H",F26,0))+(S26*IF(G26="H",H26,0))</x:f>
        <x:v>0</x:v>
      </x:c>
      <x:c r="AD26">
        <x:f>(S26*IF(E26="V",F26,0))+(S26*IF(G26="V",H26,0))</x:f>
        <x:v>0</x:v>
      </x:c>
      <x:c r="AE26">
        <x:f>(S26*IF(E26="R",F26,0))+(S26*IF(G26="R",H26,0))</x:f>
        <x:v>0</x:v>
      </x:c>
      <x:c r="AF26">
        <x:f>(S26*IF(E26="F",F26,0))+(S26*IF(G26="F",H26,0))</x:f>
        <x:v>0</x:v>
      </x:c>
      <x:c r="AG26">
        <x:f>(S26*IF(E26="W",F26,0))+(S26*IF(G26="W",H26,0))</x:f>
        <x:v>0</x:v>
      </x:c>
      <x:c r="AH26" t="inlineStr">
        <x:is>
          <x:t xml:space="preserve">1. Strategy &amp; Governance</x:t>
        </x:is>
      </x:c>
      <x:c r="AI26" t="inlineStr">
        <x:is>
          <x:t xml:space="preserve">Program Management</x:t>
        </x:is>
      </x:c>
      <x:c r="AJ26" t="inlineStr">
        <x:is>
          <x:t xml:space="preserve">Funding &amp; resourcing model (OpEx/CapEx)</x:t>
        </x:is>
      </x:c>
    </x:row>
    <x:row r="27">
      <x:c r="A27" t="inlineStr">
        <x:is>
          <x:t xml:space="preserve">Executive</x:t>
        </x:is>
      </x:c>
      <x:c r="B27" t="inlineStr">
        <x:is>
          <x:t xml:space="preserve">EXCO-D1-Q05</x:t>
        </x:is>
      </x:c>
      <x:c r="C27" t="inlineStr">
        <x:is>
          <x:t xml:space="preserve">T3</x:t>
        </x:is>
      </x:c>
      <x:c r="D27" t="inlineStr">
        <x:is>
          <x:t xml:space="preserve">1. Strategy &amp; Governance</x:t>
        </x:is>
      </x:c>
      <x:c r="E27" t="inlineStr">
        <x:is>
          <x:t xml:space="preserve">G</x:t>
        </x:is>
      </x:c>
      <x:c r="F27" t="n">
        <x:v>1</x:v>
      </x:c>
      <x:c r="G27" t="inlineStr">
        <x:is>
          <x:t xml:space="preserve">-</x:t>
        </x:is>
      </x:c>
      <x:c r="I27" t="inlineStr">
        <x:is>
          <x:t xml:space="preserve">Is there a dedicated budget for insider risk activities (people/process/tooling), and is it ring-fenced?</x:t>
        </x:is>
      </x:c>
      <x:c r="J27" t="inlineStr">
        <x:is>
          <x:t xml:space="preserve">Budget can be small, but should be identifiable and protected from being reallocated without review.</x:t>
        </x:is>
      </x:c>
      <x:c r="L27" t="inlineStr">
        <x:is>
          <x:t xml:space="preserve">GOV_STD</x:t>
        </x:is>
      </x:c>
      <x:c r="M27" t="n">
        <x:v>1</x:v>
      </x:c>
      <x:c r="P27" t="inlineStr">
        <x:is>
          <x:t xml:space="preserve">EXCO-D1-Q05-A3</x:t>
        </x:is>
      </x:c>
      <x:c r="Q27" t="n">
        <x:v>4</x:v>
      </x:c>
      <x:c r="R27" t="inlineStr">
        <x:is>
          <x:t xml:space="preserve">There is a budget line, but it is not linked to clear priorities (e.g., crown jewels or key risks).</x:t>
        </x:is>
      </x:c>
      <x:c r="S27" t="n">
        <x:v>2</x:v>
      </x:c>
      <x:c r="T27" t="inlineStr">
        <x:is>
          <x:t xml:space="preserve">paper_budget</x:t>
        </x:is>
      </x:c>
      <x:c r="U27" t="inlineStr">
        <x:is>
          <x:t xml:space="preserve">Paper Dragon</x:t>
        </x:is>
      </x:c>
      <x:c r="V27" t="inlineStr">
        <x:is>
          <x:t xml:space="preserve">Link_To_Priorities</x:t>
        </x:is>
      </x:c>
      <x:c r="W27" t="inlineStr">
        <x:is>
          <x:t xml:space="preserve">N</x:t>
        </x:is>
      </x:c>
      <x:c r="Y27">
        <x:f>(S27*IF(E27="G",F27,0))+(S27*IF(G27="G",H27,0))</x:f>
        <x:v>2</x:v>
      </x:c>
      <x:c r="Z27">
        <x:f>(S27*IF(E27="E",F27,0))+(S27*IF(G27="E",H27,0))</x:f>
        <x:v>0</x:v>
      </x:c>
      <x:c r="AA27">
        <x:f>(S27*IF(E27="T",F27,0))+(S27*IF(G27="T",H27,0))</x:f>
        <x:v>0</x:v>
      </x:c>
      <x:c r="AB27">
        <x:f>(S27*IF(E27="L",F27,0))+(S27*IF(G27="L",H27,0))</x:f>
        <x:v>0</x:v>
      </x:c>
      <x:c r="AC27">
        <x:f>(S27*IF(E27="H",F27,0))+(S27*IF(G27="H",H27,0))</x:f>
        <x:v>0</x:v>
      </x:c>
      <x:c r="AD27">
        <x:f>(S27*IF(E27="V",F27,0))+(S27*IF(G27="V",H27,0))</x:f>
        <x:v>0</x:v>
      </x:c>
      <x:c r="AE27">
        <x:f>(S27*IF(E27="R",F27,0))+(S27*IF(G27="R",H27,0))</x:f>
        <x:v>0</x:v>
      </x:c>
      <x:c r="AF27">
        <x:f>(S27*IF(E27="F",F27,0))+(S27*IF(G27="F",H27,0))</x:f>
        <x:v>0</x:v>
      </x:c>
      <x:c r="AG27">
        <x:f>(S27*IF(E27="W",F27,0))+(S27*IF(G27="W",H27,0))</x:f>
        <x:v>0</x:v>
      </x:c>
      <x:c r="AH27" t="inlineStr">
        <x:is>
          <x:t xml:space="preserve">1. Strategy &amp; Governance</x:t>
        </x:is>
      </x:c>
      <x:c r="AI27" t="inlineStr">
        <x:is>
          <x:t xml:space="preserve">Program Management</x:t>
        </x:is>
      </x:c>
      <x:c r="AJ27" t="inlineStr">
        <x:is>
          <x:t xml:space="preserve">Funding &amp; resourcing model (OpEx/CapEx)</x:t>
        </x:is>
      </x:c>
    </x:row>
    <x:row r="28">
      <x:c r="A28" t="inlineStr">
        <x:is>
          <x:t xml:space="preserve">Executive</x:t>
        </x:is>
      </x:c>
      <x:c r="B28" t="inlineStr">
        <x:is>
          <x:t xml:space="preserve">EXCO-D1-Q05</x:t>
        </x:is>
      </x:c>
      <x:c r="C28" t="inlineStr">
        <x:is>
          <x:t xml:space="preserve">T3</x:t>
        </x:is>
      </x:c>
      <x:c r="D28" t="inlineStr">
        <x:is>
          <x:t xml:space="preserve">1. Strategy &amp; Governance</x:t>
        </x:is>
      </x:c>
      <x:c r="E28" t="inlineStr">
        <x:is>
          <x:t xml:space="preserve">G</x:t>
        </x:is>
      </x:c>
      <x:c r="F28" t="n">
        <x:v>1</x:v>
      </x:c>
      <x:c r="G28" t="inlineStr">
        <x:is>
          <x:t xml:space="preserve">-</x:t>
        </x:is>
      </x:c>
      <x:c r="I28" t="inlineStr">
        <x:is>
          <x:t xml:space="preserve">Is there a dedicated budget for insider risk activities (people/process/tooling), and is it ring-fenced?</x:t>
        </x:is>
      </x:c>
      <x:c r="J28" t="inlineStr">
        <x:is>
          <x:t xml:space="preserve">Budget can be small, but should be identifiable and protected from being reallocated without review.</x:t>
        </x:is>
      </x:c>
      <x:c r="L28" t="inlineStr">
        <x:is>
          <x:t xml:space="preserve">GOV_STD</x:t>
        </x:is>
      </x:c>
      <x:c r="M28" t="n">
        <x:v>1</x:v>
      </x:c>
      <x:c r="P28" t="inlineStr">
        <x:is>
          <x:t xml:space="preserve">EXCO-D1-Q05-A4</x:t>
        </x:is>
      </x:c>
      <x:c r="Q28" t="n">
        <x:v>5</x:v>
      </x:c>
      <x:c r="R28" t="inlineStr">
        <x:is>
          <x:t xml:space="preserve">Dedicated funding exists and is linked to defined priorities (e.g., most sensitive data/systems).</x:t>
        </x:is>
      </x:c>
      <x:c r="S28" t="n">
        <x:v>3</x:v>
      </x:c>
      <x:c r="T28" t="inlineStr">
        <x:is>
          <x:t xml:space="preserve">good_practice</x:t>
        </x:is>
      </x:c>
      <x:c r="V28" t="inlineStr">
        <x:is>
          <x:t xml:space="preserve">Request_Evidence</x:t>
        </x:is>
      </x:c>
      <x:c r="W28" t="inlineStr">
        <x:is>
          <x:t xml:space="preserve">Y</x:t>
        </x:is>
      </x:c>
      <x:c r="X28" t="inlineStr">
        <x:is>
          <x:t xml:space="preserve">Provide budget line and priority statement.</x:t>
        </x:is>
      </x:c>
      <x:c r="Y28">
        <x:f>(S28*IF(E28="G",F28,0))+(S28*IF(G28="G",H28,0))</x:f>
        <x:v>3</x:v>
      </x:c>
      <x:c r="Z28">
        <x:f>(S28*IF(E28="E",F28,0))+(S28*IF(G28="E",H28,0))</x:f>
        <x:v>0</x:v>
      </x:c>
      <x:c r="AA28">
        <x:f>(S28*IF(E28="T",F28,0))+(S28*IF(G28="T",H28,0))</x:f>
        <x:v>0</x:v>
      </x:c>
      <x:c r="AB28">
        <x:f>(S28*IF(E28="L",F28,0))+(S28*IF(G28="L",H28,0))</x:f>
        <x:v>0</x:v>
      </x:c>
      <x:c r="AC28">
        <x:f>(S28*IF(E28="H",F28,0))+(S28*IF(G28="H",H28,0))</x:f>
        <x:v>0</x:v>
      </x:c>
      <x:c r="AD28">
        <x:f>(S28*IF(E28="V",F28,0))+(S28*IF(G28="V",H28,0))</x:f>
        <x:v>0</x:v>
      </x:c>
      <x:c r="AE28">
        <x:f>(S28*IF(E28="R",F28,0))+(S28*IF(G28="R",H28,0))</x:f>
        <x:v>0</x:v>
      </x:c>
      <x:c r="AF28">
        <x:f>(S28*IF(E28="F",F28,0))+(S28*IF(G28="F",H28,0))</x:f>
        <x:v>0</x:v>
      </x:c>
      <x:c r="AG28">
        <x:f>(S28*IF(E28="W",F28,0))+(S28*IF(G28="W",H28,0))</x:f>
        <x:v>0</x:v>
      </x:c>
      <x:c r="AH28" t="inlineStr">
        <x:is>
          <x:t xml:space="preserve">1. Strategy &amp; Governance</x:t>
        </x:is>
      </x:c>
      <x:c r="AI28" t="inlineStr">
        <x:is>
          <x:t xml:space="preserve">Program Management</x:t>
        </x:is>
      </x:c>
      <x:c r="AJ28" t="inlineStr">
        <x:is>
          <x:t xml:space="preserve">Funding &amp; resourcing model (OpEx/CapEx)</x:t>
        </x:is>
      </x:c>
    </x:row>
    <x:row r="29">
      <x:c r="A29" t="inlineStr">
        <x:is>
          <x:t xml:space="preserve">Executive</x:t>
        </x:is>
      </x:c>
      <x:c r="B29" t="inlineStr">
        <x:is>
          <x:t xml:space="preserve">EXCO-D1-Q05</x:t>
        </x:is>
      </x:c>
      <x:c r="C29" t="inlineStr">
        <x:is>
          <x:t xml:space="preserve">T3</x:t>
        </x:is>
      </x:c>
      <x:c r="D29" t="inlineStr">
        <x:is>
          <x:t xml:space="preserve">1. Strategy &amp; Governance</x:t>
        </x:is>
      </x:c>
      <x:c r="E29" t="inlineStr">
        <x:is>
          <x:t xml:space="preserve">G</x:t>
        </x:is>
      </x:c>
      <x:c r="F29" t="n">
        <x:v>1</x:v>
      </x:c>
      <x:c r="G29" t="inlineStr">
        <x:is>
          <x:t xml:space="preserve">-</x:t>
        </x:is>
      </x:c>
      <x:c r="I29" t="inlineStr">
        <x:is>
          <x:t xml:space="preserve">Is there a dedicated budget for insider risk activities (people/process/tooling), and is it ring-fenced?</x:t>
        </x:is>
      </x:c>
      <x:c r="J29" t="inlineStr">
        <x:is>
          <x:t xml:space="preserve">Budget can be small, but should be identifiable and protected from being reallocated without review.</x:t>
        </x:is>
      </x:c>
      <x:c r="L29" t="inlineStr">
        <x:is>
          <x:t xml:space="preserve">GOV_STD</x:t>
        </x:is>
      </x:c>
      <x:c r="M29" t="n">
        <x:v>1</x:v>
      </x:c>
      <x:c r="P29" t="inlineStr">
        <x:is>
          <x:t xml:space="preserve">EXCO-D1-Q05-A5</x:t>
        </x:is>
      </x:c>
      <x:c r="Q29" t="n">
        <x:v>6</x:v>
      </x:c>
      <x:c r="R29" t="inlineStr">
        <x:is>
          <x:t xml:space="preserve">Multi-year funding plan aligned to risk appetite with benefits tracked (e.g., risk reduction, fewer high-risk clusters).</x:t>
        </x:is>
      </x:c>
      <x:c r="S29" t="n">
        <x:v>4</x:v>
      </x:c>
      <x:c r="T29" t="inlineStr">
        <x:is>
          <x:t xml:space="preserve">optimized</x:t>
        </x:is>
      </x:c>
      <x:c r="V29" t="inlineStr">
        <x:is>
          <x:t xml:space="preserve">Request_Evidence</x:t>
        </x:is>
      </x:c>
      <x:c r="W29" t="inlineStr">
        <x:is>
          <x:t xml:space="preserve">Y</x:t>
        </x:is>
      </x:c>
      <x:c r="Y29">
        <x:f>(S29*IF(E29="G",F29,0))+(S29*IF(G29="G",H29,0))</x:f>
        <x:v>4</x:v>
      </x:c>
      <x:c r="Z29">
        <x:f>(S29*IF(E29="E",F29,0))+(S29*IF(G29="E",H29,0))</x:f>
        <x:v>0</x:v>
      </x:c>
      <x:c r="AA29">
        <x:f>(S29*IF(E29="T",F29,0))+(S29*IF(G29="T",H29,0))</x:f>
        <x:v>0</x:v>
      </x:c>
      <x:c r="AB29">
        <x:f>(S29*IF(E29="L",F29,0))+(S29*IF(G29="L",H29,0))</x:f>
        <x:v>0</x:v>
      </x:c>
      <x:c r="AC29">
        <x:f>(S29*IF(E29="H",F29,0))+(S29*IF(G29="H",H29,0))</x:f>
        <x:v>0</x:v>
      </x:c>
      <x:c r="AD29">
        <x:f>(S29*IF(E29="V",F29,0))+(S29*IF(G29="V",H29,0))</x:f>
        <x:v>0</x:v>
      </x:c>
      <x:c r="AE29">
        <x:f>(S29*IF(E29="R",F29,0))+(S29*IF(G29="R",H29,0))</x:f>
        <x:v>0</x:v>
      </x:c>
      <x:c r="AF29">
        <x:f>(S29*IF(E29="F",F29,0))+(S29*IF(G29="F",H29,0))</x:f>
        <x:v>0</x:v>
      </x:c>
      <x:c r="AG29">
        <x:f>(S29*IF(E29="W",F29,0))+(S29*IF(G29="W",H29,0))</x:f>
        <x:v>0</x:v>
      </x:c>
      <x:c r="AH29" t="inlineStr">
        <x:is>
          <x:t xml:space="preserve">1. Strategy &amp; Governance</x:t>
        </x:is>
      </x:c>
      <x:c r="AI29" t="inlineStr">
        <x:is>
          <x:t xml:space="preserve">Program Management</x:t>
        </x:is>
      </x:c>
      <x:c r="AJ29" t="inlineStr">
        <x:is>
          <x:t xml:space="preserve">Funding &amp; resourcing model (OpEx/CapEx)</x:t>
        </x:is>
      </x:c>
    </x:row>
    <x:row r="30">
      <x:c r="A30" t="inlineStr">
        <x:is>
          <x:t xml:space="preserve">Executive</x:t>
        </x:is>
      </x:c>
      <x:c r="B30" t="inlineStr">
        <x:is>
          <x:t xml:space="preserve">EXCO-D1-Q06</x:t>
        </x:is>
      </x:c>
      <x:c r="C30" t="inlineStr">
        <x:is>
          <x:t xml:space="preserve">T2</x:t>
        </x:is>
      </x:c>
      <x:c r="D30" t="inlineStr">
        <x:is>
          <x:t xml:space="preserve">1. Strategy &amp; Governance</x:t>
        </x:is>
      </x:c>
      <x:c r="E30" t="inlineStr">
        <x:is>
          <x:t xml:space="preserve">G</x:t>
        </x:is>
      </x:c>
      <x:c r="F30" t="n">
        <x:v>1</x:v>
      </x:c>
      <x:c r="G30" t="inlineStr">
        <x:is>
          <x:t xml:space="preserve">-</x:t>
        </x:is>
      </x:c>
      <x:c r="I30" t="inlineStr">
        <x:is>
          <x:t xml:space="preserve">Is there a 12–24 month improvement roadmap with owners and dates?</x:t>
        </x:is>
      </x:c>
      <x:c r="J30" t="inlineStr">
        <x:is>
          <x:t xml:space="preserve">Even a simple roadmap counts if it has owners, deadlines, and is reviewed regularly.</x:t>
        </x:is>
      </x:c>
      <x:c r="L30" t="inlineStr">
        <x:is>
          <x:t xml:space="preserve">GOV_STD</x:t>
        </x:is>
      </x:c>
      <x:c r="M30" t="n">
        <x:v>1</x:v>
      </x:c>
      <x:c r="P30" t="inlineStr">
        <x:is>
          <x:t xml:space="preserve">EXCO-D1-Q06-A0</x:t>
        </x:is>
      </x:c>
      <x:c r="Q30" t="n">
        <x:v>1</x:v>
      </x:c>
      <x:c r="R30" t="inlineStr">
        <x:is>
          <x:t xml:space="preserve">I don’t know / not sure.</x:t>
        </x:is>
      </x:c>
      <x:c r="S30" t="n">
        <x:v>0</x:v>
      </x:c>
      <x:c r="T30" t="inlineStr">
        <x:is>
          <x:t xml:space="preserve">unknown</x:t>
        </x:is>
      </x:c>
      <x:c r="U30" t="inlineStr">
        <x:is>
          <x:t xml:space="preserve">Unknown</x:t>
        </x:is>
      </x:c>
      <x:c r="V30" t="inlineStr">
        <x:is>
          <x:t xml:space="preserve">Clarify_Roadmap</x:t>
        </x:is>
      </x:c>
      <x:c r="W30" t="inlineStr">
        <x:is>
          <x:t xml:space="preserve">N</x:t>
        </x:is>
      </x:c>
      <x:c r="Y30">
        <x:f>(S30*IF(E30="G",F30,0))+(S30*IF(G30="G",H30,0))</x:f>
        <x:v>0</x:v>
      </x:c>
      <x:c r="Z30">
        <x:f>(S30*IF(E30="E",F30,0))+(S30*IF(G30="E",H30,0))</x:f>
        <x:v>0</x:v>
      </x:c>
      <x:c r="AA30">
        <x:f>(S30*IF(E30="T",F30,0))+(S30*IF(G30="T",H30,0))</x:f>
        <x:v>0</x:v>
      </x:c>
      <x:c r="AB30">
        <x:f>(S30*IF(E30="L",F30,0))+(S30*IF(G30="L",H30,0))</x:f>
        <x:v>0</x:v>
      </x:c>
      <x:c r="AC30">
        <x:f>(S30*IF(E30="H",F30,0))+(S30*IF(G30="H",H30,0))</x:f>
        <x:v>0</x:v>
      </x:c>
      <x:c r="AD30">
        <x:f>(S30*IF(E30="V",F30,0))+(S30*IF(G30="V",H30,0))</x:f>
        <x:v>0</x:v>
      </x:c>
      <x:c r="AE30">
        <x:f>(S30*IF(E30="R",F30,0))+(S30*IF(G30="R",H30,0))</x:f>
        <x:v>0</x:v>
      </x:c>
      <x:c r="AF30">
        <x:f>(S30*IF(E30="F",F30,0))+(S30*IF(G30="F",H30,0))</x:f>
        <x:v>0</x:v>
      </x:c>
      <x:c r="AG30">
        <x:f>(S30*IF(E30="W",F30,0))+(S30*IF(G30="W",H30,0))</x:f>
        <x:v>0</x:v>
      </x:c>
      <x:c r="AH30" t="inlineStr">
        <x:is>
          <x:t xml:space="preserve">1. Strategy &amp; Governance</x:t>
        </x:is>
      </x:c>
      <x:c r="AI30" t="inlineStr">
        <x:is>
          <x:t xml:space="preserve">Program Management</x:t>
        </x:is>
      </x:c>
      <x:c r="AJ30" t="inlineStr">
        <x:is>
          <x:t xml:space="preserve">Multi-year strategy &amp; roadmap</x:t>
        </x:is>
      </x:c>
    </x:row>
    <x:row r="31">
      <x:c r="A31" t="inlineStr">
        <x:is>
          <x:t xml:space="preserve">Executive</x:t>
        </x:is>
      </x:c>
      <x:c r="B31" t="inlineStr">
        <x:is>
          <x:t xml:space="preserve">EXCO-D1-Q06</x:t>
        </x:is>
      </x:c>
      <x:c r="C31" t="inlineStr">
        <x:is>
          <x:t xml:space="preserve">T2</x:t>
        </x:is>
      </x:c>
      <x:c r="D31" t="inlineStr">
        <x:is>
          <x:t xml:space="preserve">1. Strategy &amp; Governance</x:t>
        </x:is>
      </x:c>
      <x:c r="E31" t="inlineStr">
        <x:is>
          <x:t xml:space="preserve">G</x:t>
        </x:is>
      </x:c>
      <x:c r="F31" t="n">
        <x:v>1</x:v>
      </x:c>
      <x:c r="G31" t="inlineStr">
        <x:is>
          <x:t xml:space="preserve">-</x:t>
        </x:is>
      </x:c>
      <x:c r="I31" t="inlineStr">
        <x:is>
          <x:t xml:space="preserve">Is there a 12–24 month improvement roadmap with owners and dates?</x:t>
        </x:is>
      </x:c>
      <x:c r="J31" t="inlineStr">
        <x:is>
          <x:t xml:space="preserve">Even a simple roadmap counts if it has owners, deadlines, and is reviewed regularly.</x:t>
        </x:is>
      </x:c>
      <x:c r="L31" t="inlineStr">
        <x:is>
          <x:t xml:space="preserve">GOV_STD</x:t>
        </x:is>
      </x:c>
      <x:c r="M31" t="n">
        <x:v>1</x:v>
      </x:c>
      <x:c r="P31" t="inlineStr">
        <x:is>
          <x:t xml:space="preserve">EXCO-D1-Q06-A1</x:t>
        </x:is>
      </x:c>
      <x:c r="Q31" t="n">
        <x:v>2</x:v>
      </x:c>
      <x:c r="R31" t="inlineStr">
        <x:is>
          <x:t xml:space="preserve">No—work is reactive (we respond to incidents and urgent requests).</x:t>
        </x:is>
      </x:c>
      <x:c r="S31" t="n">
        <x:v>0</x:v>
      </x:c>
      <x:c r="T31" t="inlineStr">
        <x:is>
          <x:t xml:space="preserve">reactive</x:t>
        </x:is>
      </x:c>
      <x:c r="U31" t="inlineStr">
        <x:is>
          <x:t xml:space="preserve">Operating Model Gap</x:t>
        </x:is>
      </x:c>
      <x:c r="V31" t="inlineStr">
        <x:is>
          <x:t xml:space="preserve">Create_Roadmap</x:t>
        </x:is>
      </x:c>
      <x:c r="W31" t="inlineStr">
        <x:is>
          <x:t xml:space="preserve">N</x:t>
        </x:is>
      </x:c>
      <x:c r="Y31">
        <x:f>(S31*IF(E31="G",F31,0))+(S31*IF(G31="G",H31,0))</x:f>
        <x:v>0</x:v>
      </x:c>
      <x:c r="Z31">
        <x:f>(S31*IF(E31="E",F31,0))+(S31*IF(G31="E",H31,0))</x:f>
        <x:v>0</x:v>
      </x:c>
      <x:c r="AA31">
        <x:f>(S31*IF(E31="T",F31,0))+(S31*IF(G31="T",H31,0))</x:f>
        <x:v>0</x:v>
      </x:c>
      <x:c r="AB31">
        <x:f>(S31*IF(E31="L",F31,0))+(S31*IF(G31="L",H31,0))</x:f>
        <x:v>0</x:v>
      </x:c>
      <x:c r="AC31">
        <x:f>(S31*IF(E31="H",F31,0))+(S31*IF(G31="H",H31,0))</x:f>
        <x:v>0</x:v>
      </x:c>
      <x:c r="AD31">
        <x:f>(S31*IF(E31="V",F31,0))+(S31*IF(G31="V",H31,0))</x:f>
        <x:v>0</x:v>
      </x:c>
      <x:c r="AE31">
        <x:f>(S31*IF(E31="R",F31,0))+(S31*IF(G31="R",H31,0))</x:f>
        <x:v>0</x:v>
      </x:c>
      <x:c r="AF31">
        <x:f>(S31*IF(E31="F",F31,0))+(S31*IF(G31="F",H31,0))</x:f>
        <x:v>0</x:v>
      </x:c>
      <x:c r="AG31">
        <x:f>(S31*IF(E31="W",F31,0))+(S31*IF(G31="W",H31,0))</x:f>
        <x:v>0</x:v>
      </x:c>
      <x:c r="AH31" t="inlineStr">
        <x:is>
          <x:t xml:space="preserve">1. Strategy &amp; Governance</x:t>
        </x:is>
      </x:c>
      <x:c r="AI31" t="inlineStr">
        <x:is>
          <x:t xml:space="preserve">Program Management</x:t>
        </x:is>
      </x:c>
      <x:c r="AJ31" t="inlineStr">
        <x:is>
          <x:t xml:space="preserve">Multi-year strategy &amp; roadmap</x:t>
        </x:is>
      </x:c>
    </x:row>
    <x:row r="32">
      <x:c r="A32" t="inlineStr">
        <x:is>
          <x:t xml:space="preserve">Executive</x:t>
        </x:is>
      </x:c>
      <x:c r="B32" t="inlineStr">
        <x:is>
          <x:t xml:space="preserve">EXCO-D1-Q06</x:t>
        </x:is>
      </x:c>
      <x:c r="C32" t="inlineStr">
        <x:is>
          <x:t xml:space="preserve">T2</x:t>
        </x:is>
      </x:c>
      <x:c r="D32" t="inlineStr">
        <x:is>
          <x:t xml:space="preserve">1. Strategy &amp; Governance</x:t>
        </x:is>
      </x:c>
      <x:c r="E32" t="inlineStr">
        <x:is>
          <x:t xml:space="preserve">G</x:t>
        </x:is>
      </x:c>
      <x:c r="F32" t="n">
        <x:v>1</x:v>
      </x:c>
      <x:c r="G32" t="inlineStr">
        <x:is>
          <x:t xml:space="preserve">-</x:t>
        </x:is>
      </x:c>
      <x:c r="I32" t="inlineStr">
        <x:is>
          <x:t xml:space="preserve">Is there a 12–24 month improvement roadmap with owners and dates?</x:t>
        </x:is>
      </x:c>
      <x:c r="J32" t="inlineStr">
        <x:is>
          <x:t xml:space="preserve">Even a simple roadmap counts if it has owners, deadlines, and is reviewed regularly.</x:t>
        </x:is>
      </x:c>
      <x:c r="L32" t="inlineStr">
        <x:is>
          <x:t xml:space="preserve">GOV_STD</x:t>
        </x:is>
      </x:c>
      <x:c r="M32" t="n">
        <x:v>1</x:v>
      </x:c>
      <x:c r="P32" t="inlineStr">
        <x:is>
          <x:t xml:space="preserve">EXCO-D1-Q06-A2</x:t>
        </x:is>
      </x:c>
      <x:c r="Q32" t="n">
        <x:v>3</x:v>
      </x:c>
      <x:c r="R32" t="inlineStr">
        <x:is>
          <x:t xml:space="preserve">There is an informal ‘wishlist’ but no dates, owners, or review cadence.</x:t>
        </x:is>
      </x:c>
      <x:c r="S32" t="n">
        <x:v>1</x:v>
      </x:c>
      <x:c r="T32" t="inlineStr">
        <x:is>
          <x:t xml:space="preserve">shadow_signal</x:t>
        </x:is>
      </x:c>
      <x:c r="U32" t="inlineStr">
        <x:is>
          <x:t xml:space="preserve">Shadow Mature</x:t>
        </x:is>
      </x:c>
      <x:c r="V32" t="inlineStr">
        <x:is>
          <x:t xml:space="preserve">Formalize_Roadmap</x:t>
        </x:is>
      </x:c>
      <x:c r="W32" t="inlineStr">
        <x:is>
          <x:t xml:space="preserve">N</x:t>
        </x:is>
      </x:c>
      <x:c r="Y32">
        <x:f>(S32*IF(E32="G",F32,0))+(S32*IF(G32="G",H32,0))</x:f>
        <x:v>1</x:v>
      </x:c>
      <x:c r="Z32">
        <x:f>(S32*IF(E32="E",F32,0))+(S32*IF(G32="E",H32,0))</x:f>
        <x:v>0</x:v>
      </x:c>
      <x:c r="AA32">
        <x:f>(S32*IF(E32="T",F32,0))+(S32*IF(G32="T",H32,0))</x:f>
        <x:v>0</x:v>
      </x:c>
      <x:c r="AB32">
        <x:f>(S32*IF(E32="L",F32,0))+(S32*IF(G32="L",H32,0))</x:f>
        <x:v>0</x:v>
      </x:c>
      <x:c r="AC32">
        <x:f>(S32*IF(E32="H",F32,0))+(S32*IF(G32="H",H32,0))</x:f>
        <x:v>0</x:v>
      </x:c>
      <x:c r="AD32">
        <x:f>(S32*IF(E32="V",F32,0))+(S32*IF(G32="V",H32,0))</x:f>
        <x:v>0</x:v>
      </x:c>
      <x:c r="AE32">
        <x:f>(S32*IF(E32="R",F32,0))+(S32*IF(G32="R",H32,0))</x:f>
        <x:v>0</x:v>
      </x:c>
      <x:c r="AF32">
        <x:f>(S32*IF(E32="F",F32,0))+(S32*IF(G32="F",H32,0))</x:f>
        <x:v>0</x:v>
      </x:c>
      <x:c r="AG32">
        <x:f>(S32*IF(E32="W",F32,0))+(S32*IF(G32="W",H32,0))</x:f>
        <x:v>0</x:v>
      </x:c>
      <x:c r="AH32" t="inlineStr">
        <x:is>
          <x:t xml:space="preserve">1. Strategy &amp; Governance</x:t>
        </x:is>
      </x:c>
      <x:c r="AI32" t="inlineStr">
        <x:is>
          <x:t xml:space="preserve">Program Management</x:t>
        </x:is>
      </x:c>
      <x:c r="AJ32" t="inlineStr">
        <x:is>
          <x:t xml:space="preserve">Multi-year strategy &amp; roadmap</x:t>
        </x:is>
      </x:c>
    </x:row>
    <x:row r="33">
      <x:c r="A33" t="inlineStr">
        <x:is>
          <x:t xml:space="preserve">Executive</x:t>
        </x:is>
      </x:c>
      <x:c r="B33" t="inlineStr">
        <x:is>
          <x:t xml:space="preserve">EXCO-D1-Q06</x:t>
        </x:is>
      </x:c>
      <x:c r="C33" t="inlineStr">
        <x:is>
          <x:t xml:space="preserve">T2</x:t>
        </x:is>
      </x:c>
      <x:c r="D33" t="inlineStr">
        <x:is>
          <x:t xml:space="preserve">1. Strategy &amp; Governance</x:t>
        </x:is>
      </x:c>
      <x:c r="E33" t="inlineStr">
        <x:is>
          <x:t xml:space="preserve">G</x:t>
        </x:is>
      </x:c>
      <x:c r="F33" t="n">
        <x:v>1</x:v>
      </x:c>
      <x:c r="G33" t="inlineStr">
        <x:is>
          <x:t xml:space="preserve">-</x:t>
        </x:is>
      </x:c>
      <x:c r="I33" t="inlineStr">
        <x:is>
          <x:t xml:space="preserve">Is there a 12–24 month improvement roadmap with owners and dates?</x:t>
        </x:is>
      </x:c>
      <x:c r="J33" t="inlineStr">
        <x:is>
          <x:t xml:space="preserve">Even a simple roadmap counts if it has owners, deadlines, and is reviewed regularly.</x:t>
        </x:is>
      </x:c>
      <x:c r="L33" t="inlineStr">
        <x:is>
          <x:t xml:space="preserve">GOV_STD</x:t>
        </x:is>
      </x:c>
      <x:c r="M33" t="n">
        <x:v>1</x:v>
      </x:c>
      <x:c r="P33" t="inlineStr">
        <x:is>
          <x:t xml:space="preserve">EXCO-D1-Q06-A3</x:t>
        </x:is>
      </x:c>
      <x:c r="Q33" t="n">
        <x:v>4</x:v>
      </x:c>
      <x:c r="R33" t="inlineStr">
        <x:is>
          <x:t xml:space="preserve">A roadmap exists, but it is not funded or is frequently re-prioritised without governance.</x:t>
        </x:is>
      </x:c>
      <x:c r="S33" t="n">
        <x:v>2</x:v>
      </x:c>
      <x:c r="T33" t="inlineStr">
        <x:is>
          <x:t xml:space="preserve">paper_roadmap</x:t>
        </x:is>
      </x:c>
      <x:c r="U33" t="inlineStr">
        <x:is>
          <x:t xml:space="preserve">Paper Dragon</x:t>
        </x:is>
      </x:c>
      <x:c r="V33" t="inlineStr">
        <x:is>
          <x:t xml:space="preserve">Align_Funding_Governance</x:t>
        </x:is>
      </x:c>
      <x:c r="W33" t="inlineStr">
        <x:is>
          <x:t xml:space="preserve">N</x:t>
        </x:is>
      </x:c>
      <x:c r="Y33">
        <x:f>(S33*IF(E33="G",F33,0))+(S33*IF(G33="G",H33,0))</x:f>
        <x:v>2</x:v>
      </x:c>
      <x:c r="Z33">
        <x:f>(S33*IF(E33="E",F33,0))+(S33*IF(G33="E",H33,0))</x:f>
        <x:v>0</x:v>
      </x:c>
      <x:c r="AA33">
        <x:f>(S33*IF(E33="T",F33,0))+(S33*IF(G33="T",H33,0))</x:f>
        <x:v>0</x:v>
      </x:c>
      <x:c r="AB33">
        <x:f>(S33*IF(E33="L",F33,0))+(S33*IF(G33="L",H33,0))</x:f>
        <x:v>0</x:v>
      </x:c>
      <x:c r="AC33">
        <x:f>(S33*IF(E33="H",F33,0))+(S33*IF(G33="H",H33,0))</x:f>
        <x:v>0</x:v>
      </x:c>
      <x:c r="AD33">
        <x:f>(S33*IF(E33="V",F33,0))+(S33*IF(G33="V",H33,0))</x:f>
        <x:v>0</x:v>
      </x:c>
      <x:c r="AE33">
        <x:f>(S33*IF(E33="R",F33,0))+(S33*IF(G33="R",H33,0))</x:f>
        <x:v>0</x:v>
      </x:c>
      <x:c r="AF33">
        <x:f>(S33*IF(E33="F",F33,0))+(S33*IF(G33="F",H33,0))</x:f>
        <x:v>0</x:v>
      </x:c>
      <x:c r="AG33">
        <x:f>(S33*IF(E33="W",F33,0))+(S33*IF(G33="W",H33,0))</x:f>
        <x:v>0</x:v>
      </x:c>
      <x:c r="AH33" t="inlineStr">
        <x:is>
          <x:t xml:space="preserve">1. Strategy &amp; Governance</x:t>
        </x:is>
      </x:c>
      <x:c r="AI33" t="inlineStr">
        <x:is>
          <x:t xml:space="preserve">Program Management</x:t>
        </x:is>
      </x:c>
      <x:c r="AJ33" t="inlineStr">
        <x:is>
          <x:t xml:space="preserve">Multi-year strategy &amp; roadmap</x:t>
        </x:is>
      </x:c>
    </x:row>
    <x:row r="34">
      <x:c r="A34" t="inlineStr">
        <x:is>
          <x:t xml:space="preserve">Executive</x:t>
        </x:is>
      </x:c>
      <x:c r="B34" t="inlineStr">
        <x:is>
          <x:t xml:space="preserve">EXCO-D1-Q06</x:t>
        </x:is>
      </x:c>
      <x:c r="C34" t="inlineStr">
        <x:is>
          <x:t xml:space="preserve">T2</x:t>
        </x:is>
      </x:c>
      <x:c r="D34" t="inlineStr">
        <x:is>
          <x:t xml:space="preserve">1. Strategy &amp; Governance</x:t>
        </x:is>
      </x:c>
      <x:c r="E34" t="inlineStr">
        <x:is>
          <x:t xml:space="preserve">G</x:t>
        </x:is>
      </x:c>
      <x:c r="F34" t="n">
        <x:v>1</x:v>
      </x:c>
      <x:c r="G34" t="inlineStr">
        <x:is>
          <x:t xml:space="preserve">-</x:t>
        </x:is>
      </x:c>
      <x:c r="I34" t="inlineStr">
        <x:is>
          <x:t xml:space="preserve">Is there a 12–24 month improvement roadmap with owners and dates?</x:t>
        </x:is>
      </x:c>
      <x:c r="J34" t="inlineStr">
        <x:is>
          <x:t xml:space="preserve">Even a simple roadmap counts if it has owners, deadlines, and is reviewed regularly.</x:t>
        </x:is>
      </x:c>
      <x:c r="L34" t="inlineStr">
        <x:is>
          <x:t xml:space="preserve">GOV_STD</x:t>
        </x:is>
      </x:c>
      <x:c r="M34" t="n">
        <x:v>1</x:v>
      </x:c>
      <x:c r="P34" t="inlineStr">
        <x:is>
          <x:t xml:space="preserve">EXCO-D1-Q06-A4</x:t>
        </x:is>
      </x:c>
      <x:c r="Q34" t="n">
        <x:v>5</x:v>
      </x:c>
      <x:c r="R34" t="inlineStr">
        <x:is>
          <x:t xml:space="preserve">Roadmap exists with owners, dates, and quarterly review.</x:t>
        </x:is>
      </x:c>
      <x:c r="S34" t="n">
        <x:v>3</x:v>
      </x:c>
      <x:c r="T34" t="inlineStr">
        <x:is>
          <x:t xml:space="preserve">good_practice</x:t>
        </x:is>
      </x:c>
      <x:c r="V34" t="inlineStr">
        <x:is>
          <x:t xml:space="preserve">Request_Evidence</x:t>
        </x:is>
      </x:c>
      <x:c r="W34" t="inlineStr">
        <x:is>
          <x:t xml:space="preserve">Y</x:t>
        </x:is>
      </x:c>
      <x:c r="X34" t="inlineStr">
        <x:is>
          <x:t xml:space="preserve">Provide roadmap snapshot and last review date.</x:t>
        </x:is>
      </x:c>
      <x:c r="Y34">
        <x:f>(S34*IF(E34="G",F34,0))+(S34*IF(G34="G",H34,0))</x:f>
        <x:v>3</x:v>
      </x:c>
      <x:c r="Z34">
        <x:f>(S34*IF(E34="E",F34,0))+(S34*IF(G34="E",H34,0))</x:f>
        <x:v>0</x:v>
      </x:c>
      <x:c r="AA34">
        <x:f>(S34*IF(E34="T",F34,0))+(S34*IF(G34="T",H34,0))</x:f>
        <x:v>0</x:v>
      </x:c>
      <x:c r="AB34">
        <x:f>(S34*IF(E34="L",F34,0))+(S34*IF(G34="L",H34,0))</x:f>
        <x:v>0</x:v>
      </x:c>
      <x:c r="AC34">
        <x:f>(S34*IF(E34="H",F34,0))+(S34*IF(G34="H",H34,0))</x:f>
        <x:v>0</x:v>
      </x:c>
      <x:c r="AD34">
        <x:f>(S34*IF(E34="V",F34,0))+(S34*IF(G34="V",H34,0))</x:f>
        <x:v>0</x:v>
      </x:c>
      <x:c r="AE34">
        <x:f>(S34*IF(E34="R",F34,0))+(S34*IF(G34="R",H34,0))</x:f>
        <x:v>0</x:v>
      </x:c>
      <x:c r="AF34">
        <x:f>(S34*IF(E34="F",F34,0))+(S34*IF(G34="F",H34,0))</x:f>
        <x:v>0</x:v>
      </x:c>
      <x:c r="AG34">
        <x:f>(S34*IF(E34="W",F34,0))+(S34*IF(G34="W",H34,0))</x:f>
        <x:v>0</x:v>
      </x:c>
      <x:c r="AH34" t="inlineStr">
        <x:is>
          <x:t xml:space="preserve">1. Strategy &amp; Governance</x:t>
        </x:is>
      </x:c>
      <x:c r="AI34" t="inlineStr">
        <x:is>
          <x:t xml:space="preserve">Program Management</x:t>
        </x:is>
      </x:c>
      <x:c r="AJ34" t="inlineStr">
        <x:is>
          <x:t xml:space="preserve">Multi-year strategy &amp; roadmap</x:t>
        </x:is>
      </x:c>
    </x:row>
    <x:row r="35">
      <x:c r="A35" t="inlineStr">
        <x:is>
          <x:t xml:space="preserve">Executive</x:t>
        </x:is>
      </x:c>
      <x:c r="B35" t="inlineStr">
        <x:is>
          <x:t xml:space="preserve">EXCO-D1-Q06</x:t>
        </x:is>
      </x:c>
      <x:c r="C35" t="inlineStr">
        <x:is>
          <x:t xml:space="preserve">T2</x:t>
        </x:is>
      </x:c>
      <x:c r="D35" t="inlineStr">
        <x:is>
          <x:t xml:space="preserve">1. Strategy &amp; Governance</x:t>
        </x:is>
      </x:c>
      <x:c r="E35" t="inlineStr">
        <x:is>
          <x:t xml:space="preserve">G</x:t>
        </x:is>
      </x:c>
      <x:c r="F35" t="n">
        <x:v>1</x:v>
      </x:c>
      <x:c r="G35" t="inlineStr">
        <x:is>
          <x:t xml:space="preserve">-</x:t>
        </x:is>
      </x:c>
      <x:c r="I35" t="inlineStr">
        <x:is>
          <x:t xml:space="preserve">Is there a 12–24 month improvement roadmap with owners and dates?</x:t>
        </x:is>
      </x:c>
      <x:c r="J35" t="inlineStr">
        <x:is>
          <x:t xml:space="preserve">Even a simple roadmap counts if it has owners, deadlines, and is reviewed regularly.</x:t>
        </x:is>
      </x:c>
      <x:c r="L35" t="inlineStr">
        <x:is>
          <x:t xml:space="preserve">GOV_STD</x:t>
        </x:is>
      </x:c>
      <x:c r="M35" t="n">
        <x:v>1</x:v>
      </x:c>
      <x:c r="P35" t="inlineStr">
        <x:is>
          <x:t xml:space="preserve">EXCO-D1-Q06-A5</x:t>
        </x:is>
      </x:c>
      <x:c r="Q35" t="n">
        <x:v>6</x:v>
      </x:c>
      <x:c r="R35" t="inlineStr">
        <x:is>
          <x:t xml:space="preserve">Roadmap is linked to risk appetite and measured outcomes; changes are controlled and documented.</x:t>
        </x:is>
      </x:c>
      <x:c r="S35" t="n">
        <x:v>4</x:v>
      </x:c>
      <x:c r="T35" t="inlineStr">
        <x:is>
          <x:t xml:space="preserve">optimized</x:t>
        </x:is>
      </x:c>
      <x:c r="V35" t="inlineStr">
        <x:is>
          <x:t xml:space="preserve">Request_Evidence</x:t>
        </x:is>
      </x:c>
      <x:c r="W35" t="inlineStr">
        <x:is>
          <x:t xml:space="preserve">Y</x:t>
        </x:is>
      </x:c>
      <x:c r="Y35">
        <x:f>(S35*IF(E35="G",F35,0))+(S35*IF(G35="G",H35,0))</x:f>
        <x:v>4</x:v>
      </x:c>
      <x:c r="Z35">
        <x:f>(S35*IF(E35="E",F35,0))+(S35*IF(G35="E",H35,0))</x:f>
        <x:v>0</x:v>
      </x:c>
      <x:c r="AA35">
        <x:f>(S35*IF(E35="T",F35,0))+(S35*IF(G35="T",H35,0))</x:f>
        <x:v>0</x:v>
      </x:c>
      <x:c r="AB35">
        <x:f>(S35*IF(E35="L",F35,0))+(S35*IF(G35="L",H35,0))</x:f>
        <x:v>0</x:v>
      </x:c>
      <x:c r="AC35">
        <x:f>(S35*IF(E35="H",F35,0))+(S35*IF(G35="H",H35,0))</x:f>
        <x:v>0</x:v>
      </x:c>
      <x:c r="AD35">
        <x:f>(S35*IF(E35="V",F35,0))+(S35*IF(G35="V",H35,0))</x:f>
        <x:v>0</x:v>
      </x:c>
      <x:c r="AE35">
        <x:f>(S35*IF(E35="R",F35,0))+(S35*IF(G35="R",H35,0))</x:f>
        <x:v>0</x:v>
      </x:c>
      <x:c r="AF35">
        <x:f>(S35*IF(E35="F",F35,0))+(S35*IF(G35="F",H35,0))</x:f>
        <x:v>0</x:v>
      </x:c>
      <x:c r="AG35">
        <x:f>(S35*IF(E35="W",F35,0))+(S35*IF(G35="W",H35,0))</x:f>
        <x:v>0</x:v>
      </x:c>
      <x:c r="AH35" t="inlineStr">
        <x:is>
          <x:t xml:space="preserve">1. Strategy &amp; Governance</x:t>
        </x:is>
      </x:c>
      <x:c r="AI35" t="inlineStr">
        <x:is>
          <x:t xml:space="preserve">Program Management</x:t>
        </x:is>
      </x:c>
      <x:c r="AJ35" t="inlineStr">
        <x:is>
          <x:t xml:space="preserve">Multi-year strategy &amp; roadmap</x:t>
        </x:is>
      </x:c>
    </x:row>
    <x:row r="36">
      <x:c r="A36" t="inlineStr">
        <x:is>
          <x:t xml:space="preserve">Executive</x:t>
        </x:is>
      </x:c>
      <x:c r="B36" t="inlineStr">
        <x:is>
          <x:t xml:space="preserve">EXCO-D2-Q01</x:t>
        </x:is>
      </x:c>
      <x:c r="C36" t="inlineStr">
        <x:is>
          <x:t xml:space="preserve">T1</x:t>
        </x:is>
      </x:c>
      <x:c r="D36" t="inlineStr">
        <x:is>
          <x:t xml:space="preserve">2. Targeting &amp; Risk</x:t>
        </x:is>
      </x:c>
      <x:c r="E36" t="inlineStr">
        <x:is>
          <x:t xml:space="preserve">V</x:t>
        </x:is>
      </x:c>
      <x:c r="F36" t="n">
        <x:v>1</x:v>
      </x:c>
      <x:c r="G36" t="inlineStr">
        <x:is>
          <x:t xml:space="preserve">-</x:t>
        </x:is>
      </x:c>
      <x:c r="I36" t="inlineStr">
        <x:is>
          <x:t xml:space="preserve">Do we know what our most sensitive business information and systems are (and where they live)?</x:t>
        </x:is>
      </x:c>
      <x:c r="J36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36" t="inlineStr">
        <x:is>
          <x:t xml:space="preserve">RISK_STD</x:t>
        </x:is>
      </x:c>
      <x:c r="M36" t="n">
        <x:v>1</x:v>
      </x:c>
      <x:c r="P36" t="inlineStr">
        <x:is>
          <x:t xml:space="preserve">EXCO-D2-Q01-A0</x:t>
        </x:is>
      </x:c>
      <x:c r="Q36" t="n">
        <x:v>1</x:v>
      </x:c>
      <x:c r="R36" t="inlineStr">
        <x:is>
          <x:t xml:space="preserve">I don’t know / not sure.</x:t>
        </x:is>
      </x:c>
      <x:c r="S36" t="n">
        <x:v>0</x:v>
      </x:c>
      <x:c r="T36" t="inlineStr">
        <x:is>
          <x:t xml:space="preserve">unknown</x:t>
        </x:is>
      </x:c>
      <x:c r="U36" t="inlineStr">
        <x:is>
          <x:t xml:space="preserve">Unknown</x:t>
        </x:is>
      </x:c>
      <x:c r="V36" t="inlineStr">
        <x:is>
          <x:t xml:space="preserve">Run_Crown_Jewel_Workshop</x:t>
        </x:is>
      </x:c>
      <x:c r="W36" t="inlineStr">
        <x:is>
          <x:t xml:space="preserve">N</x:t>
        </x:is>
      </x:c>
      <x:c r="Y36">
        <x:f>(S36*IF(E36="G",F36,0))+(S36*IF(G36="G",H36,0))</x:f>
        <x:v>0</x:v>
      </x:c>
      <x:c r="Z36">
        <x:f>(S36*IF(E36="E",F36,0))+(S36*IF(G36="E",H36,0))</x:f>
        <x:v>0</x:v>
      </x:c>
      <x:c r="AA36">
        <x:f>(S36*IF(E36="T",F36,0))+(S36*IF(G36="T",H36,0))</x:f>
        <x:v>0</x:v>
      </x:c>
      <x:c r="AB36">
        <x:f>(S36*IF(E36="L",F36,0))+(S36*IF(G36="L",H36,0))</x:f>
        <x:v>0</x:v>
      </x:c>
      <x:c r="AC36">
        <x:f>(S36*IF(E36="H",F36,0))+(S36*IF(G36="H",H36,0))</x:f>
        <x:v>0</x:v>
      </x:c>
      <x:c r="AD36">
        <x:f>(S36*IF(E36="V",F36,0))+(S36*IF(G36="V",H36,0))</x:f>
        <x:v>0</x:v>
      </x:c>
      <x:c r="AE36">
        <x:f>(S36*IF(E36="R",F36,0))+(S36*IF(G36="R",H36,0))</x:f>
        <x:v>0</x:v>
      </x:c>
      <x:c r="AF36">
        <x:f>(S36*IF(E36="F",F36,0))+(S36*IF(G36="F",H36,0))</x:f>
        <x:v>0</x:v>
      </x:c>
      <x:c r="AG36">
        <x:f>(S36*IF(E36="W",F36,0))+(S36*IF(G36="W",H36,0))</x:f>
        <x:v>0</x:v>
      </x:c>
      <x:c r="AH36" t="inlineStr">
        <x:is>
          <x:t xml:space="preserve">3. Risk Management</x:t>
        </x:is>
      </x:c>
      <x:c r="AI36" t="inlineStr">
        <x:is>
          <x:t xml:space="preserve">Inventory &amp; Scope</x:t>
        </x:is>
      </x:c>
      <x:c r="AJ36" t="inlineStr">
        <x:is>
          <x:t xml:space="preserve">Crown jewels/HVA identification</x:t>
        </x:is>
      </x:c>
    </x:row>
    <x:row r="37">
      <x:c r="A37" t="inlineStr">
        <x:is>
          <x:t xml:space="preserve">Executive</x:t>
        </x:is>
      </x:c>
      <x:c r="B37" t="inlineStr">
        <x:is>
          <x:t xml:space="preserve">EXCO-D2-Q01</x:t>
        </x:is>
      </x:c>
      <x:c r="C37" t="inlineStr">
        <x:is>
          <x:t xml:space="preserve">T1</x:t>
        </x:is>
      </x:c>
      <x:c r="D37" t="inlineStr">
        <x:is>
          <x:t xml:space="preserve">2. Targeting &amp; Risk</x:t>
        </x:is>
      </x:c>
      <x:c r="E37" t="inlineStr">
        <x:is>
          <x:t xml:space="preserve">V</x:t>
        </x:is>
      </x:c>
      <x:c r="F37" t="n">
        <x:v>1</x:v>
      </x:c>
      <x:c r="G37" t="inlineStr">
        <x:is>
          <x:t xml:space="preserve">-</x:t>
        </x:is>
      </x:c>
      <x:c r="I37" t="inlineStr">
        <x:is>
          <x:t xml:space="preserve">Do we know what our most sensitive business information and systems are (and where they live)?</x:t>
        </x:is>
      </x:c>
      <x:c r="J37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37" t="inlineStr">
        <x:is>
          <x:t xml:space="preserve">RISK_STD</x:t>
        </x:is>
      </x:c>
      <x:c r="M37" t="n">
        <x:v>1</x:v>
      </x:c>
      <x:c r="P37" t="inlineStr">
        <x:is>
          <x:t xml:space="preserve">EXCO-D2-Q01-A1</x:t>
        </x:is>
      </x:c>
      <x:c r="Q37" t="n">
        <x:v>2</x:v>
      </x:c>
      <x:c r="R37" t="inlineStr">
        <x:is>
          <x:t xml:space="preserve">No—everything is treated roughly the same; we don’t have a clear list.</x:t>
        </x:is>
      </x:c>
      <x:c r="S37" t="n">
        <x:v>0</x:v>
      </x:c>
      <x:c r="T37" t="inlineStr">
        <x:is>
          <x:t xml:space="preserve">visibility_gap</x:t>
        </x:is>
      </x:c>
      <x:c r="U37" t="inlineStr">
        <x:is>
          <x:t xml:space="preserve">Visibility Gap</x:t>
        </x:is>
      </x:c>
      <x:c r="V37" t="inlineStr">
        <x:is>
          <x:t xml:space="preserve">Run_Crown_Jewel_Workshop</x:t>
        </x:is>
      </x:c>
      <x:c r="W37" t="inlineStr">
        <x:is>
          <x:t xml:space="preserve">N</x:t>
        </x:is>
      </x:c>
      <x:c r="Y37">
        <x:f>(S37*IF(E37="G",F37,0))+(S37*IF(G37="G",H37,0))</x:f>
        <x:v>0</x:v>
      </x:c>
      <x:c r="Z37">
        <x:f>(S37*IF(E37="E",F37,0))+(S37*IF(G37="E",H37,0))</x:f>
        <x:v>0</x:v>
      </x:c>
      <x:c r="AA37">
        <x:f>(S37*IF(E37="T",F37,0))+(S37*IF(G37="T",H37,0))</x:f>
        <x:v>0</x:v>
      </x:c>
      <x:c r="AB37">
        <x:f>(S37*IF(E37="L",F37,0))+(S37*IF(G37="L",H37,0))</x:f>
        <x:v>0</x:v>
      </x:c>
      <x:c r="AC37">
        <x:f>(S37*IF(E37="H",F37,0))+(S37*IF(G37="H",H37,0))</x:f>
        <x:v>0</x:v>
      </x:c>
      <x:c r="AD37">
        <x:f>(S37*IF(E37="V",F37,0))+(S37*IF(G37="V",H37,0))</x:f>
        <x:v>0</x:v>
      </x:c>
      <x:c r="AE37">
        <x:f>(S37*IF(E37="R",F37,0))+(S37*IF(G37="R",H37,0))</x:f>
        <x:v>0</x:v>
      </x:c>
      <x:c r="AF37">
        <x:f>(S37*IF(E37="F",F37,0))+(S37*IF(G37="F",H37,0))</x:f>
        <x:v>0</x:v>
      </x:c>
      <x:c r="AG37">
        <x:f>(S37*IF(E37="W",F37,0))+(S37*IF(G37="W",H37,0))</x:f>
        <x:v>0</x:v>
      </x:c>
      <x:c r="AH37" t="inlineStr">
        <x:is>
          <x:t xml:space="preserve">3. Risk Management</x:t>
        </x:is>
      </x:c>
      <x:c r="AI37" t="inlineStr">
        <x:is>
          <x:t xml:space="preserve">Inventory &amp; Scope</x:t>
        </x:is>
      </x:c>
      <x:c r="AJ37" t="inlineStr">
        <x:is>
          <x:t xml:space="preserve">Crown jewels/HVA identification</x:t>
        </x:is>
      </x:c>
    </x:row>
    <x:row r="38">
      <x:c r="A38" t="inlineStr">
        <x:is>
          <x:t xml:space="preserve">Executive</x:t>
        </x:is>
      </x:c>
      <x:c r="B38" t="inlineStr">
        <x:is>
          <x:t xml:space="preserve">EXCO-D2-Q01</x:t>
        </x:is>
      </x:c>
      <x:c r="C38" t="inlineStr">
        <x:is>
          <x:t xml:space="preserve">T1</x:t>
        </x:is>
      </x:c>
      <x:c r="D38" t="inlineStr">
        <x:is>
          <x:t xml:space="preserve">2. Targeting &amp; Risk</x:t>
        </x:is>
      </x:c>
      <x:c r="E38" t="inlineStr">
        <x:is>
          <x:t xml:space="preserve">V</x:t>
        </x:is>
      </x:c>
      <x:c r="F38" t="n">
        <x:v>1</x:v>
      </x:c>
      <x:c r="G38" t="inlineStr">
        <x:is>
          <x:t xml:space="preserve">-</x:t>
        </x:is>
      </x:c>
      <x:c r="I38" t="inlineStr">
        <x:is>
          <x:t xml:space="preserve">Do we know what our most sensitive business information and systems are (and where they live)?</x:t>
        </x:is>
      </x:c>
      <x:c r="J38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38" t="inlineStr">
        <x:is>
          <x:t xml:space="preserve">RISK_STD</x:t>
        </x:is>
      </x:c>
      <x:c r="M38" t="n">
        <x:v>1</x:v>
      </x:c>
      <x:c r="P38" t="inlineStr">
        <x:is>
          <x:t xml:space="preserve">EXCO-D2-Q01-A2</x:t>
        </x:is>
      </x:c>
      <x:c r="Q38" t="n">
        <x:v>3</x:v>
      </x:c>
      <x:c r="R38" t="inlineStr">
        <x:is>
          <x:t xml:space="preserve">Key people ‘just know’ what matters, but it is not written down or kept current.</x:t>
        </x:is>
      </x:c>
      <x:c r="S38" t="n">
        <x:v>1</x:v>
      </x:c>
      <x:c r="T38" t="inlineStr">
        <x:is>
          <x:t xml:space="preserve">tribal_knowledge,shadow_signal</x:t>
        </x:is>
      </x:c>
      <x:c r="U38" t="inlineStr">
        <x:is>
          <x:t xml:space="preserve">Shadow Mature</x:t>
        </x:is>
      </x:c>
      <x:c r="V38" t="inlineStr">
        <x:is>
          <x:t xml:space="preserve">Document_Crown_Jewels</x:t>
        </x:is>
      </x:c>
      <x:c r="W38" t="inlineStr">
        <x:is>
          <x:t xml:space="preserve">N</x:t>
        </x:is>
      </x:c>
      <x:c r="Y38">
        <x:f>(S38*IF(E38="G",F38,0))+(S38*IF(G38="G",H38,0))</x:f>
        <x:v>0</x:v>
      </x:c>
      <x:c r="Z38">
        <x:f>(S38*IF(E38="E",F38,0))+(S38*IF(G38="E",H38,0))</x:f>
        <x:v>0</x:v>
      </x:c>
      <x:c r="AA38">
        <x:f>(S38*IF(E38="T",F38,0))+(S38*IF(G38="T",H38,0))</x:f>
        <x:v>0</x:v>
      </x:c>
      <x:c r="AB38">
        <x:f>(S38*IF(E38="L",F38,0))+(S38*IF(G38="L",H38,0))</x:f>
        <x:v>0</x:v>
      </x:c>
      <x:c r="AC38">
        <x:f>(S38*IF(E38="H",F38,0))+(S38*IF(G38="H",H38,0))</x:f>
        <x:v>0</x:v>
      </x:c>
      <x:c r="AD38">
        <x:f>(S38*IF(E38="V",F38,0))+(S38*IF(G38="V",H38,0))</x:f>
        <x:v>1</x:v>
      </x:c>
      <x:c r="AE38">
        <x:f>(S38*IF(E38="R",F38,0))+(S38*IF(G38="R",H38,0))</x:f>
        <x:v>0</x:v>
      </x:c>
      <x:c r="AF38">
        <x:f>(S38*IF(E38="F",F38,0))+(S38*IF(G38="F",H38,0))</x:f>
        <x:v>0</x:v>
      </x:c>
      <x:c r="AG38">
        <x:f>(S38*IF(E38="W",F38,0))+(S38*IF(G38="W",H38,0))</x:f>
        <x:v>0</x:v>
      </x:c>
      <x:c r="AH38" t="inlineStr">
        <x:is>
          <x:t xml:space="preserve">3. Risk Management</x:t>
        </x:is>
      </x:c>
      <x:c r="AI38" t="inlineStr">
        <x:is>
          <x:t xml:space="preserve">Inventory &amp; Scope</x:t>
        </x:is>
      </x:c>
      <x:c r="AJ38" t="inlineStr">
        <x:is>
          <x:t xml:space="preserve">Crown jewels/HVA identification</x:t>
        </x:is>
      </x:c>
    </x:row>
    <x:row r="39">
      <x:c r="A39" t="inlineStr">
        <x:is>
          <x:t xml:space="preserve">Executive</x:t>
        </x:is>
      </x:c>
      <x:c r="B39" t="inlineStr">
        <x:is>
          <x:t xml:space="preserve">EXCO-D2-Q01</x:t>
        </x:is>
      </x:c>
      <x:c r="C39" t="inlineStr">
        <x:is>
          <x:t xml:space="preserve">T1</x:t>
        </x:is>
      </x:c>
      <x:c r="D39" t="inlineStr">
        <x:is>
          <x:t xml:space="preserve">2. Targeting &amp; Risk</x:t>
        </x:is>
      </x:c>
      <x:c r="E39" t="inlineStr">
        <x:is>
          <x:t xml:space="preserve">V</x:t>
        </x:is>
      </x:c>
      <x:c r="F39" t="n">
        <x:v>1</x:v>
      </x:c>
      <x:c r="G39" t="inlineStr">
        <x:is>
          <x:t xml:space="preserve">-</x:t>
        </x:is>
      </x:c>
      <x:c r="I39" t="inlineStr">
        <x:is>
          <x:t xml:space="preserve">Do we know what our most sensitive business information and systems are (and where they live)?</x:t>
        </x:is>
      </x:c>
      <x:c r="J39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39" t="inlineStr">
        <x:is>
          <x:t xml:space="preserve">RISK_STD</x:t>
        </x:is>
      </x:c>
      <x:c r="M39" t="n">
        <x:v>1</x:v>
      </x:c>
      <x:c r="P39" t="inlineStr">
        <x:is>
          <x:t xml:space="preserve">EXCO-D2-Q01-A3</x:t>
        </x:is>
      </x:c>
      <x:c r="Q39" t="n">
        <x:v>4</x:v>
      </x:c>
      <x:c r="R39" t="inlineStr">
        <x:is>
          <x:t xml:space="preserve">A list exists for compliance reasons (e.g., regulated data) but misses business-critical information.</x:t>
        </x:is>
      </x:c>
      <x:c r="S39" t="n">
        <x:v>2</x:v>
      </x:c>
      <x:c r="T39" t="inlineStr">
        <x:is>
          <x:t xml:space="preserve">compliance_only</x:t>
        </x:is>
      </x:c>
      <x:c r="U39" t="inlineStr">
        <x:is>
          <x:t xml:space="preserve">Paper Dragon</x:t>
        </x:is>
      </x:c>
      <x:c r="V39" t="inlineStr">
        <x:is>
          <x:t xml:space="preserve">Expand_Scope</x:t>
        </x:is>
      </x:c>
      <x:c r="W39" t="inlineStr">
        <x:is>
          <x:t xml:space="preserve">N</x:t>
        </x:is>
      </x:c>
      <x:c r="Y39">
        <x:f>(S39*IF(E39="G",F39,0))+(S39*IF(G39="G",H39,0))</x:f>
        <x:v>0</x:v>
      </x:c>
      <x:c r="Z39">
        <x:f>(S39*IF(E39="E",F39,0))+(S39*IF(G39="E",H39,0))</x:f>
        <x:v>0</x:v>
      </x:c>
      <x:c r="AA39">
        <x:f>(S39*IF(E39="T",F39,0))+(S39*IF(G39="T",H39,0))</x:f>
        <x:v>0</x:v>
      </x:c>
      <x:c r="AB39">
        <x:f>(S39*IF(E39="L",F39,0))+(S39*IF(G39="L",H39,0))</x:f>
        <x:v>0</x:v>
      </x:c>
      <x:c r="AC39">
        <x:f>(S39*IF(E39="H",F39,0))+(S39*IF(G39="H",H39,0))</x:f>
        <x:v>0</x:v>
      </x:c>
      <x:c r="AD39">
        <x:f>(S39*IF(E39="V",F39,0))+(S39*IF(G39="V",H39,0))</x:f>
        <x:v>2</x:v>
      </x:c>
      <x:c r="AE39">
        <x:f>(S39*IF(E39="R",F39,0))+(S39*IF(G39="R",H39,0))</x:f>
        <x:v>0</x:v>
      </x:c>
      <x:c r="AF39">
        <x:f>(S39*IF(E39="F",F39,0))+(S39*IF(G39="F",H39,0))</x:f>
        <x:v>0</x:v>
      </x:c>
      <x:c r="AG39">
        <x:f>(S39*IF(E39="W",F39,0))+(S39*IF(G39="W",H39,0))</x:f>
        <x:v>0</x:v>
      </x:c>
      <x:c r="AH39" t="inlineStr">
        <x:is>
          <x:t xml:space="preserve">3. Risk Management</x:t>
        </x:is>
      </x:c>
      <x:c r="AI39" t="inlineStr">
        <x:is>
          <x:t xml:space="preserve">Inventory &amp; Scope</x:t>
        </x:is>
      </x:c>
      <x:c r="AJ39" t="inlineStr">
        <x:is>
          <x:t xml:space="preserve">Crown jewels/HVA identification</x:t>
        </x:is>
      </x:c>
    </x:row>
    <x:row r="40">
      <x:c r="A40" t="inlineStr">
        <x:is>
          <x:t xml:space="preserve">Executive</x:t>
        </x:is>
      </x:c>
      <x:c r="B40" t="inlineStr">
        <x:is>
          <x:t xml:space="preserve">EXCO-D2-Q01</x:t>
        </x:is>
      </x:c>
      <x:c r="C40" t="inlineStr">
        <x:is>
          <x:t xml:space="preserve">T1</x:t>
        </x:is>
      </x:c>
      <x:c r="D40" t="inlineStr">
        <x:is>
          <x:t xml:space="preserve">2. Targeting &amp; Risk</x:t>
        </x:is>
      </x:c>
      <x:c r="E40" t="inlineStr">
        <x:is>
          <x:t xml:space="preserve">V</x:t>
        </x:is>
      </x:c>
      <x:c r="F40" t="n">
        <x:v>1</x:v>
      </x:c>
      <x:c r="G40" t="inlineStr">
        <x:is>
          <x:t xml:space="preserve">-</x:t>
        </x:is>
      </x:c>
      <x:c r="I40" t="inlineStr">
        <x:is>
          <x:t xml:space="preserve">Do we know what our most sensitive business information and systems are (and where they live)?</x:t>
        </x:is>
      </x:c>
      <x:c r="J40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40" t="inlineStr">
        <x:is>
          <x:t xml:space="preserve">RISK_STD</x:t>
        </x:is>
      </x:c>
      <x:c r="M40" t="n">
        <x:v>1</x:v>
      </x:c>
      <x:c r="P40" t="inlineStr">
        <x:is>
          <x:t xml:space="preserve">EXCO-D2-Q01-A4</x:t>
        </x:is>
      </x:c>
      <x:c r="Q40" t="n">
        <x:v>5</x:v>
      </x:c>
      <x:c r="R40" t="inlineStr">
        <x:is>
          <x:t xml:space="preserve">We maintain an inventory of sensitive information/systems and review it at least annually.</x:t>
        </x:is>
      </x:c>
      <x:c r="S40" t="n">
        <x:v>3</x:v>
      </x:c>
      <x:c r="T40" t="inlineStr">
        <x:is>
          <x:t xml:space="preserve">good_practice</x:t>
        </x:is>
      </x:c>
      <x:c r="V40" t="inlineStr">
        <x:is>
          <x:t xml:space="preserve">Request_Evidence</x:t>
        </x:is>
      </x:c>
      <x:c r="W40" t="inlineStr">
        <x:is>
          <x:t xml:space="preserve">Y</x:t>
        </x:is>
      </x:c>
      <x:c r="X40" t="inlineStr">
        <x:is>
          <x:t xml:space="preserve">Provide inventory and last review date.</x:t>
        </x:is>
      </x:c>
      <x:c r="Y40">
        <x:f>(S40*IF(E40="G",F40,0))+(S40*IF(G40="G",H40,0))</x:f>
        <x:v>0</x:v>
      </x:c>
      <x:c r="Z40">
        <x:f>(S40*IF(E40="E",F40,0))+(S40*IF(G40="E",H40,0))</x:f>
        <x:v>0</x:v>
      </x:c>
      <x:c r="AA40">
        <x:f>(S40*IF(E40="T",F40,0))+(S40*IF(G40="T",H40,0))</x:f>
        <x:v>0</x:v>
      </x:c>
      <x:c r="AB40">
        <x:f>(S40*IF(E40="L",F40,0))+(S40*IF(G40="L",H40,0))</x:f>
        <x:v>0</x:v>
      </x:c>
      <x:c r="AC40">
        <x:f>(S40*IF(E40="H",F40,0))+(S40*IF(G40="H",H40,0))</x:f>
        <x:v>0</x:v>
      </x:c>
      <x:c r="AD40">
        <x:f>(S40*IF(E40="V",F40,0))+(S40*IF(G40="V",H40,0))</x:f>
        <x:v>3</x:v>
      </x:c>
      <x:c r="AE40">
        <x:f>(S40*IF(E40="R",F40,0))+(S40*IF(G40="R",H40,0))</x:f>
        <x:v>0</x:v>
      </x:c>
      <x:c r="AF40">
        <x:f>(S40*IF(E40="F",F40,0))+(S40*IF(G40="F",H40,0))</x:f>
        <x:v>0</x:v>
      </x:c>
      <x:c r="AG40">
        <x:f>(S40*IF(E40="W",F40,0))+(S40*IF(G40="W",H40,0))</x:f>
        <x:v>0</x:v>
      </x:c>
      <x:c r="AH40" t="inlineStr">
        <x:is>
          <x:t xml:space="preserve">3. Risk Management</x:t>
        </x:is>
      </x:c>
      <x:c r="AI40" t="inlineStr">
        <x:is>
          <x:t xml:space="preserve">Inventory &amp; Scope</x:t>
        </x:is>
      </x:c>
      <x:c r="AJ40" t="inlineStr">
        <x:is>
          <x:t xml:space="preserve">Crown jewels/HVA identification</x:t>
        </x:is>
      </x:c>
    </x:row>
    <x:row r="41">
      <x:c r="A41" t="inlineStr">
        <x:is>
          <x:t xml:space="preserve">Executive</x:t>
        </x:is>
      </x:c>
      <x:c r="B41" t="inlineStr">
        <x:is>
          <x:t xml:space="preserve">EXCO-D2-Q01</x:t>
        </x:is>
      </x:c>
      <x:c r="C41" t="inlineStr">
        <x:is>
          <x:t xml:space="preserve">T1</x:t>
        </x:is>
      </x:c>
      <x:c r="D41" t="inlineStr">
        <x:is>
          <x:t xml:space="preserve">2. Targeting &amp; Risk</x:t>
        </x:is>
      </x:c>
      <x:c r="E41" t="inlineStr">
        <x:is>
          <x:t xml:space="preserve">V</x:t>
        </x:is>
      </x:c>
      <x:c r="F41" t="n">
        <x:v>1</x:v>
      </x:c>
      <x:c r="G41" t="inlineStr">
        <x:is>
          <x:t xml:space="preserve">-</x:t>
        </x:is>
      </x:c>
      <x:c r="I41" t="inlineStr">
        <x:is>
          <x:t xml:space="preserve">Do we know what our most sensitive business information and systems are (and where they live)?</x:t>
        </x:is>
      </x:c>
      <x:c r="J41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L41" t="inlineStr">
        <x:is>
          <x:t xml:space="preserve">RISK_STD</x:t>
        </x:is>
      </x:c>
      <x:c r="M41" t="n">
        <x:v>1</x:v>
      </x:c>
      <x:c r="P41" t="inlineStr">
        <x:is>
          <x:t xml:space="preserve">EXCO-D2-Q01-A5</x:t>
        </x:is>
      </x:c>
      <x:c r="Q41" t="n">
        <x:v>6</x:v>
      </x:c>
      <x:c r="R41" t="inlineStr">
        <x:is>
          <x:t xml:space="preserve">Inventory is linked to business impact and access concentration; changes are tracked continuously.</x:t>
        </x:is>
      </x:c>
      <x:c r="S41" t="n">
        <x:v>4</x:v>
      </x:c>
      <x:c r="T41" t="inlineStr">
        <x:is>
          <x:t xml:space="preserve">optimized</x:t>
        </x:is>
      </x:c>
      <x:c r="V41" t="inlineStr">
        <x:is>
          <x:t xml:space="preserve">Request_Evidence</x:t>
        </x:is>
      </x:c>
      <x:c r="W41" t="inlineStr">
        <x:is>
          <x:t xml:space="preserve">Y</x:t>
        </x:is>
      </x:c>
      <x:c r="Y41">
        <x:f>(S41*IF(E41="G",F41,0))+(S41*IF(G41="G",H41,0))</x:f>
        <x:v>0</x:v>
      </x:c>
      <x:c r="Z41">
        <x:f>(S41*IF(E41="E",F41,0))+(S41*IF(G41="E",H41,0))</x:f>
        <x:v>0</x:v>
      </x:c>
      <x:c r="AA41">
        <x:f>(S41*IF(E41="T",F41,0))+(S41*IF(G41="T",H41,0))</x:f>
        <x:v>0</x:v>
      </x:c>
      <x:c r="AB41">
        <x:f>(S41*IF(E41="L",F41,0))+(S41*IF(G41="L",H41,0))</x:f>
        <x:v>0</x:v>
      </x:c>
      <x:c r="AC41">
        <x:f>(S41*IF(E41="H",F41,0))+(S41*IF(G41="H",H41,0))</x:f>
        <x:v>0</x:v>
      </x:c>
      <x:c r="AD41">
        <x:f>(S41*IF(E41="V",F41,0))+(S41*IF(G41="V",H41,0))</x:f>
        <x:v>4</x:v>
      </x:c>
      <x:c r="AE41">
        <x:f>(S41*IF(E41="R",F41,0))+(S41*IF(G41="R",H41,0))</x:f>
        <x:v>0</x:v>
      </x:c>
      <x:c r="AF41">
        <x:f>(S41*IF(E41="F",F41,0))+(S41*IF(G41="F",H41,0))</x:f>
        <x:v>0</x:v>
      </x:c>
      <x:c r="AG41">
        <x:f>(S41*IF(E41="W",F41,0))+(S41*IF(G41="W",H41,0))</x:f>
        <x:v>0</x:v>
      </x:c>
      <x:c r="AH41" t="inlineStr">
        <x:is>
          <x:t xml:space="preserve">3. Risk Management</x:t>
        </x:is>
      </x:c>
      <x:c r="AI41" t="inlineStr">
        <x:is>
          <x:t xml:space="preserve">Inventory &amp; Scope</x:t>
        </x:is>
      </x:c>
      <x:c r="AJ41" t="inlineStr">
        <x:is>
          <x:t xml:space="preserve">Crown jewels/HVA identification</x:t>
        </x:is>
      </x:c>
    </x:row>
    <x:row r="42">
      <x:c r="A42" t="inlineStr">
        <x:is>
          <x:t xml:space="preserve">Executive</x:t>
        </x:is>
      </x:c>
      <x:c r="B42" t="inlineStr">
        <x:is>
          <x:t xml:space="preserve">EXCO-D2-Q02</x:t>
        </x:is>
      </x:c>
      <x:c r="C42" t="inlineStr">
        <x:is>
          <x:t xml:space="preserve">T2</x:t>
        </x:is>
      </x:c>
      <x:c r="D42" t="inlineStr">
        <x:is>
          <x:t xml:space="preserve">2. Targeting &amp; Risk</x:t>
        </x:is>
      </x:c>
      <x:c r="E42" t="inlineStr">
        <x:is>
          <x:t xml:space="preserve">V</x:t>
        </x:is>
      </x:c>
      <x:c r="F42" t="n">
        <x:v>1</x:v>
      </x:c>
      <x:c r="G42" t="inlineStr">
        <x:is>
          <x:t xml:space="preserve">-</x:t>
        </x:is>
      </x:c>
      <x:c r="I42" t="inlineStr">
        <x:is>
          <x:t xml:space="preserve">(Shadow probe) Even without a formal list, could we name the top 5 things we would be most worried to lose or leak?</x:t>
        </x:is>
      </x:c>
      <x:c r="J42" t="inlineStr">
        <x:is>
          <x:t xml:space="preserve">This checks whether ‘tribal knowledge’ exists that can be formalised.</x:t>
        </x:is>
      </x:c>
      <x:c r="L42" t="inlineStr">
        <x:is>
          <x:t xml:space="preserve">RISK_STD</x:t>
        </x:is>
      </x:c>
      <x:c r="M42" t="n">
        <x:v>1</x:v>
      </x:c>
      <x:c r="P42" t="inlineStr">
        <x:is>
          <x:t xml:space="preserve">EXCO-D2-Q02-A1</x:t>
        </x:is>
      </x:c>
      <x:c r="Q42" t="n">
        <x:v>1</x:v>
      </x:c>
      <x:c r="R42" t="inlineStr">
        <x:is>
          <x:t xml:space="preserve">No—different leaders would give completely different answers.</x:t>
        </x:is>
      </x:c>
      <x:c r="S42" t="n">
        <x:v>0</x:v>
      </x:c>
      <x:c r="T42" t="inlineStr">
        <x:is>
          <x:t xml:space="preserve">visibility_gap</x:t>
        </x:is>
      </x:c>
      <x:c r="U42" t="inlineStr">
        <x:is>
          <x:t xml:space="preserve">Visibility Gap</x:t>
        </x:is>
      </x:c>
      <x:c r="V42" t="inlineStr">
        <x:is>
          <x:t xml:space="preserve">Run_Crown_Jewel_Workshop</x:t>
        </x:is>
      </x:c>
      <x:c r="W42" t="inlineStr">
        <x:is>
          <x:t xml:space="preserve">N</x:t>
        </x:is>
      </x:c>
      <x:c r="Y42">
        <x:f>(S42*IF(E42="G",F42,0))+(S42*IF(G42="G",H42,0))</x:f>
        <x:v>0</x:v>
      </x:c>
      <x:c r="Z42">
        <x:f>(S42*IF(E42="E",F42,0))+(S42*IF(G42="E",H42,0))</x:f>
        <x:v>0</x:v>
      </x:c>
      <x:c r="AA42">
        <x:f>(S42*IF(E42="T",F42,0))+(S42*IF(G42="T",H42,0))</x:f>
        <x:v>0</x:v>
      </x:c>
      <x:c r="AB42">
        <x:f>(S42*IF(E42="L",F42,0))+(S42*IF(G42="L",H42,0))</x:f>
        <x:v>0</x:v>
      </x:c>
      <x:c r="AC42">
        <x:f>(S42*IF(E42="H",F42,0))+(S42*IF(G42="H",H42,0))</x:f>
        <x:v>0</x:v>
      </x:c>
      <x:c r="AD42">
        <x:f>(S42*IF(E42="V",F42,0))+(S42*IF(G42="V",H42,0))</x:f>
        <x:v>0</x:v>
      </x:c>
      <x:c r="AE42">
        <x:f>(S42*IF(E42="R",F42,0))+(S42*IF(G42="R",H42,0))</x:f>
        <x:v>0</x:v>
      </x:c>
      <x:c r="AF42">
        <x:f>(S42*IF(E42="F",F42,0))+(S42*IF(G42="F",H42,0))</x:f>
        <x:v>0</x:v>
      </x:c>
      <x:c r="AG42">
        <x:f>(S42*IF(E42="W",F42,0))+(S42*IF(G42="W",H42,0))</x:f>
        <x:v>0</x:v>
      </x:c>
      <x:c r="AH42" t="inlineStr">
        <x:is>
          <x:t xml:space="preserve">1. Strategy &amp; Governance</x:t>
        </x:is>
      </x:c>
      <x:c r="AI42" t="inlineStr">
        <x:is>
          <x:t xml:space="preserve">Program Management</x:t>
        </x:is>
      </x:c>
      <x:c r="AJ42" t="inlineStr">
        <x:is>
          <x:t xml:space="preserve">Charter &amp; authority model</x:t>
        </x:is>
      </x:c>
    </x:row>
    <x:row r="43">
      <x:c r="A43" t="inlineStr">
        <x:is>
          <x:t xml:space="preserve">Executive</x:t>
        </x:is>
      </x:c>
      <x:c r="B43" t="inlineStr">
        <x:is>
          <x:t xml:space="preserve">EXCO-D2-Q02</x:t>
        </x:is>
      </x:c>
      <x:c r="C43" t="inlineStr">
        <x:is>
          <x:t xml:space="preserve">T2</x:t>
        </x:is>
      </x:c>
      <x:c r="D43" t="inlineStr">
        <x:is>
          <x:t xml:space="preserve">2. Targeting &amp; Risk</x:t>
        </x:is>
      </x:c>
      <x:c r="E43" t="inlineStr">
        <x:is>
          <x:t xml:space="preserve">V</x:t>
        </x:is>
      </x:c>
      <x:c r="F43" t="n">
        <x:v>1</x:v>
      </x:c>
      <x:c r="G43" t="inlineStr">
        <x:is>
          <x:t xml:space="preserve">-</x:t>
        </x:is>
      </x:c>
      <x:c r="I43" t="inlineStr">
        <x:is>
          <x:t xml:space="preserve">(Shadow probe) Even without a formal list, could we name the top 5 things we would be most worried to lose or leak?</x:t>
        </x:is>
      </x:c>
      <x:c r="J43" t="inlineStr">
        <x:is>
          <x:t xml:space="preserve">This checks whether ‘tribal knowledge’ exists that can be formalised.</x:t>
        </x:is>
      </x:c>
      <x:c r="L43" t="inlineStr">
        <x:is>
          <x:t xml:space="preserve">RISK_STD</x:t>
        </x:is>
      </x:c>
      <x:c r="M43" t="n">
        <x:v>1</x:v>
      </x:c>
      <x:c r="P43" t="inlineStr">
        <x:is>
          <x:t xml:space="preserve">EXCO-D2-Q02-A2</x:t>
        </x:is>
      </x:c>
      <x:c r="Q43" t="n">
        <x:v>2</x:v>
      </x:c>
      <x:c r="R43" t="inlineStr">
        <x:is>
          <x:t xml:space="preserve">Yes—but answers would vary by department and are not aligned.</x:t>
        </x:is>
      </x:c>
      <x:c r="S43" t="n">
        <x:v>1</x:v>
      </x:c>
      <x:c r="T43" t="inlineStr">
        <x:is>
          <x:t xml:space="preserve">misalignment_signal</x:t>
        </x:is>
      </x:c>
      <x:c r="U43" t="inlineStr">
        <x:is>
          <x:t xml:space="preserve">Operating Model Gap</x:t>
        </x:is>
      </x:c>
      <x:c r="V43" t="inlineStr">
        <x:is>
          <x:t xml:space="preserve">Align_On_Crown_Jewels</x:t>
        </x:is>
      </x:c>
      <x:c r="W43" t="inlineStr">
        <x:is>
          <x:t xml:space="preserve">N</x:t>
        </x:is>
      </x:c>
      <x:c r="Y43">
        <x:f>(S43*IF(E43="G",F43,0))+(S43*IF(G43="G",H43,0))</x:f>
        <x:v>0</x:v>
      </x:c>
      <x:c r="Z43">
        <x:f>(S43*IF(E43="E",F43,0))+(S43*IF(G43="E",H43,0))</x:f>
        <x:v>0</x:v>
      </x:c>
      <x:c r="AA43">
        <x:f>(S43*IF(E43="T",F43,0))+(S43*IF(G43="T",H43,0))</x:f>
        <x:v>0</x:v>
      </x:c>
      <x:c r="AB43">
        <x:f>(S43*IF(E43="L",F43,0))+(S43*IF(G43="L",H43,0))</x:f>
        <x:v>0</x:v>
      </x:c>
      <x:c r="AC43">
        <x:f>(S43*IF(E43="H",F43,0))+(S43*IF(G43="H",H43,0))</x:f>
        <x:v>0</x:v>
      </x:c>
      <x:c r="AD43">
        <x:f>(S43*IF(E43="V",F43,0))+(S43*IF(G43="V",H43,0))</x:f>
        <x:v>1</x:v>
      </x:c>
      <x:c r="AE43">
        <x:f>(S43*IF(E43="R",F43,0))+(S43*IF(G43="R",H43,0))</x:f>
        <x:v>0</x:v>
      </x:c>
      <x:c r="AF43">
        <x:f>(S43*IF(E43="F",F43,0))+(S43*IF(G43="F",H43,0))</x:f>
        <x:v>0</x:v>
      </x:c>
      <x:c r="AG43">
        <x:f>(S43*IF(E43="W",F43,0))+(S43*IF(G43="W",H43,0))</x:f>
        <x:v>0</x:v>
      </x:c>
      <x:c r="AH43" t="inlineStr">
        <x:is>
          <x:t xml:space="preserve">1. Strategy &amp; Governance</x:t>
        </x:is>
      </x:c>
      <x:c r="AI43" t="inlineStr">
        <x:is>
          <x:t xml:space="preserve">Program Management</x:t>
        </x:is>
      </x:c>
      <x:c r="AJ43" t="inlineStr">
        <x:is>
          <x:t xml:space="preserve">Charter &amp; authority model</x:t>
        </x:is>
      </x:c>
    </x:row>
    <x:row r="44">
      <x:c r="A44" t="inlineStr">
        <x:is>
          <x:t xml:space="preserve">Executive</x:t>
        </x:is>
      </x:c>
      <x:c r="B44" t="inlineStr">
        <x:is>
          <x:t xml:space="preserve">EXCO-D2-Q02</x:t>
        </x:is>
      </x:c>
      <x:c r="C44" t="inlineStr">
        <x:is>
          <x:t xml:space="preserve">T2</x:t>
        </x:is>
      </x:c>
      <x:c r="D44" t="inlineStr">
        <x:is>
          <x:t xml:space="preserve">2. Targeting &amp; Risk</x:t>
        </x:is>
      </x:c>
      <x:c r="E44" t="inlineStr">
        <x:is>
          <x:t xml:space="preserve">V</x:t>
        </x:is>
      </x:c>
      <x:c r="F44" t="n">
        <x:v>1</x:v>
      </x:c>
      <x:c r="G44" t="inlineStr">
        <x:is>
          <x:t xml:space="preserve">-</x:t>
        </x:is>
      </x:c>
      <x:c r="I44" t="inlineStr">
        <x:is>
          <x:t xml:space="preserve">(Shadow probe) Even without a formal list, could we name the top 5 things we would be most worried to lose or leak?</x:t>
        </x:is>
      </x:c>
      <x:c r="J44" t="inlineStr">
        <x:is>
          <x:t xml:space="preserve">This checks whether ‘tribal knowledge’ exists that can be formalised.</x:t>
        </x:is>
      </x:c>
      <x:c r="L44" t="inlineStr">
        <x:is>
          <x:t xml:space="preserve">RISK_STD</x:t>
        </x:is>
      </x:c>
      <x:c r="M44" t="n">
        <x:v>1</x:v>
      </x:c>
      <x:c r="P44" t="inlineStr">
        <x:is>
          <x:t xml:space="preserve">EXCO-D2-Q02-A3</x:t>
        </x:is>
      </x:c>
      <x:c r="Q44" t="n">
        <x:v>3</x:v>
      </x:c>
      <x:c r="R44" t="inlineStr">
        <x:is>
          <x:t xml:space="preserve">Yes—there is broad agreement, but it’s not documented or mapped to systems.</x:t>
        </x:is>
      </x:c>
      <x:c r="S44" t="n">
        <x:v>2</x:v>
      </x:c>
      <x:c r="T44" t="inlineStr">
        <x:is>
          <x:t xml:space="preserve">shadow_mature_signal</x:t>
        </x:is>
      </x:c>
      <x:c r="U44" t="inlineStr">
        <x:is>
          <x:t xml:space="preserve">Shadow Mature</x:t>
        </x:is>
      </x:c>
      <x:c r="V44" t="inlineStr">
        <x:is>
          <x:t xml:space="preserve">Document_Crown_Jewels</x:t>
        </x:is>
      </x:c>
      <x:c r="W44" t="inlineStr">
        <x:is>
          <x:t xml:space="preserve">N</x:t>
        </x:is>
      </x:c>
      <x:c r="Y44">
        <x:f>(S44*IF(E44="G",F44,0))+(S44*IF(G44="G",H44,0))</x:f>
        <x:v>0</x:v>
      </x:c>
      <x:c r="Z44">
        <x:f>(S44*IF(E44="E",F44,0))+(S44*IF(G44="E",H44,0))</x:f>
        <x:v>0</x:v>
      </x:c>
      <x:c r="AA44">
        <x:f>(S44*IF(E44="T",F44,0))+(S44*IF(G44="T",H44,0))</x:f>
        <x:v>0</x:v>
      </x:c>
      <x:c r="AB44">
        <x:f>(S44*IF(E44="L",F44,0))+(S44*IF(G44="L",H44,0))</x:f>
        <x:v>0</x:v>
      </x:c>
      <x:c r="AC44">
        <x:f>(S44*IF(E44="H",F44,0))+(S44*IF(G44="H",H44,0))</x:f>
        <x:v>0</x:v>
      </x:c>
      <x:c r="AD44">
        <x:f>(S44*IF(E44="V",F44,0))+(S44*IF(G44="V",H44,0))</x:f>
        <x:v>2</x:v>
      </x:c>
      <x:c r="AE44">
        <x:f>(S44*IF(E44="R",F44,0))+(S44*IF(G44="R",H44,0))</x:f>
        <x:v>0</x:v>
      </x:c>
      <x:c r="AF44">
        <x:f>(S44*IF(E44="F",F44,0))+(S44*IF(G44="F",H44,0))</x:f>
        <x:v>0</x:v>
      </x:c>
      <x:c r="AG44">
        <x:f>(S44*IF(E44="W",F44,0))+(S44*IF(G44="W",H44,0))</x:f>
        <x:v>0</x:v>
      </x:c>
      <x:c r="AH44" t="inlineStr">
        <x:is>
          <x:t xml:space="preserve">1. Strategy &amp; Governance</x:t>
        </x:is>
      </x:c>
      <x:c r="AI44" t="inlineStr">
        <x:is>
          <x:t xml:space="preserve">Program Management</x:t>
        </x:is>
      </x:c>
      <x:c r="AJ44" t="inlineStr">
        <x:is>
          <x:t xml:space="preserve">Charter &amp; authority model</x:t>
        </x:is>
      </x:c>
    </x:row>
    <x:row r="45">
      <x:c r="A45" t="inlineStr">
        <x:is>
          <x:t xml:space="preserve">Executive</x:t>
        </x:is>
      </x:c>
      <x:c r="B45" t="inlineStr">
        <x:is>
          <x:t xml:space="preserve">EXCO-D2-Q02</x:t>
        </x:is>
      </x:c>
      <x:c r="C45" t="inlineStr">
        <x:is>
          <x:t xml:space="preserve">T2</x:t>
        </x:is>
      </x:c>
      <x:c r="D45" t="inlineStr">
        <x:is>
          <x:t xml:space="preserve">2. Targeting &amp; Risk</x:t>
        </x:is>
      </x:c>
      <x:c r="E45" t="inlineStr">
        <x:is>
          <x:t xml:space="preserve">V</x:t>
        </x:is>
      </x:c>
      <x:c r="F45" t="n">
        <x:v>1</x:v>
      </x:c>
      <x:c r="G45" t="inlineStr">
        <x:is>
          <x:t xml:space="preserve">-</x:t>
        </x:is>
      </x:c>
      <x:c r="I45" t="inlineStr">
        <x:is>
          <x:t xml:space="preserve">(Shadow probe) Even without a formal list, could we name the top 5 things we would be most worried to lose or leak?</x:t>
        </x:is>
      </x:c>
      <x:c r="J45" t="inlineStr">
        <x:is>
          <x:t xml:space="preserve">This checks whether ‘tribal knowledge’ exists that can be formalised.</x:t>
        </x:is>
      </x:c>
      <x:c r="L45" t="inlineStr">
        <x:is>
          <x:t xml:space="preserve">RISK_STD</x:t>
        </x:is>
      </x:c>
      <x:c r="M45" t="n">
        <x:v>1</x:v>
      </x:c>
      <x:c r="P45" t="inlineStr">
        <x:is>
          <x:t xml:space="preserve">EXCO-D2-Q02-A4</x:t>
        </x:is>
      </x:c>
      <x:c r="Q45" t="n">
        <x:v>4</x:v>
      </x:c>
      <x:c r="R45" t="inlineStr">
        <x:is>
          <x:t xml:space="preserve">Yes—and we can point to where this information typically sits (key systems and repositories).</x:t>
        </x:is>
      </x:c>
      <x:c r="S45" t="n">
        <x:v>3</x:v>
      </x:c>
      <x:c r="T45" t="inlineStr">
        <x:is>
          <x:t xml:space="preserve">good_practice</x:t>
        </x:is>
      </x:c>
      <x:c r="V45" t="inlineStr">
        <x:is>
          <x:t xml:space="preserve">Start_Mapping</x:t>
        </x:is>
      </x:c>
      <x:c r="W45" t="inlineStr">
        <x:is>
          <x:t xml:space="preserve">N</x:t>
        </x:is>
      </x:c>
      <x:c r="Y45">
        <x:f>(S45*IF(E45="G",F45,0))+(S45*IF(G45="G",H45,0))</x:f>
        <x:v>0</x:v>
      </x:c>
      <x:c r="Z45">
        <x:f>(S45*IF(E45="E",F45,0))+(S45*IF(G45="E",H45,0))</x:f>
        <x:v>0</x:v>
      </x:c>
      <x:c r="AA45">
        <x:f>(S45*IF(E45="T",F45,0))+(S45*IF(G45="T",H45,0))</x:f>
        <x:v>0</x:v>
      </x:c>
      <x:c r="AB45">
        <x:f>(S45*IF(E45="L",F45,0))+(S45*IF(G45="L",H45,0))</x:f>
        <x:v>0</x:v>
      </x:c>
      <x:c r="AC45">
        <x:f>(S45*IF(E45="H",F45,0))+(S45*IF(G45="H",H45,0))</x:f>
        <x:v>0</x:v>
      </x:c>
      <x:c r="AD45">
        <x:f>(S45*IF(E45="V",F45,0))+(S45*IF(G45="V",H45,0))</x:f>
        <x:v>3</x:v>
      </x:c>
      <x:c r="AE45">
        <x:f>(S45*IF(E45="R",F45,0))+(S45*IF(G45="R",H45,0))</x:f>
        <x:v>0</x:v>
      </x:c>
      <x:c r="AF45">
        <x:f>(S45*IF(E45="F",F45,0))+(S45*IF(G45="F",H45,0))</x:f>
        <x:v>0</x:v>
      </x:c>
      <x:c r="AG45">
        <x:f>(S45*IF(E45="W",F45,0))+(S45*IF(G45="W",H45,0))</x:f>
        <x:v>0</x:v>
      </x:c>
      <x:c r="AH45" t="inlineStr">
        <x:is>
          <x:t xml:space="preserve">1. Strategy &amp; Governance</x:t>
        </x:is>
      </x:c>
      <x:c r="AI45" t="inlineStr">
        <x:is>
          <x:t xml:space="preserve">Program Management</x:t>
        </x:is>
      </x:c>
      <x:c r="AJ45" t="inlineStr">
        <x:is>
          <x:t xml:space="preserve">Charter &amp; authority model</x:t>
        </x:is>
      </x:c>
    </x:row>
    <x:row r="46">
      <x:c r="A46" t="inlineStr">
        <x:is>
          <x:t xml:space="preserve">Executive</x:t>
        </x:is>
      </x:c>
      <x:c r="B46" t="inlineStr">
        <x:is>
          <x:t xml:space="preserve">EXCO-D2-Q03</x:t>
        </x:is>
      </x:c>
      <x:c r="C46" t="inlineStr">
        <x:is>
          <x:t xml:space="preserve">T2</x:t>
        </x:is>
      </x:c>
      <x:c r="D46" t="inlineStr">
        <x:is>
          <x:t xml:space="preserve">2. Targeting &amp; Risk</x:t>
        </x:is>
      </x:c>
      <x:c r="E46" t="inlineStr">
        <x:is>
          <x:t xml:space="preserve">V</x:t>
        </x:is>
      </x:c>
      <x:c r="F46" t="n">
        <x:v>0.7</x:v>
      </x:c>
      <x:c r="G46" t="inlineStr">
        <x:is>
          <x:t xml:space="preserve">E</x:t>
        </x:is>
      </x:c>
      <x:c r="H46" t="n">
        <x:v>0.3</x:v>
      </x:c>
      <x:c r="I46" t="inlineStr">
        <x:is>
          <x:t xml:space="preserve">Do we know which roles (or individuals) have unusually high access to sensitive information?</x:t>
        </x:is>
      </x:c>
      <x:c r="J46" t="inlineStr">
        <x:is>
          <x:t xml:space="preserve">Examples: admins, finance controllers, HR payroll, R&amp;D leads, M&amp;A team. The question is about *concentration of access*.</x:t>
        </x:is>
      </x:c>
      <x:c r="L46" t="inlineStr">
        <x:is>
          <x:t xml:space="preserve">RISK_STD</x:t>
        </x:is>
      </x:c>
      <x:c r="M46" t="n">
        <x:v>1</x:v>
      </x:c>
      <x:c r="P46" t="inlineStr">
        <x:is>
          <x:t xml:space="preserve">EXCO-D2-Q03-A0</x:t>
        </x:is>
      </x:c>
      <x:c r="Q46" t="n">
        <x:v>1</x:v>
      </x:c>
      <x:c r="R46" t="inlineStr">
        <x:is>
          <x:t xml:space="preserve">I don’t know / not sure.</x:t>
        </x:is>
      </x:c>
      <x:c r="S46" t="n">
        <x:v>0</x:v>
      </x:c>
      <x:c r="T46" t="inlineStr">
        <x:is>
          <x:t xml:space="preserve">unknown</x:t>
        </x:is>
      </x:c>
      <x:c r="U46" t="inlineStr">
        <x:is>
          <x:t xml:space="preserve">Unknown</x:t>
        </x:is>
      </x:c>
      <x:c r="V46" t="inlineStr">
        <x:is>
          <x:t xml:space="preserve">Role_Mapping</x:t>
        </x:is>
      </x:c>
      <x:c r="W46" t="inlineStr">
        <x:is>
          <x:t xml:space="preserve">N</x:t>
        </x:is>
      </x:c>
      <x:c r="Y46">
        <x:f>(S46*IF(E46="G",F46,0))+(S46*IF(G46="G",H46,0))</x:f>
        <x:v>0</x:v>
      </x:c>
      <x:c r="Z46">
        <x:f>(S46*IF(E46="E",F46,0))+(S46*IF(G46="E",H46,0))</x:f>
        <x:v>0</x:v>
      </x:c>
      <x:c r="AA46">
        <x:f>(S46*IF(E46="T",F46,0))+(S46*IF(G46="T",H46,0))</x:f>
        <x:v>0</x:v>
      </x:c>
      <x:c r="AB46">
        <x:f>(S46*IF(E46="L",F46,0))+(S46*IF(G46="L",H46,0))</x:f>
        <x:v>0</x:v>
      </x:c>
      <x:c r="AC46">
        <x:f>(S46*IF(E46="H",F46,0))+(S46*IF(G46="H",H46,0))</x:f>
        <x:v>0</x:v>
      </x:c>
      <x:c r="AD46">
        <x:f>(S46*IF(E46="V",F46,0))+(S46*IF(G46="V",H46,0))</x:f>
        <x:v>0</x:v>
      </x:c>
      <x:c r="AE46">
        <x:f>(S46*IF(E46="R",F46,0))+(S46*IF(G46="R",H46,0))</x:f>
        <x:v>0</x:v>
      </x:c>
      <x:c r="AF46">
        <x:f>(S46*IF(E46="F",F46,0))+(S46*IF(G46="F",H46,0))</x:f>
        <x:v>0</x:v>
      </x:c>
      <x:c r="AG46">
        <x:f>(S46*IF(E46="W",F46,0))+(S46*IF(G46="W",H46,0))</x:f>
        <x:v>0</x:v>
      </x:c>
      <x:c r="AH46" t="inlineStr">
        <x:is>
          <x:t xml:space="preserve">3. Risk Management</x:t>
        </x:is>
      </x:c>
      <x:c r="AI46" t="inlineStr">
        <x:is>
          <x:t xml:space="preserve">Inventory &amp; Scope</x:t>
        </x:is>
      </x:c>
      <x:c r="AJ46" t="inlineStr">
        <x:is>
          <x:t xml:space="preserve">Crown jewels/HVA identification</x:t>
        </x:is>
      </x:c>
    </x:row>
    <x:row r="47">
      <x:c r="A47" t="inlineStr">
        <x:is>
          <x:t xml:space="preserve">Executive</x:t>
        </x:is>
      </x:c>
      <x:c r="B47" t="inlineStr">
        <x:is>
          <x:t xml:space="preserve">EXCO-D2-Q03</x:t>
        </x:is>
      </x:c>
      <x:c r="C47" t="inlineStr">
        <x:is>
          <x:t xml:space="preserve">T2</x:t>
        </x:is>
      </x:c>
      <x:c r="D47" t="inlineStr">
        <x:is>
          <x:t xml:space="preserve">2. Targeting &amp; Risk</x:t>
        </x:is>
      </x:c>
      <x:c r="E47" t="inlineStr">
        <x:is>
          <x:t xml:space="preserve">V</x:t>
        </x:is>
      </x:c>
      <x:c r="F47" t="n">
        <x:v>0.7</x:v>
      </x:c>
      <x:c r="G47" t="inlineStr">
        <x:is>
          <x:t xml:space="preserve">E</x:t>
        </x:is>
      </x:c>
      <x:c r="H47" t="n">
        <x:v>0.3</x:v>
      </x:c>
      <x:c r="I47" t="inlineStr">
        <x:is>
          <x:t xml:space="preserve">Do we know which roles (or individuals) have unusually high access to sensitive information?</x:t>
        </x:is>
      </x:c>
      <x:c r="J47" t="inlineStr">
        <x:is>
          <x:t xml:space="preserve">Examples: admins, finance controllers, HR payroll, R&amp;D leads, M&amp;A team. The question is about *concentration of access*.</x:t>
        </x:is>
      </x:c>
      <x:c r="L47" t="inlineStr">
        <x:is>
          <x:t xml:space="preserve">RISK_STD</x:t>
        </x:is>
      </x:c>
      <x:c r="M47" t="n">
        <x:v>1</x:v>
      </x:c>
      <x:c r="P47" t="inlineStr">
        <x:is>
          <x:t xml:space="preserve">EXCO-D2-Q03-A1</x:t>
        </x:is>
      </x:c>
      <x:c r="Q47" t="n">
        <x:v>2</x:v>
      </x:c>
      <x:c r="R47" t="inlineStr">
        <x:is>
          <x:t xml:space="preserve">No—we cannot easily see who has the ‘keys to the kingdom’.</x:t>
        </x:is>
      </x:c>
      <x:c r="S47" t="n">
        <x:v>0</x:v>
      </x:c>
      <x:c r="T47" t="inlineStr">
        <x:is>
          <x:t xml:space="preserve">visibility_gap</x:t>
        </x:is>
      </x:c>
      <x:c r="U47" t="inlineStr">
        <x:is>
          <x:t xml:space="preserve">Visibility Gap</x:t>
        </x:is>
      </x:c>
      <x:c r="V47" t="inlineStr">
        <x:is>
          <x:t xml:space="preserve">Role_Mapping</x:t>
        </x:is>
      </x:c>
      <x:c r="W47" t="inlineStr">
        <x:is>
          <x:t xml:space="preserve">N</x:t>
        </x:is>
      </x:c>
      <x:c r="Y47">
        <x:f>(S47*IF(E47="G",F47,0))+(S47*IF(G47="G",H47,0))</x:f>
        <x:v>0</x:v>
      </x:c>
      <x:c r="Z47">
        <x:f>(S47*IF(E47="E",F47,0))+(S47*IF(G47="E",H47,0))</x:f>
        <x:v>0</x:v>
      </x:c>
      <x:c r="AA47">
        <x:f>(S47*IF(E47="T",F47,0))+(S47*IF(G47="T",H47,0))</x:f>
        <x:v>0</x:v>
      </x:c>
      <x:c r="AB47">
        <x:f>(S47*IF(E47="L",F47,0))+(S47*IF(G47="L",H47,0))</x:f>
        <x:v>0</x:v>
      </x:c>
      <x:c r="AC47">
        <x:f>(S47*IF(E47="H",F47,0))+(S47*IF(G47="H",H47,0))</x:f>
        <x:v>0</x:v>
      </x:c>
      <x:c r="AD47">
        <x:f>(S47*IF(E47="V",F47,0))+(S47*IF(G47="V",H47,0))</x:f>
        <x:v>0</x:v>
      </x:c>
      <x:c r="AE47">
        <x:f>(S47*IF(E47="R",F47,0))+(S47*IF(G47="R",H47,0))</x:f>
        <x:v>0</x:v>
      </x:c>
      <x:c r="AF47">
        <x:f>(S47*IF(E47="F",F47,0))+(S47*IF(G47="F",H47,0))</x:f>
        <x:v>0</x:v>
      </x:c>
      <x:c r="AG47">
        <x:f>(S47*IF(E47="W",F47,0))+(S47*IF(G47="W",H47,0))</x:f>
        <x:v>0</x:v>
      </x:c>
      <x:c r="AH47" t="inlineStr">
        <x:is>
          <x:t xml:space="preserve">3. Risk Management</x:t>
        </x:is>
      </x:c>
      <x:c r="AI47" t="inlineStr">
        <x:is>
          <x:t xml:space="preserve">Inventory &amp; Scope</x:t>
        </x:is>
      </x:c>
      <x:c r="AJ47" t="inlineStr">
        <x:is>
          <x:t xml:space="preserve">Crown jewels/HVA identification</x:t>
        </x:is>
      </x:c>
    </x:row>
    <x:row r="48">
      <x:c r="A48" t="inlineStr">
        <x:is>
          <x:t xml:space="preserve">Executive</x:t>
        </x:is>
      </x:c>
      <x:c r="B48" t="inlineStr">
        <x:is>
          <x:t xml:space="preserve">EXCO-D2-Q03</x:t>
        </x:is>
      </x:c>
      <x:c r="C48" t="inlineStr">
        <x:is>
          <x:t xml:space="preserve">T2</x:t>
        </x:is>
      </x:c>
      <x:c r="D48" t="inlineStr">
        <x:is>
          <x:t xml:space="preserve">2. Targeting &amp; Risk</x:t>
        </x:is>
      </x:c>
      <x:c r="E48" t="inlineStr">
        <x:is>
          <x:t xml:space="preserve">V</x:t>
        </x:is>
      </x:c>
      <x:c r="F48" t="n">
        <x:v>0.7</x:v>
      </x:c>
      <x:c r="G48" t="inlineStr">
        <x:is>
          <x:t xml:space="preserve">E</x:t>
        </x:is>
      </x:c>
      <x:c r="H48" t="n">
        <x:v>0.3</x:v>
      </x:c>
      <x:c r="I48" t="inlineStr">
        <x:is>
          <x:t xml:space="preserve">Do we know which roles (or individuals) have unusually high access to sensitive information?</x:t>
        </x:is>
      </x:c>
      <x:c r="J48" t="inlineStr">
        <x:is>
          <x:t xml:space="preserve">Examples: admins, finance controllers, HR payroll, R&amp;D leads, M&amp;A team. The question is about *concentration of access*.</x:t>
        </x:is>
      </x:c>
      <x:c r="L48" t="inlineStr">
        <x:is>
          <x:t xml:space="preserve">RISK_STD</x:t>
        </x:is>
      </x:c>
      <x:c r="M48" t="n">
        <x:v>1</x:v>
      </x:c>
      <x:c r="P48" t="inlineStr">
        <x:is>
          <x:t xml:space="preserve">EXCO-D2-Q03-A2</x:t>
        </x:is>
      </x:c>
      <x:c r="Q48" t="n">
        <x:v>3</x:v>
      </x:c>
      <x:c r="R48" t="inlineStr">
        <x:is>
          <x:t xml:space="preserve">Managers know informally who the ‘key holders’ are, but there is no report or review.</x:t>
        </x:is>
      </x:c>
      <x:c r="S48" t="n">
        <x:v>1</x:v>
      </x:c>
      <x:c r="T48" t="inlineStr">
        <x:is>
          <x:t xml:space="preserve">tribal_knowledge,shadow_signal</x:t>
        </x:is>
      </x:c>
      <x:c r="U48" t="inlineStr">
        <x:is>
          <x:t xml:space="preserve">Shadow Mature</x:t>
        </x:is>
      </x:c>
      <x:c r="V48" t="inlineStr">
        <x:is>
          <x:t xml:space="preserve">Formalize_Access_Reviews</x:t>
        </x:is>
      </x:c>
      <x:c r="W48" t="inlineStr">
        <x:is>
          <x:t xml:space="preserve">N</x:t>
        </x:is>
      </x:c>
      <x:c r="Y48">
        <x:f>(S48*IF(E48="G",F48,0))+(S48*IF(G48="G",H48,0))</x:f>
        <x:v>0</x:v>
      </x:c>
      <x:c r="Z48">
        <x:f>(S48*IF(E48="E",F48,0))+(S48*IF(G48="E",H48,0))</x:f>
        <x:v>0.3</x:v>
      </x:c>
      <x:c r="AA48">
        <x:f>(S48*IF(E48="T",F48,0))+(S48*IF(G48="T",H48,0))</x:f>
        <x:v>0</x:v>
      </x:c>
      <x:c r="AB48">
        <x:f>(S48*IF(E48="L",F48,0))+(S48*IF(G48="L",H48,0))</x:f>
        <x:v>0</x:v>
      </x:c>
      <x:c r="AC48">
        <x:f>(S48*IF(E48="H",F48,0))+(S48*IF(G48="H",H48,0))</x:f>
        <x:v>0</x:v>
      </x:c>
      <x:c r="AD48">
        <x:f>(S48*IF(E48="V",F48,0))+(S48*IF(G48="V",H48,0))</x:f>
        <x:v>0.7</x:v>
      </x:c>
      <x:c r="AE48">
        <x:f>(S48*IF(E48="R",F48,0))+(S48*IF(G48="R",H48,0))</x:f>
        <x:v>0</x:v>
      </x:c>
      <x:c r="AF48">
        <x:f>(S48*IF(E48="F",F48,0))+(S48*IF(G48="F",H48,0))</x:f>
        <x:v>0</x:v>
      </x:c>
      <x:c r="AG48">
        <x:f>(S48*IF(E48="W",F48,0))+(S48*IF(G48="W",H48,0))</x:f>
        <x:v>0</x:v>
      </x:c>
      <x:c r="AH48" t="inlineStr">
        <x:is>
          <x:t xml:space="preserve">3. Risk Management</x:t>
        </x:is>
      </x:c>
      <x:c r="AI48" t="inlineStr">
        <x:is>
          <x:t xml:space="preserve">Inventory &amp; Scope</x:t>
        </x:is>
      </x:c>
      <x:c r="AJ48" t="inlineStr">
        <x:is>
          <x:t xml:space="preserve">Crown jewels/HVA identification</x:t>
        </x:is>
      </x:c>
    </x:row>
    <x:row r="49">
      <x:c r="A49" t="inlineStr">
        <x:is>
          <x:t xml:space="preserve">Executive</x:t>
        </x:is>
      </x:c>
      <x:c r="B49" t="inlineStr">
        <x:is>
          <x:t xml:space="preserve">EXCO-D2-Q03</x:t>
        </x:is>
      </x:c>
      <x:c r="C49" t="inlineStr">
        <x:is>
          <x:t xml:space="preserve">T2</x:t>
        </x:is>
      </x:c>
      <x:c r="D49" t="inlineStr">
        <x:is>
          <x:t xml:space="preserve">2. Targeting &amp; Risk</x:t>
        </x:is>
      </x:c>
      <x:c r="E49" t="inlineStr">
        <x:is>
          <x:t xml:space="preserve">V</x:t>
        </x:is>
      </x:c>
      <x:c r="F49" t="n">
        <x:v>0.7</x:v>
      </x:c>
      <x:c r="G49" t="inlineStr">
        <x:is>
          <x:t xml:space="preserve">E</x:t>
        </x:is>
      </x:c>
      <x:c r="H49" t="n">
        <x:v>0.3</x:v>
      </x:c>
      <x:c r="I49" t="inlineStr">
        <x:is>
          <x:t xml:space="preserve">Do we know which roles (or individuals) have unusually high access to sensitive information?</x:t>
        </x:is>
      </x:c>
      <x:c r="J49" t="inlineStr">
        <x:is>
          <x:t xml:space="preserve">Examples: admins, finance controllers, HR payroll, R&amp;D leads, M&amp;A team. The question is about *concentration of access*.</x:t>
        </x:is>
      </x:c>
      <x:c r="L49" t="inlineStr">
        <x:is>
          <x:t xml:space="preserve">RISK_STD</x:t>
        </x:is>
      </x:c>
      <x:c r="M49" t="n">
        <x:v>1</x:v>
      </x:c>
      <x:c r="P49" t="inlineStr">
        <x:is>
          <x:t xml:space="preserve">EXCO-D2-Q03-A3</x:t>
        </x:is>
      </x:c>
      <x:c r="Q49" t="n">
        <x:v>4</x:v>
      </x:c>
      <x:c r="R49" t="inlineStr">
        <x:is>
          <x:t xml:space="preserve">We can identify privileged roles in IT, but not high-access roles in the business.</x:t>
        </x:is>
      </x:c>
      <x:c r="S49" t="n">
        <x:v>2</x:v>
      </x:c>
      <x:c r="T49" t="inlineStr">
        <x:is>
          <x:t xml:space="preserve">partial_visibility</x:t>
        </x:is>
      </x:c>
      <x:c r="U49" t="inlineStr">
        <x:is>
          <x:t xml:space="preserve">Visibility Gap</x:t>
        </x:is>
      </x:c>
      <x:c r="V49" t="inlineStr">
        <x:is>
          <x:t xml:space="preserve">Expand_Role_Mapping</x:t>
        </x:is>
      </x:c>
      <x:c r="W49" t="inlineStr">
        <x:is>
          <x:t xml:space="preserve">N</x:t>
        </x:is>
      </x:c>
      <x:c r="Y49">
        <x:f>(S49*IF(E49="G",F49,0))+(S49*IF(G49="G",H49,0))</x:f>
        <x:v>0</x:v>
      </x:c>
      <x:c r="Z49">
        <x:f>(S49*IF(E49="E",F49,0))+(S49*IF(G49="E",H49,0))</x:f>
        <x:v>0.6</x:v>
      </x:c>
      <x:c r="AA49">
        <x:f>(S49*IF(E49="T",F49,0))+(S49*IF(G49="T",H49,0))</x:f>
        <x:v>0</x:v>
      </x:c>
      <x:c r="AB49">
        <x:f>(S49*IF(E49="L",F49,0))+(S49*IF(G49="L",H49,0))</x:f>
        <x:v>0</x:v>
      </x:c>
      <x:c r="AC49">
        <x:f>(S49*IF(E49="H",F49,0))+(S49*IF(G49="H",H49,0))</x:f>
        <x:v>0</x:v>
      </x:c>
      <x:c r="AD49">
        <x:f>(S49*IF(E49="V",F49,0))+(S49*IF(G49="V",H49,0))</x:f>
        <x:v>1.4</x:v>
      </x:c>
      <x:c r="AE49">
        <x:f>(S49*IF(E49="R",F49,0))+(S49*IF(G49="R",H49,0))</x:f>
        <x:v>0</x:v>
      </x:c>
      <x:c r="AF49">
        <x:f>(S49*IF(E49="F",F49,0))+(S49*IF(G49="F",H49,0))</x:f>
        <x:v>0</x:v>
      </x:c>
      <x:c r="AG49">
        <x:f>(S49*IF(E49="W",F49,0))+(S49*IF(G49="W",H49,0))</x:f>
        <x:v>0</x:v>
      </x:c>
      <x:c r="AH49" t="inlineStr">
        <x:is>
          <x:t xml:space="preserve">3. Risk Management</x:t>
        </x:is>
      </x:c>
      <x:c r="AI49" t="inlineStr">
        <x:is>
          <x:t xml:space="preserve">Inventory &amp; Scope</x:t>
        </x:is>
      </x:c>
      <x:c r="AJ49" t="inlineStr">
        <x:is>
          <x:t xml:space="preserve">Crown jewels/HVA identification</x:t>
        </x:is>
      </x:c>
    </x:row>
    <x:row r="50">
      <x:c r="A50" t="inlineStr">
        <x:is>
          <x:t xml:space="preserve">Executive</x:t>
        </x:is>
      </x:c>
      <x:c r="B50" t="inlineStr">
        <x:is>
          <x:t xml:space="preserve">EXCO-D2-Q03</x:t>
        </x:is>
      </x:c>
      <x:c r="C50" t="inlineStr">
        <x:is>
          <x:t xml:space="preserve">T2</x:t>
        </x:is>
      </x:c>
      <x:c r="D50" t="inlineStr">
        <x:is>
          <x:t xml:space="preserve">2. Targeting &amp; Risk</x:t>
        </x:is>
      </x:c>
      <x:c r="E50" t="inlineStr">
        <x:is>
          <x:t xml:space="preserve">V</x:t>
        </x:is>
      </x:c>
      <x:c r="F50" t="n">
        <x:v>0.7</x:v>
      </x:c>
      <x:c r="G50" t="inlineStr">
        <x:is>
          <x:t xml:space="preserve">E</x:t>
        </x:is>
      </x:c>
      <x:c r="H50" t="n">
        <x:v>0.3</x:v>
      </x:c>
      <x:c r="I50" t="inlineStr">
        <x:is>
          <x:t xml:space="preserve">Do we know which roles (or individuals) have unusually high access to sensitive information?</x:t>
        </x:is>
      </x:c>
      <x:c r="J50" t="inlineStr">
        <x:is>
          <x:t xml:space="preserve">Examples: admins, finance controllers, HR payroll, R&amp;D leads, M&amp;A team. The question is about *concentration of access*.</x:t>
        </x:is>
      </x:c>
      <x:c r="L50" t="inlineStr">
        <x:is>
          <x:t xml:space="preserve">RISK_STD</x:t>
        </x:is>
      </x:c>
      <x:c r="M50" t="n">
        <x:v>1</x:v>
      </x:c>
      <x:c r="P50" t="inlineStr">
        <x:is>
          <x:t xml:space="preserve">EXCO-D2-Q03-A4</x:t>
        </x:is>
      </x:c>
      <x:c r="Q50" t="n">
        <x:v>5</x:v>
      </x:c>
      <x:c r="R50" t="inlineStr">
        <x:is>
          <x:t xml:space="preserve">We regularly review high-access roles across IT and business functions.</x:t>
        </x:is>
      </x:c>
      <x:c r="S50" t="n">
        <x:v>3</x:v>
      </x:c>
      <x:c r="T50" t="inlineStr">
        <x:is>
          <x:t xml:space="preserve">good_practice</x:t>
        </x:is>
      </x:c>
      <x:c r="V50" t="inlineStr">
        <x:is>
          <x:t xml:space="preserve">Request_Evidence</x:t>
        </x:is>
      </x:c>
      <x:c r="W50" t="inlineStr">
        <x:is>
          <x:t xml:space="preserve">Y</x:t>
        </x:is>
      </x:c>
      <x:c r="X50" t="inlineStr">
        <x:is>
          <x:t xml:space="preserve">Provide latest high-access roles review output.</x:t>
        </x:is>
      </x:c>
      <x:c r="Y50">
        <x:f>(S50*IF(E50="G",F50,0))+(S50*IF(G50="G",H50,0))</x:f>
        <x:v>0</x:v>
      </x:c>
      <x:c r="Z50">
        <x:f>(S50*IF(E50="E",F50,0))+(S50*IF(G50="E",H50,0))</x:f>
        <x:v>0.8999999999999999</x:v>
      </x:c>
      <x:c r="AA50">
        <x:f>(S50*IF(E50="T",F50,0))+(S50*IF(G50="T",H50,0))</x:f>
        <x:v>0</x:v>
      </x:c>
      <x:c r="AB50">
        <x:f>(S50*IF(E50="L",F50,0))+(S50*IF(G50="L",H50,0))</x:f>
        <x:v>0</x:v>
      </x:c>
      <x:c r="AC50">
        <x:f>(S50*IF(E50="H",F50,0))+(S50*IF(G50="H",H50,0))</x:f>
        <x:v>0</x:v>
      </x:c>
      <x:c r="AD50">
        <x:f>(S50*IF(E50="V",F50,0))+(S50*IF(G50="V",H50,0))</x:f>
        <x:v>2.0999999999999996</x:v>
      </x:c>
      <x:c r="AE50">
        <x:f>(S50*IF(E50="R",F50,0))+(S50*IF(G50="R",H50,0))</x:f>
        <x:v>0</x:v>
      </x:c>
      <x:c r="AF50">
        <x:f>(S50*IF(E50="F",F50,0))+(S50*IF(G50="F",H50,0))</x:f>
        <x:v>0</x:v>
      </x:c>
      <x:c r="AG50">
        <x:f>(S50*IF(E50="W",F50,0))+(S50*IF(G50="W",H50,0))</x:f>
        <x:v>0</x:v>
      </x:c>
      <x:c r="AH50" t="inlineStr">
        <x:is>
          <x:t xml:space="preserve">3. Risk Management</x:t>
        </x:is>
      </x:c>
      <x:c r="AI50" t="inlineStr">
        <x:is>
          <x:t xml:space="preserve">Inventory &amp; Scope</x:t>
        </x:is>
      </x:c>
      <x:c r="AJ50" t="inlineStr">
        <x:is>
          <x:t xml:space="preserve">Crown jewels/HVA identification</x:t>
        </x:is>
      </x:c>
    </x:row>
    <x:row r="51">
      <x:c r="A51" t="inlineStr">
        <x:is>
          <x:t xml:space="preserve">Executive</x:t>
        </x:is>
      </x:c>
      <x:c r="B51" t="inlineStr">
        <x:is>
          <x:t xml:space="preserve">EXCO-D2-Q03</x:t>
        </x:is>
      </x:c>
      <x:c r="C51" t="inlineStr">
        <x:is>
          <x:t xml:space="preserve">T2</x:t>
        </x:is>
      </x:c>
      <x:c r="D51" t="inlineStr">
        <x:is>
          <x:t xml:space="preserve">2. Targeting &amp; Risk</x:t>
        </x:is>
      </x:c>
      <x:c r="E51" t="inlineStr">
        <x:is>
          <x:t xml:space="preserve">V</x:t>
        </x:is>
      </x:c>
      <x:c r="F51" t="n">
        <x:v>0.7</x:v>
      </x:c>
      <x:c r="G51" t="inlineStr">
        <x:is>
          <x:t xml:space="preserve">E</x:t>
        </x:is>
      </x:c>
      <x:c r="H51" t="n">
        <x:v>0.3</x:v>
      </x:c>
      <x:c r="I51" t="inlineStr">
        <x:is>
          <x:t xml:space="preserve">Do we know which roles (or individuals) have unusually high access to sensitive information?</x:t>
        </x:is>
      </x:c>
      <x:c r="J51" t="inlineStr">
        <x:is>
          <x:t xml:space="preserve">Examples: admins, finance controllers, HR payroll, R&amp;D leads, M&amp;A team. The question is about *concentration of access*.</x:t>
        </x:is>
      </x:c>
      <x:c r="L51" t="inlineStr">
        <x:is>
          <x:t xml:space="preserve">RISK_STD</x:t>
        </x:is>
      </x:c>
      <x:c r="M51" t="n">
        <x:v>1</x:v>
      </x:c>
      <x:c r="P51" t="inlineStr">
        <x:is>
          <x:t xml:space="preserve">EXCO-D2-Q03-A5</x:t>
        </x:is>
      </x:c>
      <x:c r="Q51" t="n">
        <x:v>6</x:v>
      </x:c>
      <x:c r="R51" t="inlineStr">
        <x:is>
          <x:t xml:space="preserve">High-access roles are continuously monitored with defined thresholds and exceptions tracked.</x:t>
        </x:is>
      </x:c>
      <x:c r="S51" t="n">
        <x:v>4</x:v>
      </x:c>
      <x:c r="T51" t="inlineStr">
        <x:is>
          <x:t xml:space="preserve">optimized</x:t>
        </x:is>
      </x:c>
      <x:c r="V51" t="inlineStr">
        <x:is>
          <x:t xml:space="preserve">Request_Evidence</x:t>
        </x:is>
      </x:c>
      <x:c r="W51" t="inlineStr">
        <x:is>
          <x:t xml:space="preserve">Y</x:t>
        </x:is>
      </x:c>
      <x:c r="Y51">
        <x:f>(S51*IF(E51="G",F51,0))+(S51*IF(G51="G",H51,0))</x:f>
      </x:c>
      <x:c r="Z51">
        <x:f>(S51*IF(E51="E",F51,0))+(S51*IF(G51="E",H51,0))</x:f>
      </x:c>
      <x:c r="AA51">
        <x:f>(S51*IF(E51="T",F51,0))+(S51*IF(G51="T",H51,0))</x:f>
      </x:c>
      <x:c r="AB51">
        <x:f>(S51*IF(E51="L",F51,0))+(S51*IF(G51="L",H51,0))</x:f>
      </x:c>
      <x:c r="AC51">
        <x:f>(S51*IF(E51="H",F51,0))+(S51*IF(G51="H",H51,0))</x:f>
      </x:c>
      <x:c r="AD51">
        <x:f>(S51*IF(E51="V",F51,0))+(S51*IF(G51="V",H51,0))</x:f>
      </x:c>
      <x:c r="AE51">
        <x:f>(S51*IF(E51="R",F51,0))+(S51*IF(G51="R",H51,0))</x:f>
      </x:c>
      <x:c r="AF51">
        <x:f>(S51*IF(E51="F",F51,0))+(S51*IF(G51="F",H51,0))</x:f>
      </x:c>
      <x:c r="AG51">
        <x:f>(S51*IF(E51="W",F51,0))+(S51*IF(G51="W",H51,0))</x:f>
      </x:c>
      <x:c r="AH51" t="inlineStr">
        <x:is>
          <x:t xml:space="preserve">3. Risk Management</x:t>
        </x:is>
      </x:c>
      <x:c r="AI51" t="inlineStr">
        <x:is>
          <x:t xml:space="preserve">Inventory &amp; Scope</x:t>
        </x:is>
      </x:c>
      <x:c r="AJ51" t="inlineStr">
        <x:is>
          <x:t xml:space="preserve">Crown jewels/HVA identification</x:t>
        </x:is>
      </x:c>
    </x:row>
    <x:row r="52">
      <x:c r="A52" t="inlineStr">
        <x:is>
          <x:t xml:space="preserve">Executive</x:t>
        </x:is>
      </x:c>
      <x:c r="B52" t="inlineStr">
        <x:is>
          <x:t xml:space="preserve">EXCO-D2-Q04</x:t>
        </x:is>
      </x:c>
      <x:c r="C52" t="inlineStr">
        <x:is>
          <x:t xml:space="preserve">T2</x:t>
        </x:is>
      </x:c>
      <x:c r="D52" t="inlineStr">
        <x:is>
          <x:t xml:space="preserve">2. Targeting &amp; Risk</x:t>
        </x:is>
      </x:c>
      <x:c r="E52" t="inlineStr">
        <x:is>
          <x:t xml:space="preserve">V</x:t>
        </x:is>
      </x:c>
      <x:c r="F52" t="n">
        <x:v>0.6</x:v>
      </x:c>
      <x:c r="G52" t="inlineStr">
        <x:is>
          <x:t xml:space="preserve">R</x:t>
        </x:is>
      </x:c>
      <x:c r="H52" t="n">
        <x:v>0.4</x:v>
      </x:c>
      <x:c r="I52" t="inlineStr">
        <x:is>
          <x:t xml:space="preserve">Do we have a short list of insider scenarios we care about (e.g., data theft, sabotage, fraud) and have we tested them?</x:t>
        </x:is>
      </x:c>
      <x:c r="J52" t="inlineStr">
        <x:is>
          <x:t xml:space="preserve">Plain examples: someone emailing customer list, deleting cloud backups, copying engineering files, abusing admin rights, misuse of payroll.</x:t>
        </x:is>
      </x:c>
      <x:c r="L52" t="inlineStr">
        <x:is>
          <x:t xml:space="preserve">RISK_STD</x:t>
        </x:is>
      </x:c>
      <x:c r="M52" t="n">
        <x:v>1</x:v>
      </x:c>
      <x:c r="P52" t="inlineStr">
        <x:is>
          <x:t xml:space="preserve">EXCO-D2-Q04-A0</x:t>
        </x:is>
      </x:c>
      <x:c r="Q52" t="n">
        <x:v>1</x:v>
      </x:c>
      <x:c r="R52" t="inlineStr">
        <x:is>
          <x:t xml:space="preserve">I don’t know / not sure.</x:t>
        </x:is>
      </x:c>
      <x:c r="S52" t="n">
        <x:v>0</x:v>
      </x:c>
      <x:c r="T52" t="inlineStr">
        <x:is>
          <x:t xml:space="preserve">unknown</x:t>
        </x:is>
      </x:c>
      <x:c r="U52" t="inlineStr">
        <x:is>
          <x:t xml:space="preserve">Unknown</x:t>
        </x:is>
      </x:c>
      <x:c r="V52" t="inlineStr">
        <x:is>
          <x:t xml:space="preserve">Create_Scenarios</x:t>
        </x:is>
      </x:c>
      <x:c r="W52" t="inlineStr">
        <x:is>
          <x:t xml:space="preserve">N</x:t>
        </x:is>
      </x:c>
      <x:c r="Y52">
        <x:f>(S52*IF(E52="G",F52,0))+(S52*IF(G52="G",H52,0))</x:f>
      </x:c>
      <x:c r="Z52">
        <x:f>(S52*IF(E52="E",F52,0))+(S52*IF(G52="E",H52,0))</x:f>
      </x:c>
      <x:c r="AA52">
        <x:f>(S52*IF(E52="T",F52,0))+(S52*IF(G52="T",H52,0))</x:f>
      </x:c>
      <x:c r="AB52">
        <x:f>(S52*IF(E52="L",F52,0))+(S52*IF(G52="L",H52,0))</x:f>
      </x:c>
      <x:c r="AC52">
        <x:f>(S52*IF(E52="H",F52,0))+(S52*IF(G52="H",H52,0))</x:f>
      </x:c>
      <x:c r="AD52">
        <x:f>(S52*IF(E52="V",F52,0))+(S52*IF(G52="V",H52,0))</x:f>
      </x:c>
      <x:c r="AE52">
        <x:f>(S52*IF(E52="R",F52,0))+(S52*IF(G52="R",H52,0))</x:f>
      </x:c>
      <x:c r="AF52">
        <x:f>(S52*IF(E52="F",F52,0))+(S52*IF(G52="F",H52,0))</x:f>
      </x:c>
      <x:c r="AG52">
        <x:f>(S52*IF(E52="W",F52,0))+(S52*IF(G52="W",H52,0))</x:f>
      </x:c>
      <x:c r="AH52" t="inlineStr">
        <x:is>
          <x:t xml:space="preserve">3. Risk Management</x:t>
        </x:is>
      </x:c>
      <x:c r="AI52" t="inlineStr">
        <x:is>
          <x:t xml:space="preserve">Inventory &amp; Scope</x:t>
        </x:is>
      </x:c>
      <x:c r="AJ52" t="inlineStr">
        <x:is>
          <x:t xml:space="preserve">Crown jewels/HVA identification</x:t>
        </x:is>
      </x:c>
    </x:row>
    <x:row r="53">
      <x:c r="A53" t="inlineStr">
        <x:is>
          <x:t xml:space="preserve">Executive</x:t>
        </x:is>
      </x:c>
      <x:c r="B53" t="inlineStr">
        <x:is>
          <x:t xml:space="preserve">EXCO-D2-Q04</x:t>
        </x:is>
      </x:c>
      <x:c r="C53" t="inlineStr">
        <x:is>
          <x:t xml:space="preserve">T2</x:t>
        </x:is>
      </x:c>
      <x:c r="D53" t="inlineStr">
        <x:is>
          <x:t xml:space="preserve">2. Targeting &amp; Risk</x:t>
        </x:is>
      </x:c>
      <x:c r="E53" t="inlineStr">
        <x:is>
          <x:t xml:space="preserve">V</x:t>
        </x:is>
      </x:c>
      <x:c r="F53" t="n">
        <x:v>0.6</x:v>
      </x:c>
      <x:c r="G53" t="inlineStr">
        <x:is>
          <x:t xml:space="preserve">R</x:t>
        </x:is>
      </x:c>
      <x:c r="H53" t="n">
        <x:v>0.4</x:v>
      </x:c>
      <x:c r="I53" t="inlineStr">
        <x:is>
          <x:t xml:space="preserve">Do we have a short list of insider scenarios we care about (e.g., data theft, sabotage, fraud) and have we tested them?</x:t>
        </x:is>
      </x:c>
      <x:c r="J53" t="inlineStr">
        <x:is>
          <x:t xml:space="preserve">Plain examples: someone emailing customer list, deleting cloud backups, copying engineering files, abusing admin rights, misuse of payroll.</x:t>
        </x:is>
      </x:c>
      <x:c r="L53" t="inlineStr">
        <x:is>
          <x:t xml:space="preserve">RISK_STD</x:t>
        </x:is>
      </x:c>
      <x:c r="M53" t="n">
        <x:v>1</x:v>
      </x:c>
      <x:c r="P53" t="inlineStr">
        <x:is>
          <x:t xml:space="preserve">EXCO-D2-Q04-A1</x:t>
        </x:is>
      </x:c>
      <x:c r="Q53" t="n">
        <x:v>2</x:v>
      </x:c>
      <x:c r="R53" t="inlineStr">
        <x:is>
          <x:t xml:space="preserve">No—we don’t have scenario thinking for insider events.</x:t>
        </x:is>
      </x:c>
      <x:c r="S53" t="n">
        <x:v>0</x:v>
      </x:c>
      <x:c r="T53" t="inlineStr">
        <x:is>
          <x:t xml:space="preserve">foundational_gap</x:t>
        </x:is>
      </x:c>
      <x:c r="U53" t="inlineStr">
        <x:is>
          <x:t xml:space="preserve">Resilience Gap</x:t>
        </x:is>
      </x:c>
      <x:c r="V53" t="inlineStr">
        <x:is>
          <x:t xml:space="preserve">Create_Scenarios</x:t>
        </x:is>
      </x:c>
      <x:c r="W53" t="inlineStr">
        <x:is>
          <x:t xml:space="preserve">N</x:t>
        </x:is>
      </x:c>
      <x:c r="Y53">
        <x:f>(S53*IF(E53="G",F53,0))+(S53*IF(G53="G",H53,0))</x:f>
      </x:c>
      <x:c r="Z53">
        <x:f>(S53*IF(E53="E",F53,0))+(S53*IF(G53="E",H53,0))</x:f>
      </x:c>
      <x:c r="AA53">
        <x:f>(S53*IF(E53="T",F53,0))+(S53*IF(G53="T",H53,0))</x:f>
      </x:c>
      <x:c r="AB53">
        <x:f>(S53*IF(E53="L",F53,0))+(S53*IF(G53="L",H53,0))</x:f>
      </x:c>
      <x:c r="AC53">
        <x:f>(S53*IF(E53="H",F53,0))+(S53*IF(G53="H",H53,0))</x:f>
      </x:c>
      <x:c r="AD53">
        <x:f>(S53*IF(E53="V",F53,0))+(S53*IF(G53="V",H53,0))</x:f>
      </x:c>
      <x:c r="AE53">
        <x:f>(S53*IF(E53="R",F53,0))+(S53*IF(G53="R",H53,0))</x:f>
      </x:c>
      <x:c r="AF53">
        <x:f>(S53*IF(E53="F",F53,0))+(S53*IF(G53="F",H53,0))</x:f>
      </x:c>
      <x:c r="AG53">
        <x:f>(S53*IF(E53="W",F53,0))+(S53*IF(G53="W",H53,0))</x:f>
      </x:c>
      <x:c r="AH53" t="inlineStr">
        <x:is>
          <x:t xml:space="preserve">3. Risk Management</x:t>
        </x:is>
      </x:c>
      <x:c r="AI53" t="inlineStr">
        <x:is>
          <x:t xml:space="preserve">Inventory &amp; Scope</x:t>
        </x:is>
      </x:c>
      <x:c r="AJ53" t="inlineStr">
        <x:is>
          <x:t xml:space="preserve">Crown jewels/HVA identification</x:t>
        </x:is>
      </x:c>
    </x:row>
    <x:row r="54">
      <x:c r="A54" t="inlineStr">
        <x:is>
          <x:t xml:space="preserve">Executive</x:t>
        </x:is>
      </x:c>
      <x:c r="B54" t="inlineStr">
        <x:is>
          <x:t xml:space="preserve">EXCO-D2-Q04</x:t>
        </x:is>
      </x:c>
      <x:c r="C54" t="inlineStr">
        <x:is>
          <x:t xml:space="preserve">T2</x:t>
        </x:is>
      </x:c>
      <x:c r="D54" t="inlineStr">
        <x:is>
          <x:t xml:space="preserve">2. Targeting &amp; Risk</x:t>
        </x:is>
      </x:c>
      <x:c r="E54" t="inlineStr">
        <x:is>
          <x:t xml:space="preserve">V</x:t>
        </x:is>
      </x:c>
      <x:c r="F54" t="n">
        <x:v>0.6</x:v>
      </x:c>
      <x:c r="G54" t="inlineStr">
        <x:is>
          <x:t xml:space="preserve">R</x:t>
        </x:is>
      </x:c>
      <x:c r="H54" t="n">
        <x:v>0.4</x:v>
      </x:c>
      <x:c r="I54" t="inlineStr">
        <x:is>
          <x:t xml:space="preserve">Do we have a short list of insider scenarios we care about (e.g., data theft, sabotage, fraud) and have we tested them?</x:t>
        </x:is>
      </x:c>
      <x:c r="J54" t="inlineStr">
        <x:is>
          <x:t xml:space="preserve">Plain examples: someone emailing customer list, deleting cloud backups, copying engineering files, abusing admin rights, misuse of payroll.</x:t>
        </x:is>
      </x:c>
      <x:c r="L54" t="inlineStr">
        <x:is>
          <x:t xml:space="preserve">RISK_STD</x:t>
        </x:is>
      </x:c>
      <x:c r="M54" t="n">
        <x:v>1</x:v>
      </x:c>
      <x:c r="P54" t="inlineStr">
        <x:is>
          <x:t xml:space="preserve">EXCO-D2-Q04-A2</x:t>
        </x:is>
      </x:c>
      <x:c r="Q54" t="n">
        <x:v>3</x:v>
      </x:c>
      <x:c r="R54" t="inlineStr">
        <x:is>
          <x:t xml:space="preserve">People discuss ‘what-if’ risks informally, but nothing is documented or tested.</x:t>
        </x:is>
      </x:c>
      <x:c r="S54" t="n">
        <x:v>1</x:v>
      </x:c>
      <x:c r="T54" t="inlineStr">
        <x:is>
          <x:t xml:space="preserve">shadow_signal</x:t>
        </x:is>
      </x:c>
      <x:c r="U54" t="inlineStr">
        <x:is>
          <x:t xml:space="preserve">Shadow Mature</x:t>
        </x:is>
      </x:c>
      <x:c r="V54" t="inlineStr">
        <x:is>
          <x:t xml:space="preserve">Document_Scenarios</x:t>
        </x:is>
      </x:c>
      <x:c r="W54" t="inlineStr">
        <x:is>
          <x:t xml:space="preserve">N</x:t>
        </x:is>
      </x:c>
      <x:c r="Y54">
        <x:f>(S54*IF(E54="G",F54,0))+(S54*IF(G54="G",H54,0))</x:f>
      </x:c>
      <x:c r="Z54">
        <x:f>(S54*IF(E54="E",F54,0))+(S54*IF(G54="E",H54,0))</x:f>
      </x:c>
      <x:c r="AA54">
        <x:f>(S54*IF(E54="T",F54,0))+(S54*IF(G54="T",H54,0))</x:f>
      </x:c>
      <x:c r="AB54">
        <x:f>(S54*IF(E54="L",F54,0))+(S54*IF(G54="L",H54,0))</x:f>
      </x:c>
      <x:c r="AC54">
        <x:f>(S54*IF(E54="H",F54,0))+(S54*IF(G54="H",H54,0))</x:f>
      </x:c>
      <x:c r="AD54">
        <x:f>(S54*IF(E54="V",F54,0))+(S54*IF(G54="V",H54,0))</x:f>
      </x:c>
      <x:c r="AE54">
        <x:f>(S54*IF(E54="R",F54,0))+(S54*IF(G54="R",H54,0))</x:f>
      </x:c>
      <x:c r="AF54">
        <x:f>(S54*IF(E54="F",F54,0))+(S54*IF(G54="F",H54,0))</x:f>
      </x:c>
      <x:c r="AG54">
        <x:f>(S54*IF(E54="W",F54,0))+(S54*IF(G54="W",H54,0))</x:f>
      </x:c>
      <x:c r="AH54" t="inlineStr">
        <x:is>
          <x:t xml:space="preserve">3. Risk Management</x:t>
        </x:is>
      </x:c>
      <x:c r="AI54" t="inlineStr">
        <x:is>
          <x:t xml:space="preserve">Inventory &amp; Scope</x:t>
        </x:is>
      </x:c>
      <x:c r="AJ54" t="inlineStr">
        <x:is>
          <x:t xml:space="preserve">Crown jewels/HVA identification</x:t>
        </x:is>
      </x:c>
    </x:row>
    <x:row r="55">
      <x:c r="A55" t="inlineStr">
        <x:is>
          <x:t xml:space="preserve">Executive</x:t>
        </x:is>
      </x:c>
      <x:c r="B55" t="inlineStr">
        <x:is>
          <x:t xml:space="preserve">EXCO-D2-Q04</x:t>
        </x:is>
      </x:c>
      <x:c r="C55" t="inlineStr">
        <x:is>
          <x:t xml:space="preserve">T2</x:t>
        </x:is>
      </x:c>
      <x:c r="D55" t="inlineStr">
        <x:is>
          <x:t xml:space="preserve">2. Targeting &amp; Risk</x:t>
        </x:is>
      </x:c>
      <x:c r="E55" t="inlineStr">
        <x:is>
          <x:t xml:space="preserve">V</x:t>
        </x:is>
      </x:c>
      <x:c r="F55" t="n">
        <x:v>0.6</x:v>
      </x:c>
      <x:c r="G55" t="inlineStr">
        <x:is>
          <x:t xml:space="preserve">R</x:t>
        </x:is>
      </x:c>
      <x:c r="H55" t="n">
        <x:v>0.4</x:v>
      </x:c>
      <x:c r="I55" t="inlineStr">
        <x:is>
          <x:t xml:space="preserve">Do we have a short list of insider scenarios we care about (e.g., data theft, sabotage, fraud) and have we tested them?</x:t>
        </x:is>
      </x:c>
      <x:c r="J55" t="inlineStr">
        <x:is>
          <x:t xml:space="preserve">Plain examples: someone emailing customer list, deleting cloud backups, copying engineering files, abusing admin rights, misuse of payroll.</x:t>
        </x:is>
      </x:c>
      <x:c r="L55" t="inlineStr">
        <x:is>
          <x:t xml:space="preserve">RISK_STD</x:t>
        </x:is>
      </x:c>
      <x:c r="M55" t="n">
        <x:v>1</x:v>
      </x:c>
      <x:c r="P55" t="inlineStr">
        <x:is>
          <x:t xml:space="preserve">EXCO-D2-Q04-A3</x:t>
        </x:is>
      </x:c>
      <x:c r="Q55" t="n">
        <x:v>4</x:v>
      </x:c>
      <x:c r="R55" t="inlineStr">
        <x:is>
          <x:t xml:space="preserve">We have a documented scenario list, but it hasn’t influenced controls or been exercised.</x:t>
        </x:is>
      </x:c>
      <x:c r="S55" t="n">
        <x:v>2</x:v>
      </x:c>
      <x:c r="T55" t="inlineStr">
        <x:is>
          <x:t xml:space="preserve">paper_dragon_signal</x:t>
        </x:is>
      </x:c>
      <x:c r="U55" t="inlineStr">
        <x:is>
          <x:t xml:space="preserve">Paper Dragon</x:t>
        </x:is>
      </x:c>
      <x:c r="V55" t="inlineStr">
        <x:is>
          <x:t xml:space="preserve">Exercise_Scenarios</x:t>
        </x:is>
      </x:c>
      <x:c r="W55" t="inlineStr">
        <x:is>
          <x:t xml:space="preserve">N</x:t>
        </x:is>
      </x:c>
      <x:c r="Y55">
        <x:f>(S55*IF(E55="G",F55,0))+(S55*IF(G55="G",H55,0))</x:f>
      </x:c>
      <x:c r="Z55">
        <x:f>(S55*IF(E55="E",F55,0))+(S55*IF(G55="E",H55,0))</x:f>
      </x:c>
      <x:c r="AA55">
        <x:f>(S55*IF(E55="T",F55,0))+(S55*IF(G55="T",H55,0))</x:f>
      </x:c>
      <x:c r="AB55">
        <x:f>(S55*IF(E55="L",F55,0))+(S55*IF(G55="L",H55,0))</x:f>
      </x:c>
      <x:c r="AC55">
        <x:f>(S55*IF(E55="H",F55,0))+(S55*IF(G55="H",H55,0))</x:f>
      </x:c>
      <x:c r="AD55">
        <x:f>(S55*IF(E55="V",F55,0))+(S55*IF(G55="V",H55,0))</x:f>
      </x:c>
      <x:c r="AE55">
        <x:f>(S55*IF(E55="R",F55,0))+(S55*IF(G55="R",H55,0))</x:f>
      </x:c>
      <x:c r="AF55">
        <x:f>(S55*IF(E55="F",F55,0))+(S55*IF(G55="F",H55,0))</x:f>
      </x:c>
      <x:c r="AG55">
        <x:f>(S55*IF(E55="W",F55,0))+(S55*IF(G55="W",H55,0))</x:f>
      </x:c>
      <x:c r="AH55" t="inlineStr">
        <x:is>
          <x:t xml:space="preserve">3. Risk Management</x:t>
        </x:is>
      </x:c>
      <x:c r="AI55" t="inlineStr">
        <x:is>
          <x:t xml:space="preserve">Inventory &amp; Scope</x:t>
        </x:is>
      </x:c>
      <x:c r="AJ55" t="inlineStr">
        <x:is>
          <x:t xml:space="preserve">Crown jewels/HVA identification</x:t>
        </x:is>
      </x:c>
    </x:row>
    <x:row r="56">
      <x:c r="A56" t="inlineStr">
        <x:is>
          <x:t xml:space="preserve">Executive</x:t>
        </x:is>
      </x:c>
      <x:c r="B56" t="inlineStr">
        <x:is>
          <x:t xml:space="preserve">EXCO-D2-Q04</x:t>
        </x:is>
      </x:c>
      <x:c r="C56" t="inlineStr">
        <x:is>
          <x:t xml:space="preserve">T2</x:t>
        </x:is>
      </x:c>
      <x:c r="D56" t="inlineStr">
        <x:is>
          <x:t xml:space="preserve">2. Targeting &amp; Risk</x:t>
        </x:is>
      </x:c>
      <x:c r="E56" t="inlineStr">
        <x:is>
          <x:t xml:space="preserve">V</x:t>
        </x:is>
      </x:c>
      <x:c r="F56" t="n">
        <x:v>0.6</x:v>
      </x:c>
      <x:c r="G56" t="inlineStr">
        <x:is>
          <x:t xml:space="preserve">R</x:t>
        </x:is>
      </x:c>
      <x:c r="H56" t="n">
        <x:v>0.4</x:v>
      </x:c>
      <x:c r="I56" t="inlineStr">
        <x:is>
          <x:t xml:space="preserve">Do we have a short list of insider scenarios we care about (e.g., data theft, sabotage, fraud) and have we tested them?</x:t>
        </x:is>
      </x:c>
      <x:c r="J56" t="inlineStr">
        <x:is>
          <x:t xml:space="preserve">Plain examples: someone emailing customer list, deleting cloud backups, copying engineering files, abusing admin rights, misuse of payroll.</x:t>
        </x:is>
      </x:c>
      <x:c r="L56" t="inlineStr">
        <x:is>
          <x:t xml:space="preserve">RISK_STD</x:t>
        </x:is>
      </x:c>
      <x:c r="M56" t="n">
        <x:v>1</x:v>
      </x:c>
      <x:c r="P56" t="inlineStr">
        <x:is>
          <x:t xml:space="preserve">EXCO-D2-Q04-A4</x:t>
        </x:is>
      </x:c>
      <x:c r="Q56" t="n">
        <x:v>5</x:v>
      </x:c>
      <x:c r="R56" t="inlineStr">
        <x:is>
          <x:t xml:space="preserve">We have scenarios and we test at least one per year (tabletop or technical test).</x:t>
        </x:is>
      </x:c>
      <x:c r="S56" t="n">
        <x:v>3</x:v>
      </x:c>
      <x:c r="T56" t="inlineStr">
        <x:is>
          <x:t xml:space="preserve">good_practice</x:t>
        </x:is>
      </x:c>
      <x:c r="V56" t="inlineStr">
        <x:is>
          <x:t xml:space="preserve">Request_Evidence</x:t>
        </x:is>
      </x:c>
      <x:c r="W56" t="inlineStr">
        <x:is>
          <x:t xml:space="preserve">Y</x:t>
        </x:is>
      </x:c>
      <x:c r="X56" t="inlineStr">
        <x:is>
          <x:t xml:space="preserve">Provide scenario list + last exercise summary.</x:t>
        </x:is>
      </x:c>
      <x:c r="Y56">
        <x:f>(S56*IF(E56="G",F56,0))+(S56*IF(G56="G",H56,0))</x:f>
      </x:c>
      <x:c r="Z56">
        <x:f>(S56*IF(E56="E",F56,0))+(S56*IF(G56="E",H56,0))</x:f>
      </x:c>
      <x:c r="AA56">
        <x:f>(S56*IF(E56="T",F56,0))+(S56*IF(G56="T",H56,0))</x:f>
      </x:c>
      <x:c r="AB56">
        <x:f>(S56*IF(E56="L",F56,0))+(S56*IF(G56="L",H56,0))</x:f>
      </x:c>
      <x:c r="AC56">
        <x:f>(S56*IF(E56="H",F56,0))+(S56*IF(G56="H",H56,0))</x:f>
      </x:c>
      <x:c r="AD56">
        <x:f>(S56*IF(E56="V",F56,0))+(S56*IF(G56="V",H56,0))</x:f>
      </x:c>
      <x:c r="AE56">
        <x:f>(S56*IF(E56="R",F56,0))+(S56*IF(G56="R",H56,0))</x:f>
      </x:c>
      <x:c r="AF56">
        <x:f>(S56*IF(E56="F",F56,0))+(S56*IF(G56="F",H56,0))</x:f>
      </x:c>
      <x:c r="AG56">
        <x:f>(S56*IF(E56="W",F56,0))+(S56*IF(G56="W",H56,0))</x:f>
      </x:c>
      <x:c r="AH56" t="inlineStr">
        <x:is>
          <x:t xml:space="preserve">3. Risk Management</x:t>
        </x:is>
      </x:c>
      <x:c r="AI56" t="inlineStr">
        <x:is>
          <x:t xml:space="preserve">Inventory &amp; Scope</x:t>
        </x:is>
      </x:c>
      <x:c r="AJ56" t="inlineStr">
        <x:is>
          <x:t xml:space="preserve">Crown jewels/HVA identification</x:t>
        </x:is>
      </x:c>
    </x:row>
    <x:row r="57">
      <x:c r="A57" t="inlineStr">
        <x:is>
          <x:t xml:space="preserve">Executive</x:t>
        </x:is>
      </x:c>
      <x:c r="B57" t="inlineStr">
        <x:is>
          <x:t xml:space="preserve">EXCO-D2-Q04</x:t>
        </x:is>
      </x:c>
      <x:c r="C57" t="inlineStr">
        <x:is>
          <x:t xml:space="preserve">T2</x:t>
        </x:is>
      </x:c>
      <x:c r="D57" t="inlineStr">
        <x:is>
          <x:t xml:space="preserve">2. Targeting &amp; Risk</x:t>
        </x:is>
      </x:c>
      <x:c r="E57" t="inlineStr">
        <x:is>
          <x:t xml:space="preserve">V</x:t>
        </x:is>
      </x:c>
      <x:c r="F57" t="n">
        <x:v>0.6</x:v>
      </x:c>
      <x:c r="G57" t="inlineStr">
        <x:is>
          <x:t xml:space="preserve">R</x:t>
        </x:is>
      </x:c>
      <x:c r="H57" t="n">
        <x:v>0.4</x:v>
      </x:c>
      <x:c r="I57" t="inlineStr">
        <x:is>
          <x:t xml:space="preserve">Do we have a short list of insider scenarios we care about (e.g., data theft, sabotage, fraud) and have we tested them?</x:t>
        </x:is>
      </x:c>
      <x:c r="J57" t="inlineStr">
        <x:is>
          <x:t xml:space="preserve">Plain examples: someone emailing customer list, deleting cloud backups, copying engineering files, abusing admin rights, misuse of payroll.</x:t>
        </x:is>
      </x:c>
      <x:c r="L57" t="inlineStr">
        <x:is>
          <x:t xml:space="preserve">RISK_STD</x:t>
        </x:is>
      </x:c>
      <x:c r="M57" t="n">
        <x:v>1</x:v>
      </x:c>
      <x:c r="P57" t="inlineStr">
        <x:is>
          <x:t xml:space="preserve">EXCO-D2-Q04-A5</x:t>
        </x:is>
      </x:c>
      <x:c r="Q57" t="n">
        <x:v>6</x:v>
      </x:c>
      <x:c r="R57" t="inlineStr">
        <x:is>
          <x:t xml:space="preserve">Scenarios drive control improvements and detection engineering; tests are scheduled and lessons tracked.</x:t>
        </x:is>
      </x:c>
      <x:c r="S57" t="n">
        <x:v>4</x:v>
      </x:c>
      <x:c r="T57" t="inlineStr">
        <x:is>
          <x:t xml:space="preserve">optimized</x:t>
        </x:is>
      </x:c>
      <x:c r="V57" t="inlineStr">
        <x:is>
          <x:t xml:space="preserve">Request_Evidence</x:t>
        </x:is>
      </x:c>
      <x:c r="W57" t="inlineStr">
        <x:is>
          <x:t xml:space="preserve">Y</x:t>
        </x:is>
      </x:c>
      <x:c r="Y57">
        <x:f>(S57*IF(E57="G",F57,0))+(S57*IF(G57="G",H57,0))</x:f>
      </x:c>
      <x:c r="Z57">
        <x:f>(S57*IF(E57="E",F57,0))+(S57*IF(G57="E",H57,0))</x:f>
      </x:c>
      <x:c r="AA57">
        <x:f>(S57*IF(E57="T",F57,0))+(S57*IF(G57="T",H57,0))</x:f>
      </x:c>
      <x:c r="AB57">
        <x:f>(S57*IF(E57="L",F57,0))+(S57*IF(G57="L",H57,0))</x:f>
      </x:c>
      <x:c r="AC57">
        <x:f>(S57*IF(E57="H",F57,0))+(S57*IF(G57="H",H57,0))</x:f>
      </x:c>
      <x:c r="AD57">
        <x:f>(S57*IF(E57="V",F57,0))+(S57*IF(G57="V",H57,0))</x:f>
      </x:c>
      <x:c r="AE57">
        <x:f>(S57*IF(E57="R",F57,0))+(S57*IF(G57="R",H57,0))</x:f>
      </x:c>
      <x:c r="AF57">
        <x:f>(S57*IF(E57="F",F57,0))+(S57*IF(G57="F",H57,0))</x:f>
      </x:c>
      <x:c r="AG57">
        <x:f>(S57*IF(E57="W",F57,0))+(S57*IF(G57="W",H57,0))</x:f>
      </x:c>
      <x:c r="AH57" t="inlineStr">
        <x:is>
          <x:t xml:space="preserve">3. Risk Management</x:t>
        </x:is>
      </x:c>
      <x:c r="AI57" t="inlineStr">
        <x:is>
          <x:t xml:space="preserve">Inventory &amp; Scope</x:t>
        </x:is>
      </x:c>
      <x:c r="AJ57" t="inlineStr">
        <x:is>
          <x:t xml:space="preserve">Crown jewels/HVA identification</x:t>
        </x:is>
      </x:c>
    </x:row>
    <x:row r="58">
      <x:c r="A58" t="inlineStr">
        <x:is>
          <x:t xml:space="preserve">Executive</x:t>
        </x:is>
      </x:c>
      <x:c r="B58" t="inlineStr">
        <x:is>
          <x:t xml:space="preserve">EXCO-D2-Q05</x:t>
        </x:is>
      </x:c>
      <x:c r="C58" t="inlineStr">
        <x:is>
          <x:t xml:space="preserve">T2</x:t>
        </x:is>
      </x:c>
      <x:c r="D58" t="inlineStr">
        <x:is>
          <x:t xml:space="preserve">2. Targeting &amp; Risk</x:t>
        </x:is>
      </x:c>
      <x:c r="E58" t="inlineStr">
        <x:is>
          <x:t xml:space="preserve">V</x:t>
        </x:is>
      </x:c>
      <x:c r="F58" t="n">
        <x:v>0.5</x:v>
      </x:c>
      <x:c r="G58" t="inlineStr">
        <x:is>
          <x:t xml:space="preserve">R</x:t>
        </x:is>
      </x:c>
      <x:c r="H58" t="n">
        <x:v>0.5</x:v>
      </x:c>
      <x:c r="I58" t="inlineStr">
        <x:is>
          <x:t xml:space="preserve">(Shadow probe) If an insider incident happened tomorrow, do we have a pre-agreed view of the ‘top 3’ insider risks?</x:t>
        </x:is>
      </x:c>
      <x:c r="J58" t="inlineStr">
        <x:is>
          <x:t xml:space="preserve">This tests whether leadership alignment exists even without formal documentation.</x:t>
        </x:is>
      </x:c>
      <x:c r="L58" t="inlineStr">
        <x:is>
          <x:t xml:space="preserve">RISK_STD</x:t>
        </x:is>
      </x:c>
      <x:c r="M58" t="n">
        <x:v>1</x:v>
      </x:c>
      <x:c r="P58" t="inlineStr">
        <x:is>
          <x:t xml:space="preserve">EXCO-D2-Q05-A1</x:t>
        </x:is>
      </x:c>
      <x:c r="Q58" t="n">
        <x:v>1</x:v>
      </x:c>
      <x:c r="R58" t="inlineStr">
        <x:is>
          <x:t xml:space="preserve">No—there is no shared view; it would be decided during the incident.</x:t>
        </x:is>
      </x:c>
      <x:c r="S58" t="n">
        <x:v>0</x:v>
      </x:c>
      <x:c r="T58" t="inlineStr">
        <x:is>
          <x:t xml:space="preserve">misalignment_signal</x:t>
        </x:is>
      </x:c>
      <x:c r="U58" t="inlineStr">
        <x:is>
          <x:t xml:space="preserve">Operating Model Gap</x:t>
        </x:is>
      </x:c>
      <x:c r="V58" t="inlineStr">
        <x:is>
          <x:t xml:space="preserve">Align_On_Scenarios</x:t>
        </x:is>
      </x:c>
      <x:c r="W58" t="inlineStr">
        <x:is>
          <x:t xml:space="preserve">N</x:t>
        </x:is>
      </x:c>
      <x:c r="Y58">
        <x:f>(S58*IF(E58="G",F58,0))+(S58*IF(G58="G",H58,0))</x:f>
      </x:c>
      <x:c r="Z58">
        <x:f>(S58*IF(E58="E",F58,0))+(S58*IF(G58="E",H58,0))</x:f>
      </x:c>
      <x:c r="AA58">
        <x:f>(S58*IF(E58="T",F58,0))+(S58*IF(G58="T",H58,0))</x:f>
      </x:c>
      <x:c r="AB58">
        <x:f>(S58*IF(E58="L",F58,0))+(S58*IF(G58="L",H58,0))</x:f>
      </x:c>
      <x:c r="AC58">
        <x:f>(S58*IF(E58="H",F58,0))+(S58*IF(G58="H",H58,0))</x:f>
      </x:c>
      <x:c r="AD58">
        <x:f>(S58*IF(E58="V",F58,0))+(S58*IF(G58="V",H58,0))</x:f>
      </x:c>
      <x:c r="AE58">
        <x:f>(S58*IF(E58="R",F58,0))+(S58*IF(G58="R",H58,0))</x:f>
      </x:c>
      <x:c r="AF58">
        <x:f>(S58*IF(E58="F",F58,0))+(S58*IF(G58="F",H58,0))</x:f>
      </x:c>
      <x:c r="AG58">
        <x:f>(S58*IF(E58="W",F58,0))+(S58*IF(G58="W",H58,0))</x:f>
      </x:c>
      <x:c r="AH58" t="inlineStr">
        <x:is>
          <x:t xml:space="preserve">8. Investigation &amp; Response</x:t>
        </x:is>
      </x:c>
      <x:c r="AI58" t="inlineStr">
        <x:is>
          <x:t xml:space="preserve">Incident Action</x:t>
        </x:is>
      </x:c>
      <x:c r="AJ58" t="inlineStr">
        <x:is>
          <x:t xml:space="preserve">Insider response playbooks (by scenario)</x:t>
        </x:is>
      </x:c>
    </x:row>
    <x:row r="59">
      <x:c r="A59" t="inlineStr">
        <x:is>
          <x:t xml:space="preserve">Executive</x:t>
        </x:is>
      </x:c>
      <x:c r="B59" t="inlineStr">
        <x:is>
          <x:t xml:space="preserve">EXCO-D2-Q05</x:t>
        </x:is>
      </x:c>
      <x:c r="C59" t="inlineStr">
        <x:is>
          <x:t xml:space="preserve">T2</x:t>
        </x:is>
      </x:c>
      <x:c r="D59" t="inlineStr">
        <x:is>
          <x:t xml:space="preserve">2. Targeting &amp; Risk</x:t>
        </x:is>
      </x:c>
      <x:c r="E59" t="inlineStr">
        <x:is>
          <x:t xml:space="preserve">V</x:t>
        </x:is>
      </x:c>
      <x:c r="F59" t="n">
        <x:v>0.5</x:v>
      </x:c>
      <x:c r="G59" t="inlineStr">
        <x:is>
          <x:t xml:space="preserve">R</x:t>
        </x:is>
      </x:c>
      <x:c r="H59" t="n">
        <x:v>0.5</x:v>
      </x:c>
      <x:c r="I59" t="inlineStr">
        <x:is>
          <x:t xml:space="preserve">(Shadow probe) If an insider incident happened tomorrow, do we have a pre-agreed view of the ‘top 3’ insider risks?</x:t>
        </x:is>
      </x:c>
      <x:c r="J59" t="inlineStr">
        <x:is>
          <x:t xml:space="preserve">This tests whether leadership alignment exists even without formal documentation.</x:t>
        </x:is>
      </x:c>
      <x:c r="L59" t="inlineStr">
        <x:is>
          <x:t xml:space="preserve">RISK_STD</x:t>
        </x:is>
      </x:c>
      <x:c r="M59" t="n">
        <x:v>1</x:v>
      </x:c>
      <x:c r="P59" t="inlineStr">
        <x:is>
          <x:t xml:space="preserve">EXCO-D2-Q05-A2</x:t>
        </x:is>
      </x:c>
      <x:c r="Q59" t="n">
        <x:v>2</x:v>
      </x:c>
      <x:c r="R59" t="inlineStr">
        <x:is>
          <x:t xml:space="preserve">Some leaders have a view, but it’s not shared or consistent across the business.</x:t>
        </x:is>
      </x:c>
      <x:c r="S59" t="n">
        <x:v>1</x:v>
      </x:c>
      <x:c r="T59" t="inlineStr">
        <x:is>
          <x:t xml:space="preserve">misalignment_signal</x:t>
        </x:is>
      </x:c>
      <x:c r="U59" t="inlineStr">
        <x:is>
          <x:t xml:space="preserve">Operating Model Gap</x:t>
        </x:is>
      </x:c>
      <x:c r="V59" t="inlineStr">
        <x:is>
          <x:t xml:space="preserve">Align_On_Scenarios</x:t>
        </x:is>
      </x:c>
      <x:c r="W59" t="inlineStr">
        <x:is>
          <x:t xml:space="preserve">N</x:t>
        </x:is>
      </x:c>
      <x:c r="Y59">
        <x:f>(S59*IF(E59="G",F59,0))+(S59*IF(G59="G",H59,0))</x:f>
      </x:c>
      <x:c r="Z59">
        <x:f>(S59*IF(E59="E",F59,0))+(S59*IF(G59="E",H59,0))</x:f>
      </x:c>
      <x:c r="AA59">
        <x:f>(S59*IF(E59="T",F59,0))+(S59*IF(G59="T",H59,0))</x:f>
      </x:c>
      <x:c r="AB59">
        <x:f>(S59*IF(E59="L",F59,0))+(S59*IF(G59="L",H59,0))</x:f>
      </x:c>
      <x:c r="AC59">
        <x:f>(S59*IF(E59="H",F59,0))+(S59*IF(G59="H",H59,0))</x:f>
      </x:c>
      <x:c r="AD59">
        <x:f>(S59*IF(E59="V",F59,0))+(S59*IF(G59="V",H59,0))</x:f>
      </x:c>
      <x:c r="AE59">
        <x:f>(S59*IF(E59="R",F59,0))+(S59*IF(G59="R",H59,0))</x:f>
      </x:c>
      <x:c r="AF59">
        <x:f>(S59*IF(E59="F",F59,0))+(S59*IF(G59="F",H59,0))</x:f>
      </x:c>
      <x:c r="AG59">
        <x:f>(S59*IF(E59="W",F59,0))+(S59*IF(G59="W",H59,0))</x:f>
      </x:c>
      <x:c r="AH59" t="inlineStr">
        <x:is>
          <x:t xml:space="preserve">8. Investigation &amp; Response</x:t>
        </x:is>
      </x:c>
      <x:c r="AI59" t="inlineStr">
        <x:is>
          <x:t xml:space="preserve">Incident Action</x:t>
        </x:is>
      </x:c>
      <x:c r="AJ59" t="inlineStr">
        <x:is>
          <x:t xml:space="preserve">Insider response playbooks (by scenario)</x:t>
        </x:is>
      </x:c>
    </x:row>
    <x:row r="60">
      <x:c r="A60" t="inlineStr">
        <x:is>
          <x:t xml:space="preserve">Executive</x:t>
        </x:is>
      </x:c>
      <x:c r="B60" t="inlineStr">
        <x:is>
          <x:t xml:space="preserve">EXCO-D2-Q05</x:t>
        </x:is>
      </x:c>
      <x:c r="C60" t="inlineStr">
        <x:is>
          <x:t xml:space="preserve">T2</x:t>
        </x:is>
      </x:c>
      <x:c r="D60" t="inlineStr">
        <x:is>
          <x:t xml:space="preserve">2. Targeting &amp; Risk</x:t>
        </x:is>
      </x:c>
      <x:c r="E60" t="inlineStr">
        <x:is>
          <x:t xml:space="preserve">V</x:t>
        </x:is>
      </x:c>
      <x:c r="F60" t="n">
        <x:v>0.5</x:v>
      </x:c>
      <x:c r="G60" t="inlineStr">
        <x:is>
          <x:t xml:space="preserve">R</x:t>
        </x:is>
      </x:c>
      <x:c r="H60" t="n">
        <x:v>0.5</x:v>
      </x:c>
      <x:c r="I60" t="inlineStr">
        <x:is>
          <x:t xml:space="preserve">(Shadow probe) If an insider incident happened tomorrow, do we have a pre-agreed view of the ‘top 3’ insider risks?</x:t>
        </x:is>
      </x:c>
      <x:c r="J60" t="inlineStr">
        <x:is>
          <x:t xml:space="preserve">This tests whether leadership alignment exists even without formal documentation.</x:t>
        </x:is>
      </x:c>
      <x:c r="L60" t="inlineStr">
        <x:is>
          <x:t xml:space="preserve">RISK_STD</x:t>
        </x:is>
      </x:c>
      <x:c r="M60" t="n">
        <x:v>1</x:v>
      </x:c>
      <x:c r="P60" t="inlineStr">
        <x:is>
          <x:t xml:space="preserve">EXCO-D2-Q05-A3</x:t>
        </x:is>
      </x:c>
      <x:c r="Q60" t="n">
        <x:v>3</x:v>
      </x:c>
      <x:c r="R60" t="inlineStr">
        <x:is>
          <x:t xml:space="preserve">Yes—there is broad alignment, but we haven’t translated it into playbooks or tests.</x:t>
        </x:is>
      </x:c>
      <x:c r="S60" t="n">
        <x:v>2</x:v>
      </x:c>
      <x:c r="T60" t="inlineStr">
        <x:is>
          <x:t xml:space="preserve">shadow_signal</x:t>
        </x:is>
      </x:c>
      <x:c r="U60" t="inlineStr">
        <x:is>
          <x:t xml:space="preserve">Shadow Mature</x:t>
        </x:is>
      </x:c>
      <x:c r="V60" t="inlineStr">
        <x:is>
          <x:t xml:space="preserve">Convert_To_Playbooks</x:t>
        </x:is>
      </x:c>
      <x:c r="W60" t="inlineStr">
        <x:is>
          <x:t xml:space="preserve">N</x:t>
        </x:is>
      </x:c>
      <x:c r="Y60">
        <x:f>(S60*IF(E60="G",F60,0))+(S60*IF(G60="G",H60,0))</x:f>
      </x:c>
      <x:c r="Z60">
        <x:f>(S60*IF(E60="E",F60,0))+(S60*IF(G60="E",H60,0))</x:f>
      </x:c>
      <x:c r="AA60">
        <x:f>(S60*IF(E60="T",F60,0))+(S60*IF(G60="T",H60,0))</x:f>
      </x:c>
      <x:c r="AB60">
        <x:f>(S60*IF(E60="L",F60,0))+(S60*IF(G60="L",H60,0))</x:f>
      </x:c>
      <x:c r="AC60">
        <x:f>(S60*IF(E60="H",F60,0))+(S60*IF(G60="H",H60,0))</x:f>
      </x:c>
      <x:c r="AD60">
        <x:f>(S60*IF(E60="V",F60,0))+(S60*IF(G60="V",H60,0))</x:f>
      </x:c>
      <x:c r="AE60">
        <x:f>(S60*IF(E60="R",F60,0))+(S60*IF(G60="R",H60,0))</x:f>
      </x:c>
      <x:c r="AF60">
        <x:f>(S60*IF(E60="F",F60,0))+(S60*IF(G60="F",H60,0))</x:f>
      </x:c>
      <x:c r="AG60">
        <x:f>(S60*IF(E60="W",F60,0))+(S60*IF(G60="W",H60,0))</x:f>
      </x:c>
      <x:c r="AH60" t="inlineStr">
        <x:is>
          <x:t xml:space="preserve">8. Investigation &amp; Response</x:t>
        </x:is>
      </x:c>
      <x:c r="AI60" t="inlineStr">
        <x:is>
          <x:t xml:space="preserve">Incident Action</x:t>
        </x:is>
      </x:c>
      <x:c r="AJ60" t="inlineStr">
        <x:is>
          <x:t xml:space="preserve">Insider response playbooks (by scenario)</x:t>
        </x:is>
      </x:c>
    </x:row>
    <x:row r="61">
      <x:c r="A61" t="inlineStr">
        <x:is>
          <x:t xml:space="preserve">Executive</x:t>
        </x:is>
      </x:c>
      <x:c r="B61" t="inlineStr">
        <x:is>
          <x:t xml:space="preserve">EXCO-D2-Q06</x:t>
        </x:is>
      </x:c>
      <x:c r="C61" t="inlineStr">
        <x:is>
          <x:t xml:space="preserve">T2</x:t>
        </x:is>
      </x:c>
      <x:c r="D61" t="inlineStr">
        <x:is>
          <x:t xml:space="preserve">2. Targeting &amp; Risk</x:t>
        </x:is>
      </x:c>
      <x:c r="E61" t="inlineStr">
        <x:is>
          <x:t xml:space="preserve">W</x:t>
        </x:is>
      </x:c>
      <x:c r="F61" t="n">
        <x:v>1</x:v>
      </x:c>
      <x:c r="G61" t="inlineStr">
        <x:is>
          <x:t xml:space="preserve">-</x:t>
        </x:is>
      </x:c>
      <x:c r="I61" t="inlineStr">
        <x:is>
          <x:t xml:space="preserve">During big changes (M&amp;A, layoffs, restructures), how quickly can we adjust access and monitoring to reduce risk?</x:t>
        </x:is>
      </x:c>
      <x:c r="J61" t="inlineStr">
        <x:is>
          <x:t xml:space="preserve">This is about ‘control lag’—how long it takes to tighten/adjust controls when the organisation changes.</x:t>
        </x:is>
      </x:c>
      <x:c r="L61" t="inlineStr">
        <x:is>
          <x:t xml:space="preserve">OPS_STD</x:t>
        </x:is>
      </x:c>
      <x:c r="M61" t="n">
        <x:v>1</x:v>
      </x:c>
      <x:c r="P61" t="inlineStr">
        <x:is>
          <x:t xml:space="preserve">EXCO-D2-Q06-A0</x:t>
        </x:is>
      </x:c>
      <x:c r="Q61" t="n">
        <x:v>1</x:v>
      </x:c>
      <x:c r="R61" t="inlineStr">
        <x:is>
          <x:t xml:space="preserve">I don’t know / not sure.</x:t>
        </x:is>
      </x:c>
      <x:c r="S61" t="n">
        <x:v>0</x:v>
      </x:c>
      <x:c r="T61" t="inlineStr">
        <x:is>
          <x:t xml:space="preserve">unknown</x:t>
        </x:is>
      </x:c>
      <x:c r="U61" t="inlineStr">
        <x:is>
          <x:t xml:space="preserve">Unknown</x:t>
        </x:is>
      </x:c>
      <x:c r="V61" t="inlineStr">
        <x:is>
          <x:t xml:space="preserve">Assess_Control_Lag</x:t>
        </x:is>
      </x:c>
      <x:c r="W61" t="inlineStr">
        <x:is>
          <x:t xml:space="preserve">N</x:t>
        </x:is>
      </x:c>
      <x:c r="Y61">
        <x:f>(S61*IF(E61="G",F61,0))+(S61*IF(G61="G",H61,0))</x:f>
      </x:c>
      <x:c r="Z61">
        <x:f>(S61*IF(E61="E",F61,0))+(S61*IF(G61="E",H61,0))</x:f>
      </x:c>
      <x:c r="AA61">
        <x:f>(S61*IF(E61="T",F61,0))+(S61*IF(G61="T",H61,0))</x:f>
      </x:c>
      <x:c r="AB61">
        <x:f>(S61*IF(E61="L",F61,0))+(S61*IF(G61="L",H61,0))</x:f>
      </x:c>
      <x:c r="AC61">
        <x:f>(S61*IF(E61="H",F61,0))+(S61*IF(G61="H",H61,0))</x:f>
      </x:c>
      <x:c r="AD61">
        <x:f>(S61*IF(E61="V",F61,0))+(S61*IF(G61="V",H61,0))</x:f>
      </x:c>
      <x:c r="AE61">
        <x:f>(S61*IF(E61="R",F61,0))+(S61*IF(G61="R",H61,0))</x:f>
      </x:c>
      <x:c r="AF61">
        <x:f>(S61*IF(E61="F",F61,0))+(S61*IF(G61="F",H61,0))</x:f>
      </x:c>
      <x:c r="AG61">
        <x:f>(S61*IF(E61="W",F61,0))+(S61*IF(G61="W",H61,0))</x:f>
      </x:c>
      <x:c r="AH61" t="inlineStr">
        <x:is>
          <x:t xml:space="preserve">1. Strategy &amp; Governance</x:t>
        </x:is>
      </x:c>
      <x:c r="AI61" t="inlineStr">
        <x:is>
          <x:t xml:space="preserve">Scope &amp; Boundaries</x:t>
        </x:is>
      </x:c>
      <x:c r="AJ61" t="inlineStr">
        <x:is>
          <x:t xml:space="preserve">Exceptions &amp; risk acceptance</x:t>
        </x:is>
      </x:c>
    </x:row>
    <x:row r="62">
      <x:c r="A62" t="inlineStr">
        <x:is>
          <x:t xml:space="preserve">Executive</x:t>
        </x:is>
      </x:c>
      <x:c r="B62" t="inlineStr">
        <x:is>
          <x:t xml:space="preserve">EXCO-D2-Q06</x:t>
        </x:is>
      </x:c>
      <x:c r="C62" t="inlineStr">
        <x:is>
          <x:t xml:space="preserve">T2</x:t>
        </x:is>
      </x:c>
      <x:c r="D62" t="inlineStr">
        <x:is>
          <x:t xml:space="preserve">2. Targeting &amp; Risk</x:t>
        </x:is>
      </x:c>
      <x:c r="E62" t="inlineStr">
        <x:is>
          <x:t xml:space="preserve">W</x:t>
        </x:is>
      </x:c>
      <x:c r="F62" t="n">
        <x:v>1</x:v>
      </x:c>
      <x:c r="G62" t="inlineStr">
        <x:is>
          <x:t xml:space="preserve">-</x:t>
        </x:is>
      </x:c>
      <x:c r="I62" t="inlineStr">
        <x:is>
          <x:t xml:space="preserve">During big changes (M&amp;A, layoffs, restructures), how quickly can we adjust access and monitoring to reduce risk?</x:t>
        </x:is>
      </x:c>
      <x:c r="J62" t="inlineStr">
        <x:is>
          <x:t xml:space="preserve">This is about ‘control lag’—how long it takes to tighten/adjust controls when the organisation changes.</x:t>
        </x:is>
      </x:c>
      <x:c r="L62" t="inlineStr">
        <x:is>
          <x:t xml:space="preserve">OPS_STD</x:t>
        </x:is>
      </x:c>
      <x:c r="M62" t="n">
        <x:v>1</x:v>
      </x:c>
      <x:c r="P62" t="inlineStr">
        <x:is>
          <x:t xml:space="preserve">EXCO-D2-Q06-A1</x:t>
        </x:is>
      </x:c>
      <x:c r="Q62" t="n">
        <x:v>2</x:v>
      </x:c>
      <x:c r="R62" t="inlineStr">
        <x:is>
          <x:t xml:space="preserve">We don’t adjust; we treat change events the same as normal operations.</x:t>
        </x:is>
      </x:c>
      <x:c r="S62" t="n">
        <x:v>0</x:v>
      </x:c>
      <x:c r="T62" t="inlineStr">
        <x:is>
          <x:t xml:space="preserve">control_lag_high</x:t>
        </x:is>
      </x:c>
      <x:c r="U62" t="inlineStr">
        <x:is>
          <x:t xml:space="preserve">Control Lag</x:t>
        </x:is>
      </x:c>
      <x:c r="V62" t="inlineStr">
        <x:is>
          <x:t xml:space="preserve">ControlLag_Sprint</x:t>
        </x:is>
      </x:c>
      <x:c r="W62" t="inlineStr">
        <x:is>
          <x:t xml:space="preserve">N</x:t>
        </x:is>
      </x:c>
      <x:c r="Y62">
        <x:f>(S62*IF(E62="G",F62,0))+(S62*IF(G62="G",H62,0))</x:f>
      </x:c>
      <x:c r="Z62">
        <x:f>(S62*IF(E62="E",F62,0))+(S62*IF(G62="E",H62,0))</x:f>
      </x:c>
      <x:c r="AA62">
        <x:f>(S62*IF(E62="T",F62,0))+(S62*IF(G62="T",H62,0))</x:f>
      </x:c>
      <x:c r="AB62">
        <x:f>(S62*IF(E62="L",F62,0))+(S62*IF(G62="L",H62,0))</x:f>
      </x:c>
      <x:c r="AC62">
        <x:f>(S62*IF(E62="H",F62,0))+(S62*IF(G62="H",H62,0))</x:f>
      </x:c>
      <x:c r="AD62">
        <x:f>(S62*IF(E62="V",F62,0))+(S62*IF(G62="V",H62,0))</x:f>
      </x:c>
      <x:c r="AE62">
        <x:f>(S62*IF(E62="R",F62,0))+(S62*IF(G62="R",H62,0))</x:f>
      </x:c>
      <x:c r="AF62">
        <x:f>(S62*IF(E62="F",F62,0))+(S62*IF(G62="F",H62,0))</x:f>
      </x:c>
      <x:c r="AG62">
        <x:f>(S62*IF(E62="W",F62,0))+(S62*IF(G62="W",H62,0))</x:f>
      </x:c>
      <x:c r="AH62" t="inlineStr">
        <x:is>
          <x:t xml:space="preserve">1. Strategy &amp; Governance</x:t>
        </x:is>
      </x:c>
      <x:c r="AI62" t="inlineStr">
        <x:is>
          <x:t xml:space="preserve">Scope &amp; Boundaries</x:t>
        </x:is>
      </x:c>
      <x:c r="AJ62" t="inlineStr">
        <x:is>
          <x:t xml:space="preserve">Exceptions &amp; risk acceptance</x:t>
        </x:is>
      </x:c>
    </x:row>
    <x:row r="63">
      <x:c r="A63" t="inlineStr">
        <x:is>
          <x:t xml:space="preserve">Executive</x:t>
        </x:is>
      </x:c>
      <x:c r="B63" t="inlineStr">
        <x:is>
          <x:t xml:space="preserve">EXCO-D2-Q06</x:t>
        </x:is>
      </x:c>
      <x:c r="C63" t="inlineStr">
        <x:is>
          <x:t xml:space="preserve">T2</x:t>
        </x:is>
      </x:c>
      <x:c r="D63" t="inlineStr">
        <x:is>
          <x:t xml:space="preserve">2. Targeting &amp; Risk</x:t>
        </x:is>
      </x:c>
      <x:c r="E63" t="inlineStr">
        <x:is>
          <x:t xml:space="preserve">W</x:t>
        </x:is>
      </x:c>
      <x:c r="F63" t="n">
        <x:v>1</x:v>
      </x:c>
      <x:c r="G63" t="inlineStr">
        <x:is>
          <x:t xml:space="preserve">-</x:t>
        </x:is>
      </x:c>
      <x:c r="I63" t="inlineStr">
        <x:is>
          <x:t xml:space="preserve">During big changes (M&amp;A, layoffs, restructures), how quickly can we adjust access and monitoring to reduce risk?</x:t>
        </x:is>
      </x:c>
      <x:c r="J63" t="inlineStr">
        <x:is>
          <x:t xml:space="preserve">This is about ‘control lag’—how long it takes to tighten/adjust controls when the organisation changes.</x:t>
        </x:is>
      </x:c>
      <x:c r="L63" t="inlineStr">
        <x:is>
          <x:t xml:space="preserve">OPS_STD</x:t>
        </x:is>
      </x:c>
      <x:c r="M63" t="n">
        <x:v>1</x:v>
      </x:c>
      <x:c r="P63" t="inlineStr">
        <x:is>
          <x:t xml:space="preserve">EXCO-D2-Q06-A2</x:t>
        </x:is>
      </x:c>
      <x:c r="Q63" t="n">
        <x:v>3</x:v>
      </x:c>
      <x:c r="R63" t="inlineStr">
        <x:is>
          <x:t xml:space="preserve">Adjustments are manual and slow (weeks+), and depend on individuals noticing issues.</x:t>
        </x:is>
      </x:c>
      <x:c r="S63" t="n">
        <x:v>1</x:v>
      </x:c>
      <x:c r="T63" t="inlineStr">
        <x:is>
          <x:t xml:space="preserve">control_lag_high,key_person_dependency</x:t>
        </x:is>
      </x:c>
      <x:c r="U63" t="inlineStr">
        <x:is>
          <x:t xml:space="preserve">Control Lag</x:t>
        </x:is>
      </x:c>
      <x:c r="V63" t="inlineStr">
        <x:is>
          <x:t xml:space="preserve">ControlLag_Sprint</x:t>
        </x:is>
      </x:c>
      <x:c r="W63" t="inlineStr">
        <x:is>
          <x:t xml:space="preserve">N</x:t>
        </x:is>
      </x:c>
      <x:c r="Y63">
        <x:f>(S63*IF(E63="G",F63,0))+(S63*IF(G63="G",H63,0))</x:f>
      </x:c>
      <x:c r="Z63">
        <x:f>(S63*IF(E63="E",F63,0))+(S63*IF(G63="E",H63,0))</x:f>
      </x:c>
      <x:c r="AA63">
        <x:f>(S63*IF(E63="T",F63,0))+(S63*IF(G63="T",H63,0))</x:f>
      </x:c>
      <x:c r="AB63">
        <x:f>(S63*IF(E63="L",F63,0))+(S63*IF(G63="L",H63,0))</x:f>
      </x:c>
      <x:c r="AC63">
        <x:f>(S63*IF(E63="H",F63,0))+(S63*IF(G63="H",H63,0))</x:f>
      </x:c>
      <x:c r="AD63">
        <x:f>(S63*IF(E63="V",F63,0))+(S63*IF(G63="V",H63,0))</x:f>
      </x:c>
      <x:c r="AE63">
        <x:f>(S63*IF(E63="R",F63,0))+(S63*IF(G63="R",H63,0))</x:f>
      </x:c>
      <x:c r="AF63">
        <x:f>(S63*IF(E63="F",F63,0))+(S63*IF(G63="F",H63,0))</x:f>
      </x:c>
      <x:c r="AG63">
        <x:f>(S63*IF(E63="W",F63,0))+(S63*IF(G63="W",H63,0))</x:f>
      </x:c>
      <x:c r="AH63" t="inlineStr">
        <x:is>
          <x:t xml:space="preserve">1. Strategy &amp; Governance</x:t>
        </x:is>
      </x:c>
      <x:c r="AI63" t="inlineStr">
        <x:is>
          <x:t xml:space="preserve">Scope &amp; Boundaries</x:t>
        </x:is>
      </x:c>
      <x:c r="AJ63" t="inlineStr">
        <x:is>
          <x:t xml:space="preserve">Exceptions &amp; risk acceptance</x:t>
        </x:is>
      </x:c>
    </x:row>
    <x:row r="64">
      <x:c r="A64" t="inlineStr">
        <x:is>
          <x:t xml:space="preserve">Executive</x:t>
        </x:is>
      </x:c>
      <x:c r="B64" t="inlineStr">
        <x:is>
          <x:t xml:space="preserve">EXCO-D2-Q06</x:t>
        </x:is>
      </x:c>
      <x:c r="C64" t="inlineStr">
        <x:is>
          <x:t xml:space="preserve">T2</x:t>
        </x:is>
      </x:c>
      <x:c r="D64" t="inlineStr">
        <x:is>
          <x:t xml:space="preserve">2. Targeting &amp; Risk</x:t>
        </x:is>
      </x:c>
      <x:c r="E64" t="inlineStr">
        <x:is>
          <x:t xml:space="preserve">W</x:t>
        </x:is>
      </x:c>
      <x:c r="F64" t="n">
        <x:v>1</x:v>
      </x:c>
      <x:c r="G64" t="inlineStr">
        <x:is>
          <x:t xml:space="preserve">-</x:t>
        </x:is>
      </x:c>
      <x:c r="I64" t="inlineStr">
        <x:is>
          <x:t xml:space="preserve">During big changes (M&amp;A, layoffs, restructures), how quickly can we adjust access and monitoring to reduce risk?</x:t>
        </x:is>
      </x:c>
      <x:c r="J64" t="inlineStr">
        <x:is>
          <x:t xml:space="preserve">This is about ‘control lag’—how long it takes to tighten/adjust controls when the organisation changes.</x:t>
        </x:is>
      </x:c>
      <x:c r="L64" t="inlineStr">
        <x:is>
          <x:t xml:space="preserve">OPS_STD</x:t>
        </x:is>
      </x:c>
      <x:c r="M64" t="n">
        <x:v>1</x:v>
      </x:c>
      <x:c r="P64" t="inlineStr">
        <x:is>
          <x:t xml:space="preserve">EXCO-D2-Q06-A3</x:t>
        </x:is>
      </x:c>
      <x:c r="Q64" t="n">
        <x:v>4</x:v>
      </x:c>
      <x:c r="R64" t="inlineStr">
        <x:is>
          <x:t xml:space="preserve">We have a defined approach, but it is not consistently applied or measured.</x:t>
        </x:is>
      </x:c>
      <x:c r="S64" t="n">
        <x:v>2</x:v>
      </x:c>
      <x:c r="T64" t="inlineStr">
        <x:is>
          <x:t xml:space="preserve">paper_process</x:t>
        </x:is>
      </x:c>
      <x:c r="U64" t="inlineStr">
        <x:is>
          <x:t xml:space="preserve">Paper Dragon</x:t>
        </x:is>
      </x:c>
      <x:c r="V64" t="inlineStr">
        <x:is>
          <x:t xml:space="preserve">Measure_Control_Lag</x:t>
        </x:is>
      </x:c>
      <x:c r="W64" t="inlineStr">
        <x:is>
          <x:t xml:space="preserve">N</x:t>
        </x:is>
      </x:c>
      <x:c r="Y64">
        <x:f>(S64*IF(E64="G",F64,0))+(S64*IF(G64="G",H64,0))</x:f>
      </x:c>
      <x:c r="Z64">
        <x:f>(S64*IF(E64="E",F64,0))+(S64*IF(G64="E",H64,0))</x:f>
      </x:c>
      <x:c r="AA64">
        <x:f>(S64*IF(E64="T",F64,0))+(S64*IF(G64="T",H64,0))</x:f>
      </x:c>
      <x:c r="AB64">
        <x:f>(S64*IF(E64="L",F64,0))+(S64*IF(G64="L",H64,0))</x:f>
      </x:c>
      <x:c r="AC64">
        <x:f>(S64*IF(E64="H",F64,0))+(S64*IF(G64="H",H64,0))</x:f>
      </x:c>
      <x:c r="AD64">
        <x:f>(S64*IF(E64="V",F64,0))+(S64*IF(G64="V",H64,0))</x:f>
      </x:c>
      <x:c r="AE64">
        <x:f>(S64*IF(E64="R",F64,0))+(S64*IF(G64="R",H64,0))</x:f>
      </x:c>
      <x:c r="AF64">
        <x:f>(S64*IF(E64="F",F64,0))+(S64*IF(G64="F",H64,0))</x:f>
      </x:c>
      <x:c r="AG64">
        <x:f>(S64*IF(E64="W",F64,0))+(S64*IF(G64="W",H64,0))</x:f>
      </x:c>
      <x:c r="AH64" t="inlineStr">
        <x:is>
          <x:t xml:space="preserve">1. Strategy &amp; Governance</x:t>
        </x:is>
      </x:c>
      <x:c r="AI64" t="inlineStr">
        <x:is>
          <x:t xml:space="preserve">Scope &amp; Boundaries</x:t>
        </x:is>
      </x:c>
      <x:c r="AJ64" t="inlineStr">
        <x:is>
          <x:t xml:space="preserve">Exceptions &amp; risk acceptance</x:t>
        </x:is>
      </x:c>
    </x:row>
    <x:row r="65">
      <x:c r="A65" t="inlineStr">
        <x:is>
          <x:t xml:space="preserve">Executive</x:t>
        </x:is>
      </x:c>
      <x:c r="B65" t="inlineStr">
        <x:is>
          <x:t xml:space="preserve">EXCO-D2-Q06</x:t>
        </x:is>
      </x:c>
      <x:c r="C65" t="inlineStr">
        <x:is>
          <x:t xml:space="preserve">T2</x:t>
        </x:is>
      </x:c>
      <x:c r="D65" t="inlineStr">
        <x:is>
          <x:t xml:space="preserve">2. Targeting &amp; Risk</x:t>
        </x:is>
      </x:c>
      <x:c r="E65" t="inlineStr">
        <x:is>
          <x:t xml:space="preserve">W</x:t>
        </x:is>
      </x:c>
      <x:c r="F65" t="n">
        <x:v>1</x:v>
      </x:c>
      <x:c r="G65" t="inlineStr">
        <x:is>
          <x:t xml:space="preserve">-</x:t>
        </x:is>
      </x:c>
      <x:c r="I65" t="inlineStr">
        <x:is>
          <x:t xml:space="preserve">During big changes (M&amp;A, layoffs, restructures), how quickly can we adjust access and monitoring to reduce risk?</x:t>
        </x:is>
      </x:c>
      <x:c r="J65" t="inlineStr">
        <x:is>
          <x:t xml:space="preserve">This is about ‘control lag’—how long it takes to tighten/adjust controls when the organisation changes.</x:t>
        </x:is>
      </x:c>
      <x:c r="L65" t="inlineStr">
        <x:is>
          <x:t xml:space="preserve">OPS_STD</x:t>
        </x:is>
      </x:c>
      <x:c r="M65" t="n">
        <x:v>1</x:v>
      </x:c>
      <x:c r="P65" t="inlineStr">
        <x:is>
          <x:t xml:space="preserve">EXCO-D2-Q06-A4</x:t>
        </x:is>
      </x:c>
      <x:c r="Q65" t="n">
        <x:v>5</x:v>
      </x:c>
      <x:c r="R65" t="inlineStr">
        <x:is>
          <x:t xml:space="preserve">We adjust within days with clear triggers (e.g., leavers, role changes, sensitive projects).</x:t>
        </x:is>
      </x:c>
      <x:c r="S65" t="n">
        <x:v>3</x:v>
      </x:c>
      <x:c r="T65" t="inlineStr">
        <x:is>
          <x:t xml:space="preserve">good_practice</x:t>
        </x:is>
      </x:c>
      <x:c r="V65" t="inlineStr">
        <x:is>
          <x:t xml:space="preserve">Request_Evidence</x:t>
        </x:is>
      </x:c>
      <x:c r="W65" t="inlineStr">
        <x:is>
          <x:t xml:space="preserve">Y</x:t>
        </x:is>
      </x:c>
      <x:c r="X65" t="inlineStr">
        <x:is>
          <x:t xml:space="preserve">Provide example of last change event and what changed.</x:t>
        </x:is>
      </x:c>
      <x:c r="Y65">
        <x:f>(S65*IF(E65="G",F65,0))+(S65*IF(G65="G",H65,0))</x:f>
      </x:c>
      <x:c r="Z65">
        <x:f>(S65*IF(E65="E",F65,0))+(S65*IF(G65="E",H65,0))</x:f>
      </x:c>
      <x:c r="AA65">
        <x:f>(S65*IF(E65="T",F65,0))+(S65*IF(G65="T",H65,0))</x:f>
      </x:c>
      <x:c r="AB65">
        <x:f>(S65*IF(E65="L",F65,0))+(S65*IF(G65="L",H65,0))</x:f>
      </x:c>
      <x:c r="AC65">
        <x:f>(S65*IF(E65="H",F65,0))+(S65*IF(G65="H",H65,0))</x:f>
      </x:c>
      <x:c r="AD65">
        <x:f>(S65*IF(E65="V",F65,0))+(S65*IF(G65="V",H65,0))</x:f>
      </x:c>
      <x:c r="AE65">
        <x:f>(S65*IF(E65="R",F65,0))+(S65*IF(G65="R",H65,0))</x:f>
      </x:c>
      <x:c r="AF65">
        <x:f>(S65*IF(E65="F",F65,0))+(S65*IF(G65="F",H65,0))</x:f>
      </x:c>
      <x:c r="AG65">
        <x:f>(S65*IF(E65="W",F65,0))+(S65*IF(G65="W",H65,0))</x:f>
      </x:c>
      <x:c r="AH65" t="inlineStr">
        <x:is>
          <x:t xml:space="preserve">1. Strategy &amp; Governance</x:t>
        </x:is>
      </x:c>
      <x:c r="AI65" t="inlineStr">
        <x:is>
          <x:t xml:space="preserve">Scope &amp; Boundaries</x:t>
        </x:is>
      </x:c>
      <x:c r="AJ65" t="inlineStr">
        <x:is>
          <x:t xml:space="preserve">Exceptions &amp; risk acceptance</x:t>
        </x:is>
      </x:c>
    </x:row>
    <x:row r="66">
      <x:c r="A66" t="inlineStr">
        <x:is>
          <x:t xml:space="preserve">Executive</x:t>
        </x:is>
      </x:c>
      <x:c r="B66" t="inlineStr">
        <x:is>
          <x:t xml:space="preserve">EXCO-D2-Q06</x:t>
        </x:is>
      </x:c>
      <x:c r="C66" t="inlineStr">
        <x:is>
          <x:t xml:space="preserve">T2</x:t>
        </x:is>
      </x:c>
      <x:c r="D66" t="inlineStr">
        <x:is>
          <x:t xml:space="preserve">2. Targeting &amp; Risk</x:t>
        </x:is>
      </x:c>
      <x:c r="E66" t="inlineStr">
        <x:is>
          <x:t xml:space="preserve">W</x:t>
        </x:is>
      </x:c>
      <x:c r="F66" t="n">
        <x:v>1</x:v>
      </x:c>
      <x:c r="G66" t="inlineStr">
        <x:is>
          <x:t xml:space="preserve">-</x:t>
        </x:is>
      </x:c>
      <x:c r="I66" t="inlineStr">
        <x:is>
          <x:t xml:space="preserve">During big changes (M&amp;A, layoffs, restructures), how quickly can we adjust access and monitoring to reduce risk?</x:t>
        </x:is>
      </x:c>
      <x:c r="J66" t="inlineStr">
        <x:is>
          <x:t xml:space="preserve">This is about ‘control lag’—how long it takes to tighten/adjust controls when the organisation changes.</x:t>
        </x:is>
      </x:c>
      <x:c r="L66" t="inlineStr">
        <x:is>
          <x:t xml:space="preserve">OPS_STD</x:t>
        </x:is>
      </x:c>
      <x:c r="M66" t="n">
        <x:v>1</x:v>
      </x:c>
      <x:c r="P66" t="inlineStr">
        <x:is>
          <x:t xml:space="preserve">EXCO-D2-Q06-A5</x:t>
        </x:is>
      </x:c>
      <x:c r="Q66" t="n">
        <x:v>6</x:v>
      </x:c>
      <x:c r="R66" t="inlineStr">
        <x:is>
          <x:t xml:space="preserve">We have automated or semi-automated playbooks and measure control lag; improvements are tracked.</x:t>
        </x:is>
      </x:c>
      <x:c r="S66" t="n">
        <x:v>4</x:v>
      </x:c>
      <x:c r="T66" t="inlineStr">
        <x:is>
          <x:t xml:space="preserve">optimized</x:t>
        </x:is>
      </x:c>
      <x:c r="V66" t="inlineStr">
        <x:is>
          <x:t xml:space="preserve">Request_Evidence</x:t>
        </x:is>
      </x:c>
      <x:c r="W66" t="inlineStr">
        <x:is>
          <x:t xml:space="preserve">Y</x:t>
        </x:is>
      </x:c>
      <x:c r="Y66">
        <x:f>(S66*IF(E66="G",F66,0))+(S66*IF(G66="G",H66,0))</x:f>
      </x:c>
      <x:c r="Z66">
        <x:f>(S66*IF(E66="E",F66,0))+(S66*IF(G66="E",H66,0))</x:f>
      </x:c>
      <x:c r="AA66">
        <x:f>(S66*IF(E66="T",F66,0))+(S66*IF(G66="T",H66,0))</x:f>
      </x:c>
      <x:c r="AB66">
        <x:f>(S66*IF(E66="L",F66,0))+(S66*IF(G66="L",H66,0))</x:f>
      </x:c>
      <x:c r="AC66">
        <x:f>(S66*IF(E66="H",F66,0))+(S66*IF(G66="H",H66,0))</x:f>
      </x:c>
      <x:c r="AD66">
        <x:f>(S66*IF(E66="V",F66,0))+(S66*IF(G66="V",H66,0))</x:f>
      </x:c>
      <x:c r="AE66">
        <x:f>(S66*IF(E66="R",F66,0))+(S66*IF(G66="R",H66,0))</x:f>
      </x:c>
      <x:c r="AF66">
        <x:f>(S66*IF(E66="F",F66,0))+(S66*IF(G66="F",H66,0))</x:f>
      </x:c>
      <x:c r="AG66">
        <x:f>(S66*IF(E66="W",F66,0))+(S66*IF(G66="W",H66,0))</x:f>
      </x:c>
      <x:c r="AH66" t="inlineStr">
        <x:is>
          <x:t xml:space="preserve">1. Strategy &amp; Governance</x:t>
        </x:is>
      </x:c>
      <x:c r="AI66" t="inlineStr">
        <x:is>
          <x:t xml:space="preserve">Scope &amp; Boundaries</x:t>
        </x:is>
      </x:c>
      <x:c r="AJ66" t="inlineStr">
        <x:is>
          <x:t xml:space="preserve">Exceptions &amp; risk acceptance</x:t>
        </x:is>
      </x:c>
    </x:row>
    <x:row r="67">
      <x:c r="A67" t="inlineStr">
        <x:is>
          <x:t xml:space="preserve">Executive</x:t>
        </x:is>
      </x:c>
      <x:c r="B67" t="inlineStr">
        <x:is>
          <x:t xml:space="preserve">EXCO-D2-Q07</x:t>
        </x:is>
      </x:c>
      <x:c r="C67" t="inlineStr">
        <x:is>
          <x:t xml:space="preserve">T2</x:t>
        </x:is>
      </x:c>
      <x:c r="D67" t="inlineStr">
        <x:is>
          <x:t xml:space="preserve">2. Targeting &amp; Risk</x:t>
        </x:is>
      </x:c>
      <x:c r="E67" t="inlineStr">
        <x:is>
          <x:t xml:space="preserve">W</x:t>
        </x:is>
      </x:c>
      <x:c r="F67" t="n">
        <x:v>1</x:v>
      </x:c>
      <x:c r="G67" t="inlineStr">
        <x:is>
          <x:t xml:space="preserve">-</x:t>
        </x:is>
      </x:c>
      <x:c r="I67" t="inlineStr">
        <x:is>
          <x:t xml:space="preserve">(Shadow probe) In the last major change event, did we actually tighten controls (access, approvals, monitoring) in time?</x:t>
        </x:is>
      </x:c>
      <x:c r="J67" t="inlineStr">
        <x:is>
          <x:t xml:space="preserve">This asks for a real example to ‘business-proof’ the previous answer.</x:t>
        </x:is>
      </x:c>
      <x:c r="L67" t="inlineStr">
        <x:is>
          <x:t xml:space="preserve">OPS_STD</x:t>
        </x:is>
      </x:c>
      <x:c r="M67" t="n">
        <x:v>1</x:v>
      </x:c>
      <x:c r="P67" t="inlineStr">
        <x:is>
          <x:t xml:space="preserve">EXCO-D2-Q07-A1</x:t>
        </x:is>
      </x:c>
      <x:c r="Q67" t="n">
        <x:v>1</x:v>
      </x:c>
      <x:c r="R67" t="inlineStr">
        <x:is>
          <x:t xml:space="preserve">No—we didn’t change anything specific.</x:t>
        </x:is>
      </x:c>
      <x:c r="S67" t="n">
        <x:v>0</x:v>
      </x:c>
      <x:c r="T67" t="inlineStr">
        <x:is>
          <x:t xml:space="preserve">control_lag_high</x:t>
        </x:is>
      </x:c>
      <x:c r="U67" t="inlineStr">
        <x:is>
          <x:t xml:space="preserve">Control Lag</x:t>
        </x:is>
      </x:c>
      <x:c r="V67" t="inlineStr">
        <x:is>
          <x:t xml:space="preserve">ControlLag_Sprint</x:t>
        </x:is>
      </x:c>
      <x:c r="W67" t="inlineStr">
        <x:is>
          <x:t xml:space="preserve">N</x:t>
        </x:is>
      </x:c>
      <x:c r="Y67">
        <x:f>(S67*IF(E67="G",F67,0))+(S67*IF(G67="G",H67,0))</x:f>
      </x:c>
      <x:c r="Z67">
        <x:f>(S67*IF(E67="E",F67,0))+(S67*IF(G67="E",H67,0))</x:f>
      </x:c>
      <x:c r="AA67">
        <x:f>(S67*IF(E67="T",F67,0))+(S67*IF(G67="T",H67,0))</x:f>
      </x:c>
      <x:c r="AB67">
        <x:f>(S67*IF(E67="L",F67,0))+(S67*IF(G67="L",H67,0))</x:f>
      </x:c>
      <x:c r="AC67">
        <x:f>(S67*IF(E67="H",F67,0))+(S67*IF(G67="H",H67,0))</x:f>
      </x:c>
      <x:c r="AD67">
        <x:f>(S67*IF(E67="V",F67,0))+(S67*IF(G67="V",H67,0))</x:f>
      </x:c>
      <x:c r="AE67">
        <x:f>(S67*IF(E67="R",F67,0))+(S67*IF(G67="R",H67,0))</x:f>
      </x:c>
      <x:c r="AF67">
        <x:f>(S67*IF(E67="F",F67,0))+(S67*IF(G67="F",H67,0))</x:f>
      </x:c>
      <x:c r="AG67">
        <x:f>(S67*IF(E67="W",F67,0))+(S67*IF(G67="W",H67,0))</x:f>
      </x:c>
      <x:c r="AH67" t="inlineStr">
        <x:is>
          <x:t xml:space="preserve">4. Legal, Privacy &amp; Ethics</x:t>
        </x:is>
      </x:c>
      <x:c r="AI67" t="inlineStr">
        <x:is>
          <x:t xml:space="preserve">Oversight &amp; Safeguards</x:t>
        </x:is>
      </x:c>
      <x:c r="AJ67" t="inlineStr">
        <x:is>
          <x:t xml:space="preserve">Monitoring Access Governance</x:t>
        </x:is>
      </x:c>
    </x:row>
    <x:row r="68">
      <x:c r="A68" t="inlineStr">
        <x:is>
          <x:t xml:space="preserve">Executive</x:t>
        </x:is>
      </x:c>
      <x:c r="B68" t="inlineStr">
        <x:is>
          <x:t xml:space="preserve">EXCO-D2-Q07</x:t>
        </x:is>
      </x:c>
      <x:c r="C68" t="inlineStr">
        <x:is>
          <x:t xml:space="preserve">T2</x:t>
        </x:is>
      </x:c>
      <x:c r="D68" t="inlineStr">
        <x:is>
          <x:t xml:space="preserve">2. Targeting &amp; Risk</x:t>
        </x:is>
      </x:c>
      <x:c r="E68" t="inlineStr">
        <x:is>
          <x:t xml:space="preserve">W</x:t>
        </x:is>
      </x:c>
      <x:c r="F68" t="n">
        <x:v>1</x:v>
      </x:c>
      <x:c r="G68" t="inlineStr">
        <x:is>
          <x:t xml:space="preserve">-</x:t>
        </x:is>
      </x:c>
      <x:c r="I68" t="inlineStr">
        <x:is>
          <x:t xml:space="preserve">(Shadow probe) In the last major change event, did we actually tighten controls (access, approvals, monitoring) in time?</x:t>
        </x:is>
      </x:c>
      <x:c r="J68" t="inlineStr">
        <x:is>
          <x:t xml:space="preserve">This asks for a real example to ‘business-proof’ the previous answer.</x:t>
        </x:is>
      </x:c>
      <x:c r="L68" t="inlineStr">
        <x:is>
          <x:t xml:space="preserve">OPS_STD</x:t>
        </x:is>
      </x:c>
      <x:c r="M68" t="n">
        <x:v>1</x:v>
      </x:c>
      <x:c r="P68" t="inlineStr">
        <x:is>
          <x:t xml:space="preserve">EXCO-D2-Q07-A2</x:t>
        </x:is>
      </x:c>
      <x:c r="Q68" t="n">
        <x:v>2</x:v>
      </x:c>
      <x:c r="R68" t="inlineStr">
        <x:is>
          <x:t xml:space="preserve">We tried, but changes were late or inconsistent.</x:t>
        </x:is>
      </x:c>
      <x:c r="S68" t="n">
        <x:v>1</x:v>
      </x:c>
      <x:c r="T68" t="inlineStr">
        <x:is>
          <x:t xml:space="preserve">control_lag_high</x:t>
        </x:is>
      </x:c>
      <x:c r="U68" t="inlineStr">
        <x:is>
          <x:t xml:space="preserve">Control Lag</x:t>
        </x:is>
      </x:c>
      <x:c r="V68" t="inlineStr">
        <x:is>
          <x:t xml:space="preserve">ControlLag_Sprint</x:t>
        </x:is>
      </x:c>
      <x:c r="W68" t="inlineStr">
        <x:is>
          <x:t xml:space="preserve">N</x:t>
        </x:is>
      </x:c>
      <x:c r="Y68">
        <x:f>(S68*IF(E68="G",F68,0))+(S68*IF(G68="G",H68,0))</x:f>
      </x:c>
      <x:c r="Z68">
        <x:f>(S68*IF(E68="E",F68,0))+(S68*IF(G68="E",H68,0))</x:f>
      </x:c>
      <x:c r="AA68">
        <x:f>(S68*IF(E68="T",F68,0))+(S68*IF(G68="T",H68,0))</x:f>
      </x:c>
      <x:c r="AB68">
        <x:f>(S68*IF(E68="L",F68,0))+(S68*IF(G68="L",H68,0))</x:f>
      </x:c>
      <x:c r="AC68">
        <x:f>(S68*IF(E68="H",F68,0))+(S68*IF(G68="H",H68,0))</x:f>
      </x:c>
      <x:c r="AD68">
        <x:f>(S68*IF(E68="V",F68,0))+(S68*IF(G68="V",H68,0))</x:f>
      </x:c>
      <x:c r="AE68">
        <x:f>(S68*IF(E68="R",F68,0))+(S68*IF(G68="R",H68,0))</x:f>
      </x:c>
      <x:c r="AF68">
        <x:f>(S68*IF(E68="F",F68,0))+(S68*IF(G68="F",H68,0))</x:f>
      </x:c>
      <x:c r="AG68">
        <x:f>(S68*IF(E68="W",F68,0))+(S68*IF(G68="W",H68,0))</x:f>
      </x:c>
      <x:c r="AH68" t="inlineStr">
        <x:is>
          <x:t xml:space="preserve">4. Legal, Privacy &amp; Ethics</x:t>
        </x:is>
      </x:c>
      <x:c r="AI68" t="inlineStr">
        <x:is>
          <x:t xml:space="preserve">Oversight &amp; Safeguards</x:t>
        </x:is>
      </x:c>
      <x:c r="AJ68" t="inlineStr">
        <x:is>
          <x:t xml:space="preserve">Monitoring Access Governance</x:t>
        </x:is>
      </x:c>
    </x:row>
    <x:row r="69">
      <x:c r="A69" t="inlineStr">
        <x:is>
          <x:t xml:space="preserve">Executive</x:t>
        </x:is>
      </x:c>
      <x:c r="B69" t="inlineStr">
        <x:is>
          <x:t xml:space="preserve">EXCO-D2-Q07</x:t>
        </x:is>
      </x:c>
      <x:c r="C69" t="inlineStr">
        <x:is>
          <x:t xml:space="preserve">T2</x:t>
        </x:is>
      </x:c>
      <x:c r="D69" t="inlineStr">
        <x:is>
          <x:t xml:space="preserve">2. Targeting &amp; Risk</x:t>
        </x:is>
      </x:c>
      <x:c r="E69" t="inlineStr">
        <x:is>
          <x:t xml:space="preserve">W</x:t>
        </x:is>
      </x:c>
      <x:c r="F69" t="n">
        <x:v>1</x:v>
      </x:c>
      <x:c r="G69" t="inlineStr">
        <x:is>
          <x:t xml:space="preserve">-</x:t>
        </x:is>
      </x:c>
      <x:c r="I69" t="inlineStr">
        <x:is>
          <x:t xml:space="preserve">(Shadow probe) In the last major change event, did we actually tighten controls (access, approvals, monitoring) in time?</x:t>
        </x:is>
      </x:c>
      <x:c r="J69" t="inlineStr">
        <x:is>
          <x:t xml:space="preserve">This asks for a real example to ‘business-proof’ the previous answer.</x:t>
        </x:is>
      </x:c>
      <x:c r="L69" t="inlineStr">
        <x:is>
          <x:t xml:space="preserve">OPS_STD</x:t>
        </x:is>
      </x:c>
      <x:c r="M69" t="n">
        <x:v>1</x:v>
      </x:c>
      <x:c r="P69" t="inlineStr">
        <x:is>
          <x:t xml:space="preserve">EXCO-D2-Q07-A3</x:t>
        </x:is>
      </x:c>
      <x:c r="Q69" t="n">
        <x:v>3</x:v>
      </x:c>
      <x:c r="R69" t="inlineStr">
        <x:is>
          <x:t xml:space="preserve">Yes—we made some targeted changes, but we didn’t track timing or impact.</x:t>
        </x:is>
      </x:c>
      <x:c r="S69" t="n">
        <x:v>2</x:v>
      </x:c>
      <x:c r="T69" t="inlineStr">
        <x:is>
          <x:t xml:space="preserve">partial_maturity</x:t>
        </x:is>
      </x:c>
      <x:c r="V69" t="inlineStr">
        <x:is>
          <x:t xml:space="preserve">Measure_Control_Lag</x:t>
        </x:is>
      </x:c>
      <x:c r="W69" t="inlineStr">
        <x:is>
          <x:t xml:space="preserve">N</x:t>
        </x:is>
      </x:c>
      <x:c r="Y69">
        <x:f>(S69*IF(E69="G",F69,0))+(S69*IF(G69="G",H69,0))</x:f>
      </x:c>
      <x:c r="Z69">
        <x:f>(S69*IF(E69="E",F69,0))+(S69*IF(G69="E",H69,0))</x:f>
      </x:c>
      <x:c r="AA69">
        <x:f>(S69*IF(E69="T",F69,0))+(S69*IF(G69="T",H69,0))</x:f>
      </x:c>
      <x:c r="AB69">
        <x:f>(S69*IF(E69="L",F69,0))+(S69*IF(G69="L",H69,0))</x:f>
      </x:c>
      <x:c r="AC69">
        <x:f>(S69*IF(E69="H",F69,0))+(S69*IF(G69="H",H69,0))</x:f>
      </x:c>
      <x:c r="AD69">
        <x:f>(S69*IF(E69="V",F69,0))+(S69*IF(G69="V",H69,0))</x:f>
      </x:c>
      <x:c r="AE69">
        <x:f>(S69*IF(E69="R",F69,0))+(S69*IF(G69="R",H69,0))</x:f>
      </x:c>
      <x:c r="AF69">
        <x:f>(S69*IF(E69="F",F69,0))+(S69*IF(G69="F",H69,0))</x:f>
      </x:c>
      <x:c r="AG69">
        <x:f>(S69*IF(E69="W",F69,0))+(S69*IF(G69="W",H69,0))</x:f>
      </x:c>
      <x:c r="AH69" t="inlineStr">
        <x:is>
          <x:t xml:space="preserve">4. Legal, Privacy &amp; Ethics</x:t>
        </x:is>
      </x:c>
      <x:c r="AI69" t="inlineStr">
        <x:is>
          <x:t xml:space="preserve">Oversight &amp; Safeguards</x:t>
        </x:is>
      </x:c>
      <x:c r="AJ69" t="inlineStr">
        <x:is>
          <x:t xml:space="preserve">Monitoring Access Governance</x:t>
        </x:is>
      </x:c>
    </x:row>
    <x:row r="70">
      <x:c r="A70" t="inlineStr">
        <x:is>
          <x:t xml:space="preserve">Executive</x:t>
        </x:is>
      </x:c>
      <x:c r="B70" t="inlineStr">
        <x:is>
          <x:t xml:space="preserve">EXCO-D2-Q07</x:t>
        </x:is>
      </x:c>
      <x:c r="C70" t="inlineStr">
        <x:is>
          <x:t xml:space="preserve">T2</x:t>
        </x:is>
      </x:c>
      <x:c r="D70" t="inlineStr">
        <x:is>
          <x:t xml:space="preserve">2. Targeting &amp; Risk</x:t>
        </x:is>
      </x:c>
      <x:c r="E70" t="inlineStr">
        <x:is>
          <x:t xml:space="preserve">W</x:t>
        </x:is>
      </x:c>
      <x:c r="F70" t="n">
        <x:v>1</x:v>
      </x:c>
      <x:c r="G70" t="inlineStr">
        <x:is>
          <x:t xml:space="preserve">-</x:t>
        </x:is>
      </x:c>
      <x:c r="I70" t="inlineStr">
        <x:is>
          <x:t xml:space="preserve">(Shadow probe) In the last major change event, did we actually tighten controls (access, approvals, monitoring) in time?</x:t>
        </x:is>
      </x:c>
      <x:c r="J70" t="inlineStr">
        <x:is>
          <x:t xml:space="preserve">This asks for a real example to ‘business-proof’ the previous answer.</x:t>
        </x:is>
      </x:c>
      <x:c r="L70" t="inlineStr">
        <x:is>
          <x:t xml:space="preserve">OPS_STD</x:t>
        </x:is>
      </x:c>
      <x:c r="M70" t="n">
        <x:v>1</x:v>
      </x:c>
      <x:c r="P70" t="inlineStr">
        <x:is>
          <x:t xml:space="preserve">EXCO-D2-Q07-A4</x:t>
        </x:is>
      </x:c>
      <x:c r="Q70" t="n">
        <x:v>4</x:v>
      </x:c>
      <x:c r="R70" t="inlineStr">
        <x:is>
          <x:t xml:space="preserve">Yes—we can show what changed and when (e.g., within X days) and who approved it.</x:t>
        </x:is>
      </x:c>
      <x:c r="S70" t="n">
        <x:v>3</x:v>
      </x:c>
      <x:c r="T70" t="inlineStr">
        <x:is>
          <x:t xml:space="preserve">good_practice</x:t>
        </x:is>
      </x:c>
      <x:c r="V70" t="inlineStr">
        <x:is>
          <x:t xml:space="preserve">Request_Evidence</x:t>
        </x:is>
      </x:c>
      <x:c r="W70" t="inlineStr">
        <x:is>
          <x:t xml:space="preserve">Y</x:t>
        </x:is>
      </x:c>
      <x:c r="X70" t="inlineStr">
        <x:is>
          <x:t xml:space="preserve">Provide example change log or approvals.</x:t>
        </x:is>
      </x:c>
      <x:c r="Y70">
        <x:f>(S70*IF(E70="G",F70,0))+(S70*IF(G70="G",H70,0))</x:f>
      </x:c>
      <x:c r="Z70">
        <x:f>(S70*IF(E70="E",F70,0))+(S70*IF(G70="E",H70,0))</x:f>
      </x:c>
      <x:c r="AA70">
        <x:f>(S70*IF(E70="T",F70,0))+(S70*IF(G70="T",H70,0))</x:f>
      </x:c>
      <x:c r="AB70">
        <x:f>(S70*IF(E70="L",F70,0))+(S70*IF(G70="L",H70,0))</x:f>
      </x:c>
      <x:c r="AC70">
        <x:f>(S70*IF(E70="H",F70,0))+(S70*IF(G70="H",H70,0))</x:f>
      </x:c>
      <x:c r="AD70">
        <x:f>(S70*IF(E70="V",F70,0))+(S70*IF(G70="V",H70,0))</x:f>
      </x:c>
      <x:c r="AE70">
        <x:f>(S70*IF(E70="R",F70,0))+(S70*IF(G70="R",H70,0))</x:f>
      </x:c>
      <x:c r="AF70">
        <x:f>(S70*IF(E70="F",F70,0))+(S70*IF(G70="F",H70,0))</x:f>
      </x:c>
      <x:c r="AG70">
        <x:f>(S70*IF(E70="W",F70,0))+(S70*IF(G70="W",H70,0))</x:f>
      </x:c>
      <x:c r="AH70" t="inlineStr">
        <x:is>
          <x:t xml:space="preserve">4. Legal, Privacy &amp; Ethics</x:t>
        </x:is>
      </x:c>
      <x:c r="AI70" t="inlineStr">
        <x:is>
          <x:t xml:space="preserve">Oversight &amp; Safeguards</x:t>
        </x:is>
      </x:c>
      <x:c r="AJ70" t="inlineStr">
        <x:is>
          <x:t xml:space="preserve">Monitoring Access Governance</x:t>
        </x:is>
      </x:c>
    </x:row>
    <x:row r="71">
      <x:c r="A71" t="inlineStr">
        <x:is>
          <x:t xml:space="preserve">Executive</x:t>
        </x:is>
      </x:c>
      <x:c r="B71" t="inlineStr">
        <x:is>
          <x:t xml:space="preserve">EXCO-D2-Q08</x:t>
        </x:is>
      </x:c>
      <x:c r="C71" t="inlineStr">
        <x:is>
          <x:t xml:space="preserve">T2</x:t>
        </x:is>
      </x:c>
      <x:c r="D71" t="inlineStr">
        <x:is>
          <x:t xml:space="preserve">2. Targeting &amp; Risk</x:t>
        </x:is>
      </x:c>
      <x:c r="E71" t="inlineStr">
        <x:is>
          <x:t xml:space="preserve">V</x:t>
        </x:is>
      </x:c>
      <x:c r="F71" t="n">
        <x:v>0.6</x:v>
      </x:c>
      <x:c r="G71" t="inlineStr">
        <x:is>
          <x:t xml:space="preserve">G</x:t>
        </x:is>
      </x:c>
      <x:c r="H71" t="n">
        <x:v>0.4</x:v>
      </x:c>
      <x:c r="I71" t="inlineStr">
        <x:is>
          <x:t xml:space="preserve">Are contractors/third parties included in insider risk controls (access, monitoring, offboarding)?</x:t>
        </x:is>
      </x:c>
      <x:c r="J71" t="inlineStr">
        <x:is>
          <x:t xml:space="preserve">Plain examples: consultants, developers, outsourced IT, temporary staff, vendors with access to systems or data.</x:t>
        </x:is>
      </x:c>
      <x:c r="L71" t="inlineStr">
        <x:is>
          <x:t xml:space="preserve">RISK_STD</x:t>
        </x:is>
      </x:c>
      <x:c r="M71" t="n">
        <x:v>1</x:v>
      </x:c>
      <x:c r="P71" t="inlineStr">
        <x:is>
          <x:t xml:space="preserve">EXCO-D2-Q08-A0</x:t>
        </x:is>
      </x:c>
      <x:c r="Q71" t="n">
        <x:v>1</x:v>
      </x:c>
      <x:c r="R71" t="inlineStr">
        <x:is>
          <x:t xml:space="preserve">I don’t know / not sure.</x:t>
        </x:is>
      </x:c>
      <x:c r="S71" t="n">
        <x:v>0</x:v>
      </x:c>
      <x:c r="T71" t="inlineStr">
        <x:is>
          <x:t xml:space="preserve">unknown</x:t>
        </x:is>
      </x:c>
      <x:c r="U71" t="inlineStr">
        <x:is>
          <x:t xml:space="preserve">Unknown</x:t>
        </x:is>
      </x:c>
      <x:c r="V71" t="inlineStr">
        <x:is>
          <x:t xml:space="preserve">Assess_ThirdParty</x:t>
        </x:is>
      </x:c>
      <x:c r="W71" t="inlineStr">
        <x:is>
          <x:t xml:space="preserve">N</x:t>
        </x:is>
      </x:c>
      <x:c r="Y71">
        <x:f>(S71*IF(E71="G",F71,0))+(S71*IF(G71="G",H71,0))</x:f>
      </x:c>
      <x:c r="Z71">
        <x:f>(S71*IF(E71="E",F71,0))+(S71*IF(G71="E",H71,0))</x:f>
      </x:c>
      <x:c r="AA71">
        <x:f>(S71*IF(E71="T",F71,0))+(S71*IF(G71="T",H71,0))</x:f>
      </x:c>
      <x:c r="AB71">
        <x:f>(S71*IF(E71="L",F71,0))+(S71*IF(G71="L",H71,0))</x:f>
      </x:c>
      <x:c r="AC71">
        <x:f>(S71*IF(E71="H",F71,0))+(S71*IF(G71="H",H71,0))</x:f>
      </x:c>
      <x:c r="AD71">
        <x:f>(S71*IF(E71="V",F71,0))+(S71*IF(G71="V",H71,0))</x:f>
      </x:c>
      <x:c r="AE71">
        <x:f>(S71*IF(E71="R",F71,0))+(S71*IF(G71="R",H71,0))</x:f>
      </x:c>
      <x:c r="AF71">
        <x:f>(S71*IF(E71="F",F71,0))+(S71*IF(G71="F",H71,0))</x:f>
      </x:c>
      <x:c r="AG71">
        <x:f>(S71*IF(E71="W",F71,0))+(S71*IF(G71="W",H71,0))</x:f>
      </x:c>
      <x:c r="AH71" t="inlineStr">
        <x:is>
          <x:t xml:space="preserve">5. Human-Centric Culture</x:t>
        </x:is>
      </x:c>
      <x:c r="AI71" t="inlineStr">
        <x:is>
          <x:t xml:space="preserve">Human Lifecycle</x:t>
        </x:is>
      </x:c>
      <x:c r="AJ71" t="inlineStr">
        <x:is>
          <x:t xml:space="preserve">Enhanced JML Synchronization</x:t>
        </x:is>
      </x:c>
    </x:row>
    <x:row r="72">
      <x:c r="A72" t="inlineStr">
        <x:is>
          <x:t xml:space="preserve">Executive</x:t>
        </x:is>
      </x:c>
      <x:c r="B72" t="inlineStr">
        <x:is>
          <x:t xml:space="preserve">EXCO-D2-Q08</x:t>
        </x:is>
      </x:c>
      <x:c r="C72" t="inlineStr">
        <x:is>
          <x:t xml:space="preserve">T2</x:t>
        </x:is>
      </x:c>
      <x:c r="D72" t="inlineStr">
        <x:is>
          <x:t xml:space="preserve">2. Targeting &amp; Risk</x:t>
        </x:is>
      </x:c>
      <x:c r="E72" t="inlineStr">
        <x:is>
          <x:t xml:space="preserve">V</x:t>
        </x:is>
      </x:c>
      <x:c r="F72" t="n">
        <x:v>0.6</x:v>
      </x:c>
      <x:c r="G72" t="inlineStr">
        <x:is>
          <x:t xml:space="preserve">G</x:t>
        </x:is>
      </x:c>
      <x:c r="H72" t="n">
        <x:v>0.4</x:v>
      </x:c>
      <x:c r="I72" t="inlineStr">
        <x:is>
          <x:t xml:space="preserve">Are contractors/third parties included in insider risk controls (access, monitoring, offboarding)?</x:t>
        </x:is>
      </x:c>
      <x:c r="J72" t="inlineStr">
        <x:is>
          <x:t xml:space="preserve">Plain examples: consultants, developers, outsourced IT, temporary staff, vendors with access to systems or data.</x:t>
        </x:is>
      </x:c>
      <x:c r="L72" t="inlineStr">
        <x:is>
          <x:t xml:space="preserve">RISK_STD</x:t>
        </x:is>
      </x:c>
      <x:c r="M72" t="n">
        <x:v>1</x:v>
      </x:c>
      <x:c r="P72" t="inlineStr">
        <x:is>
          <x:t xml:space="preserve">EXCO-D2-Q08-A1</x:t>
        </x:is>
      </x:c>
      <x:c r="Q72" t="n">
        <x:v>2</x:v>
      </x:c>
      <x:c r="R72" t="inlineStr">
        <x:is>
          <x:t xml:space="preserve">No—third parties are treated differently; controls focus on employees only.</x:t>
        </x:is>
      </x:c>
      <x:c r="S72" t="n">
        <x:v>0</x:v>
      </x:c>
      <x:c r="T72" t="inlineStr">
        <x:is>
          <x:t xml:space="preserve">third_party_gap</x:t>
        </x:is>
      </x:c>
      <x:c r="U72" t="inlineStr">
        <x:is>
          <x:t xml:space="preserve">Visibility Gap</x:t>
        </x:is>
      </x:c>
      <x:c r="V72" t="inlineStr">
        <x:is>
          <x:t xml:space="preserve">Extend_To_ThirdParty</x:t>
        </x:is>
      </x:c>
      <x:c r="W72" t="inlineStr">
        <x:is>
          <x:t xml:space="preserve">N</x:t>
        </x:is>
      </x:c>
      <x:c r="Y72">
        <x:f>(S72*IF(E72="G",F72,0))+(S72*IF(G72="G",H72,0))</x:f>
      </x:c>
      <x:c r="Z72">
        <x:f>(S72*IF(E72="E",F72,0))+(S72*IF(G72="E",H72,0))</x:f>
      </x:c>
      <x:c r="AA72">
        <x:f>(S72*IF(E72="T",F72,0))+(S72*IF(G72="T",H72,0))</x:f>
      </x:c>
      <x:c r="AB72">
        <x:f>(S72*IF(E72="L",F72,0))+(S72*IF(G72="L",H72,0))</x:f>
      </x:c>
      <x:c r="AC72">
        <x:f>(S72*IF(E72="H",F72,0))+(S72*IF(G72="H",H72,0))</x:f>
      </x:c>
      <x:c r="AD72">
        <x:f>(S72*IF(E72="V",F72,0))+(S72*IF(G72="V",H72,0))</x:f>
      </x:c>
      <x:c r="AE72">
        <x:f>(S72*IF(E72="R",F72,0))+(S72*IF(G72="R",H72,0))</x:f>
      </x:c>
      <x:c r="AF72">
        <x:f>(S72*IF(E72="F",F72,0))+(S72*IF(G72="F",H72,0))</x:f>
      </x:c>
      <x:c r="AG72">
        <x:f>(S72*IF(E72="W",F72,0))+(S72*IF(G72="W",H72,0))</x:f>
      </x:c>
      <x:c r="AH72" t="inlineStr">
        <x:is>
          <x:t xml:space="preserve">5. Human-Centric Culture</x:t>
        </x:is>
      </x:c>
      <x:c r="AI72" t="inlineStr">
        <x:is>
          <x:t xml:space="preserve">Human Lifecycle</x:t>
        </x:is>
      </x:c>
      <x:c r="AJ72" t="inlineStr">
        <x:is>
          <x:t xml:space="preserve">Enhanced JML Synchronization</x:t>
        </x:is>
      </x:c>
    </x:row>
    <x:row r="73">
      <x:c r="A73" t="inlineStr">
        <x:is>
          <x:t xml:space="preserve">Executive</x:t>
        </x:is>
      </x:c>
      <x:c r="B73" t="inlineStr">
        <x:is>
          <x:t xml:space="preserve">EXCO-D2-Q08</x:t>
        </x:is>
      </x:c>
      <x:c r="C73" t="inlineStr">
        <x:is>
          <x:t xml:space="preserve">T2</x:t>
        </x:is>
      </x:c>
      <x:c r="D73" t="inlineStr">
        <x:is>
          <x:t xml:space="preserve">2. Targeting &amp; Risk</x:t>
        </x:is>
      </x:c>
      <x:c r="E73" t="inlineStr">
        <x:is>
          <x:t xml:space="preserve">V</x:t>
        </x:is>
      </x:c>
      <x:c r="F73" t="n">
        <x:v>0.6</x:v>
      </x:c>
      <x:c r="G73" t="inlineStr">
        <x:is>
          <x:t xml:space="preserve">G</x:t>
        </x:is>
      </x:c>
      <x:c r="H73" t="n">
        <x:v>0.4</x:v>
      </x:c>
      <x:c r="I73" t="inlineStr">
        <x:is>
          <x:t xml:space="preserve">Are contractors/third parties included in insider risk controls (access, monitoring, offboarding)?</x:t>
        </x:is>
      </x:c>
      <x:c r="J73" t="inlineStr">
        <x:is>
          <x:t xml:space="preserve">Plain examples: consultants, developers, outsourced IT, temporary staff, vendors with access to systems or data.</x:t>
        </x:is>
      </x:c>
      <x:c r="L73" t="inlineStr">
        <x:is>
          <x:t xml:space="preserve">RISK_STD</x:t>
        </x:is>
      </x:c>
      <x:c r="M73" t="n">
        <x:v>1</x:v>
      </x:c>
      <x:c r="P73" t="inlineStr">
        <x:is>
          <x:t xml:space="preserve">EXCO-D2-Q08-A2</x:t>
        </x:is>
      </x:c>
      <x:c r="Q73" t="n">
        <x:v>3</x:v>
      </x:c>
      <x:c r="R73" t="inlineStr">
        <x:is>
          <x:t xml:space="preserve">Contracts say ‘follow security’, but we don’t verify it in practice.</x:t>
        </x:is>
      </x:c>
      <x:c r="S73" t="n">
        <x:v>1</x:v>
      </x:c>
      <x:c r="T73" t="inlineStr">
        <x:is>
          <x:t xml:space="preserve">paper_dragon_signal</x:t>
        </x:is>
      </x:c>
      <x:c r="U73" t="inlineStr">
        <x:is>
          <x:t xml:space="preserve">Paper Dragon</x:t>
        </x:is>
      </x:c>
      <x:c r="V73" t="inlineStr">
        <x:is>
          <x:t xml:space="preserve">Verify_ThirdParty</x:t>
        </x:is>
      </x:c>
      <x:c r="W73" t="inlineStr">
        <x:is>
          <x:t xml:space="preserve">N</x:t>
        </x:is>
      </x:c>
      <x:c r="Y73">
        <x:f>(S73*IF(E73="G",F73,0))+(S73*IF(G73="G",H73,0))</x:f>
      </x:c>
      <x:c r="Z73">
        <x:f>(S73*IF(E73="E",F73,0))+(S73*IF(G73="E",H73,0))</x:f>
      </x:c>
      <x:c r="AA73">
        <x:f>(S73*IF(E73="T",F73,0))+(S73*IF(G73="T",H73,0))</x:f>
      </x:c>
      <x:c r="AB73">
        <x:f>(S73*IF(E73="L",F73,0))+(S73*IF(G73="L",H73,0))</x:f>
      </x:c>
      <x:c r="AC73">
        <x:f>(S73*IF(E73="H",F73,0))+(S73*IF(G73="H",H73,0))</x:f>
      </x:c>
      <x:c r="AD73">
        <x:f>(S73*IF(E73="V",F73,0))+(S73*IF(G73="V",H73,0))</x:f>
      </x:c>
      <x:c r="AE73">
        <x:f>(S73*IF(E73="R",F73,0))+(S73*IF(G73="R",H73,0))</x:f>
      </x:c>
      <x:c r="AF73">
        <x:f>(S73*IF(E73="F",F73,0))+(S73*IF(G73="F",H73,0))</x:f>
      </x:c>
      <x:c r="AG73">
        <x:f>(S73*IF(E73="W",F73,0))+(S73*IF(G73="W",H73,0))</x:f>
      </x:c>
      <x:c r="AH73" t="inlineStr">
        <x:is>
          <x:t xml:space="preserve">5. Human-Centric Culture</x:t>
        </x:is>
      </x:c>
      <x:c r="AI73" t="inlineStr">
        <x:is>
          <x:t xml:space="preserve">Human Lifecycle</x:t>
        </x:is>
      </x:c>
      <x:c r="AJ73" t="inlineStr">
        <x:is>
          <x:t xml:space="preserve">Enhanced JML Synchronization</x:t>
        </x:is>
      </x:c>
    </x:row>
    <x:row r="74">
      <x:c r="A74" t="inlineStr">
        <x:is>
          <x:t xml:space="preserve">Executive</x:t>
        </x:is>
      </x:c>
      <x:c r="B74" t="inlineStr">
        <x:is>
          <x:t xml:space="preserve">EXCO-D2-Q08</x:t>
        </x:is>
      </x:c>
      <x:c r="C74" t="inlineStr">
        <x:is>
          <x:t xml:space="preserve">T2</x:t>
        </x:is>
      </x:c>
      <x:c r="D74" t="inlineStr">
        <x:is>
          <x:t xml:space="preserve">2. Targeting &amp; Risk</x:t>
        </x:is>
      </x:c>
      <x:c r="E74" t="inlineStr">
        <x:is>
          <x:t xml:space="preserve">V</x:t>
        </x:is>
      </x:c>
      <x:c r="F74" t="n">
        <x:v>0.6</x:v>
      </x:c>
      <x:c r="G74" t="inlineStr">
        <x:is>
          <x:t xml:space="preserve">G</x:t>
        </x:is>
      </x:c>
      <x:c r="H74" t="n">
        <x:v>0.4</x:v>
      </x:c>
      <x:c r="I74" t="inlineStr">
        <x:is>
          <x:t xml:space="preserve">Are contractors/third parties included in insider risk controls (access, monitoring, offboarding)?</x:t>
        </x:is>
      </x:c>
      <x:c r="J74" t="inlineStr">
        <x:is>
          <x:t xml:space="preserve">Plain examples: consultants, developers, outsourced IT, temporary staff, vendors with access to systems or data.</x:t>
        </x:is>
      </x:c>
      <x:c r="L74" t="inlineStr">
        <x:is>
          <x:t xml:space="preserve">RISK_STD</x:t>
        </x:is>
      </x:c>
      <x:c r="M74" t="n">
        <x:v>1</x:v>
      </x:c>
      <x:c r="P74" t="inlineStr">
        <x:is>
          <x:t xml:space="preserve">EXCO-D2-Q08-A3</x:t>
        </x:is>
      </x:c>
      <x:c r="Q74" t="n">
        <x:v>4</x:v>
      </x:c>
      <x:c r="R74" t="inlineStr">
        <x:is>
          <x:t xml:space="preserve">We apply some controls (e.g., account expiry), but monitoring and offboarding is inconsistent.</x:t>
        </x:is>
      </x:c>
      <x:c r="S74" t="n">
        <x:v>2</x:v>
      </x:c>
      <x:c r="T74" t="inlineStr">
        <x:is>
          <x:t xml:space="preserve">inconsistent_execution</x:t>
        </x:is>
      </x:c>
      <x:c r="U74" t="inlineStr">
        <x:is>
          <x:t xml:space="preserve">Operating Model Gap</x:t>
        </x:is>
      </x:c>
      <x:c r="V74" t="inlineStr">
        <x:is>
          <x:t xml:space="preserve">Standardize_ThirdParty</x:t>
        </x:is>
      </x:c>
      <x:c r="W74" t="inlineStr">
        <x:is>
          <x:t xml:space="preserve">N</x:t>
        </x:is>
      </x:c>
      <x:c r="Y74">
        <x:f>(S74*IF(E74="G",F74,0))+(S74*IF(G74="G",H74,0))</x:f>
      </x:c>
      <x:c r="Z74">
        <x:f>(S74*IF(E74="E",F74,0))+(S74*IF(G74="E",H74,0))</x:f>
      </x:c>
      <x:c r="AA74">
        <x:f>(S74*IF(E74="T",F74,0))+(S74*IF(G74="T",H74,0))</x:f>
      </x:c>
      <x:c r="AB74">
        <x:f>(S74*IF(E74="L",F74,0))+(S74*IF(G74="L",H74,0))</x:f>
      </x:c>
      <x:c r="AC74">
        <x:f>(S74*IF(E74="H",F74,0))+(S74*IF(G74="H",H74,0))</x:f>
      </x:c>
      <x:c r="AD74">
        <x:f>(S74*IF(E74="V",F74,0))+(S74*IF(G74="V",H74,0))</x:f>
      </x:c>
      <x:c r="AE74">
        <x:f>(S74*IF(E74="R",F74,0))+(S74*IF(G74="R",H74,0))</x:f>
      </x:c>
      <x:c r="AF74">
        <x:f>(S74*IF(E74="F",F74,0))+(S74*IF(G74="F",H74,0))</x:f>
      </x:c>
      <x:c r="AG74">
        <x:f>(S74*IF(E74="W",F74,0))+(S74*IF(G74="W",H74,0))</x:f>
      </x:c>
      <x:c r="AH74" t="inlineStr">
        <x:is>
          <x:t xml:space="preserve">5. Human-Centric Culture</x:t>
        </x:is>
      </x:c>
      <x:c r="AI74" t="inlineStr">
        <x:is>
          <x:t xml:space="preserve">Human Lifecycle</x:t>
        </x:is>
      </x:c>
      <x:c r="AJ74" t="inlineStr">
        <x:is>
          <x:t xml:space="preserve">Enhanced JML Synchronization</x:t>
        </x:is>
      </x:c>
    </x:row>
    <x:row r="75">
      <x:c r="A75" t="inlineStr">
        <x:is>
          <x:t xml:space="preserve">Executive</x:t>
        </x:is>
      </x:c>
      <x:c r="B75" t="inlineStr">
        <x:is>
          <x:t xml:space="preserve">EXCO-D2-Q08</x:t>
        </x:is>
      </x:c>
      <x:c r="C75" t="inlineStr">
        <x:is>
          <x:t xml:space="preserve">T2</x:t>
        </x:is>
      </x:c>
      <x:c r="D75" t="inlineStr">
        <x:is>
          <x:t xml:space="preserve">2. Targeting &amp; Risk</x:t>
        </x:is>
      </x:c>
      <x:c r="E75" t="inlineStr">
        <x:is>
          <x:t xml:space="preserve">V</x:t>
        </x:is>
      </x:c>
      <x:c r="F75" t="n">
        <x:v>0.6</x:v>
      </x:c>
      <x:c r="G75" t="inlineStr">
        <x:is>
          <x:t xml:space="preserve">G</x:t>
        </x:is>
      </x:c>
      <x:c r="H75" t="n">
        <x:v>0.4</x:v>
      </x:c>
      <x:c r="I75" t="inlineStr">
        <x:is>
          <x:t xml:space="preserve">Are contractors/third parties included in insider risk controls (access, monitoring, offboarding)?</x:t>
        </x:is>
      </x:c>
      <x:c r="J75" t="inlineStr">
        <x:is>
          <x:t xml:space="preserve">Plain examples: consultants, developers, outsourced IT, temporary staff, vendors with access to systems or data.</x:t>
        </x:is>
      </x:c>
      <x:c r="L75" t="inlineStr">
        <x:is>
          <x:t xml:space="preserve">RISK_STD</x:t>
        </x:is>
      </x:c>
      <x:c r="M75" t="n">
        <x:v>1</x:v>
      </x:c>
      <x:c r="P75" t="inlineStr">
        <x:is>
          <x:t xml:space="preserve">EXCO-D2-Q08-A4</x:t>
        </x:is>
      </x:c>
      <x:c r="Q75" t="n">
        <x:v>5</x:v>
      </x:c>
      <x:c r="R75" t="inlineStr">
        <x:is>
          <x:t xml:space="preserve">Third parties are included similarly to employees for access and offboarding; exceptions are tracked.</x:t>
        </x:is>
      </x:c>
      <x:c r="S75" t="n">
        <x:v>3</x:v>
      </x:c>
      <x:c r="T75" t="inlineStr">
        <x:is>
          <x:t xml:space="preserve">good_practice</x:t>
        </x:is>
      </x:c>
      <x:c r="V75" t="inlineStr">
        <x:is>
          <x:t xml:space="preserve">Request_Evidence</x:t>
        </x:is>
      </x:c>
      <x:c r="W75" t="inlineStr">
        <x:is>
          <x:t xml:space="preserve">Y</x:t>
        </x:is>
      </x:c>
      <x:c r="Y75">
        <x:f>(S75*IF(E75="G",F75,0))+(S75*IF(G75="G",H75,0))</x:f>
      </x:c>
      <x:c r="Z75">
        <x:f>(S75*IF(E75="E",F75,0))+(S75*IF(G75="E",H75,0))</x:f>
      </x:c>
      <x:c r="AA75">
        <x:f>(S75*IF(E75="T",F75,0))+(S75*IF(G75="T",H75,0))</x:f>
      </x:c>
      <x:c r="AB75">
        <x:f>(S75*IF(E75="L",F75,0))+(S75*IF(G75="L",H75,0))</x:f>
      </x:c>
      <x:c r="AC75">
        <x:f>(S75*IF(E75="H",F75,0))+(S75*IF(G75="H",H75,0))</x:f>
      </x:c>
      <x:c r="AD75">
        <x:f>(S75*IF(E75="V",F75,0))+(S75*IF(G75="V",H75,0))</x:f>
      </x:c>
      <x:c r="AE75">
        <x:f>(S75*IF(E75="R",F75,0))+(S75*IF(G75="R",H75,0))</x:f>
      </x:c>
      <x:c r="AF75">
        <x:f>(S75*IF(E75="F",F75,0))+(S75*IF(G75="F",H75,0))</x:f>
      </x:c>
      <x:c r="AG75">
        <x:f>(S75*IF(E75="W",F75,0))+(S75*IF(G75="W",H75,0))</x:f>
      </x:c>
      <x:c r="AH75" t="inlineStr">
        <x:is>
          <x:t xml:space="preserve">5. Human-Centric Culture</x:t>
        </x:is>
      </x:c>
      <x:c r="AI75" t="inlineStr">
        <x:is>
          <x:t xml:space="preserve">Human Lifecycle</x:t>
        </x:is>
      </x:c>
      <x:c r="AJ75" t="inlineStr">
        <x:is>
          <x:t xml:space="preserve">Enhanced JML Synchronization</x:t>
        </x:is>
      </x:c>
    </x:row>
    <x:row r="76">
      <x:c r="A76" t="inlineStr">
        <x:is>
          <x:t xml:space="preserve">Executive</x:t>
        </x:is>
      </x:c>
      <x:c r="B76" t="inlineStr">
        <x:is>
          <x:t xml:space="preserve">EXCO-D2-Q08</x:t>
        </x:is>
      </x:c>
      <x:c r="C76" t="inlineStr">
        <x:is>
          <x:t xml:space="preserve">T2</x:t>
        </x:is>
      </x:c>
      <x:c r="D76" t="inlineStr">
        <x:is>
          <x:t xml:space="preserve">2. Targeting &amp; Risk</x:t>
        </x:is>
      </x:c>
      <x:c r="E76" t="inlineStr">
        <x:is>
          <x:t xml:space="preserve">V</x:t>
        </x:is>
      </x:c>
      <x:c r="F76" t="n">
        <x:v>0.6</x:v>
      </x:c>
      <x:c r="G76" t="inlineStr">
        <x:is>
          <x:t xml:space="preserve">G</x:t>
        </x:is>
      </x:c>
      <x:c r="H76" t="n">
        <x:v>0.4</x:v>
      </x:c>
      <x:c r="I76" t="inlineStr">
        <x:is>
          <x:t xml:space="preserve">Are contractors/third parties included in insider risk controls (access, monitoring, offboarding)?</x:t>
        </x:is>
      </x:c>
      <x:c r="J76" t="inlineStr">
        <x:is>
          <x:t xml:space="preserve">Plain examples: consultants, developers, outsourced IT, temporary staff, vendors with access to systems or data.</x:t>
        </x:is>
      </x:c>
      <x:c r="L76" t="inlineStr">
        <x:is>
          <x:t xml:space="preserve">RISK_STD</x:t>
        </x:is>
      </x:c>
      <x:c r="M76" t="n">
        <x:v>1</x:v>
      </x:c>
      <x:c r="P76" t="inlineStr">
        <x:is>
          <x:t xml:space="preserve">EXCO-D2-Q08-A5</x:t>
        </x:is>
      </x:c>
      <x:c r="Q76" t="n">
        <x:v>6</x:v>
      </x:c>
      <x:c r="R76" t="inlineStr">
        <x:is>
          <x:t xml:space="preserve">Third-party access is risk-scored and monitored; onboarding/offboarding is automated with auditing.</x:t>
        </x:is>
      </x:c>
      <x:c r="S76" t="n">
        <x:v>4</x:v>
      </x:c>
      <x:c r="T76" t="inlineStr">
        <x:is>
          <x:t xml:space="preserve">optimized</x:t>
        </x:is>
      </x:c>
      <x:c r="V76" t="inlineStr">
        <x:is>
          <x:t xml:space="preserve">Request_Evidence</x:t>
        </x:is>
      </x:c>
      <x:c r="W76" t="inlineStr">
        <x:is>
          <x:t xml:space="preserve">Y</x:t>
        </x:is>
      </x:c>
      <x:c r="Y76">
        <x:f>(S76*IF(E76="G",F76,0))+(S76*IF(G76="G",H76,0))</x:f>
      </x:c>
      <x:c r="Z76">
        <x:f>(S76*IF(E76="E",F76,0))+(S76*IF(G76="E",H76,0))</x:f>
      </x:c>
      <x:c r="AA76">
        <x:f>(S76*IF(E76="T",F76,0))+(S76*IF(G76="T",H76,0))</x:f>
      </x:c>
      <x:c r="AB76">
        <x:f>(S76*IF(E76="L",F76,0))+(S76*IF(G76="L",H76,0))</x:f>
      </x:c>
      <x:c r="AC76">
        <x:f>(S76*IF(E76="H",F76,0))+(S76*IF(G76="H",H76,0))</x:f>
      </x:c>
      <x:c r="AD76">
        <x:f>(S76*IF(E76="V",F76,0))+(S76*IF(G76="V",H76,0))</x:f>
      </x:c>
      <x:c r="AE76">
        <x:f>(S76*IF(E76="R",F76,0))+(S76*IF(G76="R",H76,0))</x:f>
      </x:c>
      <x:c r="AF76">
        <x:f>(S76*IF(E76="F",F76,0))+(S76*IF(G76="F",H76,0))</x:f>
      </x:c>
      <x:c r="AG76">
        <x:f>(S76*IF(E76="W",F76,0))+(S76*IF(G76="W",H76,0))</x:f>
      </x:c>
      <x:c r="AH76" t="inlineStr">
        <x:is>
          <x:t xml:space="preserve">5. Human-Centric Culture</x:t>
        </x:is>
      </x:c>
      <x:c r="AI76" t="inlineStr">
        <x:is>
          <x:t xml:space="preserve">Human Lifecycle</x:t>
        </x:is>
      </x:c>
      <x:c r="AJ76" t="inlineStr">
        <x:is>
          <x:t xml:space="preserve">Enhanced JML Synchronization</x:t>
        </x:is>
      </x:c>
    </x:row>
    <x:row r="77">
      <x:c r="A77" t="inlineStr">
        <x:is>
          <x:t xml:space="preserve">Executive</x:t>
        </x:is>
      </x:c>
      <x:c r="B77" t="inlineStr">
        <x:is>
          <x:t xml:space="preserve">EXCO-D3-Q01</x:t>
        </x:is>
      </x:c>
      <x:c r="C77" t="inlineStr">
        <x:is>
          <x:t xml:space="preserve">T1</x:t>
        </x:is>
      </x:c>
      <x:c r="D77" t="inlineStr">
        <x:is>
          <x:t xml:space="preserve">3. Legal &amp; Ethics</x:t>
        </x:is>
      </x:c>
      <x:c r="E77" t="inlineStr">
        <x:is>
          <x:t xml:space="preserve">L</x:t>
        </x:is>
      </x:c>
      <x:c r="F77" t="n">
        <x:v>0.8</x:v>
      </x:c>
      <x:c r="G77" t="inlineStr">
        <x:is>
          <x:t xml:space="preserve">G</x:t>
        </x:is>
      </x:c>
      <x:c r="H77" t="n">
        <x:v>0.2</x:v>
      </x:c>
      <x:c r="I77" t="inlineStr">
        <x:is>
          <x:t xml:space="preserve">Is there a clear, approved framework for monitoring employee/contractor activity (what, why, and who approves)?</x:t>
        </x:is>
      </x:c>
      <x:c r="J77" t="inlineStr">
        <x:is>
          <x:t xml:space="preserve">Aim for plain language: what data is monitored, why, legal basis, who can access it, and oversight.</x:t>
        </x:is>
      </x:c>
      <x:c r="L77" t="inlineStr">
        <x:is>
          <x:t xml:space="preserve">LEG_STRICT</x:t>
        </x:is>
      </x:c>
      <x:c r="M77" t="n">
        <x:v>1</x:v>
      </x:c>
      <x:c r="P77" t="inlineStr">
        <x:is>
          <x:t xml:space="preserve">EXCO-D3-Q01-A0</x:t>
        </x:is>
      </x:c>
      <x:c r="Q77" t="n">
        <x:v>1</x:v>
      </x:c>
      <x:c r="R77" t="inlineStr">
        <x:is>
          <x:t xml:space="preserve">I don’t know / not sure.</x:t>
        </x:is>
      </x:c>
      <x:c r="S77" t="n">
        <x:v>0</x:v>
      </x:c>
      <x:c r="T77" t="inlineStr">
        <x:is>
          <x:t xml:space="preserve">unknown</x:t>
        </x:is>
      </x:c>
      <x:c r="U77" t="inlineStr">
        <x:is>
          <x:t xml:space="preserve">Unknown</x:t>
        </x:is>
      </x:c>
      <x:c r="V77" t="inlineStr">
        <x:is>
          <x:t xml:space="preserve">Legal_Clarification</x:t>
        </x:is>
      </x:c>
      <x:c r="W77" t="inlineStr">
        <x:is>
          <x:t xml:space="preserve">N</x:t>
        </x:is>
      </x:c>
      <x:c r="Y77">
        <x:f>(S77*IF(E77="G",F77,0))+(S77*IF(G77="G",H77,0))</x:f>
      </x:c>
      <x:c r="Z77">
        <x:f>(S77*IF(E77="E",F77,0))+(S77*IF(G77="E",H77,0))</x:f>
      </x:c>
      <x:c r="AA77">
        <x:f>(S77*IF(E77="T",F77,0))+(S77*IF(G77="T",H77,0))</x:f>
      </x:c>
      <x:c r="AB77">
        <x:f>(S77*IF(E77="L",F77,0))+(S77*IF(G77="L",H77,0))</x:f>
      </x:c>
      <x:c r="AC77">
        <x:f>(S77*IF(E77="H",F77,0))+(S77*IF(G77="H",H77,0))</x:f>
      </x:c>
      <x:c r="AD77">
        <x:f>(S77*IF(E77="V",F77,0))+(S77*IF(G77="V",H77,0))</x:f>
      </x:c>
      <x:c r="AE77">
        <x:f>(S77*IF(E77="R",F77,0))+(S77*IF(G77="R",H77,0))</x:f>
      </x:c>
      <x:c r="AF77">
        <x:f>(S77*IF(E77="F",F77,0))+(S77*IF(G77="F",H77,0))</x:f>
      </x:c>
      <x:c r="AG77">
        <x:f>(S77*IF(E77="W",F77,0))+(S77*IF(G77="W",H77,0))</x:f>
      </x:c>
      <x:c r="AH77" t="inlineStr">
        <x:is>
          <x:t xml:space="preserve">1. Strategy &amp; Governance</x:t>
        </x:is>
      </x:c>
      <x:c r="AI77" t="inlineStr">
        <x:is>
          <x:t xml:space="preserve">Program Management</x:t>
        </x:is>
      </x:c>
      <x:c r="AJ77" t="inlineStr">
        <x:is>
          <x:t xml:space="preserve">Executive sponsorship &amp; oversight cadence</x:t>
        </x:is>
      </x:c>
    </x:row>
    <x:row r="78">
      <x:c r="A78" t="inlineStr">
        <x:is>
          <x:t xml:space="preserve">Executive</x:t>
        </x:is>
      </x:c>
      <x:c r="B78" t="inlineStr">
        <x:is>
          <x:t xml:space="preserve">EXCO-D3-Q01</x:t>
        </x:is>
      </x:c>
      <x:c r="C78" t="inlineStr">
        <x:is>
          <x:t xml:space="preserve">T1</x:t>
        </x:is>
      </x:c>
      <x:c r="D78" t="inlineStr">
        <x:is>
          <x:t xml:space="preserve">3. Legal &amp; Ethics</x:t>
        </x:is>
      </x:c>
      <x:c r="E78" t="inlineStr">
        <x:is>
          <x:t xml:space="preserve">L</x:t>
        </x:is>
      </x:c>
      <x:c r="F78" t="n">
        <x:v>0.8</x:v>
      </x:c>
      <x:c r="G78" t="inlineStr">
        <x:is>
          <x:t xml:space="preserve">G</x:t>
        </x:is>
      </x:c>
      <x:c r="H78" t="n">
        <x:v>0.2</x:v>
      </x:c>
      <x:c r="I78" t="inlineStr">
        <x:is>
          <x:t xml:space="preserve">Is there a clear, approved framework for monitoring employee/contractor activity (what, why, and who approves)?</x:t>
        </x:is>
      </x:c>
      <x:c r="J78" t="inlineStr">
        <x:is>
          <x:t xml:space="preserve">Aim for plain language: what data is monitored, why, legal basis, who can access it, and oversight.</x:t>
        </x:is>
      </x:c>
      <x:c r="L78" t="inlineStr">
        <x:is>
          <x:t xml:space="preserve">LEG_STRICT</x:t>
        </x:is>
      </x:c>
      <x:c r="M78" t="n">
        <x:v>1</x:v>
      </x:c>
      <x:c r="P78" t="inlineStr">
        <x:is>
          <x:t xml:space="preserve">EXCO-D3-Q01-A1</x:t>
        </x:is>
      </x:c>
      <x:c r="Q78" t="n">
        <x:v>2</x:v>
      </x:c>
      <x:c r="R78" t="inlineStr">
        <x:is>
          <x:t xml:space="preserve">No—monitoring is driven by what tools can do; approvals are unclear.</x:t>
        </x:is>
      </x:c>
      <x:c r="S78" t="n">
        <x:v>0</x:v>
      </x:c>
      <x:c r="T78" t="inlineStr">
        <x:is>
          <x:t xml:space="preserve">legal_red_flag</x:t>
        </x:is>
      </x:c>
      <x:c r="U78" t="inlineStr">
        <x:is>
          <x:t xml:space="preserve">Legal Exposure</x:t>
        </x:is>
      </x:c>
      <x:c r="V78" t="inlineStr">
        <x:is>
          <x:t xml:space="preserve">Legal_Defensibility_Audit</x:t>
        </x:is>
      </x:c>
      <x:c r="W78" t="inlineStr">
        <x:is>
          <x:t xml:space="preserve">N</x:t>
        </x:is>
      </x:c>
      <x:c r="Y78">
        <x:f>(S78*IF(E78="G",F78,0))+(S78*IF(G78="G",H78,0))</x:f>
      </x:c>
      <x:c r="Z78">
        <x:f>(S78*IF(E78="E",F78,0))+(S78*IF(G78="E",H78,0))</x:f>
      </x:c>
      <x:c r="AA78">
        <x:f>(S78*IF(E78="T",F78,0))+(S78*IF(G78="T",H78,0))</x:f>
      </x:c>
      <x:c r="AB78">
        <x:f>(S78*IF(E78="L",F78,0))+(S78*IF(G78="L",H78,0))</x:f>
      </x:c>
      <x:c r="AC78">
        <x:f>(S78*IF(E78="H",F78,0))+(S78*IF(G78="H",H78,0))</x:f>
      </x:c>
      <x:c r="AD78">
        <x:f>(S78*IF(E78="V",F78,0))+(S78*IF(G78="V",H78,0))</x:f>
      </x:c>
      <x:c r="AE78">
        <x:f>(S78*IF(E78="R",F78,0))+(S78*IF(G78="R",H78,0))</x:f>
      </x:c>
      <x:c r="AF78">
        <x:f>(S78*IF(E78="F",F78,0))+(S78*IF(G78="F",H78,0))</x:f>
      </x:c>
      <x:c r="AG78">
        <x:f>(S78*IF(E78="W",F78,0))+(S78*IF(G78="W",H78,0))</x:f>
      </x:c>
      <x:c r="AH78" t="inlineStr">
        <x:is>
          <x:t xml:space="preserve">1. Strategy &amp; Governance</x:t>
        </x:is>
      </x:c>
      <x:c r="AI78" t="inlineStr">
        <x:is>
          <x:t xml:space="preserve">Program Management</x:t>
        </x:is>
      </x:c>
      <x:c r="AJ78" t="inlineStr">
        <x:is>
          <x:t xml:space="preserve">Executive sponsorship &amp; oversight cadence</x:t>
        </x:is>
      </x:c>
    </x:row>
    <x:row r="79">
      <x:c r="A79" t="inlineStr">
        <x:is>
          <x:t xml:space="preserve">Executive</x:t>
        </x:is>
      </x:c>
      <x:c r="B79" t="inlineStr">
        <x:is>
          <x:t xml:space="preserve">EXCO-D3-Q01</x:t>
        </x:is>
      </x:c>
      <x:c r="C79" t="inlineStr">
        <x:is>
          <x:t xml:space="preserve">T1</x:t>
        </x:is>
      </x:c>
      <x:c r="D79" t="inlineStr">
        <x:is>
          <x:t xml:space="preserve">3. Legal &amp; Ethics</x:t>
        </x:is>
      </x:c>
      <x:c r="E79" t="inlineStr">
        <x:is>
          <x:t xml:space="preserve">L</x:t>
        </x:is>
      </x:c>
      <x:c r="F79" t="n">
        <x:v>0.8</x:v>
      </x:c>
      <x:c r="G79" t="inlineStr">
        <x:is>
          <x:t xml:space="preserve">G</x:t>
        </x:is>
      </x:c>
      <x:c r="H79" t="n">
        <x:v>0.2</x:v>
      </x:c>
      <x:c r="I79" t="inlineStr">
        <x:is>
          <x:t xml:space="preserve">Is there a clear, approved framework for monitoring employee/contractor activity (what, why, and who approves)?</x:t>
        </x:is>
      </x:c>
      <x:c r="J79" t="inlineStr">
        <x:is>
          <x:t xml:space="preserve">Aim for plain language: what data is monitored, why, legal basis, who can access it, and oversight.</x:t>
        </x:is>
      </x:c>
      <x:c r="L79" t="inlineStr">
        <x:is>
          <x:t xml:space="preserve">LEG_STRICT</x:t>
        </x:is>
      </x:c>
      <x:c r="M79" t="n">
        <x:v>1</x:v>
      </x:c>
      <x:c r="P79" t="inlineStr">
        <x:is>
          <x:t xml:space="preserve">EXCO-D3-Q01-A2</x:t>
        </x:is>
      </x:c>
      <x:c r="Q79" t="n">
        <x:v>3</x:v>
      </x:c>
      <x:c r="R79" t="inlineStr">
        <x:is>
          <x:t xml:space="preserve">Some informal approvals exist (verbal / ad-hoc), but not documented.</x:t>
        </x:is>
      </x:c>
      <x:c r="S79" t="n">
        <x:v>1</x:v>
      </x:c>
      <x:c r="T79" t="inlineStr">
        <x:is>
          <x:t xml:space="preserve">legal_red_flag,shadow_signal</x:t>
        </x:is>
      </x:c>
      <x:c r="U79" t="inlineStr">
        <x:is>
          <x:t xml:space="preserve">Legal Exposure</x:t>
        </x:is>
      </x:c>
      <x:c r="V79" t="inlineStr">
        <x:is>
          <x:t xml:space="preserve">Legal_Defensibility_Audit</x:t>
        </x:is>
      </x:c>
      <x:c r="W79" t="inlineStr">
        <x:is>
          <x:t xml:space="preserve">N</x:t>
        </x:is>
      </x:c>
      <x:c r="Y79">
        <x:f>(S79*IF(E79="G",F79,0))+(S79*IF(G79="G",H79,0))</x:f>
      </x:c>
      <x:c r="Z79">
        <x:f>(S79*IF(E79="E",F79,0))+(S79*IF(G79="E",H79,0))</x:f>
      </x:c>
      <x:c r="AA79">
        <x:f>(S79*IF(E79="T",F79,0))+(S79*IF(G79="T",H79,0))</x:f>
      </x:c>
      <x:c r="AB79">
        <x:f>(S79*IF(E79="L",F79,0))+(S79*IF(G79="L",H79,0))</x:f>
      </x:c>
      <x:c r="AC79">
        <x:f>(S79*IF(E79="H",F79,0))+(S79*IF(G79="H",H79,0))</x:f>
      </x:c>
      <x:c r="AD79">
        <x:f>(S79*IF(E79="V",F79,0))+(S79*IF(G79="V",H79,0))</x:f>
      </x:c>
      <x:c r="AE79">
        <x:f>(S79*IF(E79="R",F79,0))+(S79*IF(G79="R",H79,0))</x:f>
      </x:c>
      <x:c r="AF79">
        <x:f>(S79*IF(E79="F",F79,0))+(S79*IF(G79="F",H79,0))</x:f>
      </x:c>
      <x:c r="AG79">
        <x:f>(S79*IF(E79="W",F79,0))+(S79*IF(G79="W",H79,0))</x:f>
      </x:c>
      <x:c r="AH79" t="inlineStr">
        <x:is>
          <x:t xml:space="preserve">1. Strategy &amp; Governance</x:t>
        </x:is>
      </x:c>
      <x:c r="AI79" t="inlineStr">
        <x:is>
          <x:t xml:space="preserve">Program Management</x:t>
        </x:is>
      </x:c>
      <x:c r="AJ79" t="inlineStr">
        <x:is>
          <x:t xml:space="preserve">Executive sponsorship &amp; oversight cadence</x:t>
        </x:is>
      </x:c>
    </x:row>
    <x:row r="80">
      <x:c r="A80" t="inlineStr">
        <x:is>
          <x:t xml:space="preserve">Executive</x:t>
        </x:is>
      </x:c>
      <x:c r="B80" t="inlineStr">
        <x:is>
          <x:t xml:space="preserve">EXCO-D3-Q01</x:t>
        </x:is>
      </x:c>
      <x:c r="C80" t="inlineStr">
        <x:is>
          <x:t xml:space="preserve">T1</x:t>
        </x:is>
      </x:c>
      <x:c r="D80" t="inlineStr">
        <x:is>
          <x:t xml:space="preserve">3. Legal &amp; Ethics</x:t>
        </x:is>
      </x:c>
      <x:c r="E80" t="inlineStr">
        <x:is>
          <x:t xml:space="preserve">L</x:t>
        </x:is>
      </x:c>
      <x:c r="F80" t="n">
        <x:v>0.8</x:v>
      </x:c>
      <x:c r="G80" t="inlineStr">
        <x:is>
          <x:t xml:space="preserve">G</x:t>
        </x:is>
      </x:c>
      <x:c r="H80" t="n">
        <x:v>0.2</x:v>
      </x:c>
      <x:c r="I80" t="inlineStr">
        <x:is>
          <x:t xml:space="preserve">Is there a clear, approved framework for monitoring employee/contractor activity (what, why, and who approves)?</x:t>
        </x:is>
      </x:c>
      <x:c r="J80" t="inlineStr">
        <x:is>
          <x:t xml:space="preserve">Aim for plain language: what data is monitored, why, legal basis, who can access it, and oversight.</x:t>
        </x:is>
      </x:c>
      <x:c r="L80" t="inlineStr">
        <x:is>
          <x:t xml:space="preserve">LEG_STRICT</x:t>
        </x:is>
      </x:c>
      <x:c r="M80" t="n">
        <x:v>1</x:v>
      </x:c>
      <x:c r="P80" t="inlineStr">
        <x:is>
          <x:t xml:space="preserve">EXCO-D3-Q01-A3</x:t>
        </x:is>
      </x:c>
      <x:c r="Q80" t="n">
        <x:v>4</x:v>
      </x:c>
      <x:c r="R80" t="inlineStr">
        <x:is>
          <x:t xml:space="preserve">Policy exists, but it’s generic and not aligned to how monitoring works in practice.</x:t>
        </x:is>
      </x:c>
      <x:c r="S80" t="n">
        <x:v>2</x:v>
      </x:c>
      <x:c r="T80" t="inlineStr">
        <x:is>
          <x:t xml:space="preserve">paper_dragon_signal</x:t>
        </x:is>
      </x:c>
      <x:c r="U80" t="inlineStr">
        <x:is>
          <x:t xml:space="preserve">Paper Dragon</x:t>
        </x:is>
      </x:c>
      <x:c r="V80" t="inlineStr">
        <x:is>
          <x:t xml:space="preserve">Align_Policy_To_Reality</x:t>
        </x:is>
      </x:c>
      <x:c r="W80" t="inlineStr">
        <x:is>
          <x:t xml:space="preserve">Y</x:t>
        </x:is>
      </x:c>
      <x:c r="Y80">
        <x:f>(S80*IF(E80="G",F80,0))+(S80*IF(G80="G",H80,0))</x:f>
      </x:c>
      <x:c r="Z80">
        <x:f>(S80*IF(E80="E",F80,0))+(S80*IF(G80="E",H80,0))</x:f>
      </x:c>
      <x:c r="AA80">
        <x:f>(S80*IF(E80="T",F80,0))+(S80*IF(G80="T",H80,0))</x:f>
      </x:c>
      <x:c r="AB80">
        <x:f>(S80*IF(E80="L",F80,0))+(S80*IF(G80="L",H80,0))</x:f>
      </x:c>
      <x:c r="AC80">
        <x:f>(S80*IF(E80="H",F80,0))+(S80*IF(G80="H",H80,0))</x:f>
      </x:c>
      <x:c r="AD80">
        <x:f>(S80*IF(E80="V",F80,0))+(S80*IF(G80="V",H80,0))</x:f>
      </x:c>
      <x:c r="AE80">
        <x:f>(S80*IF(E80="R",F80,0))+(S80*IF(G80="R",H80,0))</x:f>
      </x:c>
      <x:c r="AF80">
        <x:f>(S80*IF(E80="F",F80,0))+(S80*IF(G80="F",H80,0))</x:f>
      </x:c>
      <x:c r="AG80">
        <x:f>(S80*IF(E80="W",F80,0))+(S80*IF(G80="W",H80,0))</x:f>
      </x:c>
      <x:c r="AH80" t="inlineStr">
        <x:is>
          <x:t xml:space="preserve">1. Strategy &amp; Governance</x:t>
        </x:is>
      </x:c>
      <x:c r="AI80" t="inlineStr">
        <x:is>
          <x:t xml:space="preserve">Program Management</x:t>
        </x:is>
      </x:c>
      <x:c r="AJ80" t="inlineStr">
        <x:is>
          <x:t xml:space="preserve">Executive sponsorship &amp; oversight cadence</x:t>
        </x:is>
      </x:c>
    </x:row>
    <x:row r="81">
      <x:c r="A81" t="inlineStr">
        <x:is>
          <x:t xml:space="preserve">Executive</x:t>
        </x:is>
      </x:c>
      <x:c r="B81" t="inlineStr">
        <x:is>
          <x:t xml:space="preserve">EXCO-D3-Q01</x:t>
        </x:is>
      </x:c>
      <x:c r="C81" t="inlineStr">
        <x:is>
          <x:t xml:space="preserve">T1</x:t>
        </x:is>
      </x:c>
      <x:c r="D81" t="inlineStr">
        <x:is>
          <x:t xml:space="preserve">3. Legal &amp; Ethics</x:t>
        </x:is>
      </x:c>
      <x:c r="E81" t="inlineStr">
        <x:is>
          <x:t xml:space="preserve">L</x:t>
        </x:is>
      </x:c>
      <x:c r="F81" t="n">
        <x:v>0.8</x:v>
      </x:c>
      <x:c r="G81" t="inlineStr">
        <x:is>
          <x:t xml:space="preserve">G</x:t>
        </x:is>
      </x:c>
      <x:c r="H81" t="n">
        <x:v>0.2</x:v>
      </x:c>
      <x:c r="I81" t="inlineStr">
        <x:is>
          <x:t xml:space="preserve">Is there a clear, approved framework for monitoring employee/contractor activity (what, why, and who approves)?</x:t>
        </x:is>
      </x:c>
      <x:c r="J81" t="inlineStr">
        <x:is>
          <x:t xml:space="preserve">Aim for plain language: what data is monitored, why, legal basis, who can access it, and oversight.</x:t>
        </x:is>
      </x:c>
      <x:c r="L81" t="inlineStr">
        <x:is>
          <x:t xml:space="preserve">LEG_STRICT</x:t>
        </x:is>
      </x:c>
      <x:c r="M81" t="n">
        <x:v>1</x:v>
      </x:c>
      <x:c r="P81" t="inlineStr">
        <x:is>
          <x:t xml:space="preserve">EXCO-D3-Q01-A4</x:t>
        </x:is>
      </x:c>
      <x:c r="Q81" t="n">
        <x:v>5</x:v>
      </x:c>
      <x:c r="R81" t="inlineStr">
        <x:is>
          <x:t xml:space="preserve">Approved framework exists; monitoring is risk-based and approvals/oversight are defined.</x:t>
        </x:is>
      </x:c>
      <x:c r="S81" t="n">
        <x:v>3</x:v>
      </x:c>
      <x:c r="T81" t="inlineStr">
        <x:is>
          <x:t xml:space="preserve">good_practice</x:t>
        </x:is>
      </x:c>
      <x:c r="V81" t="inlineStr">
        <x:is>
          <x:t xml:space="preserve">Request_Evidence</x:t>
        </x:is>
      </x:c>
      <x:c r="W81" t="inlineStr">
        <x:is>
          <x:t xml:space="preserve">Y</x:t>
        </x:is>
      </x:c>
      <x:c r="X81" t="inlineStr">
        <x:is>
          <x:t xml:space="preserve">Provide monitoring policy/DPIA/LIA summary and access controls.</x:t>
        </x:is>
      </x:c>
      <x:c r="Y81">
        <x:f>(S81*IF(E81="G",F81,0))+(S81*IF(G81="G",H81,0))</x:f>
      </x:c>
      <x:c r="Z81">
        <x:f>(S81*IF(E81="E",F81,0))+(S81*IF(G81="E",H81,0))</x:f>
      </x:c>
      <x:c r="AA81">
        <x:f>(S81*IF(E81="T",F81,0))+(S81*IF(G81="T",H81,0))</x:f>
      </x:c>
      <x:c r="AB81">
        <x:f>(S81*IF(E81="L",F81,0))+(S81*IF(G81="L",H81,0))</x:f>
      </x:c>
      <x:c r="AC81">
        <x:f>(S81*IF(E81="H",F81,0))+(S81*IF(G81="H",H81,0))</x:f>
      </x:c>
      <x:c r="AD81">
        <x:f>(S81*IF(E81="V",F81,0))+(S81*IF(G81="V",H81,0))</x:f>
      </x:c>
      <x:c r="AE81">
        <x:f>(S81*IF(E81="R",F81,0))+(S81*IF(G81="R",H81,0))</x:f>
      </x:c>
      <x:c r="AF81">
        <x:f>(S81*IF(E81="F",F81,0))+(S81*IF(G81="F",H81,0))</x:f>
      </x:c>
      <x:c r="AG81">
        <x:f>(S81*IF(E81="W",F81,0))+(S81*IF(G81="W",H81,0))</x:f>
      </x:c>
      <x:c r="AH81" t="inlineStr">
        <x:is>
          <x:t xml:space="preserve">1. Strategy &amp; Governance</x:t>
        </x:is>
      </x:c>
      <x:c r="AI81" t="inlineStr">
        <x:is>
          <x:t xml:space="preserve">Program Management</x:t>
        </x:is>
      </x:c>
      <x:c r="AJ81" t="inlineStr">
        <x:is>
          <x:t xml:space="preserve">Executive sponsorship &amp; oversight cadence</x:t>
        </x:is>
      </x:c>
    </x:row>
    <x:row r="82">
      <x:c r="A82" t="inlineStr">
        <x:is>
          <x:t xml:space="preserve">Executive</x:t>
        </x:is>
      </x:c>
      <x:c r="B82" t="inlineStr">
        <x:is>
          <x:t xml:space="preserve">EXCO-D3-Q01</x:t>
        </x:is>
      </x:c>
      <x:c r="C82" t="inlineStr">
        <x:is>
          <x:t xml:space="preserve">T1</x:t>
        </x:is>
      </x:c>
      <x:c r="D82" t="inlineStr">
        <x:is>
          <x:t xml:space="preserve">3. Legal &amp; Ethics</x:t>
        </x:is>
      </x:c>
      <x:c r="E82" t="inlineStr">
        <x:is>
          <x:t xml:space="preserve">L</x:t>
        </x:is>
      </x:c>
      <x:c r="F82" t="n">
        <x:v>0.8</x:v>
      </x:c>
      <x:c r="G82" t="inlineStr">
        <x:is>
          <x:t xml:space="preserve">G</x:t>
        </x:is>
      </x:c>
      <x:c r="H82" t="n">
        <x:v>0.2</x:v>
      </x:c>
      <x:c r="I82" t="inlineStr">
        <x:is>
          <x:t xml:space="preserve">Is there a clear, approved framework for monitoring employee/contractor activity (what, why, and who approves)?</x:t>
        </x:is>
      </x:c>
      <x:c r="J82" t="inlineStr">
        <x:is>
          <x:t xml:space="preserve">Aim for plain language: what data is monitored, why, legal basis, who can access it, and oversight.</x:t>
        </x:is>
      </x:c>
      <x:c r="L82" t="inlineStr">
        <x:is>
          <x:t xml:space="preserve">LEG_STRICT</x:t>
        </x:is>
      </x:c>
      <x:c r="M82" t="n">
        <x:v>1</x:v>
      </x:c>
      <x:c r="P82" t="inlineStr">
        <x:is>
          <x:t xml:space="preserve">EXCO-D3-Q01-A5</x:t>
        </x:is>
      </x:c>
      <x:c r="Q82" t="n">
        <x:v>6</x:v>
      </x:c>
      <x:c r="R82" t="inlineStr">
        <x:is>
          <x:t xml:space="preserve">Framework is co-designed with Legal/Privacy and relevant employee representation; audited periodically.</x:t>
        </x:is>
      </x:c>
      <x:c r="S82" t="n">
        <x:v>4</x:v>
      </x:c>
      <x:c r="T82" t="inlineStr">
        <x:is>
          <x:t xml:space="preserve">optimized</x:t>
        </x:is>
      </x:c>
      <x:c r="V82" t="inlineStr">
        <x:is>
          <x:t xml:space="preserve">Request_Evidence</x:t>
        </x:is>
      </x:c>
      <x:c r="W82" t="inlineStr">
        <x:is>
          <x:t xml:space="preserve">Y</x:t>
        </x:is>
      </x:c>
      <x:c r="Y82">
        <x:f>(S82*IF(E82="G",F82,0))+(S82*IF(G82="G",H82,0))</x:f>
      </x:c>
      <x:c r="Z82">
        <x:f>(S82*IF(E82="E",F82,0))+(S82*IF(G82="E",H82,0))</x:f>
      </x:c>
      <x:c r="AA82">
        <x:f>(S82*IF(E82="T",F82,0))+(S82*IF(G82="T",H82,0))</x:f>
      </x:c>
      <x:c r="AB82">
        <x:f>(S82*IF(E82="L",F82,0))+(S82*IF(G82="L",H82,0))</x:f>
      </x:c>
      <x:c r="AC82">
        <x:f>(S82*IF(E82="H",F82,0))+(S82*IF(G82="H",H82,0))</x:f>
      </x:c>
      <x:c r="AD82">
        <x:f>(S82*IF(E82="V",F82,0))+(S82*IF(G82="V",H82,0))</x:f>
      </x:c>
      <x:c r="AE82">
        <x:f>(S82*IF(E82="R",F82,0))+(S82*IF(G82="R",H82,0))</x:f>
      </x:c>
      <x:c r="AF82">
        <x:f>(S82*IF(E82="F",F82,0))+(S82*IF(G82="F",H82,0))</x:f>
      </x:c>
      <x:c r="AG82">
        <x:f>(S82*IF(E82="W",F82,0))+(S82*IF(G82="W",H82,0))</x:f>
      </x:c>
      <x:c r="AH82" t="inlineStr">
        <x:is>
          <x:t xml:space="preserve">1. Strategy &amp; Governance</x:t>
        </x:is>
      </x:c>
      <x:c r="AI82" t="inlineStr">
        <x:is>
          <x:t xml:space="preserve">Program Management</x:t>
        </x:is>
      </x:c>
      <x:c r="AJ82" t="inlineStr">
        <x:is>
          <x:t xml:space="preserve">Executive sponsorship &amp; oversight cadence</x:t>
        </x:is>
      </x:c>
    </x:row>
    <x:row r="83">
      <x:c r="A83" t="inlineStr">
        <x:is>
          <x:t xml:space="preserve">Executive</x:t>
        </x:is>
      </x:c>
      <x:c r="B83" t="inlineStr">
        <x:is>
          <x:t xml:space="preserve">EXCO-D3-Q02</x:t>
        </x:is>
      </x:c>
      <x:c r="C83" t="inlineStr">
        <x:is>
          <x:t xml:space="preserve">T2</x:t>
        </x:is>
      </x:c>
      <x:c r="D83" t="inlineStr">
        <x:is>
          <x:t xml:space="preserve">3. Legal &amp; Ethics</x:t>
        </x:is>
      </x:c>
      <x:c r="E83" t="inlineStr">
        <x:is>
          <x:t xml:space="preserve">L</x:t>
        </x:is>
      </x:c>
      <x:c r="F83" t="n">
        <x:v>0.5</x:v>
      </x:c>
      <x:c r="G83" t="inlineStr">
        <x:is>
          <x:t xml:space="preserve">H</x:t>
        </x:is>
      </x:c>
      <x:c r="H83" t="n">
        <x:v>0.5</x:v>
      </x:c>
      <x:c r="I83" t="inlineStr">
        <x:is>
          <x:t xml:space="preserve">(Shadow probe) Do people understand that monitoring exists and what it is used for?</x:t>
        </x:is>
      </x:c>
      <x:c r="J83" t="inlineStr">
        <x:is>
          <x:t xml:space="preserve">This checks practical transparency, not just contracts.</x:t>
        </x:is>
      </x:c>
      <x:c r="L83" t="inlineStr">
        <x:is>
          <x:t xml:space="preserve">LEG_STRICT</x:t>
        </x:is>
      </x:c>
      <x:c r="M83" t="n">
        <x:v>1</x:v>
      </x:c>
      <x:c r="P83" t="inlineStr">
        <x:is>
          <x:t xml:space="preserve">EXCO-D3-Q02-A1</x:t>
        </x:is>
      </x:c>
      <x:c r="Q83" t="n">
        <x:v>1</x:v>
      </x:c>
      <x:c r="R83" t="inlineStr">
        <x:is>
          <x:t xml:space="preserve">No—monitoring is treated as secret; ‘the less they know the better’.</x:t>
        </x:is>
      </x:c>
      <x:c r="S83" t="n">
        <x:v>0</x:v>
      </x:c>
      <x:c r="T83" t="inlineStr">
        <x:is>
          <x:t xml:space="preserve">toxic_enforcer_signal,legal_red_flag</x:t>
        </x:is>
      </x:c>
      <x:c r="U83" t="inlineStr">
        <x:is>
          <x:t xml:space="preserve">Toxic Enforcer</x:t>
        </x:is>
      </x:c>
      <x:c r="V83" t="inlineStr">
        <x:is>
          <x:t xml:space="preserve">Transparency_Remediation</x:t>
        </x:is>
      </x:c>
      <x:c r="W83" t="inlineStr">
        <x:is>
          <x:t xml:space="preserve">N</x:t>
        </x:is>
      </x:c>
      <x:c r="Y83">
        <x:f>(S83*IF(E83="G",F83,0))+(S83*IF(G83="G",H83,0))</x:f>
      </x:c>
      <x:c r="Z83">
        <x:f>(S83*IF(E83="E",F83,0))+(S83*IF(G83="E",H83,0))</x:f>
      </x:c>
      <x:c r="AA83">
        <x:f>(S83*IF(E83="T",F83,0))+(S83*IF(G83="T",H83,0))</x:f>
      </x:c>
      <x:c r="AB83">
        <x:f>(S83*IF(E83="L",F83,0))+(S83*IF(G83="L",H83,0))</x:f>
      </x:c>
      <x:c r="AC83">
        <x:f>(S83*IF(E83="H",F83,0))+(S83*IF(G83="H",H83,0))</x:f>
      </x:c>
      <x:c r="AD83">
        <x:f>(S83*IF(E83="V",F83,0))+(S83*IF(G83="V",H83,0))</x:f>
      </x:c>
      <x:c r="AE83">
        <x:f>(S83*IF(E83="R",F83,0))+(S83*IF(G83="R",H83,0))</x:f>
      </x:c>
      <x:c r="AF83">
        <x:f>(S83*IF(E83="F",F83,0))+(S83*IF(G83="F",H83,0))</x:f>
      </x:c>
      <x:c r="AG83">
        <x:f>(S83*IF(E83="W",F83,0))+(S83*IF(G83="W",H83,0))</x:f>
      </x:c>
      <x:c r="AH83" t="inlineStr">
        <x:is>
          <x:t xml:space="preserve">5. Human-Centric Culture</x:t>
        </x:is>
      </x:c>
      <x:c r="AI83" t="inlineStr">
        <x:is>
          <x:t xml:space="preserve">Personnel Security</x:t>
        </x:is>
      </x:c>
      <x:c r="AJ83" t="inlineStr">
        <x:is>
          <x:t xml:space="preserve">People-Signal Governance</x:t>
        </x:is>
      </x:c>
    </x:row>
    <x:row r="84">
      <x:c r="A84" t="inlineStr">
        <x:is>
          <x:t xml:space="preserve">Executive</x:t>
        </x:is>
      </x:c>
      <x:c r="B84" t="inlineStr">
        <x:is>
          <x:t xml:space="preserve">EXCO-D3-Q02</x:t>
        </x:is>
      </x:c>
      <x:c r="C84" t="inlineStr">
        <x:is>
          <x:t xml:space="preserve">T2</x:t>
        </x:is>
      </x:c>
      <x:c r="D84" t="inlineStr">
        <x:is>
          <x:t xml:space="preserve">3. Legal &amp; Ethics</x:t>
        </x:is>
      </x:c>
      <x:c r="E84" t="inlineStr">
        <x:is>
          <x:t xml:space="preserve">L</x:t>
        </x:is>
      </x:c>
      <x:c r="F84" t="n">
        <x:v>0.5</x:v>
      </x:c>
      <x:c r="G84" t="inlineStr">
        <x:is>
          <x:t xml:space="preserve">H</x:t>
        </x:is>
      </x:c>
      <x:c r="H84" t="n">
        <x:v>0.5</x:v>
      </x:c>
      <x:c r="I84" t="inlineStr">
        <x:is>
          <x:t xml:space="preserve">(Shadow probe) Do people understand that monitoring exists and what it is used for?</x:t>
        </x:is>
      </x:c>
      <x:c r="J84" t="inlineStr">
        <x:is>
          <x:t xml:space="preserve">This checks practical transparency, not just contracts.</x:t>
        </x:is>
      </x:c>
      <x:c r="L84" t="inlineStr">
        <x:is>
          <x:t xml:space="preserve">LEG_STRICT</x:t>
        </x:is>
      </x:c>
      <x:c r="M84" t="n">
        <x:v>1</x:v>
      </x:c>
      <x:c r="P84" t="inlineStr">
        <x:is>
          <x:t xml:space="preserve">EXCO-D3-Q02-A2</x:t>
        </x:is>
      </x:c>
      <x:c r="Q84" t="n">
        <x:v>2</x:v>
      </x:c>
      <x:c r="R84" t="inlineStr">
        <x:is>
          <x:t xml:space="preserve">Only managers warn people informally; there is no consistent communication.</x:t>
        </x:is>
      </x:c>
      <x:c r="S84" t="n">
        <x:v>1</x:v>
      </x:c>
      <x:c r="T84" t="inlineStr">
        <x:is>
          <x:t xml:space="preserve">legal_red_flag</x:t>
        </x:is>
      </x:c>
      <x:c r="U84" t="inlineStr">
        <x:is>
          <x:t xml:space="preserve">Legal Exposure</x:t>
        </x:is>
      </x:c>
      <x:c r="V84" t="inlineStr">
        <x:is>
          <x:t xml:space="preserve">Transparency_Remediation</x:t>
        </x:is>
      </x:c>
      <x:c r="W84" t="inlineStr">
        <x:is>
          <x:t xml:space="preserve">N</x:t>
        </x:is>
      </x:c>
      <x:c r="Y84">
        <x:f>(S84*IF(E84="G",F84,0))+(S84*IF(G84="G",H84,0))</x:f>
      </x:c>
      <x:c r="Z84">
        <x:f>(S84*IF(E84="E",F84,0))+(S84*IF(G84="E",H84,0))</x:f>
      </x:c>
      <x:c r="AA84">
        <x:f>(S84*IF(E84="T",F84,0))+(S84*IF(G84="T",H84,0))</x:f>
      </x:c>
      <x:c r="AB84">
        <x:f>(S84*IF(E84="L",F84,0))+(S84*IF(G84="L",H84,0))</x:f>
      </x:c>
      <x:c r="AC84">
        <x:f>(S84*IF(E84="H",F84,0))+(S84*IF(G84="H",H84,0))</x:f>
      </x:c>
      <x:c r="AD84">
        <x:f>(S84*IF(E84="V",F84,0))+(S84*IF(G84="V",H84,0))</x:f>
      </x:c>
      <x:c r="AE84">
        <x:f>(S84*IF(E84="R",F84,0))+(S84*IF(G84="R",H84,0))</x:f>
      </x:c>
      <x:c r="AF84">
        <x:f>(S84*IF(E84="F",F84,0))+(S84*IF(G84="F",H84,0))</x:f>
      </x:c>
      <x:c r="AG84">
        <x:f>(S84*IF(E84="W",F84,0))+(S84*IF(G84="W",H84,0))</x:f>
      </x:c>
      <x:c r="AH84" t="inlineStr">
        <x:is>
          <x:t xml:space="preserve">5. Human-Centric Culture</x:t>
        </x:is>
      </x:c>
      <x:c r="AI84" t="inlineStr">
        <x:is>
          <x:t xml:space="preserve">Personnel Security</x:t>
        </x:is>
      </x:c>
      <x:c r="AJ84" t="inlineStr">
        <x:is>
          <x:t xml:space="preserve">People-Signal Governance</x:t>
        </x:is>
      </x:c>
    </x:row>
    <x:row r="85">
      <x:c r="A85" t="inlineStr">
        <x:is>
          <x:t xml:space="preserve">Executive</x:t>
        </x:is>
      </x:c>
      <x:c r="B85" t="inlineStr">
        <x:is>
          <x:t xml:space="preserve">EXCO-D3-Q02</x:t>
        </x:is>
      </x:c>
      <x:c r="C85" t="inlineStr">
        <x:is>
          <x:t xml:space="preserve">T2</x:t>
        </x:is>
      </x:c>
      <x:c r="D85" t="inlineStr">
        <x:is>
          <x:t xml:space="preserve">3. Legal &amp; Ethics</x:t>
        </x:is>
      </x:c>
      <x:c r="E85" t="inlineStr">
        <x:is>
          <x:t xml:space="preserve">L</x:t>
        </x:is>
      </x:c>
      <x:c r="F85" t="n">
        <x:v>0.5</x:v>
      </x:c>
      <x:c r="G85" t="inlineStr">
        <x:is>
          <x:t xml:space="preserve">H</x:t>
        </x:is>
      </x:c>
      <x:c r="H85" t="n">
        <x:v>0.5</x:v>
      </x:c>
      <x:c r="I85" t="inlineStr">
        <x:is>
          <x:t xml:space="preserve">(Shadow probe) Do people understand that monitoring exists and what it is used for?</x:t>
        </x:is>
      </x:c>
      <x:c r="J85" t="inlineStr">
        <x:is>
          <x:t xml:space="preserve">This checks practical transparency, not just contracts.</x:t>
        </x:is>
      </x:c>
      <x:c r="L85" t="inlineStr">
        <x:is>
          <x:t xml:space="preserve">LEG_STRICT</x:t>
        </x:is>
      </x:c>
      <x:c r="M85" t="n">
        <x:v>1</x:v>
      </x:c>
      <x:c r="P85" t="inlineStr">
        <x:is>
          <x:t xml:space="preserve">EXCO-D3-Q02-A3</x:t>
        </x:is>
      </x:c>
      <x:c r="Q85" t="n">
        <x:v>3</x:v>
      </x:c>
      <x:c r="R85" t="inlineStr">
        <x:is>
          <x:t xml:space="preserve">There is some communication (e.g., acceptable use), but it’s hard to understand or easy to miss.</x:t>
        </x:is>
      </x:c>
      <x:c r="S85" t="n">
        <x:v>2</x:v>
      </x:c>
      <x:c r="T85" t="inlineStr">
        <x:is>
          <x:t xml:space="preserve">paper_process</x:t>
        </x:is>
      </x:c>
      <x:c r="U85" t="inlineStr">
        <x:is>
          <x:t xml:space="preserve">Paper Dragon</x:t>
        </x:is>
      </x:c>
      <x:c r="V85" t="inlineStr">
        <x:is>
          <x:t xml:space="preserve">Improve_Transparency</x:t>
        </x:is>
      </x:c>
      <x:c r="W85" t="inlineStr">
        <x:is>
          <x:t xml:space="preserve">N</x:t>
        </x:is>
      </x:c>
      <x:c r="Y85">
        <x:f>(S85*IF(E85="G",F85,0))+(S85*IF(G85="G",H85,0))</x:f>
      </x:c>
      <x:c r="Z85">
        <x:f>(S85*IF(E85="E",F85,0))+(S85*IF(G85="E",H85,0))</x:f>
      </x:c>
      <x:c r="AA85">
        <x:f>(S85*IF(E85="T",F85,0))+(S85*IF(G85="T",H85,0))</x:f>
      </x:c>
      <x:c r="AB85">
        <x:f>(S85*IF(E85="L",F85,0))+(S85*IF(G85="L",H85,0))</x:f>
      </x:c>
      <x:c r="AC85">
        <x:f>(S85*IF(E85="H",F85,0))+(S85*IF(G85="H",H85,0))</x:f>
      </x:c>
      <x:c r="AD85">
        <x:f>(S85*IF(E85="V",F85,0))+(S85*IF(G85="V",H85,0))</x:f>
      </x:c>
      <x:c r="AE85">
        <x:f>(S85*IF(E85="R",F85,0))+(S85*IF(G85="R",H85,0))</x:f>
      </x:c>
      <x:c r="AF85">
        <x:f>(S85*IF(E85="F",F85,0))+(S85*IF(G85="F",H85,0))</x:f>
      </x:c>
      <x:c r="AG85">
        <x:f>(S85*IF(E85="W",F85,0))+(S85*IF(G85="W",H85,0))</x:f>
      </x:c>
      <x:c r="AH85" t="inlineStr">
        <x:is>
          <x:t xml:space="preserve">5. Human-Centric Culture</x:t>
        </x:is>
      </x:c>
      <x:c r="AI85" t="inlineStr">
        <x:is>
          <x:t xml:space="preserve">Personnel Security</x:t>
        </x:is>
      </x:c>
      <x:c r="AJ85" t="inlineStr">
        <x:is>
          <x:t xml:space="preserve">People-Signal Governance</x:t>
        </x:is>
      </x:c>
    </x:row>
    <x:row r="86">
      <x:c r="A86" t="inlineStr">
        <x:is>
          <x:t xml:space="preserve">Executive</x:t>
        </x:is>
      </x:c>
      <x:c r="B86" t="inlineStr">
        <x:is>
          <x:t xml:space="preserve">EXCO-D3-Q02</x:t>
        </x:is>
      </x:c>
      <x:c r="C86" t="inlineStr">
        <x:is>
          <x:t xml:space="preserve">T2</x:t>
        </x:is>
      </x:c>
      <x:c r="D86" t="inlineStr">
        <x:is>
          <x:t xml:space="preserve">3. Legal &amp; Ethics</x:t>
        </x:is>
      </x:c>
      <x:c r="E86" t="inlineStr">
        <x:is>
          <x:t xml:space="preserve">L</x:t>
        </x:is>
      </x:c>
      <x:c r="F86" t="n">
        <x:v>0.5</x:v>
      </x:c>
      <x:c r="G86" t="inlineStr">
        <x:is>
          <x:t xml:space="preserve">H</x:t>
        </x:is>
      </x:c>
      <x:c r="H86" t="n">
        <x:v>0.5</x:v>
      </x:c>
      <x:c r="I86" t="inlineStr">
        <x:is>
          <x:t xml:space="preserve">(Shadow probe) Do people understand that monitoring exists and what it is used for?</x:t>
        </x:is>
      </x:c>
      <x:c r="J86" t="inlineStr">
        <x:is>
          <x:t xml:space="preserve">This checks practical transparency, not just contracts.</x:t>
        </x:is>
      </x:c>
      <x:c r="L86" t="inlineStr">
        <x:is>
          <x:t xml:space="preserve">LEG_STRICT</x:t>
        </x:is>
      </x:c>
      <x:c r="M86" t="n">
        <x:v>1</x:v>
      </x:c>
      <x:c r="P86" t="inlineStr">
        <x:is>
          <x:t xml:space="preserve">EXCO-D3-Q02-A4</x:t>
        </x:is>
      </x:c>
      <x:c r="Q86" t="n">
        <x:v>4</x:v>
      </x:c>
      <x:c r="R86" t="inlineStr">
        <x:is>
          <x:t xml:space="preserve">Yes—there is clear communication and training explaining monitoring and privacy safeguards.</x:t>
        </x:is>
      </x:c>
      <x:c r="S86" t="n">
        <x:v>3</x:v>
      </x:c>
      <x:c r="T86" t="inlineStr">
        <x:is>
          <x:t xml:space="preserve">good_practice</x:t>
        </x:is>
      </x:c>
      <x:c r="V86" t="inlineStr">
        <x:is>
          <x:t xml:space="preserve">Request_Evidence</x:t>
        </x:is>
      </x:c>
      <x:c r="W86" t="inlineStr">
        <x:is>
          <x:t xml:space="preserve">Y</x:t>
        </x:is>
      </x:c>
      <x:c r="Y86">
        <x:f>(S86*IF(E86="G",F86,0))+(S86*IF(G86="G",H86,0))</x:f>
      </x:c>
      <x:c r="Z86">
        <x:f>(S86*IF(E86="E",F86,0))+(S86*IF(G86="E",H86,0))</x:f>
      </x:c>
      <x:c r="AA86">
        <x:f>(S86*IF(E86="T",F86,0))+(S86*IF(G86="T",H86,0))</x:f>
      </x:c>
      <x:c r="AB86">
        <x:f>(S86*IF(E86="L",F86,0))+(S86*IF(G86="L",H86,0))</x:f>
      </x:c>
      <x:c r="AC86">
        <x:f>(S86*IF(E86="H",F86,0))+(S86*IF(G86="H",H86,0))</x:f>
      </x:c>
      <x:c r="AD86">
        <x:f>(S86*IF(E86="V",F86,0))+(S86*IF(G86="V",H86,0))</x:f>
      </x:c>
      <x:c r="AE86">
        <x:f>(S86*IF(E86="R",F86,0))+(S86*IF(G86="R",H86,0))</x:f>
      </x:c>
      <x:c r="AF86">
        <x:f>(S86*IF(E86="F",F86,0))+(S86*IF(G86="F",H86,0))</x:f>
      </x:c>
      <x:c r="AG86">
        <x:f>(S86*IF(E86="W",F86,0))+(S86*IF(G86="W",H86,0))</x:f>
      </x:c>
      <x:c r="AH86" t="inlineStr">
        <x:is>
          <x:t xml:space="preserve">5. Human-Centric Culture</x:t>
        </x:is>
      </x:c>
      <x:c r="AI86" t="inlineStr">
        <x:is>
          <x:t xml:space="preserve">Personnel Security</x:t>
        </x:is>
      </x:c>
      <x:c r="AJ86" t="inlineStr">
        <x:is>
          <x:t xml:space="preserve">People-Signal Governance</x:t>
        </x:is>
      </x:c>
    </x:row>
    <x:row r="87">
      <x:c r="A87" t="inlineStr">
        <x:is>
          <x:t xml:space="preserve">Executive</x:t>
        </x:is>
      </x:c>
      <x:c r="B87" t="inlineStr">
        <x:is>
          <x:t xml:space="preserve">EXCO-D3-Q03</x:t>
        </x:is>
      </x:c>
      <x:c r="C87" t="inlineStr">
        <x:is>
          <x:t xml:space="preserve">T2</x:t>
        </x:is>
      </x:c>
      <x:c r="D87" t="inlineStr">
        <x:is>
          <x:t xml:space="preserve">3. Legal &amp; Ethics</x:t>
        </x:is>
      </x:c>
      <x:c r="E87" t="inlineStr">
        <x:is>
          <x:t xml:space="preserve">L</x:t>
        </x:is>
      </x:c>
      <x:c r="F87" t="n">
        <x:v>0.5</x:v>
      </x:c>
      <x:c r="G87" t="inlineStr">
        <x:is>
          <x:t xml:space="preserve">H</x:t>
        </x:is>
      </x:c>
      <x:c r="H87" t="n">
        <x:v>0.5</x:v>
      </x:c>
      <x:c r="I87" t="inlineStr">
        <x:is>
          <x:t xml:space="preserve">How is transparency maintained in practice (not only in contracts)?</x:t>
        </x:is>
      </x:c>
      <x:c r="J87" t="inlineStr">
        <x:is>
          <x:t xml:space="preserve">Examples: onboarding training, pop-up banners, clear FAQs, where to ask questions, and what safeguards exist.</x:t>
        </x:is>
      </x:c>
      <x:c r="L87" t="inlineStr">
        <x:is>
          <x:t xml:space="preserve">LEG_STRICT</x:t>
        </x:is>
      </x:c>
      <x:c r="M87" t="n">
        <x:v>1</x:v>
      </x:c>
      <x:c r="P87" t="inlineStr">
        <x:is>
          <x:t xml:space="preserve">EXCO-D3-Q03-A1</x:t>
        </x:is>
      </x:c>
      <x:c r="Q87" t="n">
        <x:v>1</x:v>
      </x:c>
      <x:c r="R87" t="inlineStr">
        <x:is>
          <x:t xml:space="preserve">Only buried in contracts/policies; most people wouldn’t know the details.</x:t>
        </x:is>
      </x:c>
      <x:c r="S87" t="n">
        <x:v>1</x:v>
      </x:c>
      <x:c r="T87" t="inlineStr">
        <x:is>
          <x:t xml:space="preserve">paper_dragon_signal</x:t>
        </x:is>
      </x:c>
      <x:c r="U87" t="inlineStr">
        <x:is>
          <x:t xml:space="preserve">Paper Dragon</x:t>
        </x:is>
      </x:c>
      <x:c r="V87" t="inlineStr">
        <x:is>
          <x:t xml:space="preserve">Improve_Transparency</x:t>
        </x:is>
      </x:c>
      <x:c r="W87" t="inlineStr">
        <x:is>
          <x:t xml:space="preserve">N</x:t>
        </x:is>
      </x:c>
      <x:c r="Y87">
        <x:f>(S87*IF(E87="G",F87,0))+(S87*IF(G87="G",H87,0))</x:f>
      </x:c>
      <x:c r="Z87">
        <x:f>(S87*IF(E87="E",F87,0))+(S87*IF(G87="E",H87,0))</x:f>
      </x:c>
      <x:c r="AA87">
        <x:f>(S87*IF(E87="T",F87,0))+(S87*IF(G87="T",H87,0))</x:f>
      </x:c>
      <x:c r="AB87">
        <x:f>(S87*IF(E87="L",F87,0))+(S87*IF(G87="L",H87,0))</x:f>
      </x:c>
      <x:c r="AC87">
        <x:f>(S87*IF(E87="H",F87,0))+(S87*IF(G87="H",H87,0))</x:f>
      </x:c>
      <x:c r="AD87">
        <x:f>(S87*IF(E87="V",F87,0))+(S87*IF(G87="V",H87,0))</x:f>
      </x:c>
      <x:c r="AE87">
        <x:f>(S87*IF(E87="R",F87,0))+(S87*IF(G87="R",H87,0))</x:f>
      </x:c>
      <x:c r="AF87">
        <x:f>(S87*IF(E87="F",F87,0))+(S87*IF(G87="F",H87,0))</x:f>
      </x:c>
      <x:c r="AG87">
        <x:f>(S87*IF(E87="W",F87,0))+(S87*IF(G87="W",H87,0))</x:f>
      </x:c>
      <x:c r="AH87" t="inlineStr">
        <x:is>
          <x:t xml:space="preserve">5. Human-Centric Culture</x:t>
        </x:is>
      </x:c>
      <x:c r="AI87" t="inlineStr">
        <x:is>
          <x:t xml:space="preserve">Human Lifecycle</x:t>
        </x:is>
      </x:c>
      <x:c r="AJ87" t="inlineStr">
        <x:is>
          <x:t xml:space="preserve">Enhanced JML Synchronization</x:t>
        </x:is>
      </x:c>
    </x:row>
    <x:row r="88">
      <x:c r="A88" t="inlineStr">
        <x:is>
          <x:t xml:space="preserve">Executive</x:t>
        </x:is>
      </x:c>
      <x:c r="B88" t="inlineStr">
        <x:is>
          <x:t xml:space="preserve">EXCO-D3-Q03</x:t>
        </x:is>
      </x:c>
      <x:c r="C88" t="inlineStr">
        <x:is>
          <x:t xml:space="preserve">T2</x:t>
        </x:is>
      </x:c>
      <x:c r="D88" t="inlineStr">
        <x:is>
          <x:t xml:space="preserve">3. Legal &amp; Ethics</x:t>
        </x:is>
      </x:c>
      <x:c r="E88" t="inlineStr">
        <x:is>
          <x:t xml:space="preserve">L</x:t>
        </x:is>
      </x:c>
      <x:c r="F88" t="n">
        <x:v>0.5</x:v>
      </x:c>
      <x:c r="G88" t="inlineStr">
        <x:is>
          <x:t xml:space="preserve">H</x:t>
        </x:is>
      </x:c>
      <x:c r="H88" t="n">
        <x:v>0.5</x:v>
      </x:c>
      <x:c r="I88" t="inlineStr">
        <x:is>
          <x:t xml:space="preserve">How is transparency maintained in practice (not only in contracts)?</x:t>
        </x:is>
      </x:c>
      <x:c r="J88" t="inlineStr">
        <x:is>
          <x:t xml:space="preserve">Examples: onboarding training, pop-up banners, clear FAQs, where to ask questions, and what safeguards exist.</x:t>
        </x:is>
      </x:c>
      <x:c r="L88" t="inlineStr">
        <x:is>
          <x:t xml:space="preserve">LEG_STRICT</x:t>
        </x:is>
      </x:c>
      <x:c r="M88" t="n">
        <x:v>1</x:v>
      </x:c>
      <x:c r="P88" t="inlineStr">
        <x:is>
          <x:t xml:space="preserve">EXCO-D3-Q03-A2</x:t>
        </x:is>
      </x:c>
      <x:c r="Q88" t="n">
        <x:v>2</x:v>
      </x:c>
      <x:c r="R88" t="inlineStr">
        <x:is>
          <x:t xml:space="preserve">Basic acceptable-use statement exists, but does not explain monitoring scope or safeguards.</x:t>
        </x:is>
      </x:c>
      <x:c r="S88" t="n">
        <x:v>2</x:v>
      </x:c>
      <x:c r="T88" t="inlineStr">
        <x:is>
          <x:t xml:space="preserve">paper_process</x:t>
        </x:is>
      </x:c>
      <x:c r="U88" t="inlineStr">
        <x:is>
          <x:t xml:space="preserve">Paper Dragon</x:t>
        </x:is>
      </x:c>
      <x:c r="V88" t="inlineStr">
        <x:is>
          <x:t xml:space="preserve">Improve_Transparency</x:t>
        </x:is>
      </x:c>
      <x:c r="W88" t="inlineStr">
        <x:is>
          <x:t xml:space="preserve">N</x:t>
        </x:is>
      </x:c>
      <x:c r="Y88">
        <x:f>(S88*IF(E88="G",F88,0))+(S88*IF(G88="G",H88,0))</x:f>
      </x:c>
      <x:c r="Z88">
        <x:f>(S88*IF(E88="E",F88,0))+(S88*IF(G88="E",H88,0))</x:f>
      </x:c>
      <x:c r="AA88">
        <x:f>(S88*IF(E88="T",F88,0))+(S88*IF(G88="T",H88,0))</x:f>
      </x:c>
      <x:c r="AB88">
        <x:f>(S88*IF(E88="L",F88,0))+(S88*IF(G88="L",H88,0))</x:f>
      </x:c>
      <x:c r="AC88">
        <x:f>(S88*IF(E88="H",F88,0))+(S88*IF(G88="H",H88,0))</x:f>
      </x:c>
      <x:c r="AD88">
        <x:f>(S88*IF(E88="V",F88,0))+(S88*IF(G88="V",H88,0))</x:f>
      </x:c>
      <x:c r="AE88">
        <x:f>(S88*IF(E88="R",F88,0))+(S88*IF(G88="R",H88,0))</x:f>
      </x:c>
      <x:c r="AF88">
        <x:f>(S88*IF(E88="F",F88,0))+(S88*IF(G88="F",H88,0))</x:f>
      </x:c>
      <x:c r="AG88">
        <x:f>(S88*IF(E88="W",F88,0))+(S88*IF(G88="W",H88,0))</x:f>
      </x:c>
      <x:c r="AH88" t="inlineStr">
        <x:is>
          <x:t xml:space="preserve">5. Human-Centric Culture</x:t>
        </x:is>
      </x:c>
      <x:c r="AI88" t="inlineStr">
        <x:is>
          <x:t xml:space="preserve">Human Lifecycle</x:t>
        </x:is>
      </x:c>
      <x:c r="AJ88" t="inlineStr">
        <x:is>
          <x:t xml:space="preserve">Enhanced JML Synchronization</x:t>
        </x:is>
      </x:c>
    </x:row>
    <x:row r="89">
      <x:c r="A89" t="inlineStr">
        <x:is>
          <x:t xml:space="preserve">Executive</x:t>
        </x:is>
      </x:c>
      <x:c r="B89" t="inlineStr">
        <x:is>
          <x:t xml:space="preserve">EXCO-D3-Q03</x:t>
        </x:is>
      </x:c>
      <x:c r="C89" t="inlineStr">
        <x:is>
          <x:t xml:space="preserve">T2</x:t>
        </x:is>
      </x:c>
      <x:c r="D89" t="inlineStr">
        <x:is>
          <x:t xml:space="preserve">3. Legal &amp; Ethics</x:t>
        </x:is>
      </x:c>
      <x:c r="E89" t="inlineStr">
        <x:is>
          <x:t xml:space="preserve">L</x:t>
        </x:is>
      </x:c>
      <x:c r="F89" t="n">
        <x:v>0.5</x:v>
      </x:c>
      <x:c r="G89" t="inlineStr">
        <x:is>
          <x:t xml:space="preserve">H</x:t>
        </x:is>
      </x:c>
      <x:c r="H89" t="n">
        <x:v>0.5</x:v>
      </x:c>
      <x:c r="I89" t="inlineStr">
        <x:is>
          <x:t xml:space="preserve">How is transparency maintained in practice (not only in contracts)?</x:t>
        </x:is>
      </x:c>
      <x:c r="J89" t="inlineStr">
        <x:is>
          <x:t xml:space="preserve">Examples: onboarding training, pop-up banners, clear FAQs, where to ask questions, and what safeguards exist.</x:t>
        </x:is>
      </x:c>
      <x:c r="L89" t="inlineStr">
        <x:is>
          <x:t xml:space="preserve">LEG_STRICT</x:t>
        </x:is>
      </x:c>
      <x:c r="M89" t="n">
        <x:v>1</x:v>
      </x:c>
      <x:c r="P89" t="inlineStr">
        <x:is>
          <x:t xml:space="preserve">EXCO-D3-Q03-A3</x:t>
        </x:is>
      </x:c>
      <x:c r="Q89" t="n">
        <x:v>3</x:v>
      </x:c>
      <x:c r="R89" t="inlineStr">
        <x:is>
          <x:t xml:space="preserve">Clear guidance exists and is communicated to staff at least annually.</x:t>
        </x:is>
      </x:c>
      <x:c r="S89" t="n">
        <x:v>3</x:v>
      </x:c>
      <x:c r="T89" t="inlineStr">
        <x:is>
          <x:t xml:space="preserve">good_practice</x:t>
        </x:is>
      </x:c>
      <x:c r="V89" t="inlineStr">
        <x:is>
          <x:t xml:space="preserve">Request_Evidence</x:t>
        </x:is>
      </x:c>
      <x:c r="W89" t="inlineStr">
        <x:is>
          <x:t xml:space="preserve">Y</x:t>
        </x:is>
      </x:c>
      <x:c r="Y89">
        <x:f>(S89*IF(E89="G",F89,0))+(S89*IF(G89="G",H89,0))</x:f>
      </x:c>
      <x:c r="Z89">
        <x:f>(S89*IF(E89="E",F89,0))+(S89*IF(G89="E",H89,0))</x:f>
      </x:c>
      <x:c r="AA89">
        <x:f>(S89*IF(E89="T",F89,0))+(S89*IF(G89="T",H89,0))</x:f>
      </x:c>
      <x:c r="AB89">
        <x:f>(S89*IF(E89="L",F89,0))+(S89*IF(G89="L",H89,0))</x:f>
      </x:c>
      <x:c r="AC89">
        <x:f>(S89*IF(E89="H",F89,0))+(S89*IF(G89="H",H89,0))</x:f>
      </x:c>
      <x:c r="AD89">
        <x:f>(S89*IF(E89="V",F89,0))+(S89*IF(G89="V",H89,0))</x:f>
      </x:c>
      <x:c r="AE89">
        <x:f>(S89*IF(E89="R",F89,0))+(S89*IF(G89="R",H89,0))</x:f>
      </x:c>
      <x:c r="AF89">
        <x:f>(S89*IF(E89="F",F89,0))+(S89*IF(G89="F",H89,0))</x:f>
      </x:c>
      <x:c r="AG89">
        <x:f>(S89*IF(E89="W",F89,0))+(S89*IF(G89="W",H89,0))</x:f>
      </x:c>
      <x:c r="AH89" t="inlineStr">
        <x:is>
          <x:t xml:space="preserve">5. Human-Centric Culture</x:t>
        </x:is>
      </x:c>
      <x:c r="AI89" t="inlineStr">
        <x:is>
          <x:t xml:space="preserve">Human Lifecycle</x:t>
        </x:is>
      </x:c>
      <x:c r="AJ89" t="inlineStr">
        <x:is>
          <x:t xml:space="preserve">Enhanced JML Synchronization</x:t>
        </x:is>
      </x:c>
    </x:row>
    <x:row r="90">
      <x:c r="A90" t="inlineStr">
        <x:is>
          <x:t xml:space="preserve">Executive</x:t>
        </x:is>
      </x:c>
      <x:c r="B90" t="inlineStr">
        <x:is>
          <x:t xml:space="preserve">EXCO-D3-Q03</x:t>
        </x:is>
      </x:c>
      <x:c r="C90" t="inlineStr">
        <x:is>
          <x:t xml:space="preserve">T2</x:t>
        </x:is>
      </x:c>
      <x:c r="D90" t="inlineStr">
        <x:is>
          <x:t xml:space="preserve">3. Legal &amp; Ethics</x:t>
        </x:is>
      </x:c>
      <x:c r="E90" t="inlineStr">
        <x:is>
          <x:t xml:space="preserve">L</x:t>
        </x:is>
      </x:c>
      <x:c r="F90" t="n">
        <x:v>0.5</x:v>
      </x:c>
      <x:c r="G90" t="inlineStr">
        <x:is>
          <x:t xml:space="preserve">H</x:t>
        </x:is>
      </x:c>
      <x:c r="H90" t="n">
        <x:v>0.5</x:v>
      </x:c>
      <x:c r="I90" t="inlineStr">
        <x:is>
          <x:t xml:space="preserve">How is transparency maintained in practice (not only in contracts)?</x:t>
        </x:is>
      </x:c>
      <x:c r="J90" t="inlineStr">
        <x:is>
          <x:t xml:space="preserve">Examples: onboarding training, pop-up banners, clear FAQs, where to ask questions, and what safeguards exist.</x:t>
        </x:is>
      </x:c>
      <x:c r="L90" t="inlineStr">
        <x:is>
          <x:t xml:space="preserve">LEG_STRICT</x:t>
        </x:is>
      </x:c>
      <x:c r="M90" t="n">
        <x:v>1</x:v>
      </x:c>
      <x:c r="P90" t="inlineStr">
        <x:is>
          <x:t xml:space="preserve">EXCO-D3-Q03-A4</x:t>
        </x:is>
      </x:c>
      <x:c r="Q90" t="n">
        <x:v>4</x:v>
      </x:c>
      <x:c r="R90" t="inlineStr">
        <x:is>
          <x:t xml:space="preserve">Full transparency with clear safeguards, escalation paths, and periodic review with stakeholders.</x:t>
        </x:is>
      </x:c>
      <x:c r="S90" t="n">
        <x:v>4</x:v>
      </x:c>
      <x:c r="T90" t="inlineStr">
        <x:is>
          <x:t xml:space="preserve">optimized</x:t>
        </x:is>
      </x:c>
      <x:c r="V90" t="inlineStr">
        <x:is>
          <x:t xml:space="preserve">Request_Evidence</x:t>
        </x:is>
      </x:c>
      <x:c r="W90" t="inlineStr">
        <x:is>
          <x:t xml:space="preserve">Y</x:t>
        </x:is>
      </x:c>
      <x:c r="Y90">
        <x:f>(S90*IF(E90="G",F90,0))+(S90*IF(G90="G",H90,0))</x:f>
      </x:c>
      <x:c r="Z90">
        <x:f>(S90*IF(E90="E",F90,0))+(S90*IF(G90="E",H90,0))</x:f>
      </x:c>
      <x:c r="AA90">
        <x:f>(S90*IF(E90="T",F90,0))+(S90*IF(G90="T",H90,0))</x:f>
      </x:c>
      <x:c r="AB90">
        <x:f>(S90*IF(E90="L",F90,0))+(S90*IF(G90="L",H90,0))</x:f>
      </x:c>
      <x:c r="AC90">
        <x:f>(S90*IF(E90="H",F90,0))+(S90*IF(G90="H",H90,0))</x:f>
      </x:c>
      <x:c r="AD90">
        <x:f>(S90*IF(E90="V",F90,0))+(S90*IF(G90="V",H90,0))</x:f>
      </x:c>
      <x:c r="AE90">
        <x:f>(S90*IF(E90="R",F90,0))+(S90*IF(G90="R",H90,0))</x:f>
      </x:c>
      <x:c r="AF90">
        <x:f>(S90*IF(E90="F",F90,0))+(S90*IF(G90="F",H90,0))</x:f>
      </x:c>
      <x:c r="AG90">
        <x:f>(S90*IF(E90="W",F90,0))+(S90*IF(G90="W",H90,0))</x:f>
      </x:c>
      <x:c r="AH90" t="inlineStr">
        <x:is>
          <x:t xml:space="preserve">5. Human-Centric Culture</x:t>
        </x:is>
      </x:c>
      <x:c r="AI90" t="inlineStr">
        <x:is>
          <x:t xml:space="preserve">Human Lifecycle</x:t>
        </x:is>
      </x:c>
      <x:c r="AJ90" t="inlineStr">
        <x:is>
          <x:t xml:space="preserve">Enhanced JML Synchronization</x:t>
        </x:is>
      </x:c>
    </x:row>
    <x:row r="91">
      <x:c r="A91" t="inlineStr">
        <x:is>
          <x:t xml:space="preserve">Executive</x:t>
        </x:is>
      </x:c>
      <x:c r="B91" t="inlineStr">
        <x:is>
          <x:t xml:space="preserve">EXCO-D3-Q04</x:t>
        </x:is>
      </x:c>
      <x:c r="C91" t="inlineStr">
        <x:is>
          <x:t xml:space="preserve">T2</x:t>
        </x:is>
      </x:c>
      <x:c r="D91" t="inlineStr">
        <x:is>
          <x:t xml:space="preserve">3. Legal &amp; Ethics</x:t>
        </x:is>
      </x:c>
      <x:c r="E91" t="inlineStr">
        <x:is>
          <x:t xml:space="preserve">L</x:t>
        </x:is>
      </x:c>
      <x:c r="F91" t="n">
        <x:v>0.7</x:v>
      </x:c>
      <x:c r="G91" t="inlineStr">
        <x:is>
          <x:t xml:space="preserve">H</x:t>
        </x:is>
      </x:c>
      <x:c r="H91" t="n">
        <x:v>0.3</x:v>
      </x:c>
      <x:c r="I91" t="inlineStr">
        <x:is>
          <x:t xml:space="preserve">Where required, how are employee representatives / works councils engaged on monitoring and privacy topics?</x:t>
        </x:is>
      </x:c>
      <x:c r="J91" t="inlineStr">
        <x:is>
          <x:t xml:space="preserve">If not applicable, answer that and explain why.</x:t>
        </x:is>
      </x:c>
      <x:c r="L91" t="inlineStr">
        <x:is>
          <x:t xml:space="preserve">LEG_STRICT</x:t>
        </x:is>
      </x:c>
      <x:c r="M91" t="n">
        <x:v>1</x:v>
      </x:c>
      <x:c r="P91" t="inlineStr">
        <x:is>
          <x:t xml:space="preserve">EXCO-D3-Q04-A0</x:t>
        </x:is>
      </x:c>
      <x:c r="Q91" t="n">
        <x:v>1</x:v>
      </x:c>
      <x:c r="R91" t="inlineStr">
        <x:is>
          <x:t xml:space="preserve">Not applicable / we don’t have employee representation in relevant jurisdictions.</x:t>
        </x:is>
      </x:c>
      <x:c r="S91" t="n">
        <x:v>2</x:v>
      </x:c>
      <x:c r="T91" t="inlineStr">
        <x:is>
          <x:t xml:space="preserve">n_a</x:t>
        </x:is>
      </x:c>
      <x:c r="V91" t="inlineStr">
        <x:is>
          <x:t xml:space="preserve">Document_NA</x:t>
        </x:is>
      </x:c>
      <x:c r="W91" t="inlineStr">
        <x:is>
          <x:t xml:space="preserve">N</x:t>
        </x:is>
      </x:c>
      <x:c r="Y91">
        <x:f>(S91*IF(E91="G",F91,0))+(S91*IF(G91="G",H91,0))</x:f>
      </x:c>
      <x:c r="Z91">
        <x:f>(S91*IF(E91="E",F91,0))+(S91*IF(G91="E",H91,0))</x:f>
      </x:c>
      <x:c r="AA91">
        <x:f>(S91*IF(E91="T",F91,0))+(S91*IF(G91="T",H91,0))</x:f>
      </x:c>
      <x:c r="AB91">
        <x:f>(S91*IF(E91="L",F91,0))+(S91*IF(G91="L",H91,0))</x:f>
      </x:c>
      <x:c r="AC91">
        <x:f>(S91*IF(E91="H",F91,0))+(S91*IF(G91="H",H91,0))</x:f>
      </x:c>
      <x:c r="AD91">
        <x:f>(S91*IF(E91="V",F91,0))+(S91*IF(G91="V",H91,0))</x:f>
      </x:c>
      <x:c r="AE91">
        <x:f>(S91*IF(E91="R",F91,0))+(S91*IF(G91="R",H91,0))</x:f>
      </x:c>
      <x:c r="AF91">
        <x:f>(S91*IF(E91="F",F91,0))+(S91*IF(G91="F",H91,0))</x:f>
      </x:c>
      <x:c r="AG91">
        <x:f>(S91*IF(E91="W",F91,0))+(S91*IF(G91="W",H91,0))</x:f>
      </x:c>
      <x:c r="AH91" t="inlineStr">
        <x:is>
          <x:t xml:space="preserve">8. Investigation &amp; Response</x:t>
        </x:is>
      </x:c>
      <x:c r="AI91" t="inlineStr">
        <x:is>
          <x:t xml:space="preserve">Operational Readiness</x:t>
        </x:is>
      </x:c>
      <x:c r="AJ91" t="inlineStr">
        <x:is>
          <x:t xml:space="preserve">Privacy guardrails for investigations</x:t>
        </x:is>
      </x:c>
    </x:row>
    <x:row r="92">
      <x:c r="A92" t="inlineStr">
        <x:is>
          <x:t xml:space="preserve">Executive</x:t>
        </x:is>
      </x:c>
      <x:c r="B92" t="inlineStr">
        <x:is>
          <x:t xml:space="preserve">EXCO-D3-Q04</x:t>
        </x:is>
      </x:c>
      <x:c r="C92" t="inlineStr">
        <x:is>
          <x:t xml:space="preserve">T2</x:t>
        </x:is>
      </x:c>
      <x:c r="D92" t="inlineStr">
        <x:is>
          <x:t xml:space="preserve">3. Legal &amp; Ethics</x:t>
        </x:is>
      </x:c>
      <x:c r="E92" t="inlineStr">
        <x:is>
          <x:t xml:space="preserve">L</x:t>
        </x:is>
      </x:c>
      <x:c r="F92" t="n">
        <x:v>0.7</x:v>
      </x:c>
      <x:c r="G92" t="inlineStr">
        <x:is>
          <x:t xml:space="preserve">H</x:t>
        </x:is>
      </x:c>
      <x:c r="H92" t="n">
        <x:v>0.3</x:v>
      </x:c>
      <x:c r="I92" t="inlineStr">
        <x:is>
          <x:t xml:space="preserve">Where required, how are employee representatives / works councils engaged on monitoring and privacy topics?</x:t>
        </x:is>
      </x:c>
      <x:c r="J92" t="inlineStr">
        <x:is>
          <x:t xml:space="preserve">If not applicable, answer that and explain why.</x:t>
        </x:is>
      </x:c>
      <x:c r="L92" t="inlineStr">
        <x:is>
          <x:t xml:space="preserve">LEG_STRICT</x:t>
        </x:is>
      </x:c>
      <x:c r="M92" t="n">
        <x:v>1</x:v>
      </x:c>
      <x:c r="P92" t="inlineStr">
        <x:is>
          <x:t xml:space="preserve">EXCO-D3-Q04-A1</x:t>
        </x:is>
      </x:c>
      <x:c r="Q92" t="n">
        <x:v>2</x:v>
      </x:c>
      <x:c r="R92" t="inlineStr">
        <x:is>
          <x:t xml:space="preserve">We avoid engagement; decisions are made unilaterally.</x:t>
        </x:is>
      </x:c>
      <x:c r="S92" t="n">
        <x:v>0</x:v>
      </x:c>
      <x:c r="T92" t="inlineStr">
        <x:is>
          <x:t xml:space="preserve">legal_red_flag</x:t>
        </x:is>
      </x:c>
      <x:c r="U92" t="inlineStr">
        <x:is>
          <x:t xml:space="preserve">Legal Exposure</x:t>
        </x:is>
      </x:c>
      <x:c r="V92" t="inlineStr">
        <x:is>
          <x:t xml:space="preserve">Stakeholder_Engagement</x:t>
        </x:is>
      </x:c>
      <x:c r="W92" t="inlineStr">
        <x:is>
          <x:t xml:space="preserve">N</x:t>
        </x:is>
      </x:c>
      <x:c r="Y92">
        <x:f>(S92*IF(E92="G",F92,0))+(S92*IF(G92="G",H92,0))</x:f>
      </x:c>
      <x:c r="Z92">
        <x:f>(S92*IF(E92="E",F92,0))+(S92*IF(G92="E",H92,0))</x:f>
      </x:c>
      <x:c r="AA92">
        <x:f>(S92*IF(E92="T",F92,0))+(S92*IF(G92="T",H92,0))</x:f>
      </x:c>
      <x:c r="AB92">
        <x:f>(S92*IF(E92="L",F92,0))+(S92*IF(G92="L",H92,0))</x:f>
      </x:c>
      <x:c r="AC92">
        <x:f>(S92*IF(E92="H",F92,0))+(S92*IF(G92="H",H92,0))</x:f>
      </x:c>
      <x:c r="AD92">
        <x:f>(S92*IF(E92="V",F92,0))+(S92*IF(G92="V",H92,0))</x:f>
      </x:c>
      <x:c r="AE92">
        <x:f>(S92*IF(E92="R",F92,0))+(S92*IF(G92="R",H92,0))</x:f>
      </x:c>
      <x:c r="AF92">
        <x:f>(S92*IF(E92="F",F92,0))+(S92*IF(G92="F",H92,0))</x:f>
      </x:c>
      <x:c r="AG92">
        <x:f>(S92*IF(E92="W",F92,0))+(S92*IF(G92="W",H92,0))</x:f>
      </x:c>
      <x:c r="AH92" t="inlineStr">
        <x:is>
          <x:t xml:space="preserve">8. Investigation &amp; Response</x:t>
        </x:is>
      </x:c>
      <x:c r="AI92" t="inlineStr">
        <x:is>
          <x:t xml:space="preserve">Operational Readiness</x:t>
        </x:is>
      </x:c>
      <x:c r="AJ92" t="inlineStr">
        <x:is>
          <x:t xml:space="preserve">Privacy guardrails for investigations</x:t>
        </x:is>
      </x:c>
    </x:row>
    <x:row r="93">
      <x:c r="A93" t="inlineStr">
        <x:is>
          <x:t xml:space="preserve">Executive</x:t>
        </x:is>
      </x:c>
      <x:c r="B93" t="inlineStr">
        <x:is>
          <x:t xml:space="preserve">EXCO-D3-Q04</x:t>
        </x:is>
      </x:c>
      <x:c r="C93" t="inlineStr">
        <x:is>
          <x:t xml:space="preserve">T2</x:t>
        </x:is>
      </x:c>
      <x:c r="D93" t="inlineStr">
        <x:is>
          <x:t xml:space="preserve">3. Legal &amp; Ethics</x:t>
        </x:is>
      </x:c>
      <x:c r="E93" t="inlineStr">
        <x:is>
          <x:t xml:space="preserve">L</x:t>
        </x:is>
      </x:c>
      <x:c r="F93" t="n">
        <x:v>0.7</x:v>
      </x:c>
      <x:c r="G93" t="inlineStr">
        <x:is>
          <x:t xml:space="preserve">H</x:t>
        </x:is>
      </x:c>
      <x:c r="H93" t="n">
        <x:v>0.3</x:v>
      </x:c>
      <x:c r="I93" t="inlineStr">
        <x:is>
          <x:t xml:space="preserve">Where required, how are employee representatives / works councils engaged on monitoring and privacy topics?</x:t>
        </x:is>
      </x:c>
      <x:c r="J93" t="inlineStr">
        <x:is>
          <x:t xml:space="preserve">If not applicable, answer that and explain why.</x:t>
        </x:is>
      </x:c>
      <x:c r="L93" t="inlineStr">
        <x:is>
          <x:t xml:space="preserve">LEG_STRICT</x:t>
        </x:is>
      </x:c>
      <x:c r="M93" t="n">
        <x:v>1</x:v>
      </x:c>
      <x:c r="P93" t="inlineStr">
        <x:is>
          <x:t xml:space="preserve">EXCO-D3-Q04-A2</x:t>
        </x:is>
      </x:c>
      <x:c r="Q93" t="n">
        <x:v>3</x:v>
      </x:c>
      <x:c r="R93" t="inlineStr">
        <x:is>
          <x:t xml:space="preserve">Engagement happens late (after decisions), mainly to ‘inform’.</x:t>
        </x:is>
      </x:c>
      <x:c r="S93" t="n">
        <x:v>1</x:v>
      </x:c>
      <x:c r="T93" t="inlineStr">
        <x:is>
          <x:t xml:space="preserve">legal_red_flag</x:t>
        </x:is>
      </x:c>
      <x:c r="U93" t="inlineStr">
        <x:is>
          <x:t xml:space="preserve">Legal Exposure</x:t>
        </x:is>
      </x:c>
      <x:c r="V93" t="inlineStr">
        <x:is>
          <x:t xml:space="preserve">Stakeholder_Engagement</x:t>
        </x:is>
      </x:c>
      <x:c r="W93" t="inlineStr">
        <x:is>
          <x:t xml:space="preserve">N</x:t>
        </x:is>
      </x:c>
      <x:c r="Y93">
        <x:f>(S93*IF(E93="G",F93,0))+(S93*IF(G93="G",H93,0))</x:f>
      </x:c>
      <x:c r="Z93">
        <x:f>(S93*IF(E93="E",F93,0))+(S93*IF(G93="E",H93,0))</x:f>
      </x:c>
      <x:c r="AA93">
        <x:f>(S93*IF(E93="T",F93,0))+(S93*IF(G93="T",H93,0))</x:f>
      </x:c>
      <x:c r="AB93">
        <x:f>(S93*IF(E93="L",F93,0))+(S93*IF(G93="L",H93,0))</x:f>
      </x:c>
      <x:c r="AC93">
        <x:f>(S93*IF(E93="H",F93,0))+(S93*IF(G93="H",H93,0))</x:f>
      </x:c>
      <x:c r="AD93">
        <x:f>(S93*IF(E93="V",F93,0))+(S93*IF(G93="V",H93,0))</x:f>
      </x:c>
      <x:c r="AE93">
        <x:f>(S93*IF(E93="R",F93,0))+(S93*IF(G93="R",H93,0))</x:f>
      </x:c>
      <x:c r="AF93">
        <x:f>(S93*IF(E93="F",F93,0))+(S93*IF(G93="F",H93,0))</x:f>
      </x:c>
      <x:c r="AG93">
        <x:f>(S93*IF(E93="W",F93,0))+(S93*IF(G93="W",H93,0))</x:f>
      </x:c>
      <x:c r="AH93" t="inlineStr">
        <x:is>
          <x:t xml:space="preserve">8. Investigation &amp; Response</x:t>
        </x:is>
      </x:c>
      <x:c r="AI93" t="inlineStr">
        <x:is>
          <x:t xml:space="preserve">Operational Readiness</x:t>
        </x:is>
      </x:c>
      <x:c r="AJ93" t="inlineStr">
        <x:is>
          <x:t xml:space="preserve">Privacy guardrails for investigations</x:t>
        </x:is>
      </x:c>
    </x:row>
    <x:row r="94">
      <x:c r="A94" t="inlineStr">
        <x:is>
          <x:t xml:space="preserve">Executive</x:t>
        </x:is>
      </x:c>
      <x:c r="B94" t="inlineStr">
        <x:is>
          <x:t xml:space="preserve">EXCO-D3-Q04</x:t>
        </x:is>
      </x:c>
      <x:c r="C94" t="inlineStr">
        <x:is>
          <x:t xml:space="preserve">T2</x:t>
        </x:is>
      </x:c>
      <x:c r="D94" t="inlineStr">
        <x:is>
          <x:t xml:space="preserve">3. Legal &amp; Ethics</x:t>
        </x:is>
      </x:c>
      <x:c r="E94" t="inlineStr">
        <x:is>
          <x:t xml:space="preserve">L</x:t>
        </x:is>
      </x:c>
      <x:c r="F94" t="n">
        <x:v>0.7</x:v>
      </x:c>
      <x:c r="G94" t="inlineStr">
        <x:is>
          <x:t xml:space="preserve">H</x:t>
        </x:is>
      </x:c>
      <x:c r="H94" t="n">
        <x:v>0.3</x:v>
      </x:c>
      <x:c r="I94" t="inlineStr">
        <x:is>
          <x:t xml:space="preserve">Where required, how are employee representatives / works councils engaged on monitoring and privacy topics?</x:t>
        </x:is>
      </x:c>
      <x:c r="J94" t="inlineStr">
        <x:is>
          <x:t xml:space="preserve">If not applicable, answer that and explain why.</x:t>
        </x:is>
      </x:c>
      <x:c r="L94" t="inlineStr">
        <x:is>
          <x:t xml:space="preserve">LEG_STRICT</x:t>
        </x:is>
      </x:c>
      <x:c r="M94" t="n">
        <x:v>1</x:v>
      </x:c>
      <x:c r="P94" t="inlineStr">
        <x:is>
          <x:t xml:space="preserve">EXCO-D3-Q04-A3</x:t>
        </x:is>
      </x:c>
      <x:c r="Q94" t="n">
        <x:v>4</x:v>
      </x:c>
      <x:c r="R94" t="inlineStr">
        <x:is>
          <x:t xml:space="preserve">Engagement is planned and happens before major monitoring changes.</x:t>
        </x:is>
      </x:c>
      <x:c r="S94" t="n">
        <x:v>3</x:v>
      </x:c>
      <x:c r="T94" t="inlineStr">
        <x:is>
          <x:t xml:space="preserve">good_practice</x:t>
        </x:is>
      </x:c>
      <x:c r="V94" t="inlineStr">
        <x:is>
          <x:t xml:space="preserve">Request_Evidence</x:t>
        </x:is>
      </x:c>
      <x:c r="W94" t="inlineStr">
        <x:is>
          <x:t xml:space="preserve">Y</x:t>
        </x:is>
      </x:c>
      <x:c r="Y94">
        <x:f>(S94*IF(E94="G",F94,0))+(S94*IF(G94="G",H94,0))</x:f>
      </x:c>
      <x:c r="Z94">
        <x:f>(S94*IF(E94="E",F94,0))+(S94*IF(G94="E",H94,0))</x:f>
      </x:c>
      <x:c r="AA94">
        <x:f>(S94*IF(E94="T",F94,0))+(S94*IF(G94="T",H94,0))</x:f>
      </x:c>
      <x:c r="AB94">
        <x:f>(S94*IF(E94="L",F94,0))+(S94*IF(G94="L",H94,0))</x:f>
      </x:c>
      <x:c r="AC94">
        <x:f>(S94*IF(E94="H",F94,0))+(S94*IF(G94="H",H94,0))</x:f>
      </x:c>
      <x:c r="AD94">
        <x:f>(S94*IF(E94="V",F94,0))+(S94*IF(G94="V",H94,0))</x:f>
      </x:c>
      <x:c r="AE94">
        <x:f>(S94*IF(E94="R",F94,0))+(S94*IF(G94="R",H94,0))</x:f>
      </x:c>
      <x:c r="AF94">
        <x:f>(S94*IF(E94="F",F94,0))+(S94*IF(G94="F",H94,0))</x:f>
      </x:c>
      <x:c r="AG94">
        <x:f>(S94*IF(E94="W",F94,0))+(S94*IF(G94="W",H94,0))</x:f>
      </x:c>
      <x:c r="AH94" t="inlineStr">
        <x:is>
          <x:t xml:space="preserve">8. Investigation &amp; Response</x:t>
        </x:is>
      </x:c>
      <x:c r="AI94" t="inlineStr">
        <x:is>
          <x:t xml:space="preserve">Operational Readiness</x:t>
        </x:is>
      </x:c>
      <x:c r="AJ94" t="inlineStr">
        <x:is>
          <x:t xml:space="preserve">Privacy guardrails for investigations</x:t>
        </x:is>
      </x:c>
    </x:row>
    <x:row r="95">
      <x:c r="A95" t="inlineStr">
        <x:is>
          <x:t xml:space="preserve">Executive</x:t>
        </x:is>
      </x:c>
      <x:c r="B95" t="inlineStr">
        <x:is>
          <x:t xml:space="preserve">EXCO-D3-Q04</x:t>
        </x:is>
      </x:c>
      <x:c r="C95" t="inlineStr">
        <x:is>
          <x:t xml:space="preserve">T2</x:t>
        </x:is>
      </x:c>
      <x:c r="D95" t="inlineStr">
        <x:is>
          <x:t xml:space="preserve">3. Legal &amp; Ethics</x:t>
        </x:is>
      </x:c>
      <x:c r="E95" t="inlineStr">
        <x:is>
          <x:t xml:space="preserve">L</x:t>
        </x:is>
      </x:c>
      <x:c r="F95" t="n">
        <x:v>0.7</x:v>
      </x:c>
      <x:c r="G95" t="inlineStr">
        <x:is>
          <x:t xml:space="preserve">H</x:t>
        </x:is>
      </x:c>
      <x:c r="H95" t="n">
        <x:v>0.3</x:v>
      </x:c>
      <x:c r="I95" t="inlineStr">
        <x:is>
          <x:t xml:space="preserve">Where required, how are employee representatives / works councils engaged on monitoring and privacy topics?</x:t>
        </x:is>
      </x:c>
      <x:c r="J95" t="inlineStr">
        <x:is>
          <x:t xml:space="preserve">If not applicable, answer that and explain why.</x:t>
        </x:is>
      </x:c>
      <x:c r="L95" t="inlineStr">
        <x:is>
          <x:t xml:space="preserve">LEG_STRICT</x:t>
        </x:is>
      </x:c>
      <x:c r="M95" t="n">
        <x:v>1</x:v>
      </x:c>
      <x:c r="P95" t="inlineStr">
        <x:is>
          <x:t xml:space="preserve">EXCO-D3-Q04-A4</x:t>
        </x:is>
      </x:c>
      <x:c r="Q95" t="n">
        <x:v>5</x:v>
      </x:c>
      <x:c r="R95" t="inlineStr">
        <x:is>
          <x:t xml:space="preserve">Monitoring design is co-developed; decisions and safeguards are documented and reviewed.</x:t>
        </x:is>
      </x:c>
      <x:c r="S95" t="n">
        <x:v>4</x:v>
      </x:c>
      <x:c r="T95" t="inlineStr">
        <x:is>
          <x:t xml:space="preserve">optimized</x:t>
        </x:is>
      </x:c>
      <x:c r="V95" t="inlineStr">
        <x:is>
          <x:t xml:space="preserve">Request_Evidence</x:t>
        </x:is>
      </x:c>
      <x:c r="W95" t="inlineStr">
        <x:is>
          <x:t xml:space="preserve">Y</x:t>
        </x:is>
      </x:c>
      <x:c r="Y95">
        <x:f>(S95*IF(E95="G",F95,0))+(S95*IF(G95="G",H95,0))</x:f>
      </x:c>
      <x:c r="Z95">
        <x:f>(S95*IF(E95="E",F95,0))+(S95*IF(G95="E",H95,0))</x:f>
      </x:c>
      <x:c r="AA95">
        <x:f>(S95*IF(E95="T",F95,0))+(S95*IF(G95="T",H95,0))</x:f>
      </x:c>
      <x:c r="AB95">
        <x:f>(S95*IF(E95="L",F95,0))+(S95*IF(G95="L",H95,0))</x:f>
      </x:c>
      <x:c r="AC95">
        <x:f>(S95*IF(E95="H",F95,0))+(S95*IF(G95="H",H95,0))</x:f>
      </x:c>
      <x:c r="AD95">
        <x:f>(S95*IF(E95="V",F95,0))+(S95*IF(G95="V",H95,0))</x:f>
      </x:c>
      <x:c r="AE95">
        <x:f>(S95*IF(E95="R",F95,0))+(S95*IF(G95="R",H95,0))</x:f>
      </x:c>
      <x:c r="AF95">
        <x:f>(S95*IF(E95="F",F95,0))+(S95*IF(G95="F",H95,0))</x:f>
      </x:c>
      <x:c r="AG95">
        <x:f>(S95*IF(E95="W",F95,0))+(S95*IF(G95="W",H95,0))</x:f>
      </x:c>
      <x:c r="AH95" t="inlineStr">
        <x:is>
          <x:t xml:space="preserve">8. Investigation &amp; Response</x:t>
        </x:is>
      </x:c>
      <x:c r="AI95" t="inlineStr">
        <x:is>
          <x:t xml:space="preserve">Operational Readiness</x:t>
        </x:is>
      </x:c>
      <x:c r="AJ95" t="inlineStr">
        <x:is>
          <x:t xml:space="preserve">Privacy guardrails for investigations</x:t>
        </x:is>
      </x:c>
    </x:row>
    <x:row r="96">
      <x:c r="A96" t="inlineStr">
        <x:is>
          <x:t xml:space="preserve">Executive</x:t>
        </x:is>
      </x:c>
      <x:c r="B96" t="inlineStr">
        <x:is>
          <x:t xml:space="preserve">EXCO-D3-Q05</x:t>
        </x:is>
      </x:c>
      <x:c r="C96" t="inlineStr">
        <x:is>
          <x:t xml:space="preserve">T3</x:t>
        </x:is>
      </x:c>
      <x:c r="D96" t="inlineStr">
        <x:is>
          <x:t xml:space="preserve">3. Legal &amp; Ethics</x:t>
        </x:is>
      </x:c>
      <x:c r="E96" t="inlineStr">
        <x:is>
          <x:t xml:space="preserve">L</x:t>
        </x:is>
      </x:c>
      <x:c r="F96" t="n">
        <x:v>0.5</x:v>
      </x:c>
      <x:c r="G96" t="inlineStr">
        <x:is>
          <x:t xml:space="preserve">R</x:t>
        </x:is>
      </x:c>
      <x:c r="H96" t="n">
        <x:v>0.5</x:v>
      </x:c>
      <x:c r="I96" t="inlineStr">
        <x:is>
          <x:t xml:space="preserve">If we needed to use monitoring evidence in HR action or court, how strong is our evidence handling (traceability, integrity)?</x:t>
        </x:is>
      </x:c>
      <x:c r="J96" t="inlineStr">
        <x:is>
          <x:t xml:space="preserve">Plain terms: can we prove ‘who collected what, when, and that it wasn’t tampered with’?</x:t>
        </x:is>
      </x:c>
      <x:c r="L96" t="inlineStr">
        <x:is>
          <x:t xml:space="preserve">LEG_STRICT</x:t>
        </x:is>
      </x:c>
      <x:c r="M96" t="n">
        <x:v>1</x:v>
      </x:c>
      <x:c r="P96" t="inlineStr">
        <x:is>
          <x:t xml:space="preserve">EXCO-D3-Q05-A0</x:t>
        </x:is>
      </x:c>
      <x:c r="Q96" t="n">
        <x:v>1</x:v>
      </x:c>
      <x:c r="R96" t="inlineStr">
        <x:is>
          <x:t xml:space="preserve">I don’t know / not sure.</x:t>
        </x:is>
      </x:c>
      <x:c r="S96" t="n">
        <x:v>0</x:v>
      </x:c>
      <x:c r="T96" t="inlineStr">
        <x:is>
          <x:t xml:space="preserve">unknown</x:t>
        </x:is>
      </x:c>
      <x:c r="U96" t="inlineStr">
        <x:is>
          <x:t xml:space="preserve">Unknown</x:t>
        </x:is>
      </x:c>
      <x:c r="V96" t="inlineStr">
        <x:is>
          <x:t xml:space="preserve">Assess_Evidence_Handling</x:t>
        </x:is>
      </x:c>
      <x:c r="W96" t="inlineStr">
        <x:is>
          <x:t xml:space="preserve">N</x:t>
        </x:is>
      </x:c>
      <x:c r="Y96">
        <x:f>(S96*IF(E96="G",F96,0))+(S96*IF(G96="G",H96,0))</x:f>
      </x:c>
      <x:c r="Z96">
        <x:f>(S96*IF(E96="E",F96,0))+(S96*IF(G96="E",H96,0))</x:f>
      </x:c>
      <x:c r="AA96">
        <x:f>(S96*IF(E96="T",F96,0))+(S96*IF(G96="T",H96,0))</x:f>
      </x:c>
      <x:c r="AB96">
        <x:f>(S96*IF(E96="L",F96,0))+(S96*IF(G96="L",H96,0))</x:f>
      </x:c>
      <x:c r="AC96">
        <x:f>(S96*IF(E96="H",F96,0))+(S96*IF(G96="H",H96,0))</x:f>
      </x:c>
      <x:c r="AD96">
        <x:f>(S96*IF(E96="V",F96,0))+(S96*IF(G96="V",H96,0))</x:f>
      </x:c>
      <x:c r="AE96">
        <x:f>(S96*IF(E96="R",F96,0))+(S96*IF(G96="R",H96,0))</x:f>
      </x:c>
      <x:c r="AF96">
        <x:f>(S96*IF(E96="F",F96,0))+(S96*IF(G96="F",H96,0))</x:f>
      </x:c>
      <x:c r="AG96">
        <x:f>(S96*IF(E96="W",F96,0))+(S96*IF(G96="W",H96,0))</x:f>
      </x:c>
      <x:c r="AH96" t="inlineStr">
        <x:is>
          <x:t xml:space="preserve">8. Investigation &amp; Response</x:t>
        </x:is>
      </x:c>
      <x:c r="AI96" t="inlineStr">
        <x:is>
          <x:t xml:space="preserve">Operational Readiness</x:t>
        </x:is>
      </x:c>
      <x:c r="AJ96" t="inlineStr">
        <x:is>
          <x:t xml:space="preserve">Forensic readiness &amp; evidence preservation</x:t>
        </x:is>
      </x:c>
    </x:row>
    <x:row r="97">
      <x:c r="A97" t="inlineStr">
        <x:is>
          <x:t xml:space="preserve">Executive</x:t>
        </x:is>
      </x:c>
      <x:c r="B97" t="inlineStr">
        <x:is>
          <x:t xml:space="preserve">EXCO-D3-Q05</x:t>
        </x:is>
      </x:c>
      <x:c r="C97" t="inlineStr">
        <x:is>
          <x:t xml:space="preserve">T3</x:t>
        </x:is>
      </x:c>
      <x:c r="D97" t="inlineStr">
        <x:is>
          <x:t xml:space="preserve">3. Legal &amp; Ethics</x:t>
        </x:is>
      </x:c>
      <x:c r="E97" t="inlineStr">
        <x:is>
          <x:t xml:space="preserve">L</x:t>
        </x:is>
      </x:c>
      <x:c r="F97" t="n">
        <x:v>0.5</x:v>
      </x:c>
      <x:c r="G97" t="inlineStr">
        <x:is>
          <x:t xml:space="preserve">R</x:t>
        </x:is>
      </x:c>
      <x:c r="H97" t="n">
        <x:v>0.5</x:v>
      </x:c>
      <x:c r="I97" t="inlineStr">
        <x:is>
          <x:t xml:space="preserve">If we needed to use monitoring evidence in HR action or court, how strong is our evidence handling (traceability, integrity)?</x:t>
        </x:is>
      </x:c>
      <x:c r="J97" t="inlineStr">
        <x:is>
          <x:t xml:space="preserve">Plain terms: can we prove ‘who collected what, when, and that it wasn’t tampered with’?</x:t>
        </x:is>
      </x:c>
      <x:c r="L97" t="inlineStr">
        <x:is>
          <x:t xml:space="preserve">LEG_STRICT</x:t>
        </x:is>
      </x:c>
      <x:c r="M97" t="n">
        <x:v>1</x:v>
      </x:c>
      <x:c r="P97" t="inlineStr">
        <x:is>
          <x:t xml:space="preserve">EXCO-D3-Q05-A1</x:t>
        </x:is>
      </x:c>
      <x:c r="Q97" t="n">
        <x:v>2</x:v>
      </x:c>
      <x:c r="R97" t="inlineStr">
        <x:is>
          <x:t xml:space="preserve">Weak—people take screenshots or export logs with little documentation.</x:t>
        </x:is>
      </x:c>
      <x:c r="S97" t="n">
        <x:v>0</x:v>
      </x:c>
      <x:c r="T97" t="inlineStr">
        <x:is>
          <x:t xml:space="preserve">forensic_gap</x:t>
        </x:is>
      </x:c>
      <x:c r="U97" t="inlineStr">
        <x:is>
          <x:t xml:space="preserve">Legal Exposure</x:t>
        </x:is>
      </x:c>
      <x:c r="V97" t="inlineStr">
        <x:is>
          <x:t xml:space="preserve">Evidence_Upgrade</x:t>
        </x:is>
      </x:c>
      <x:c r="W97" t="inlineStr">
        <x:is>
          <x:t xml:space="preserve">N</x:t>
        </x:is>
      </x:c>
      <x:c r="Y97">
        <x:f>(S97*IF(E97="G",F97,0))+(S97*IF(G97="G",H97,0))</x:f>
      </x:c>
      <x:c r="Z97">
        <x:f>(S97*IF(E97="E",F97,0))+(S97*IF(G97="E",H97,0))</x:f>
      </x:c>
      <x:c r="AA97">
        <x:f>(S97*IF(E97="T",F97,0))+(S97*IF(G97="T",H97,0))</x:f>
      </x:c>
      <x:c r="AB97">
        <x:f>(S97*IF(E97="L",F97,0))+(S97*IF(G97="L",H97,0))</x:f>
      </x:c>
      <x:c r="AC97">
        <x:f>(S97*IF(E97="H",F97,0))+(S97*IF(G97="H",H97,0))</x:f>
      </x:c>
      <x:c r="AD97">
        <x:f>(S97*IF(E97="V",F97,0))+(S97*IF(G97="V",H97,0))</x:f>
      </x:c>
      <x:c r="AE97">
        <x:f>(S97*IF(E97="R",F97,0))+(S97*IF(G97="R",H97,0))</x:f>
      </x:c>
      <x:c r="AF97">
        <x:f>(S97*IF(E97="F",F97,0))+(S97*IF(G97="F",H97,0))</x:f>
      </x:c>
      <x:c r="AG97">
        <x:f>(S97*IF(E97="W",F97,0))+(S97*IF(G97="W",H97,0))</x:f>
      </x:c>
      <x:c r="AH97" t="inlineStr">
        <x:is>
          <x:t xml:space="preserve">8. Investigation &amp; Response</x:t>
        </x:is>
      </x:c>
      <x:c r="AI97" t="inlineStr">
        <x:is>
          <x:t xml:space="preserve">Operational Readiness</x:t>
        </x:is>
      </x:c>
      <x:c r="AJ97" t="inlineStr">
        <x:is>
          <x:t xml:space="preserve">Forensic readiness &amp; evidence preservation</x:t>
        </x:is>
      </x:c>
    </x:row>
    <x:row r="98">
      <x:c r="A98" t="inlineStr">
        <x:is>
          <x:t xml:space="preserve">Executive</x:t>
        </x:is>
      </x:c>
      <x:c r="B98" t="inlineStr">
        <x:is>
          <x:t xml:space="preserve">EXCO-D3-Q05</x:t>
        </x:is>
      </x:c>
      <x:c r="C98" t="inlineStr">
        <x:is>
          <x:t xml:space="preserve">T3</x:t>
        </x:is>
      </x:c>
      <x:c r="D98" t="inlineStr">
        <x:is>
          <x:t xml:space="preserve">3. Legal &amp; Ethics</x:t>
        </x:is>
      </x:c>
      <x:c r="E98" t="inlineStr">
        <x:is>
          <x:t xml:space="preserve">L</x:t>
        </x:is>
      </x:c>
      <x:c r="F98" t="n">
        <x:v>0.5</x:v>
      </x:c>
      <x:c r="G98" t="inlineStr">
        <x:is>
          <x:t xml:space="preserve">R</x:t>
        </x:is>
      </x:c>
      <x:c r="H98" t="n">
        <x:v>0.5</x:v>
      </x:c>
      <x:c r="I98" t="inlineStr">
        <x:is>
          <x:t xml:space="preserve">If we needed to use monitoring evidence in HR action or court, how strong is our evidence handling (traceability, integrity)?</x:t>
        </x:is>
      </x:c>
      <x:c r="J98" t="inlineStr">
        <x:is>
          <x:t xml:space="preserve">Plain terms: can we prove ‘who collected what, when, and that it wasn’t tampered with’?</x:t>
        </x:is>
      </x:c>
      <x:c r="L98" t="inlineStr">
        <x:is>
          <x:t xml:space="preserve">LEG_STRICT</x:t>
        </x:is>
      </x:c>
      <x:c r="M98" t="n">
        <x:v>1</x:v>
      </x:c>
      <x:c r="P98" t="inlineStr">
        <x:is>
          <x:t xml:space="preserve">EXCO-D3-Q05-A2</x:t>
        </x:is>
      </x:c>
      <x:c r="Q98" t="n">
        <x:v>3</x:v>
      </x:c>
      <x:c r="R98" t="inlineStr">
        <x:is>
          <x:t xml:space="preserve">Ad-hoc—IT can pull logs, but process is inconsistent and not audited.</x:t>
        </x:is>
      </x:c>
      <x:c r="S98" t="n">
        <x:v>1</x:v>
      </x:c>
      <x:c r="T98" t="inlineStr">
        <x:is>
          <x:t xml:space="preserve">forensic_gap</x:t>
        </x:is>
      </x:c>
      <x:c r="U98" t="inlineStr">
        <x:is>
          <x:t xml:space="preserve">Resilience Gap</x:t>
        </x:is>
      </x:c>
      <x:c r="V98" t="inlineStr">
        <x:is>
          <x:t xml:space="preserve">Evidence_Upgrade</x:t>
        </x:is>
      </x:c>
      <x:c r="W98" t="inlineStr">
        <x:is>
          <x:t xml:space="preserve">N</x:t>
        </x:is>
      </x:c>
      <x:c r="Y98">
        <x:f>(S98*IF(E98="G",F98,0))+(S98*IF(G98="G",H98,0))</x:f>
      </x:c>
      <x:c r="Z98">
        <x:f>(S98*IF(E98="E",F98,0))+(S98*IF(G98="E",H98,0))</x:f>
      </x:c>
      <x:c r="AA98">
        <x:f>(S98*IF(E98="T",F98,0))+(S98*IF(G98="T",H98,0))</x:f>
      </x:c>
      <x:c r="AB98">
        <x:f>(S98*IF(E98="L",F98,0))+(S98*IF(G98="L",H98,0))</x:f>
      </x:c>
      <x:c r="AC98">
        <x:f>(S98*IF(E98="H",F98,0))+(S98*IF(G98="H",H98,0))</x:f>
      </x:c>
      <x:c r="AD98">
        <x:f>(S98*IF(E98="V",F98,0))+(S98*IF(G98="V",H98,0))</x:f>
      </x:c>
      <x:c r="AE98">
        <x:f>(S98*IF(E98="R",F98,0))+(S98*IF(G98="R",H98,0))</x:f>
      </x:c>
      <x:c r="AF98">
        <x:f>(S98*IF(E98="F",F98,0))+(S98*IF(G98="F",H98,0))</x:f>
      </x:c>
      <x:c r="AG98">
        <x:f>(S98*IF(E98="W",F98,0))+(S98*IF(G98="W",H98,0))</x:f>
      </x:c>
      <x:c r="AH98" t="inlineStr">
        <x:is>
          <x:t xml:space="preserve">8. Investigation &amp; Response</x:t>
        </x:is>
      </x:c>
      <x:c r="AI98" t="inlineStr">
        <x:is>
          <x:t xml:space="preserve">Operational Readiness</x:t>
        </x:is>
      </x:c>
      <x:c r="AJ98" t="inlineStr">
        <x:is>
          <x:t xml:space="preserve">Forensic readiness &amp; evidence preservation</x:t>
        </x:is>
      </x:c>
    </x:row>
    <x:row r="99">
      <x:c r="A99" t="inlineStr">
        <x:is>
          <x:t xml:space="preserve">Executive</x:t>
        </x:is>
      </x:c>
      <x:c r="B99" t="inlineStr">
        <x:is>
          <x:t xml:space="preserve">EXCO-D3-Q05</x:t>
        </x:is>
      </x:c>
      <x:c r="C99" t="inlineStr">
        <x:is>
          <x:t xml:space="preserve">T3</x:t>
        </x:is>
      </x:c>
      <x:c r="D99" t="inlineStr">
        <x:is>
          <x:t xml:space="preserve">3. Legal &amp; Ethics</x:t>
        </x:is>
      </x:c>
      <x:c r="E99" t="inlineStr">
        <x:is>
          <x:t xml:space="preserve">L</x:t>
        </x:is>
      </x:c>
      <x:c r="F99" t="n">
        <x:v>0.5</x:v>
      </x:c>
      <x:c r="G99" t="inlineStr">
        <x:is>
          <x:t xml:space="preserve">R</x:t>
        </x:is>
      </x:c>
      <x:c r="H99" t="n">
        <x:v>0.5</x:v>
      </x:c>
      <x:c r="I99" t="inlineStr">
        <x:is>
          <x:t xml:space="preserve">If we needed to use monitoring evidence in HR action or court, how strong is our evidence handling (traceability, integrity)?</x:t>
        </x:is>
      </x:c>
      <x:c r="J99" t="inlineStr">
        <x:is>
          <x:t xml:space="preserve">Plain terms: can we prove ‘who collected what, when, and that it wasn’t tampered with’?</x:t>
        </x:is>
      </x:c>
      <x:c r="L99" t="inlineStr">
        <x:is>
          <x:t xml:space="preserve">LEG_STRICT</x:t>
        </x:is>
      </x:c>
      <x:c r="M99" t="n">
        <x:v>1</x:v>
      </x:c>
      <x:c r="P99" t="inlineStr">
        <x:is>
          <x:t xml:space="preserve">EXCO-D3-Q05-A3</x:t>
        </x:is>
      </x:c>
      <x:c r="Q99" t="n">
        <x:v>4</x:v>
      </x:c>
      <x:c r="R99" t="inlineStr">
        <x:is>
          <x:t xml:space="preserve">Documented chain-of-custody exists, but it’s not consistently used.</x:t>
        </x:is>
      </x:c>
      <x:c r="S99" t="n">
        <x:v>2</x:v>
      </x:c>
      <x:c r="T99" t="inlineStr">
        <x:is>
          <x:t xml:space="preserve">paper_dragon_signal</x:t>
        </x:is>
      </x:c>
      <x:c r="U99" t="inlineStr">
        <x:is>
          <x:t xml:space="preserve">Paper Dragon</x:t>
        </x:is>
      </x:c>
      <x:c r="V99" t="inlineStr">
        <x:is>
          <x:t xml:space="preserve">Enforce_Custody_Process</x:t>
        </x:is>
      </x:c>
      <x:c r="W99" t="inlineStr">
        <x:is>
          <x:t xml:space="preserve">N</x:t>
        </x:is>
      </x:c>
      <x:c r="Y99">
        <x:f>(S99*IF(E99="G",F99,0))+(S99*IF(G99="G",H99,0))</x:f>
      </x:c>
      <x:c r="Z99">
        <x:f>(S99*IF(E99="E",F99,0))+(S99*IF(G99="E",H99,0))</x:f>
      </x:c>
      <x:c r="AA99">
        <x:f>(S99*IF(E99="T",F99,0))+(S99*IF(G99="T",H99,0))</x:f>
      </x:c>
      <x:c r="AB99">
        <x:f>(S99*IF(E99="L",F99,0))+(S99*IF(G99="L",H99,0))</x:f>
      </x:c>
      <x:c r="AC99">
        <x:f>(S99*IF(E99="H",F99,0))+(S99*IF(G99="H",H99,0))</x:f>
      </x:c>
      <x:c r="AD99">
        <x:f>(S99*IF(E99="V",F99,0))+(S99*IF(G99="V",H99,0))</x:f>
      </x:c>
      <x:c r="AE99">
        <x:f>(S99*IF(E99="R",F99,0))+(S99*IF(G99="R",H99,0))</x:f>
      </x:c>
      <x:c r="AF99">
        <x:f>(S99*IF(E99="F",F99,0))+(S99*IF(G99="F",H99,0))</x:f>
      </x:c>
      <x:c r="AG99">
        <x:f>(S99*IF(E99="W",F99,0))+(S99*IF(G99="W",H99,0))</x:f>
      </x:c>
      <x:c r="AH99" t="inlineStr">
        <x:is>
          <x:t xml:space="preserve">8. Investigation &amp; Response</x:t>
        </x:is>
      </x:c>
      <x:c r="AI99" t="inlineStr">
        <x:is>
          <x:t xml:space="preserve">Operational Readiness</x:t>
        </x:is>
      </x:c>
      <x:c r="AJ99" t="inlineStr">
        <x:is>
          <x:t xml:space="preserve">Forensic readiness &amp; evidence preservation</x:t>
        </x:is>
      </x:c>
    </x:row>
    <x:row r="100">
      <x:c r="A100" t="inlineStr">
        <x:is>
          <x:t xml:space="preserve">Executive</x:t>
        </x:is>
      </x:c>
      <x:c r="B100" t="inlineStr">
        <x:is>
          <x:t xml:space="preserve">EXCO-D3-Q05</x:t>
        </x:is>
      </x:c>
      <x:c r="C100" t="inlineStr">
        <x:is>
          <x:t xml:space="preserve">T3</x:t>
        </x:is>
      </x:c>
      <x:c r="D100" t="inlineStr">
        <x:is>
          <x:t xml:space="preserve">3. Legal &amp; Ethics</x:t>
        </x:is>
      </x:c>
      <x:c r="E100" t="inlineStr">
        <x:is>
          <x:t xml:space="preserve">L</x:t>
        </x:is>
      </x:c>
      <x:c r="F100" t="n">
        <x:v>0.5</x:v>
      </x:c>
      <x:c r="G100" t="inlineStr">
        <x:is>
          <x:t xml:space="preserve">R</x:t>
        </x:is>
      </x:c>
      <x:c r="H100" t="n">
        <x:v>0.5</x:v>
      </x:c>
      <x:c r="I100" t="inlineStr">
        <x:is>
          <x:t xml:space="preserve">If we needed to use monitoring evidence in HR action or court, how strong is our evidence handling (traceability, integrity)?</x:t>
        </x:is>
      </x:c>
      <x:c r="J100" t="inlineStr">
        <x:is>
          <x:t xml:space="preserve">Plain terms: can we prove ‘who collected what, when, and that it wasn’t tampered with’?</x:t>
        </x:is>
      </x:c>
      <x:c r="L100" t="inlineStr">
        <x:is>
          <x:t xml:space="preserve">LEG_STRICT</x:t>
        </x:is>
      </x:c>
      <x:c r="M100" t="n">
        <x:v>1</x:v>
      </x:c>
      <x:c r="P100" t="inlineStr">
        <x:is>
          <x:t xml:space="preserve">EXCO-D3-Q05-A4</x:t>
        </x:is>
      </x:c>
      <x:c r="Q100" t="n">
        <x:v>5</x:v>
      </x:c>
      <x:c r="R100" t="inlineStr">
        <x:is>
          <x:t xml:space="preserve">Evidence handling is standardised and used for every case; access and retention are controlled.</x:t>
        </x:is>
      </x:c>
      <x:c r="S100" t="n">
        <x:v>3</x:v>
      </x:c>
      <x:c r="T100" t="inlineStr">
        <x:is>
          <x:t xml:space="preserve">good_practice</x:t>
        </x:is>
      </x:c>
      <x:c r="V100" t="inlineStr">
        <x:is>
          <x:t xml:space="preserve">Request_Evidence</x:t>
        </x:is>
      </x:c>
      <x:c r="W100" t="inlineStr">
        <x:is>
          <x:t xml:space="preserve">Y</x:t>
        </x:is>
      </x:c>
      <x:c r="Y100">
        <x:f>(S100*IF(E100="G",F100,0))+(S100*IF(G100="G",H100,0))</x:f>
      </x:c>
      <x:c r="Z100">
        <x:f>(S100*IF(E100="E",F100,0))+(S100*IF(G100="E",H100,0))</x:f>
      </x:c>
      <x:c r="AA100">
        <x:f>(S100*IF(E100="T",F100,0))+(S100*IF(G100="T",H100,0))</x:f>
      </x:c>
      <x:c r="AB100">
        <x:f>(S100*IF(E100="L",F100,0))+(S100*IF(G100="L",H100,0))</x:f>
      </x:c>
      <x:c r="AC100">
        <x:f>(S100*IF(E100="H",F100,0))+(S100*IF(G100="H",H100,0))</x:f>
      </x:c>
      <x:c r="AD100">
        <x:f>(S100*IF(E100="V",F100,0))+(S100*IF(G100="V",H100,0))</x:f>
      </x:c>
      <x:c r="AE100">
        <x:f>(S100*IF(E100="R",F100,0))+(S100*IF(G100="R",H100,0))</x:f>
      </x:c>
      <x:c r="AF100">
        <x:f>(S100*IF(E100="F",F100,0))+(S100*IF(G100="F",H100,0))</x:f>
      </x:c>
      <x:c r="AG100">
        <x:f>(S100*IF(E100="W",F100,0))+(S100*IF(G100="W",H100,0))</x:f>
      </x:c>
      <x:c r="AH100" t="inlineStr">
        <x:is>
          <x:t xml:space="preserve">8. Investigation &amp; Response</x:t>
        </x:is>
      </x:c>
      <x:c r="AI100" t="inlineStr">
        <x:is>
          <x:t xml:space="preserve">Operational Readiness</x:t>
        </x:is>
      </x:c>
      <x:c r="AJ100" t="inlineStr">
        <x:is>
          <x:t xml:space="preserve">Forensic readiness &amp; evidence preservation</x:t>
        </x:is>
      </x:c>
    </x:row>
    <x:row r="101">
      <x:c r="A101" t="inlineStr">
        <x:is>
          <x:t xml:space="preserve">Executive</x:t>
        </x:is>
      </x:c>
      <x:c r="B101" t="inlineStr">
        <x:is>
          <x:t xml:space="preserve">EXCO-D3-Q05</x:t>
        </x:is>
      </x:c>
      <x:c r="C101" t="inlineStr">
        <x:is>
          <x:t xml:space="preserve">T3</x:t>
        </x:is>
      </x:c>
      <x:c r="D101" t="inlineStr">
        <x:is>
          <x:t xml:space="preserve">3. Legal &amp; Ethics</x:t>
        </x:is>
      </x:c>
      <x:c r="E101" t="inlineStr">
        <x:is>
          <x:t xml:space="preserve">L</x:t>
        </x:is>
      </x:c>
      <x:c r="F101" t="n">
        <x:v>0.5</x:v>
      </x:c>
      <x:c r="G101" t="inlineStr">
        <x:is>
          <x:t xml:space="preserve">R</x:t>
        </x:is>
      </x:c>
      <x:c r="H101" t="n">
        <x:v>0.5</x:v>
      </x:c>
      <x:c r="I101" t="inlineStr">
        <x:is>
          <x:t xml:space="preserve">If we needed to use monitoring evidence in HR action or court, how strong is our evidence handling (traceability, integrity)?</x:t>
        </x:is>
      </x:c>
      <x:c r="J101" t="inlineStr">
        <x:is>
          <x:t xml:space="preserve">Plain terms: can we prove ‘who collected what, when, and that it wasn’t tampered with’?</x:t>
        </x:is>
      </x:c>
      <x:c r="L101" t="inlineStr">
        <x:is>
          <x:t xml:space="preserve">LEG_STRICT</x:t>
        </x:is>
      </x:c>
      <x:c r="M101" t="n">
        <x:v>1</x:v>
      </x:c>
      <x:c r="P101" t="inlineStr">
        <x:is>
          <x:t xml:space="preserve">EXCO-D3-Q05-A5</x:t>
        </x:is>
      </x:c>
      <x:c r="Q101" t="n">
        <x:v>6</x:v>
      </x:c>
      <x:c r="R101" t="inlineStr">
        <x:is>
          <x:t xml:space="preserve">Tamper-evident logs and regular independent checks/audits of the evidence process.</x:t>
        </x:is>
      </x:c>
      <x:c r="S101" t="n">
        <x:v>4</x:v>
      </x:c>
      <x:c r="T101" t="inlineStr">
        <x:is>
          <x:t xml:space="preserve">optimized</x:t>
        </x:is>
      </x:c>
      <x:c r="V101" t="inlineStr">
        <x:is>
          <x:t xml:space="preserve">Request_Evidence</x:t>
        </x:is>
      </x:c>
      <x:c r="W101" t="inlineStr">
        <x:is>
          <x:t xml:space="preserve">Y</x:t>
        </x:is>
      </x:c>
      <x:c r="Y101">
        <x:f>(S101*IF(E101="G",F101,0))+(S101*IF(G101="G",H101,0))</x:f>
      </x:c>
      <x:c r="Z101">
        <x:f>(S101*IF(E101="E",F101,0))+(S101*IF(G101="E",H101,0))</x:f>
      </x:c>
      <x:c r="AA101">
        <x:f>(S101*IF(E101="T",F101,0))+(S101*IF(G101="T",H101,0))</x:f>
      </x:c>
      <x:c r="AB101">
        <x:f>(S101*IF(E101="L",F101,0))+(S101*IF(G101="L",H101,0))</x:f>
      </x:c>
      <x:c r="AC101">
        <x:f>(S101*IF(E101="H",F101,0))+(S101*IF(G101="H",H101,0))</x:f>
      </x:c>
      <x:c r="AD101">
        <x:f>(S101*IF(E101="V",F101,0))+(S101*IF(G101="V",H101,0))</x:f>
      </x:c>
      <x:c r="AE101">
        <x:f>(S101*IF(E101="R",F101,0))+(S101*IF(G101="R",H101,0))</x:f>
      </x:c>
      <x:c r="AF101">
        <x:f>(S101*IF(E101="F",F101,0))+(S101*IF(G101="F",H101,0))</x:f>
      </x:c>
      <x:c r="AG101">
        <x:f>(S101*IF(E101="W",F101,0))+(S101*IF(G101="W",H101,0))</x:f>
      </x:c>
      <x:c r="AH101" t="inlineStr">
        <x:is>
          <x:t xml:space="preserve">8. Investigation &amp; Response</x:t>
        </x:is>
      </x:c>
      <x:c r="AI101" t="inlineStr">
        <x:is>
          <x:t xml:space="preserve">Operational Readiness</x:t>
        </x:is>
      </x:c>
      <x:c r="AJ101" t="inlineStr">
        <x:is>
          <x:t xml:space="preserve">Forensic readiness &amp; evidence preservation</x:t>
        </x:is>
      </x:c>
    </x:row>
    <x:row r="102">
      <x:c r="A102" t="inlineStr">
        <x:is>
          <x:t xml:space="preserve">Executive</x:t>
        </x:is>
      </x:c>
      <x:c r="B102" t="inlineStr">
        <x:is>
          <x:t xml:space="preserve">EXCO-D3-Q06</x:t>
        </x:is>
      </x:c>
      <x:c r="C102" t="inlineStr">
        <x:is>
          <x:t xml:space="preserve">T2</x:t>
        </x:is>
      </x:c>
      <x:c r="D102" t="inlineStr">
        <x:is>
          <x:t xml:space="preserve">3. Legal &amp; Ethics</x:t>
        </x:is>
      </x:c>
      <x:c r="E102" t="inlineStr">
        <x:is>
          <x:t xml:space="preserve">L</x:t>
        </x:is>
      </x:c>
      <x:c r="F102" t="n">
        <x:v>1</x:v>
      </x:c>
      <x:c r="G102" t="inlineStr">
        <x:is>
          <x:t xml:space="preserve">-</x:t>
        </x:is>
      </x:c>
      <x:c r="I102" t="inlineStr">
        <x:is>
          <x:t xml:space="preserve">Do we control where monitoring data is stored and how long it is kept (including cross-border restrictions where relevant)?</x:t>
        </x:is>
      </x:c>
      <x:c r="J102" t="inlineStr">
        <x:is>
          <x:t xml:space="preserve">This is about data residency/sovereignty, retention schedules, and access auditing.</x:t>
        </x:is>
      </x:c>
      <x:c r="L102" t="inlineStr">
        <x:is>
          <x:t xml:space="preserve">LEG_STRICT</x:t>
        </x:is>
      </x:c>
      <x:c r="M102" t="n">
        <x:v>1</x:v>
      </x:c>
      <x:c r="P102" t="inlineStr">
        <x:is>
          <x:t xml:space="preserve">EXCO-D3-Q06-A0</x:t>
        </x:is>
      </x:c>
      <x:c r="Q102" t="n">
        <x:v>1</x:v>
      </x:c>
      <x:c r="R102" t="inlineStr">
        <x:is>
          <x:t xml:space="preserve">I don’t know / not sure.</x:t>
        </x:is>
      </x:c>
      <x:c r="S102" t="n">
        <x:v>0</x:v>
      </x:c>
      <x:c r="T102" t="inlineStr">
        <x:is>
          <x:t xml:space="preserve">unknown</x:t>
        </x:is>
      </x:c>
      <x:c r="U102" t="inlineStr">
        <x:is>
          <x:t xml:space="preserve">Unknown</x:t>
        </x:is>
      </x:c>
      <x:c r="V102" t="inlineStr">
        <x:is>
          <x:t xml:space="preserve">Assess_Data_Residency</x:t>
        </x:is>
      </x:c>
      <x:c r="W102" t="inlineStr">
        <x:is>
          <x:t xml:space="preserve">N</x:t>
        </x:is>
      </x:c>
      <x:c r="Y102">
        <x:f>(S102*IF(E102="G",F102,0))+(S102*IF(G102="G",H102,0))</x:f>
      </x:c>
      <x:c r="Z102">
        <x:f>(S102*IF(E102="E",F102,0))+(S102*IF(G102="E",H102,0))</x:f>
      </x:c>
      <x:c r="AA102">
        <x:f>(S102*IF(E102="T",F102,0))+(S102*IF(G102="T",H102,0))</x:f>
      </x:c>
      <x:c r="AB102">
        <x:f>(S102*IF(E102="L",F102,0))+(S102*IF(G102="L",H102,0))</x:f>
      </x:c>
      <x:c r="AC102">
        <x:f>(S102*IF(E102="H",F102,0))+(S102*IF(G102="H",H102,0))</x:f>
      </x:c>
      <x:c r="AD102">
        <x:f>(S102*IF(E102="V",F102,0))+(S102*IF(G102="V",H102,0))</x:f>
      </x:c>
      <x:c r="AE102">
        <x:f>(S102*IF(E102="R",F102,0))+(S102*IF(G102="R",H102,0))</x:f>
      </x:c>
      <x:c r="AF102">
        <x:f>(S102*IF(E102="F",F102,0))+(S102*IF(G102="F",H102,0))</x:f>
      </x:c>
      <x:c r="AG102">
        <x:f>(S102*IF(E102="W",F102,0))+(S102*IF(G102="W",H102,0))</x:f>
      </x:c>
      <x:c r="AH102" t="inlineStr">
        <x:is>
          <x:t xml:space="preserve">4. Legal, Privacy &amp; Ethics</x:t>
        </x:is>
      </x:c>
      <x:c r="AI102" t="inlineStr">
        <x:is>
          <x:t xml:space="preserve">Privacy Engineering</x:t>
        </x:is>
      </x:c>
      <x:c r="AJ102" t="inlineStr">
        <x:is>
          <x:t xml:space="preserve">Retention, Purging &amp; Legal Hold</x:t>
        </x:is>
      </x:c>
    </x:row>
    <x:row r="103">
      <x:c r="A103" t="inlineStr">
        <x:is>
          <x:t xml:space="preserve">Executive</x:t>
        </x:is>
      </x:c>
      <x:c r="B103" t="inlineStr">
        <x:is>
          <x:t xml:space="preserve">EXCO-D3-Q06</x:t>
        </x:is>
      </x:c>
      <x:c r="C103" t="inlineStr">
        <x:is>
          <x:t xml:space="preserve">T2</x:t>
        </x:is>
      </x:c>
      <x:c r="D103" t="inlineStr">
        <x:is>
          <x:t xml:space="preserve">3. Legal &amp; Ethics</x:t>
        </x:is>
      </x:c>
      <x:c r="E103" t="inlineStr">
        <x:is>
          <x:t xml:space="preserve">L</x:t>
        </x:is>
      </x:c>
      <x:c r="F103" t="n">
        <x:v>1</x:v>
      </x:c>
      <x:c r="G103" t="inlineStr">
        <x:is>
          <x:t xml:space="preserve">-</x:t>
        </x:is>
      </x:c>
      <x:c r="I103" t="inlineStr">
        <x:is>
          <x:t xml:space="preserve">Do we control where monitoring data is stored and how long it is kept (including cross-border restrictions where relevant)?</x:t>
        </x:is>
      </x:c>
      <x:c r="J103" t="inlineStr">
        <x:is>
          <x:t xml:space="preserve">This is about data residency/sovereignty, retention schedules, and access auditing.</x:t>
        </x:is>
      </x:c>
      <x:c r="L103" t="inlineStr">
        <x:is>
          <x:t xml:space="preserve">LEG_STRICT</x:t>
        </x:is>
      </x:c>
      <x:c r="M103" t="n">
        <x:v>1</x:v>
      </x:c>
      <x:c r="P103" t="inlineStr">
        <x:is>
          <x:t xml:space="preserve">EXCO-D3-Q06-A1</x:t>
        </x:is>
      </x:c>
      <x:c r="Q103" t="n">
        <x:v>2</x:v>
      </x:c>
      <x:c r="R103" t="inlineStr">
        <x:is>
          <x:t xml:space="preserve">No—storage locations and retention are not tracked or controlled.</x:t>
        </x:is>
      </x:c>
      <x:c r="S103" t="n">
        <x:v>0</x:v>
      </x:c>
      <x:c r="T103" t="inlineStr">
        <x:is>
          <x:t xml:space="preserve">legal_red_flag</x:t>
        </x:is>
      </x:c>
      <x:c r="U103" t="inlineStr">
        <x:is>
          <x:t xml:space="preserve">Legal Exposure</x:t>
        </x:is>
      </x:c>
      <x:c r="V103" t="inlineStr">
        <x:is>
          <x:t xml:space="preserve">Residency_Retention_Remediation</x:t>
        </x:is>
      </x:c>
      <x:c r="W103" t="inlineStr">
        <x:is>
          <x:t xml:space="preserve">N</x:t>
        </x:is>
      </x:c>
      <x:c r="Y103">
        <x:f>(S103*IF(E103="G",F103,0))+(S103*IF(G103="G",H103,0))</x:f>
      </x:c>
      <x:c r="Z103">
        <x:f>(S103*IF(E103="E",F103,0))+(S103*IF(G103="E",H103,0))</x:f>
      </x:c>
      <x:c r="AA103">
        <x:f>(S103*IF(E103="T",F103,0))+(S103*IF(G103="T",H103,0))</x:f>
      </x:c>
      <x:c r="AB103">
        <x:f>(S103*IF(E103="L",F103,0))+(S103*IF(G103="L",H103,0))</x:f>
      </x:c>
      <x:c r="AC103">
        <x:f>(S103*IF(E103="H",F103,0))+(S103*IF(G103="H",H103,0))</x:f>
      </x:c>
      <x:c r="AD103">
        <x:f>(S103*IF(E103="V",F103,0))+(S103*IF(G103="V",H103,0))</x:f>
      </x:c>
      <x:c r="AE103">
        <x:f>(S103*IF(E103="R",F103,0))+(S103*IF(G103="R",H103,0))</x:f>
      </x:c>
      <x:c r="AF103">
        <x:f>(S103*IF(E103="F",F103,0))+(S103*IF(G103="F",H103,0))</x:f>
      </x:c>
      <x:c r="AG103">
        <x:f>(S103*IF(E103="W",F103,0))+(S103*IF(G103="W",H103,0))</x:f>
      </x:c>
      <x:c r="AH103" t="inlineStr">
        <x:is>
          <x:t xml:space="preserve">4. Legal, Privacy &amp; Ethics</x:t>
        </x:is>
      </x:c>
      <x:c r="AI103" t="inlineStr">
        <x:is>
          <x:t xml:space="preserve">Privacy Engineering</x:t>
        </x:is>
      </x:c>
      <x:c r="AJ103" t="inlineStr">
        <x:is>
          <x:t xml:space="preserve">Retention, Purging &amp; Legal Hold</x:t>
        </x:is>
      </x:c>
    </x:row>
    <x:row r="104">
      <x:c r="A104" t="inlineStr">
        <x:is>
          <x:t xml:space="preserve">Executive</x:t>
        </x:is>
      </x:c>
      <x:c r="B104" t="inlineStr">
        <x:is>
          <x:t xml:space="preserve">EXCO-D3-Q06</x:t>
        </x:is>
      </x:c>
      <x:c r="C104" t="inlineStr">
        <x:is>
          <x:t xml:space="preserve">T2</x:t>
        </x:is>
      </x:c>
      <x:c r="D104" t="inlineStr">
        <x:is>
          <x:t xml:space="preserve">3. Legal &amp; Ethics</x:t>
        </x:is>
      </x:c>
      <x:c r="E104" t="inlineStr">
        <x:is>
          <x:t xml:space="preserve">L</x:t>
        </x:is>
      </x:c>
      <x:c r="F104" t="n">
        <x:v>1</x:v>
      </x:c>
      <x:c r="G104" t="inlineStr">
        <x:is>
          <x:t xml:space="preserve">-</x:t>
        </x:is>
      </x:c>
      <x:c r="I104" t="inlineStr">
        <x:is>
          <x:t xml:space="preserve">Do we control where monitoring data is stored and how long it is kept (including cross-border restrictions where relevant)?</x:t>
        </x:is>
      </x:c>
      <x:c r="J104" t="inlineStr">
        <x:is>
          <x:t xml:space="preserve">This is about data residency/sovereignty, retention schedules, and access auditing.</x:t>
        </x:is>
      </x:c>
      <x:c r="L104" t="inlineStr">
        <x:is>
          <x:t xml:space="preserve">LEG_STRICT</x:t>
        </x:is>
      </x:c>
      <x:c r="M104" t="n">
        <x:v>1</x:v>
      </x:c>
      <x:c r="P104" t="inlineStr">
        <x:is>
          <x:t xml:space="preserve">EXCO-D3-Q06-A2</x:t>
        </x:is>
      </x:c>
      <x:c r="Q104" t="n">
        <x:v>3</x:v>
      </x:c>
      <x:c r="R104" t="inlineStr">
        <x:is>
          <x:t xml:space="preserve">Policy says ‘keep it local/limited’, but the technical reality varies by tool/region.</x:t>
        </x:is>
      </x:c>
      <x:c r="S104" t="n">
        <x:v>1</x:v>
      </x:c>
      <x:c r="T104" t="inlineStr">
        <x:is>
          <x:t xml:space="preserve">paper_dragon_signal</x:t>
        </x:is>
      </x:c>
      <x:c r="U104" t="inlineStr">
        <x:is>
          <x:t xml:space="preserve">Paper Dragon</x:t>
        </x:is>
      </x:c>
      <x:c r="V104" t="inlineStr">
        <x:is>
          <x:t xml:space="preserve">Validate_Tech_Reality</x:t>
        </x:is>
      </x:c>
      <x:c r="W104" t="inlineStr">
        <x:is>
          <x:t xml:space="preserve">N</x:t>
        </x:is>
      </x:c>
      <x:c r="Y104">
        <x:f>(S104*IF(E104="G",F104,0))+(S104*IF(G104="G",H104,0))</x:f>
      </x:c>
      <x:c r="Z104">
        <x:f>(S104*IF(E104="E",F104,0))+(S104*IF(G104="E",H104,0))</x:f>
      </x:c>
      <x:c r="AA104">
        <x:f>(S104*IF(E104="T",F104,0))+(S104*IF(G104="T",H104,0))</x:f>
      </x:c>
      <x:c r="AB104">
        <x:f>(S104*IF(E104="L",F104,0))+(S104*IF(G104="L",H104,0))</x:f>
      </x:c>
      <x:c r="AC104">
        <x:f>(S104*IF(E104="H",F104,0))+(S104*IF(G104="H",H104,0))</x:f>
      </x:c>
      <x:c r="AD104">
        <x:f>(S104*IF(E104="V",F104,0))+(S104*IF(G104="V",H104,0))</x:f>
      </x:c>
      <x:c r="AE104">
        <x:f>(S104*IF(E104="R",F104,0))+(S104*IF(G104="R",H104,0))</x:f>
      </x:c>
      <x:c r="AF104">
        <x:f>(S104*IF(E104="F",F104,0))+(S104*IF(G104="F",H104,0))</x:f>
      </x:c>
      <x:c r="AG104">
        <x:f>(S104*IF(E104="W",F104,0))+(S104*IF(G104="W",H104,0))</x:f>
      </x:c>
      <x:c r="AH104" t="inlineStr">
        <x:is>
          <x:t xml:space="preserve">4. Legal, Privacy &amp; Ethics</x:t>
        </x:is>
      </x:c>
      <x:c r="AI104" t="inlineStr">
        <x:is>
          <x:t xml:space="preserve">Privacy Engineering</x:t>
        </x:is>
      </x:c>
      <x:c r="AJ104" t="inlineStr">
        <x:is>
          <x:t xml:space="preserve">Retention, Purging &amp; Legal Hold</x:t>
        </x:is>
      </x:c>
    </x:row>
    <x:row r="105">
      <x:c r="A105" t="inlineStr">
        <x:is>
          <x:t xml:space="preserve">Executive</x:t>
        </x:is>
      </x:c>
      <x:c r="B105" t="inlineStr">
        <x:is>
          <x:t xml:space="preserve">EXCO-D3-Q06</x:t>
        </x:is>
      </x:c>
      <x:c r="C105" t="inlineStr">
        <x:is>
          <x:t xml:space="preserve">T2</x:t>
        </x:is>
      </x:c>
      <x:c r="D105" t="inlineStr">
        <x:is>
          <x:t xml:space="preserve">3. Legal &amp; Ethics</x:t>
        </x:is>
      </x:c>
      <x:c r="E105" t="inlineStr">
        <x:is>
          <x:t xml:space="preserve">L</x:t>
        </x:is>
      </x:c>
      <x:c r="F105" t="n">
        <x:v>1</x:v>
      </x:c>
      <x:c r="G105" t="inlineStr">
        <x:is>
          <x:t xml:space="preserve">-</x:t>
        </x:is>
      </x:c>
      <x:c r="I105" t="inlineStr">
        <x:is>
          <x:t xml:space="preserve">Do we control where monitoring data is stored and how long it is kept (including cross-border restrictions where relevant)?</x:t>
        </x:is>
      </x:c>
      <x:c r="J105" t="inlineStr">
        <x:is>
          <x:t xml:space="preserve">This is about data residency/sovereignty, retention schedules, and access auditing.</x:t>
        </x:is>
      </x:c>
      <x:c r="L105" t="inlineStr">
        <x:is>
          <x:t xml:space="preserve">LEG_STRICT</x:t>
        </x:is>
      </x:c>
      <x:c r="M105" t="n">
        <x:v>1</x:v>
      </x:c>
      <x:c r="P105" t="inlineStr">
        <x:is>
          <x:t xml:space="preserve">EXCO-D3-Q06-A3</x:t>
        </x:is>
      </x:c>
      <x:c r="Q105" t="n">
        <x:v>4</x:v>
      </x:c>
      <x:c r="R105" t="inlineStr">
        <x:is>
          <x:t xml:space="preserve">We have defined retention and know primary storage regions, but auditing is limited.</x:t>
        </x:is>
      </x:c>
      <x:c r="S105" t="n">
        <x:v>2</x:v>
      </x:c>
      <x:c r="T105" t="inlineStr">
        <x:is>
          <x:t xml:space="preserve">partial_maturity</x:t>
        </x:is>
      </x:c>
      <x:c r="V105" t="inlineStr">
        <x:is>
          <x:t xml:space="preserve">Improve_Auditability</x:t>
        </x:is>
      </x:c>
      <x:c r="W105" t="inlineStr">
        <x:is>
          <x:t xml:space="preserve">N</x:t>
        </x:is>
      </x:c>
      <x:c r="Y105">
        <x:f>(S105*IF(E105="G",F105,0))+(S105*IF(G105="G",H105,0))</x:f>
      </x:c>
      <x:c r="Z105">
        <x:f>(S105*IF(E105="E",F105,0))+(S105*IF(G105="E",H105,0))</x:f>
      </x:c>
      <x:c r="AA105">
        <x:f>(S105*IF(E105="T",F105,0))+(S105*IF(G105="T",H105,0))</x:f>
      </x:c>
      <x:c r="AB105">
        <x:f>(S105*IF(E105="L",F105,0))+(S105*IF(G105="L",H105,0))</x:f>
      </x:c>
      <x:c r="AC105">
        <x:f>(S105*IF(E105="H",F105,0))+(S105*IF(G105="H",H105,0))</x:f>
      </x:c>
      <x:c r="AD105">
        <x:f>(S105*IF(E105="V",F105,0))+(S105*IF(G105="V",H105,0))</x:f>
      </x:c>
      <x:c r="AE105">
        <x:f>(S105*IF(E105="R",F105,0))+(S105*IF(G105="R",H105,0))</x:f>
      </x:c>
      <x:c r="AF105">
        <x:f>(S105*IF(E105="F",F105,0))+(S105*IF(G105="F",H105,0))</x:f>
      </x:c>
      <x:c r="AG105">
        <x:f>(S105*IF(E105="W",F105,0))+(S105*IF(G105="W",H105,0))</x:f>
      </x:c>
      <x:c r="AH105" t="inlineStr">
        <x:is>
          <x:t xml:space="preserve">4. Legal, Privacy &amp; Ethics</x:t>
        </x:is>
      </x:c>
      <x:c r="AI105" t="inlineStr">
        <x:is>
          <x:t xml:space="preserve">Privacy Engineering</x:t>
        </x:is>
      </x:c>
      <x:c r="AJ105" t="inlineStr">
        <x:is>
          <x:t xml:space="preserve">Retention, Purging &amp; Legal Hold</x:t>
        </x:is>
      </x:c>
    </x:row>
    <x:row r="106">
      <x:c r="A106" t="inlineStr">
        <x:is>
          <x:t xml:space="preserve">Executive</x:t>
        </x:is>
      </x:c>
      <x:c r="B106" t="inlineStr">
        <x:is>
          <x:t xml:space="preserve">EXCO-D3-Q06</x:t>
        </x:is>
      </x:c>
      <x:c r="C106" t="inlineStr">
        <x:is>
          <x:t xml:space="preserve">T2</x:t>
        </x:is>
      </x:c>
      <x:c r="D106" t="inlineStr">
        <x:is>
          <x:t xml:space="preserve">3. Legal &amp; Ethics</x:t>
        </x:is>
      </x:c>
      <x:c r="E106" t="inlineStr">
        <x:is>
          <x:t xml:space="preserve">L</x:t>
        </x:is>
      </x:c>
      <x:c r="F106" t="n">
        <x:v>1</x:v>
      </x:c>
      <x:c r="G106" t="inlineStr">
        <x:is>
          <x:t xml:space="preserve">-</x:t>
        </x:is>
      </x:c>
      <x:c r="I106" t="inlineStr">
        <x:is>
          <x:t xml:space="preserve">Do we control where monitoring data is stored and how long it is kept (including cross-border restrictions where relevant)?</x:t>
        </x:is>
      </x:c>
      <x:c r="J106" t="inlineStr">
        <x:is>
          <x:t xml:space="preserve">This is about data residency/sovereignty, retention schedules, and access auditing.</x:t>
        </x:is>
      </x:c>
      <x:c r="L106" t="inlineStr">
        <x:is>
          <x:t xml:space="preserve">LEG_STRICT</x:t>
        </x:is>
      </x:c>
      <x:c r="M106" t="n">
        <x:v>1</x:v>
      </x:c>
      <x:c r="P106" t="inlineStr">
        <x:is>
          <x:t xml:space="preserve">EXCO-D3-Q06-A4</x:t>
        </x:is>
      </x:c>
      <x:c r="Q106" t="n">
        <x:v>5</x:v>
      </x:c>
      <x:c r="R106" t="inlineStr">
        <x:is>
          <x:t xml:space="preserve">Retention, access, and storage locations are controlled and reviewed; exceptions are approved.</x:t>
        </x:is>
      </x:c>
      <x:c r="S106" t="n">
        <x:v>3</x:v>
      </x:c>
      <x:c r="T106" t="inlineStr">
        <x:is>
          <x:t xml:space="preserve">good_practice</x:t>
        </x:is>
      </x:c>
      <x:c r="V106" t="inlineStr">
        <x:is>
          <x:t xml:space="preserve">Request_Evidence</x:t>
        </x:is>
      </x:c>
      <x:c r="W106" t="inlineStr">
        <x:is>
          <x:t xml:space="preserve">Y</x:t>
        </x:is>
      </x:c>
      <x:c r="Y106">
        <x:f>(S106*IF(E106="G",F106,0))+(S106*IF(G106="G",H106,0))</x:f>
      </x:c>
      <x:c r="Z106">
        <x:f>(S106*IF(E106="E",F106,0))+(S106*IF(G106="E",H106,0))</x:f>
      </x:c>
      <x:c r="AA106">
        <x:f>(S106*IF(E106="T",F106,0))+(S106*IF(G106="T",H106,0))</x:f>
      </x:c>
      <x:c r="AB106">
        <x:f>(S106*IF(E106="L",F106,0))+(S106*IF(G106="L",H106,0))</x:f>
      </x:c>
      <x:c r="AC106">
        <x:f>(S106*IF(E106="H",F106,0))+(S106*IF(G106="H",H106,0))</x:f>
      </x:c>
      <x:c r="AD106">
        <x:f>(S106*IF(E106="V",F106,0))+(S106*IF(G106="V",H106,0))</x:f>
      </x:c>
      <x:c r="AE106">
        <x:f>(S106*IF(E106="R",F106,0))+(S106*IF(G106="R",H106,0))</x:f>
      </x:c>
      <x:c r="AF106">
        <x:f>(S106*IF(E106="F",F106,0))+(S106*IF(G106="F",H106,0))</x:f>
      </x:c>
      <x:c r="AG106">
        <x:f>(S106*IF(E106="W",F106,0))+(S106*IF(G106="W",H106,0))</x:f>
      </x:c>
      <x:c r="AH106" t="inlineStr">
        <x:is>
          <x:t xml:space="preserve">4. Legal, Privacy &amp; Ethics</x:t>
        </x:is>
      </x:c>
      <x:c r="AI106" t="inlineStr">
        <x:is>
          <x:t xml:space="preserve">Privacy Engineering</x:t>
        </x:is>
      </x:c>
      <x:c r="AJ106" t="inlineStr">
        <x:is>
          <x:t xml:space="preserve">Retention, Purging &amp; Legal Hold</x:t>
        </x:is>
      </x:c>
    </x:row>
    <x:row r="107">
      <x:c r="A107" t="inlineStr">
        <x:is>
          <x:t xml:space="preserve">Executive</x:t>
        </x:is>
      </x:c>
      <x:c r="B107" t="inlineStr">
        <x:is>
          <x:t xml:space="preserve">EXCO-D3-Q06</x:t>
        </x:is>
      </x:c>
      <x:c r="C107" t="inlineStr">
        <x:is>
          <x:t xml:space="preserve">T2</x:t>
        </x:is>
      </x:c>
      <x:c r="D107" t="inlineStr">
        <x:is>
          <x:t xml:space="preserve">3. Legal &amp; Ethics</x:t>
        </x:is>
      </x:c>
      <x:c r="E107" t="inlineStr">
        <x:is>
          <x:t xml:space="preserve">L</x:t>
        </x:is>
      </x:c>
      <x:c r="F107" t="n">
        <x:v>1</x:v>
      </x:c>
      <x:c r="G107" t="inlineStr">
        <x:is>
          <x:t xml:space="preserve">-</x:t>
        </x:is>
      </x:c>
      <x:c r="I107" t="inlineStr">
        <x:is>
          <x:t xml:space="preserve">Do we control where monitoring data is stored and how long it is kept (including cross-border restrictions where relevant)?</x:t>
        </x:is>
      </x:c>
      <x:c r="J107" t="inlineStr">
        <x:is>
          <x:t xml:space="preserve">This is about data residency/sovereignty, retention schedules, and access auditing.</x:t>
        </x:is>
      </x:c>
      <x:c r="L107" t="inlineStr">
        <x:is>
          <x:t xml:space="preserve">LEG_STRICT</x:t>
        </x:is>
      </x:c>
      <x:c r="M107" t="n">
        <x:v>1</x:v>
      </x:c>
      <x:c r="P107" t="inlineStr">
        <x:is>
          <x:t xml:space="preserve">EXCO-D3-Q06-A5</x:t>
        </x:is>
      </x:c>
      <x:c r="Q107" t="n">
        <x:v>6</x:v>
      </x:c>
      <x:c r="R107" t="inlineStr">
        <x:is>
          <x:t xml:space="preserve">Automated controls (geo-fencing/region controls) with audits and reporting.</x:t>
        </x:is>
      </x:c>
      <x:c r="S107" t="n">
        <x:v>4</x:v>
      </x:c>
      <x:c r="T107" t="inlineStr">
        <x:is>
          <x:t xml:space="preserve">optimized</x:t>
        </x:is>
      </x:c>
      <x:c r="V107" t="inlineStr">
        <x:is>
          <x:t xml:space="preserve">Request_Evidence</x:t>
        </x:is>
      </x:c>
      <x:c r="W107" t="inlineStr">
        <x:is>
          <x:t xml:space="preserve">Y</x:t>
        </x:is>
      </x:c>
      <x:c r="Y107">
        <x:f>(S107*IF(E107="G",F107,0))+(S107*IF(G107="G",H107,0))</x:f>
      </x:c>
      <x:c r="Z107">
        <x:f>(S107*IF(E107="E",F107,0))+(S107*IF(G107="E",H107,0))</x:f>
      </x:c>
      <x:c r="AA107">
        <x:f>(S107*IF(E107="T",F107,0))+(S107*IF(G107="T",H107,0))</x:f>
      </x:c>
      <x:c r="AB107">
        <x:f>(S107*IF(E107="L",F107,0))+(S107*IF(G107="L",H107,0))</x:f>
      </x:c>
      <x:c r="AC107">
        <x:f>(S107*IF(E107="H",F107,0))+(S107*IF(G107="H",H107,0))</x:f>
      </x:c>
      <x:c r="AD107">
        <x:f>(S107*IF(E107="V",F107,0))+(S107*IF(G107="V",H107,0))</x:f>
      </x:c>
      <x:c r="AE107">
        <x:f>(S107*IF(E107="R",F107,0))+(S107*IF(G107="R",H107,0))</x:f>
      </x:c>
      <x:c r="AF107">
        <x:f>(S107*IF(E107="F",F107,0))+(S107*IF(G107="F",H107,0))</x:f>
      </x:c>
      <x:c r="AG107">
        <x:f>(S107*IF(E107="W",F107,0))+(S107*IF(G107="W",H107,0))</x:f>
      </x:c>
      <x:c r="AH107" t="inlineStr">
        <x:is>
          <x:t xml:space="preserve">4. Legal, Privacy &amp; Ethics</x:t>
        </x:is>
      </x:c>
      <x:c r="AI107" t="inlineStr">
        <x:is>
          <x:t xml:space="preserve">Privacy Engineering</x:t>
        </x:is>
      </x:c>
      <x:c r="AJ107" t="inlineStr">
        <x:is>
          <x:t xml:space="preserve">Retention, Purging &amp; Legal Hold</x:t>
        </x:is>
      </x:c>
    </x:row>
    <x:row r="108">
      <x:c r="A108" t="inlineStr">
        <x:is>
          <x:t xml:space="preserve">Executive</x:t>
        </x:is>
      </x:c>
      <x:c r="B108" t="inlineStr">
        <x:is>
          <x:t xml:space="preserve">EXCO-D4-Q01</x:t>
        </x:is>
      </x:c>
      <x:c r="C108" t="inlineStr">
        <x:is>
          <x:t xml:space="preserve">T1</x:t>
        </x:is>
      </x:c>
      <x:c r="D108" t="inlineStr">
        <x:is>
          <x:t xml:space="preserve">4. People &amp; Culture</x:t>
        </x:is>
      </x:c>
      <x:c r="E108" t="inlineStr">
        <x:is>
          <x:t xml:space="preserve">H</x:t>
        </x:is>
      </x:c>
      <x:c r="F108" t="n">
        <x:v>1</x:v>
      </x:c>
      <x:c r="G108" t="inlineStr">
        <x:is>
          <x:t xml:space="preserve">-</x:t>
        </x:is>
      </x:c>
      <x:c r="I108" t="inlineStr">
        <x:is>
          <x:t xml:space="preserve">How safe do people feel to raise concerns about risky behaviour (including reporting a peer or manager)?</x:t>
        </x:is>
      </x:c>
      <x:c r="J108" t="inlineStr">
        <x:is>
          <x:t xml:space="preserve">Consider retaliation risk, confidentiality, and whether reports are handled fairly and consistently.</x:t>
        </x:is>
      </x:c>
      <x:c r="L108" t="inlineStr">
        <x:is>
          <x:t xml:space="preserve">CULT_SOFT</x:t>
        </x:is>
      </x:c>
      <x:c r="M108" t="n">
        <x:v>1</x:v>
      </x:c>
      <x:c r="P108" t="inlineStr">
        <x:is>
          <x:t xml:space="preserve">EXCO-D4-Q01-A0</x:t>
        </x:is>
      </x:c>
      <x:c r="Q108" t="n">
        <x:v>1</x:v>
      </x:c>
      <x:c r="R108" t="inlineStr">
        <x:is>
          <x:t xml:space="preserve">I don’t know / not sure.</x:t>
        </x:is>
      </x:c>
      <x:c r="S108" t="n">
        <x:v>0</x:v>
      </x:c>
      <x:c r="T108" t="inlineStr">
        <x:is>
          <x:t xml:space="preserve">unknown</x:t>
        </x:is>
      </x:c>
      <x:c r="U108" t="inlineStr">
        <x:is>
          <x:t xml:space="preserve">Unknown</x:t>
        </x:is>
      </x:c>
      <x:c r="V108" t="inlineStr">
        <x:is>
          <x:t xml:space="preserve">Culture_Diagnostics</x:t>
        </x:is>
      </x:c>
      <x:c r="W108" t="inlineStr">
        <x:is>
          <x:t xml:space="preserve">N</x:t>
        </x:is>
      </x:c>
      <x:c r="Y108">
        <x:f>(S108*IF(E108="G",F108,0))+(S108*IF(G108="G",H108,0))</x:f>
      </x:c>
      <x:c r="Z108">
        <x:f>(S108*IF(E108="E",F108,0))+(S108*IF(G108="E",H108,0))</x:f>
      </x:c>
      <x:c r="AA108">
        <x:f>(S108*IF(E108="T",F108,0))+(S108*IF(G108="T",H108,0))</x:f>
      </x:c>
      <x:c r="AB108">
        <x:f>(S108*IF(E108="L",F108,0))+(S108*IF(G108="L",H108,0))</x:f>
      </x:c>
      <x:c r="AC108">
        <x:f>(S108*IF(E108="H",F108,0))+(S108*IF(G108="H",H108,0))</x:f>
      </x:c>
      <x:c r="AD108">
        <x:f>(S108*IF(E108="V",F108,0))+(S108*IF(G108="V",H108,0))</x:f>
      </x:c>
      <x:c r="AE108">
        <x:f>(S108*IF(E108="R",F108,0))+(S108*IF(G108="R",H108,0))</x:f>
      </x:c>
      <x:c r="AF108">
        <x:f>(S108*IF(E108="F",F108,0))+(S108*IF(G108="F",H108,0))</x:f>
      </x:c>
      <x:c r="AG108">
        <x:f>(S108*IF(E108="W",F108,0))+(S108*IF(G108="W",H108,0))</x:f>
      </x:c>
      <x:c r="AH108" t="inlineStr">
        <x:is>
          <x:t xml:space="preserve">9. Performance &amp; Resilience</x:t>
        </x:is>
      </x:c>
      <x:c r="AI108" t="inlineStr">
        <x:is>
          <x:t xml:space="preserve">Assurance &amp; Metrics</x:t>
        </x:is>
      </x:c>
      <x:c r="AJ108" t="inlineStr">
        <x:is>
          <x:t xml:space="preserve">KPI/KRI framework &amp; dashboards</x:t>
        </x:is>
      </x:c>
    </x:row>
    <x:row r="109">
      <x:c r="A109" t="inlineStr">
        <x:is>
          <x:t xml:space="preserve">Executive</x:t>
        </x:is>
      </x:c>
      <x:c r="B109" t="inlineStr">
        <x:is>
          <x:t xml:space="preserve">EXCO-D4-Q01</x:t>
        </x:is>
      </x:c>
      <x:c r="C109" t="inlineStr">
        <x:is>
          <x:t xml:space="preserve">T1</x:t>
        </x:is>
      </x:c>
      <x:c r="D109" t="inlineStr">
        <x:is>
          <x:t xml:space="preserve">4. People &amp; Culture</x:t>
        </x:is>
      </x:c>
      <x:c r="E109" t="inlineStr">
        <x:is>
          <x:t xml:space="preserve">H</x:t>
        </x:is>
      </x:c>
      <x:c r="F109" t="n">
        <x:v>1</x:v>
      </x:c>
      <x:c r="G109" t="inlineStr">
        <x:is>
          <x:t xml:space="preserve">-</x:t>
        </x:is>
      </x:c>
      <x:c r="I109" t="inlineStr">
        <x:is>
          <x:t xml:space="preserve">How safe do people feel to raise concerns about risky behaviour (including reporting a peer or manager)?</x:t>
        </x:is>
      </x:c>
      <x:c r="J109" t="inlineStr">
        <x:is>
          <x:t xml:space="preserve">Consider retaliation risk, confidentiality, and whether reports are handled fairly and consistently.</x:t>
        </x:is>
      </x:c>
      <x:c r="L109" t="inlineStr">
        <x:is>
          <x:t xml:space="preserve">CULT_SOFT</x:t>
        </x:is>
      </x:c>
      <x:c r="M109" t="n">
        <x:v>1</x:v>
      </x:c>
      <x:c r="P109" t="inlineStr">
        <x:is>
          <x:t xml:space="preserve">EXCO-D4-Q01-A1</x:t>
        </x:is>
      </x:c>
      <x:c r="Q109" t="n">
        <x:v>2</x:v>
      </x:c>
      <x:c r="R109" t="inlineStr">
        <x:is>
          <x:t xml:space="preserve">Unsafe—people fear retaliation or being labelled a troublemaker.</x:t>
        </x:is>
      </x:c>
      <x:c r="S109" t="n">
        <x:v>0</x:v>
      </x:c>
      <x:c r="T109" t="inlineStr">
        <x:is>
          <x:t xml:space="preserve">culture_risk,toxic_enforcer_signal</x:t>
        </x:is>
      </x:c>
      <x:c r="U109" t="inlineStr">
        <x:is>
          <x:t xml:space="preserve">Culture Risk</x:t>
        </x:is>
      </x:c>
      <x:c r="V109" t="inlineStr">
        <x:is>
          <x:t xml:space="preserve">Culture_Workshop</x:t>
        </x:is>
      </x:c>
      <x:c r="W109" t="inlineStr">
        <x:is>
          <x:t xml:space="preserve">N</x:t>
        </x:is>
      </x:c>
      <x:c r="Y109">
        <x:f>(S109*IF(E109="G",F109,0))+(S109*IF(G109="G",H109,0))</x:f>
      </x:c>
      <x:c r="Z109">
        <x:f>(S109*IF(E109="E",F109,0))+(S109*IF(G109="E",H109,0))</x:f>
      </x:c>
      <x:c r="AA109">
        <x:f>(S109*IF(E109="T",F109,0))+(S109*IF(G109="T",H109,0))</x:f>
      </x:c>
      <x:c r="AB109">
        <x:f>(S109*IF(E109="L",F109,0))+(S109*IF(G109="L",H109,0))</x:f>
      </x:c>
      <x:c r="AC109">
        <x:f>(S109*IF(E109="H",F109,0))+(S109*IF(G109="H",H109,0))</x:f>
      </x:c>
      <x:c r="AD109">
        <x:f>(S109*IF(E109="V",F109,0))+(S109*IF(G109="V",H109,0))</x:f>
      </x:c>
      <x:c r="AE109">
        <x:f>(S109*IF(E109="R",F109,0))+(S109*IF(G109="R",H109,0))</x:f>
      </x:c>
      <x:c r="AF109">
        <x:f>(S109*IF(E109="F",F109,0))+(S109*IF(G109="F",H109,0))</x:f>
      </x:c>
      <x:c r="AG109">
        <x:f>(S109*IF(E109="W",F109,0))+(S109*IF(G109="W",H109,0))</x:f>
      </x:c>
      <x:c r="AH109" t="inlineStr">
        <x:is>
          <x:t xml:space="preserve">9. Performance &amp; Resilience</x:t>
        </x:is>
      </x:c>
      <x:c r="AI109" t="inlineStr">
        <x:is>
          <x:t xml:space="preserve">Assurance &amp; Metrics</x:t>
        </x:is>
      </x:c>
      <x:c r="AJ109" t="inlineStr">
        <x:is>
          <x:t xml:space="preserve">KPI/KRI framework &amp; dashboards</x:t>
        </x:is>
      </x:c>
    </x:row>
    <x:row r="110">
      <x:c r="A110" t="inlineStr">
        <x:is>
          <x:t xml:space="preserve">Executive</x:t>
        </x:is>
      </x:c>
      <x:c r="B110" t="inlineStr">
        <x:is>
          <x:t xml:space="preserve">EXCO-D4-Q01</x:t>
        </x:is>
      </x:c>
      <x:c r="C110" t="inlineStr">
        <x:is>
          <x:t xml:space="preserve">T1</x:t>
        </x:is>
      </x:c>
      <x:c r="D110" t="inlineStr">
        <x:is>
          <x:t xml:space="preserve">4. People &amp; Culture</x:t>
        </x:is>
      </x:c>
      <x:c r="E110" t="inlineStr">
        <x:is>
          <x:t xml:space="preserve">H</x:t>
        </x:is>
      </x:c>
      <x:c r="F110" t="n">
        <x:v>1</x:v>
      </x:c>
      <x:c r="G110" t="inlineStr">
        <x:is>
          <x:t xml:space="preserve">-</x:t>
        </x:is>
      </x:c>
      <x:c r="I110" t="inlineStr">
        <x:is>
          <x:t xml:space="preserve">How safe do people feel to raise concerns about risky behaviour (including reporting a peer or manager)?</x:t>
        </x:is>
      </x:c>
      <x:c r="J110" t="inlineStr">
        <x:is>
          <x:t xml:space="preserve">Consider retaliation risk, confidentiality, and whether reports are handled fairly and consistently.</x:t>
        </x:is>
      </x:c>
      <x:c r="L110" t="inlineStr">
        <x:is>
          <x:t xml:space="preserve">CULT_SOFT</x:t>
        </x:is>
      </x:c>
      <x:c r="M110" t="n">
        <x:v>1</x:v>
      </x:c>
      <x:c r="P110" t="inlineStr">
        <x:is>
          <x:t xml:space="preserve">EXCO-D4-Q01-A2</x:t>
        </x:is>
      </x:c>
      <x:c r="Q110" t="n">
        <x:v>3</x:v>
      </x:c>
      <x:c r="R110" t="inlineStr">
        <x:is>
          <x:t xml:space="preserve">Some people report issues informally to trusted managers; outcomes depend on who you are.</x:t>
        </x:is>
      </x:c>
      <x:c r="S110" t="n">
        <x:v>1</x:v>
      </x:c>
      <x:c r="T110" t="inlineStr">
        <x:is>
          <x:t xml:space="preserve">informal_only</x:t>
        </x:is>
      </x:c>
      <x:c r="U110" t="inlineStr">
        <x:is>
          <x:t xml:space="preserve">Operating Model Gap</x:t>
        </x:is>
      </x:c>
      <x:c r="V110" t="inlineStr">
        <x:is>
          <x:t xml:space="preserve">Strengthen_SpeakUp</x:t>
        </x:is>
      </x:c>
      <x:c r="W110" t="inlineStr">
        <x:is>
          <x:t xml:space="preserve">N</x:t>
        </x:is>
      </x:c>
      <x:c r="Y110">
        <x:f>(S110*IF(E110="G",F110,0))+(S110*IF(G110="G",H110,0))</x:f>
      </x:c>
      <x:c r="Z110">
        <x:f>(S110*IF(E110="E",F110,0))+(S110*IF(G110="E",H110,0))</x:f>
      </x:c>
      <x:c r="AA110">
        <x:f>(S110*IF(E110="T",F110,0))+(S110*IF(G110="T",H110,0))</x:f>
      </x:c>
      <x:c r="AB110">
        <x:f>(S110*IF(E110="L",F110,0))+(S110*IF(G110="L",H110,0))</x:f>
      </x:c>
      <x:c r="AC110">
        <x:f>(S110*IF(E110="H",F110,0))+(S110*IF(G110="H",H110,0))</x:f>
      </x:c>
      <x:c r="AD110">
        <x:f>(S110*IF(E110="V",F110,0))+(S110*IF(G110="V",H110,0))</x:f>
      </x:c>
      <x:c r="AE110">
        <x:f>(S110*IF(E110="R",F110,0))+(S110*IF(G110="R",H110,0))</x:f>
      </x:c>
      <x:c r="AF110">
        <x:f>(S110*IF(E110="F",F110,0))+(S110*IF(G110="F",H110,0))</x:f>
      </x:c>
      <x:c r="AG110">
        <x:f>(S110*IF(E110="W",F110,0))+(S110*IF(G110="W",H110,0))</x:f>
      </x:c>
      <x:c r="AH110" t="inlineStr">
        <x:is>
          <x:t xml:space="preserve">9. Performance &amp; Resilience</x:t>
        </x:is>
      </x:c>
      <x:c r="AI110" t="inlineStr">
        <x:is>
          <x:t xml:space="preserve">Assurance &amp; Metrics</x:t>
        </x:is>
      </x:c>
      <x:c r="AJ110" t="inlineStr">
        <x:is>
          <x:t xml:space="preserve">KPI/KRI framework &amp; dashboards</x:t>
        </x:is>
      </x:c>
    </x:row>
    <x:row r="111">
      <x:c r="A111" t="inlineStr">
        <x:is>
          <x:t xml:space="preserve">Executive</x:t>
        </x:is>
      </x:c>
      <x:c r="B111" t="inlineStr">
        <x:is>
          <x:t xml:space="preserve">EXCO-D4-Q01</x:t>
        </x:is>
      </x:c>
      <x:c r="C111" t="inlineStr">
        <x:is>
          <x:t xml:space="preserve">T1</x:t>
        </x:is>
      </x:c>
      <x:c r="D111" t="inlineStr">
        <x:is>
          <x:t xml:space="preserve">4. People &amp; Culture</x:t>
        </x:is>
      </x:c>
      <x:c r="E111" t="inlineStr">
        <x:is>
          <x:t xml:space="preserve">H</x:t>
        </x:is>
      </x:c>
      <x:c r="F111" t="n">
        <x:v>1</x:v>
      </x:c>
      <x:c r="G111" t="inlineStr">
        <x:is>
          <x:t xml:space="preserve">-</x:t>
        </x:is>
      </x:c>
      <x:c r="I111" t="inlineStr">
        <x:is>
          <x:t xml:space="preserve">How safe do people feel to raise concerns about risky behaviour (including reporting a peer or manager)?</x:t>
        </x:is>
      </x:c>
      <x:c r="J111" t="inlineStr">
        <x:is>
          <x:t xml:space="preserve">Consider retaliation risk, confidentiality, and whether reports are handled fairly and consistently.</x:t>
        </x:is>
      </x:c>
      <x:c r="L111" t="inlineStr">
        <x:is>
          <x:t xml:space="preserve">CULT_SOFT</x:t>
        </x:is>
      </x:c>
      <x:c r="M111" t="n">
        <x:v>1</x:v>
      </x:c>
      <x:c r="P111" t="inlineStr">
        <x:is>
          <x:t xml:space="preserve">EXCO-D4-Q01-A3</x:t>
        </x:is>
      </x:c>
      <x:c r="Q111" t="n">
        <x:v>4</x:v>
      </x:c>
      <x:c r="R111" t="inlineStr">
        <x:is>
          <x:t xml:space="preserve">We have formal channels (hotline/HR), but people don’t trust them or rarely use them.</x:t>
        </x:is>
      </x:c>
      <x:c r="S111" t="n">
        <x:v>2</x:v>
      </x:c>
      <x:c r="T111" t="inlineStr">
        <x:is>
          <x:t xml:space="preserve">paper_process</x:t>
        </x:is>
      </x:c>
      <x:c r="U111" t="inlineStr">
        <x:is>
          <x:t xml:space="preserve">Paper Dragon</x:t>
        </x:is>
      </x:c>
      <x:c r="V111" t="inlineStr">
        <x:is>
          <x:t xml:space="preserve">Improve_SpeakUp_System</x:t>
        </x:is>
      </x:c>
      <x:c r="W111" t="inlineStr">
        <x:is>
          <x:t xml:space="preserve">N</x:t>
        </x:is>
      </x:c>
      <x:c r="Y111">
        <x:f>(S111*IF(E111="G",F111,0))+(S111*IF(G111="G",H111,0))</x:f>
      </x:c>
      <x:c r="Z111">
        <x:f>(S111*IF(E111="E",F111,0))+(S111*IF(G111="E",H111,0))</x:f>
      </x:c>
      <x:c r="AA111">
        <x:f>(S111*IF(E111="T",F111,0))+(S111*IF(G111="T",H111,0))</x:f>
      </x:c>
      <x:c r="AB111">
        <x:f>(S111*IF(E111="L",F111,0))+(S111*IF(G111="L",H111,0))</x:f>
      </x:c>
      <x:c r="AC111">
        <x:f>(S111*IF(E111="H",F111,0))+(S111*IF(G111="H",H111,0))</x:f>
      </x:c>
      <x:c r="AD111">
        <x:f>(S111*IF(E111="V",F111,0))+(S111*IF(G111="V",H111,0))</x:f>
      </x:c>
      <x:c r="AE111">
        <x:f>(S111*IF(E111="R",F111,0))+(S111*IF(G111="R",H111,0))</x:f>
      </x:c>
      <x:c r="AF111">
        <x:f>(S111*IF(E111="F",F111,0))+(S111*IF(G111="F",H111,0))</x:f>
      </x:c>
      <x:c r="AG111">
        <x:f>(S111*IF(E111="W",F111,0))+(S111*IF(G111="W",H111,0))</x:f>
      </x:c>
      <x:c r="AH111" t="inlineStr">
        <x:is>
          <x:t xml:space="preserve">9. Performance &amp; Resilience</x:t>
        </x:is>
      </x:c>
      <x:c r="AI111" t="inlineStr">
        <x:is>
          <x:t xml:space="preserve">Assurance &amp; Metrics</x:t>
        </x:is>
      </x:c>
      <x:c r="AJ111" t="inlineStr">
        <x:is>
          <x:t xml:space="preserve">KPI/KRI framework &amp; dashboards</x:t>
        </x:is>
      </x:c>
    </x:row>
    <x:row r="112">
      <x:c r="A112" t="inlineStr">
        <x:is>
          <x:t xml:space="preserve">Executive</x:t>
        </x:is>
      </x:c>
      <x:c r="B112" t="inlineStr">
        <x:is>
          <x:t xml:space="preserve">EXCO-D4-Q01</x:t>
        </x:is>
      </x:c>
      <x:c r="C112" t="inlineStr">
        <x:is>
          <x:t xml:space="preserve">T1</x:t>
        </x:is>
      </x:c>
      <x:c r="D112" t="inlineStr">
        <x:is>
          <x:t xml:space="preserve">4. People &amp; Culture</x:t>
        </x:is>
      </x:c>
      <x:c r="E112" t="inlineStr">
        <x:is>
          <x:t xml:space="preserve">H</x:t>
        </x:is>
      </x:c>
      <x:c r="F112" t="n">
        <x:v>1</x:v>
      </x:c>
      <x:c r="G112" t="inlineStr">
        <x:is>
          <x:t xml:space="preserve">-</x:t>
        </x:is>
      </x:c>
      <x:c r="I112" t="inlineStr">
        <x:is>
          <x:t xml:space="preserve">How safe do people feel to raise concerns about risky behaviour (including reporting a peer or manager)?</x:t>
        </x:is>
      </x:c>
      <x:c r="J112" t="inlineStr">
        <x:is>
          <x:t xml:space="preserve">Consider retaliation risk, confidentiality, and whether reports are handled fairly and consistently.</x:t>
        </x:is>
      </x:c>
      <x:c r="L112" t="inlineStr">
        <x:is>
          <x:t xml:space="preserve">CULT_SOFT</x:t>
        </x:is>
      </x:c>
      <x:c r="M112" t="n">
        <x:v>1</x:v>
      </x:c>
      <x:c r="P112" t="inlineStr">
        <x:is>
          <x:t xml:space="preserve">EXCO-D4-Q01-A4</x:t>
        </x:is>
      </x:c>
      <x:c r="Q112" t="n">
        <x:v>5</x:v>
      </x:c>
      <x:c r="R112" t="inlineStr">
        <x:is>
          <x:t xml:space="preserve">People generally trust reporting channels; retaliation is actively prevented and investigated.</x:t>
        </x:is>
      </x:c>
      <x:c r="S112" t="n">
        <x:v>3</x:v>
      </x:c>
      <x:c r="T112" t="inlineStr">
        <x:is>
          <x:t xml:space="preserve">good_practice</x:t>
        </x:is>
      </x:c>
      <x:c r="V112" t="inlineStr">
        <x:is>
          <x:t xml:space="preserve">Request_Evidence</x:t>
        </x:is>
      </x:c>
      <x:c r="W112" t="inlineStr">
        <x:is>
          <x:t xml:space="preserve">Y</x:t>
        </x:is>
      </x:c>
      <x:c r="X112" t="inlineStr">
        <x:is>
          <x:t xml:space="preserve">Provide policy/metrics: number of reports, time to respond, retaliation cases.</x:t>
        </x:is>
      </x:c>
      <x:c r="Y112">
        <x:f>(S112*IF(E112="G",F112,0))+(S112*IF(G112="G",H112,0))</x:f>
      </x:c>
      <x:c r="Z112">
        <x:f>(S112*IF(E112="E",F112,0))+(S112*IF(G112="E",H112,0))</x:f>
      </x:c>
      <x:c r="AA112">
        <x:f>(S112*IF(E112="T",F112,0))+(S112*IF(G112="T",H112,0))</x:f>
      </x:c>
      <x:c r="AB112">
        <x:f>(S112*IF(E112="L",F112,0))+(S112*IF(G112="L",H112,0))</x:f>
      </x:c>
      <x:c r="AC112">
        <x:f>(S112*IF(E112="H",F112,0))+(S112*IF(G112="H",H112,0))</x:f>
      </x:c>
      <x:c r="AD112">
        <x:f>(S112*IF(E112="V",F112,0))+(S112*IF(G112="V",H112,0))</x:f>
      </x:c>
      <x:c r="AE112">
        <x:f>(S112*IF(E112="R",F112,0))+(S112*IF(G112="R",H112,0))</x:f>
      </x:c>
      <x:c r="AF112">
        <x:f>(S112*IF(E112="F",F112,0))+(S112*IF(G112="F",H112,0))</x:f>
      </x:c>
      <x:c r="AG112">
        <x:f>(S112*IF(E112="W",F112,0))+(S112*IF(G112="W",H112,0))</x:f>
      </x:c>
      <x:c r="AH112" t="inlineStr">
        <x:is>
          <x:t xml:space="preserve">9. Performance &amp; Resilience</x:t>
        </x:is>
      </x:c>
      <x:c r="AI112" t="inlineStr">
        <x:is>
          <x:t xml:space="preserve">Assurance &amp; Metrics</x:t>
        </x:is>
      </x:c>
      <x:c r="AJ112" t="inlineStr">
        <x:is>
          <x:t xml:space="preserve">KPI/KRI framework &amp; dashboards</x:t>
        </x:is>
      </x:c>
    </x:row>
    <x:row r="113">
      <x:c r="A113" t="inlineStr">
        <x:is>
          <x:t xml:space="preserve">Executive</x:t>
        </x:is>
      </x:c>
      <x:c r="B113" t="inlineStr">
        <x:is>
          <x:t xml:space="preserve">EXCO-D4-Q01</x:t>
        </x:is>
      </x:c>
      <x:c r="C113" t="inlineStr">
        <x:is>
          <x:t xml:space="preserve">T1</x:t>
        </x:is>
      </x:c>
      <x:c r="D113" t="inlineStr">
        <x:is>
          <x:t xml:space="preserve">4. People &amp; Culture</x:t>
        </x:is>
      </x:c>
      <x:c r="E113" t="inlineStr">
        <x:is>
          <x:t xml:space="preserve">H</x:t>
        </x:is>
      </x:c>
      <x:c r="F113" t="n">
        <x:v>1</x:v>
      </x:c>
      <x:c r="G113" t="inlineStr">
        <x:is>
          <x:t xml:space="preserve">-</x:t>
        </x:is>
      </x:c>
      <x:c r="I113" t="inlineStr">
        <x:is>
          <x:t xml:space="preserve">How safe do people feel to raise concerns about risky behaviour (including reporting a peer or manager)?</x:t>
        </x:is>
      </x:c>
      <x:c r="J113" t="inlineStr">
        <x:is>
          <x:t xml:space="preserve">Consider retaliation risk, confidentiality, and whether reports are handled fairly and consistently.</x:t>
        </x:is>
      </x:c>
      <x:c r="L113" t="inlineStr">
        <x:is>
          <x:t xml:space="preserve">CULT_SOFT</x:t>
        </x:is>
      </x:c>
      <x:c r="M113" t="n">
        <x:v>1</x:v>
      </x:c>
      <x:c r="P113" t="inlineStr">
        <x:is>
          <x:t xml:space="preserve">EXCO-D4-Q01-A5</x:t>
        </x:is>
      </x:c>
      <x:c r="Q113" t="n">
        <x:v>6</x:v>
      </x:c>
      <x:c r="R113" t="inlineStr">
        <x:is>
          <x:t xml:space="preserve">Speak-up is normalised; feedback loops exist and positive reporting is recognised.</x:t>
        </x:is>
      </x:c>
      <x:c r="S113" t="n">
        <x:v>4</x:v>
      </x:c>
      <x:c r="T113" t="inlineStr">
        <x:is>
          <x:t xml:space="preserve">optimized</x:t>
        </x:is>
      </x:c>
      <x:c r="V113" t="inlineStr">
        <x:is>
          <x:t xml:space="preserve">Request_Evidence</x:t>
        </x:is>
      </x:c>
      <x:c r="W113" t="inlineStr">
        <x:is>
          <x:t xml:space="preserve">Y</x:t>
        </x:is>
      </x:c>
      <x:c r="Y113">
        <x:f>(S113*IF(E113="G",F113,0))+(S113*IF(G113="G",H113,0))</x:f>
      </x:c>
      <x:c r="Z113">
        <x:f>(S113*IF(E113="E",F113,0))+(S113*IF(G113="E",H113,0))</x:f>
      </x:c>
      <x:c r="AA113">
        <x:f>(S113*IF(E113="T",F113,0))+(S113*IF(G113="T",H113,0))</x:f>
      </x:c>
      <x:c r="AB113">
        <x:f>(S113*IF(E113="L",F113,0))+(S113*IF(G113="L",H113,0))</x:f>
      </x:c>
      <x:c r="AC113">
        <x:f>(S113*IF(E113="H",F113,0))+(S113*IF(G113="H",H113,0))</x:f>
      </x:c>
      <x:c r="AD113">
        <x:f>(S113*IF(E113="V",F113,0))+(S113*IF(G113="V",H113,0))</x:f>
      </x:c>
      <x:c r="AE113">
        <x:f>(S113*IF(E113="R",F113,0))+(S113*IF(G113="R",H113,0))</x:f>
      </x:c>
      <x:c r="AF113">
        <x:f>(S113*IF(E113="F",F113,0))+(S113*IF(G113="F",H113,0))</x:f>
      </x:c>
      <x:c r="AG113">
        <x:f>(S113*IF(E113="W",F113,0))+(S113*IF(G113="W",H113,0))</x:f>
      </x:c>
      <x:c r="AH113" t="inlineStr">
        <x:is>
          <x:t xml:space="preserve">9. Performance &amp; Resilience</x:t>
        </x:is>
      </x:c>
      <x:c r="AI113" t="inlineStr">
        <x:is>
          <x:t xml:space="preserve">Assurance &amp; Metrics</x:t>
        </x:is>
      </x:c>
      <x:c r="AJ113" t="inlineStr">
        <x:is>
          <x:t xml:space="preserve">KPI/KRI framework &amp; dashboards</x:t>
        </x:is>
      </x:c>
    </x:row>
    <x:row r="114">
      <x:c r="A114" t="inlineStr">
        <x:is>
          <x:t xml:space="preserve">Executive</x:t>
        </x:is>
      </x:c>
      <x:c r="B114" t="inlineStr">
        <x:is>
          <x:t xml:space="preserve">EXCO-D4-Q02</x:t>
        </x:is>
      </x:c>
      <x:c r="C114" t="inlineStr">
        <x:is>
          <x:t xml:space="preserve">T2</x:t>
        </x:is>
      </x:c>
      <x:c r="D114" t="inlineStr">
        <x:is>
          <x:t xml:space="preserve">4. People &amp; Culture</x:t>
        </x:is>
      </x:c>
      <x:c r="E114" t="inlineStr">
        <x:is>
          <x:t xml:space="preserve">H</x:t>
        </x:is>
      </x:c>
      <x:c r="F114" t="n">
        <x:v>0.5</x:v>
      </x:c>
      <x:c r="G114" t="inlineStr">
        <x:is>
          <x:t xml:space="preserve">L</x:t>
        </x:is>
      </x:c>
      <x:c r="H114" t="n">
        <x:v>0.5</x:v>
      </x:c>
      <x:c r="I114" t="inlineStr">
        <x:is>
          <x:t xml:space="preserve">(Shadow probe) If someone feels unfairly targeted by monitoring or investigation, is there a clear appeal/review process?</x:t>
        </x:is>
      </x:c>
      <x:c r="J114" t="inlineStr">
        <x:is>
          <x:t xml:space="preserve">This checks fairness and safeguards (important for trust and legal defensibility).</x:t>
        </x:is>
      </x:c>
      <x:c r="L114" t="inlineStr">
        <x:is>
          <x:t xml:space="preserve">CULT_SOFT</x:t>
        </x:is>
      </x:c>
      <x:c r="M114" t="n">
        <x:v>1</x:v>
      </x:c>
      <x:c r="P114" t="inlineStr">
        <x:is>
          <x:t xml:space="preserve">EXCO-D4-Q02-A1</x:t>
        </x:is>
      </x:c>
      <x:c r="Q114" t="n">
        <x:v>1</x:v>
      </x:c>
      <x:c r="R114" t="inlineStr">
        <x:is>
          <x:t xml:space="preserve">No—security decisions are final; there is no independent review.</x:t>
        </x:is>
      </x:c>
      <x:c r="S114" t="n">
        <x:v>0</x:v>
      </x:c>
      <x:c r="T114" t="inlineStr">
        <x:is>
          <x:t xml:space="preserve">toxic_enforcer_signal,legal_red_flag</x:t>
        </x:is>
      </x:c>
      <x:c r="U114" t="inlineStr">
        <x:is>
          <x:t xml:space="preserve">Toxic Enforcer</x:t>
        </x:is>
      </x:c>
      <x:c r="V114" t="inlineStr">
        <x:is>
          <x:t xml:space="preserve">Add_Appeals_Process</x:t>
        </x:is>
      </x:c>
      <x:c r="W114" t="inlineStr">
        <x:is>
          <x:t xml:space="preserve">N</x:t>
        </x:is>
      </x:c>
      <x:c r="Y114">
        <x:f>(S114*IF(E114="G",F114,0))+(S114*IF(G114="G",H114,0))</x:f>
      </x:c>
      <x:c r="Z114">
        <x:f>(S114*IF(E114="E",F114,0))+(S114*IF(G114="E",H114,0))</x:f>
      </x:c>
      <x:c r="AA114">
        <x:f>(S114*IF(E114="T",F114,0))+(S114*IF(G114="T",H114,0))</x:f>
      </x:c>
      <x:c r="AB114">
        <x:f>(S114*IF(E114="L",F114,0))+(S114*IF(G114="L",H114,0))</x:f>
      </x:c>
      <x:c r="AC114">
        <x:f>(S114*IF(E114="H",F114,0))+(S114*IF(G114="H",H114,0))</x:f>
      </x:c>
      <x:c r="AD114">
        <x:f>(S114*IF(E114="V",F114,0))+(S114*IF(G114="V",H114,0))</x:f>
      </x:c>
      <x:c r="AE114">
        <x:f>(S114*IF(E114="R",F114,0))+(S114*IF(G114="R",H114,0))</x:f>
      </x:c>
      <x:c r="AF114">
        <x:f>(S114*IF(E114="F",F114,0))+(S114*IF(G114="F",H114,0))</x:f>
      </x:c>
      <x:c r="AG114">
        <x:f>(S114*IF(E114="W",F114,0))+(S114*IF(G114="W",H114,0))</x:f>
      </x:c>
      <x:c r="AH114" t="inlineStr">
        <x:is>
          <x:t xml:space="preserve">4. Legal, Privacy &amp; Ethics</x:t>
        </x:is>
      </x:c>
      <x:c r="AI114" t="inlineStr">
        <x:is>
          <x:t xml:space="preserve">Oversight &amp; Safeguards</x:t>
        </x:is>
      </x:c>
      <x:c r="AJ114" t="inlineStr">
        <x:is>
          <x:t xml:space="preserve">Review, Redress &amp; Assurance</x:t>
        </x:is>
      </x:c>
    </x:row>
    <x:row r="115">
      <x:c r="A115" t="inlineStr">
        <x:is>
          <x:t xml:space="preserve">Executive</x:t>
        </x:is>
      </x:c>
      <x:c r="B115" t="inlineStr">
        <x:is>
          <x:t xml:space="preserve">EXCO-D4-Q02</x:t>
        </x:is>
      </x:c>
      <x:c r="C115" t="inlineStr">
        <x:is>
          <x:t xml:space="preserve">T2</x:t>
        </x:is>
      </x:c>
      <x:c r="D115" t="inlineStr">
        <x:is>
          <x:t xml:space="preserve">4. People &amp; Culture</x:t>
        </x:is>
      </x:c>
      <x:c r="E115" t="inlineStr">
        <x:is>
          <x:t xml:space="preserve">H</x:t>
        </x:is>
      </x:c>
      <x:c r="F115" t="n">
        <x:v>0.5</x:v>
      </x:c>
      <x:c r="G115" t="inlineStr">
        <x:is>
          <x:t xml:space="preserve">L</x:t>
        </x:is>
      </x:c>
      <x:c r="H115" t="n">
        <x:v>0.5</x:v>
      </x:c>
      <x:c r="I115" t="inlineStr">
        <x:is>
          <x:t xml:space="preserve">(Shadow probe) If someone feels unfairly targeted by monitoring or investigation, is there a clear appeal/review process?</x:t>
        </x:is>
      </x:c>
      <x:c r="J115" t="inlineStr">
        <x:is>
          <x:t xml:space="preserve">This checks fairness and safeguards (important for trust and legal defensibility).</x:t>
        </x:is>
      </x:c>
      <x:c r="L115" t="inlineStr">
        <x:is>
          <x:t xml:space="preserve">CULT_SOFT</x:t>
        </x:is>
      </x:c>
      <x:c r="M115" t="n">
        <x:v>1</x:v>
      </x:c>
      <x:c r="P115" t="inlineStr">
        <x:is>
          <x:t xml:space="preserve">EXCO-D4-Q02-A2</x:t>
        </x:is>
      </x:c>
      <x:c r="Q115" t="n">
        <x:v>2</x:v>
      </x:c>
      <x:c r="R115" t="inlineStr">
        <x:is>
          <x:t xml:space="preserve">Only informal complaints to managers; outcomes vary.</x:t>
        </x:is>
      </x:c>
      <x:c r="S115" t="n">
        <x:v>1</x:v>
      </x:c>
      <x:c r="T115" t="inlineStr">
        <x:is>
          <x:t xml:space="preserve">inconsistent_execution</x:t>
        </x:is>
      </x:c>
      <x:c r="U115" t="inlineStr">
        <x:is>
          <x:t xml:space="preserve">Culture Risk</x:t>
        </x:is>
      </x:c>
      <x:c r="V115" t="inlineStr">
        <x:is>
          <x:t xml:space="preserve">Add_Appeals_Process</x:t>
        </x:is>
      </x:c>
      <x:c r="W115" t="inlineStr">
        <x:is>
          <x:t xml:space="preserve">N</x:t>
        </x:is>
      </x:c>
      <x:c r="Y115">
        <x:f>(S115*IF(E115="G",F115,0))+(S115*IF(G115="G",H115,0))</x:f>
      </x:c>
      <x:c r="Z115">
        <x:f>(S115*IF(E115="E",F115,0))+(S115*IF(G115="E",H115,0))</x:f>
      </x:c>
      <x:c r="AA115">
        <x:f>(S115*IF(E115="T",F115,0))+(S115*IF(G115="T",H115,0))</x:f>
      </x:c>
      <x:c r="AB115">
        <x:f>(S115*IF(E115="L",F115,0))+(S115*IF(G115="L",H115,0))</x:f>
      </x:c>
      <x:c r="AC115">
        <x:f>(S115*IF(E115="H",F115,0))+(S115*IF(G115="H",H115,0))</x:f>
      </x:c>
      <x:c r="AD115">
        <x:f>(S115*IF(E115="V",F115,0))+(S115*IF(G115="V",H115,0))</x:f>
      </x:c>
      <x:c r="AE115">
        <x:f>(S115*IF(E115="R",F115,0))+(S115*IF(G115="R",H115,0))</x:f>
      </x:c>
      <x:c r="AF115">
        <x:f>(S115*IF(E115="F",F115,0))+(S115*IF(G115="F",H115,0))</x:f>
      </x:c>
      <x:c r="AG115">
        <x:f>(S115*IF(E115="W",F115,0))+(S115*IF(G115="W",H115,0))</x:f>
      </x:c>
      <x:c r="AH115" t="inlineStr">
        <x:is>
          <x:t xml:space="preserve">4. Legal, Privacy &amp; Ethics</x:t>
        </x:is>
      </x:c>
      <x:c r="AI115" t="inlineStr">
        <x:is>
          <x:t xml:space="preserve">Oversight &amp; Safeguards</x:t>
        </x:is>
      </x:c>
      <x:c r="AJ115" t="inlineStr">
        <x:is>
          <x:t xml:space="preserve">Review, Redress &amp; Assurance</x:t>
        </x:is>
      </x:c>
    </x:row>
    <x:row r="116">
      <x:c r="A116" t="inlineStr">
        <x:is>
          <x:t xml:space="preserve">Executive</x:t>
        </x:is>
      </x:c>
      <x:c r="B116" t="inlineStr">
        <x:is>
          <x:t xml:space="preserve">EXCO-D4-Q02</x:t>
        </x:is>
      </x:c>
      <x:c r="C116" t="inlineStr">
        <x:is>
          <x:t xml:space="preserve">T2</x:t>
        </x:is>
      </x:c>
      <x:c r="D116" t="inlineStr">
        <x:is>
          <x:t xml:space="preserve">4. People &amp; Culture</x:t>
        </x:is>
      </x:c>
      <x:c r="E116" t="inlineStr">
        <x:is>
          <x:t xml:space="preserve">H</x:t>
        </x:is>
      </x:c>
      <x:c r="F116" t="n">
        <x:v>0.5</x:v>
      </x:c>
      <x:c r="G116" t="inlineStr">
        <x:is>
          <x:t xml:space="preserve">L</x:t>
        </x:is>
      </x:c>
      <x:c r="H116" t="n">
        <x:v>0.5</x:v>
      </x:c>
      <x:c r="I116" t="inlineStr">
        <x:is>
          <x:t xml:space="preserve">(Shadow probe) If someone feels unfairly targeted by monitoring or investigation, is there a clear appeal/review process?</x:t>
        </x:is>
      </x:c>
      <x:c r="J116" t="inlineStr">
        <x:is>
          <x:t xml:space="preserve">This checks fairness and safeguards (important for trust and legal defensibility).</x:t>
        </x:is>
      </x:c>
      <x:c r="L116" t="inlineStr">
        <x:is>
          <x:t xml:space="preserve">CULT_SOFT</x:t>
        </x:is>
      </x:c>
      <x:c r="M116" t="n">
        <x:v>1</x:v>
      </x:c>
      <x:c r="P116" t="inlineStr">
        <x:is>
          <x:t xml:space="preserve">EXCO-D4-Q02-A3</x:t>
        </x:is>
      </x:c>
      <x:c r="Q116" t="n">
        <x:v>3</x:v>
      </x:c>
      <x:c r="R116" t="inlineStr">
        <x:is>
          <x:t xml:space="preserve">There is a general HR grievance route, but it’s not designed for monitoring/investigation fairness.</x:t>
        </x:is>
      </x:c>
      <x:c r="S116" t="n">
        <x:v>2</x:v>
      </x:c>
      <x:c r="T116" t="inlineStr">
        <x:is>
          <x:t xml:space="preserve">paper_process</x:t>
        </x:is>
      </x:c>
      <x:c r="U116" t="inlineStr">
        <x:is>
          <x:t xml:space="preserve">Paper Dragon</x:t>
        </x:is>
      </x:c>
      <x:c r="V116" t="inlineStr">
        <x:is>
          <x:t xml:space="preserve">Design_Fairness_Process</x:t>
        </x:is>
      </x:c>
      <x:c r="W116" t="inlineStr">
        <x:is>
          <x:t xml:space="preserve">N</x:t>
        </x:is>
      </x:c>
      <x:c r="Y116">
        <x:f>(S116*IF(E116="G",F116,0))+(S116*IF(G116="G",H116,0))</x:f>
      </x:c>
      <x:c r="Z116">
        <x:f>(S116*IF(E116="E",F116,0))+(S116*IF(G116="E",H116,0))</x:f>
      </x:c>
      <x:c r="AA116">
        <x:f>(S116*IF(E116="T",F116,0))+(S116*IF(G116="T",H116,0))</x:f>
      </x:c>
      <x:c r="AB116">
        <x:f>(S116*IF(E116="L",F116,0))+(S116*IF(G116="L",H116,0))</x:f>
      </x:c>
      <x:c r="AC116">
        <x:f>(S116*IF(E116="H",F116,0))+(S116*IF(G116="H",H116,0))</x:f>
      </x:c>
      <x:c r="AD116">
        <x:f>(S116*IF(E116="V",F116,0))+(S116*IF(G116="V",H116,0))</x:f>
      </x:c>
      <x:c r="AE116">
        <x:f>(S116*IF(E116="R",F116,0))+(S116*IF(G116="R",H116,0))</x:f>
      </x:c>
      <x:c r="AF116">
        <x:f>(S116*IF(E116="F",F116,0))+(S116*IF(G116="F",H116,0))</x:f>
      </x:c>
      <x:c r="AG116">
        <x:f>(S116*IF(E116="W",F116,0))+(S116*IF(G116="W",H116,0))</x:f>
      </x:c>
      <x:c r="AH116" t="inlineStr">
        <x:is>
          <x:t xml:space="preserve">4. Legal, Privacy &amp; Ethics</x:t>
        </x:is>
      </x:c>
      <x:c r="AI116" t="inlineStr">
        <x:is>
          <x:t xml:space="preserve">Oversight &amp; Safeguards</x:t>
        </x:is>
      </x:c>
      <x:c r="AJ116" t="inlineStr">
        <x:is>
          <x:t xml:space="preserve">Review, Redress &amp; Assurance</x:t>
        </x:is>
      </x:c>
    </x:row>
    <x:row r="117">
      <x:c r="A117" t="inlineStr">
        <x:is>
          <x:t xml:space="preserve">Executive</x:t>
        </x:is>
      </x:c>
      <x:c r="B117" t="inlineStr">
        <x:is>
          <x:t xml:space="preserve">EXCO-D4-Q02</x:t>
        </x:is>
      </x:c>
      <x:c r="C117" t="inlineStr">
        <x:is>
          <x:t xml:space="preserve">T2</x:t>
        </x:is>
      </x:c>
      <x:c r="D117" t="inlineStr">
        <x:is>
          <x:t xml:space="preserve">4. People &amp; Culture</x:t>
        </x:is>
      </x:c>
      <x:c r="E117" t="inlineStr">
        <x:is>
          <x:t xml:space="preserve">H</x:t>
        </x:is>
      </x:c>
      <x:c r="F117" t="n">
        <x:v>0.5</x:v>
      </x:c>
      <x:c r="G117" t="inlineStr">
        <x:is>
          <x:t xml:space="preserve">L</x:t>
        </x:is>
      </x:c>
      <x:c r="H117" t="n">
        <x:v>0.5</x:v>
      </x:c>
      <x:c r="I117" t="inlineStr">
        <x:is>
          <x:t xml:space="preserve">(Shadow probe) If someone feels unfairly targeted by monitoring or investigation, is there a clear appeal/review process?</x:t>
        </x:is>
      </x:c>
      <x:c r="J117" t="inlineStr">
        <x:is>
          <x:t xml:space="preserve">This checks fairness and safeguards (important for trust and legal defensibility).</x:t>
        </x:is>
      </x:c>
      <x:c r="L117" t="inlineStr">
        <x:is>
          <x:t xml:space="preserve">CULT_SOFT</x:t>
        </x:is>
      </x:c>
      <x:c r="M117" t="n">
        <x:v>1</x:v>
      </x:c>
      <x:c r="P117" t="inlineStr">
        <x:is>
          <x:t xml:space="preserve">EXCO-D4-Q02-A4</x:t>
        </x:is>
      </x:c>
      <x:c r="Q117" t="n">
        <x:v>4</x:v>
      </x:c>
      <x:c r="R117" t="inlineStr">
        <x:is>
          <x:t xml:space="preserve">Independent review exists (privacy/ombuds); outcomes are documented.</x:t>
        </x:is>
      </x:c>
      <x:c r="S117" t="n">
        <x:v>3</x:v>
      </x:c>
      <x:c r="T117" t="inlineStr">
        <x:is>
          <x:t xml:space="preserve">good_practice</x:t>
        </x:is>
      </x:c>
      <x:c r="V117" t="inlineStr">
        <x:is>
          <x:t xml:space="preserve">Request_Evidence</x:t>
        </x:is>
      </x:c>
      <x:c r="W117" t="inlineStr">
        <x:is>
          <x:t xml:space="preserve">Y</x:t>
        </x:is>
      </x:c>
      <x:c r="Y117">
        <x:f>(S117*IF(E117="G",F117,0))+(S117*IF(G117="G",H117,0))</x:f>
      </x:c>
      <x:c r="Z117">
        <x:f>(S117*IF(E117="E",F117,0))+(S117*IF(G117="E",H117,0))</x:f>
      </x:c>
      <x:c r="AA117">
        <x:f>(S117*IF(E117="T",F117,0))+(S117*IF(G117="T",H117,0))</x:f>
      </x:c>
      <x:c r="AB117">
        <x:f>(S117*IF(E117="L",F117,0))+(S117*IF(G117="L",H117,0))</x:f>
      </x:c>
      <x:c r="AC117">
        <x:f>(S117*IF(E117="H",F117,0))+(S117*IF(G117="H",H117,0))</x:f>
      </x:c>
      <x:c r="AD117">
        <x:f>(S117*IF(E117="V",F117,0))+(S117*IF(G117="V",H117,0))</x:f>
      </x:c>
      <x:c r="AE117">
        <x:f>(S117*IF(E117="R",F117,0))+(S117*IF(G117="R",H117,0))</x:f>
      </x:c>
      <x:c r="AF117">
        <x:f>(S117*IF(E117="F",F117,0))+(S117*IF(G117="F",H117,0))</x:f>
      </x:c>
      <x:c r="AG117">
        <x:f>(S117*IF(E117="W",F117,0))+(S117*IF(G117="W",H117,0))</x:f>
      </x:c>
      <x:c r="AH117" t="inlineStr">
        <x:is>
          <x:t xml:space="preserve">4. Legal, Privacy &amp; Ethics</x:t>
        </x:is>
      </x:c>
      <x:c r="AI117" t="inlineStr">
        <x:is>
          <x:t xml:space="preserve">Oversight &amp; Safeguards</x:t>
        </x:is>
      </x:c>
      <x:c r="AJ117" t="inlineStr">
        <x:is>
          <x:t xml:space="preserve">Review, Redress &amp; Assurance</x:t>
        </x:is>
      </x:c>
    </x:row>
    <x:row r="118">
      <x:c r="A118" t="inlineStr">
        <x:is>
          <x:t xml:space="preserve">Executive</x:t>
        </x:is>
      </x:c>
      <x:c r="B118" t="inlineStr">
        <x:is>
          <x:t xml:space="preserve">EXCO-D4-Q02</x:t>
        </x:is>
      </x:c>
      <x:c r="C118" t="inlineStr">
        <x:is>
          <x:t xml:space="preserve">T2</x:t>
        </x:is>
      </x:c>
      <x:c r="D118" t="inlineStr">
        <x:is>
          <x:t xml:space="preserve">4. People &amp; Culture</x:t>
        </x:is>
      </x:c>
      <x:c r="E118" t="inlineStr">
        <x:is>
          <x:t xml:space="preserve">H</x:t>
        </x:is>
      </x:c>
      <x:c r="F118" t="n">
        <x:v>0.5</x:v>
      </x:c>
      <x:c r="G118" t="inlineStr">
        <x:is>
          <x:t xml:space="preserve">L</x:t>
        </x:is>
      </x:c>
      <x:c r="H118" t="n">
        <x:v>0.5</x:v>
      </x:c>
      <x:c r="I118" t="inlineStr">
        <x:is>
          <x:t xml:space="preserve">(Shadow probe) If someone feels unfairly targeted by monitoring or investigation, is there a clear appeal/review process?</x:t>
        </x:is>
      </x:c>
      <x:c r="J118" t="inlineStr">
        <x:is>
          <x:t xml:space="preserve">This checks fairness and safeguards (important for trust and legal defensibility).</x:t>
        </x:is>
      </x:c>
      <x:c r="L118" t="inlineStr">
        <x:is>
          <x:t xml:space="preserve">CULT_SOFT</x:t>
        </x:is>
      </x:c>
      <x:c r="M118" t="n">
        <x:v>1</x:v>
      </x:c>
      <x:c r="P118" t="inlineStr">
        <x:is>
          <x:t xml:space="preserve">EXCO-D4-Q02-A5</x:t>
        </x:is>
      </x:c>
      <x:c r="Q118" t="n">
        <x:v>5</x:v>
      </x:c>
      <x:c r="R118" t="inlineStr">
        <x:is>
          <x:t xml:space="preserve">Transparent multi-department appeal with audit trail and periodic review.</x:t>
        </x:is>
      </x:c>
      <x:c r="S118" t="n">
        <x:v>4</x:v>
      </x:c>
      <x:c r="T118" t="inlineStr">
        <x:is>
          <x:t xml:space="preserve">optimized</x:t>
        </x:is>
      </x:c>
      <x:c r="V118" t="inlineStr">
        <x:is>
          <x:t xml:space="preserve">Request_Evidence</x:t>
        </x:is>
      </x:c>
      <x:c r="W118" t="inlineStr">
        <x:is>
          <x:t xml:space="preserve">Y</x:t>
        </x:is>
      </x:c>
      <x:c r="Y118">
        <x:f>(S118*IF(E118="G",F118,0))+(S118*IF(G118="G",H118,0))</x:f>
      </x:c>
      <x:c r="Z118">
        <x:f>(S118*IF(E118="E",F118,0))+(S118*IF(G118="E",H118,0))</x:f>
      </x:c>
      <x:c r="AA118">
        <x:f>(S118*IF(E118="T",F118,0))+(S118*IF(G118="T",H118,0))</x:f>
      </x:c>
      <x:c r="AB118">
        <x:f>(S118*IF(E118="L",F118,0))+(S118*IF(G118="L",H118,0))</x:f>
      </x:c>
      <x:c r="AC118">
        <x:f>(S118*IF(E118="H",F118,0))+(S118*IF(G118="H",H118,0))</x:f>
      </x:c>
      <x:c r="AD118">
        <x:f>(S118*IF(E118="V",F118,0))+(S118*IF(G118="V",H118,0))</x:f>
      </x:c>
      <x:c r="AE118">
        <x:f>(S118*IF(E118="R",F118,0))+(S118*IF(G118="R",H118,0))</x:f>
      </x:c>
      <x:c r="AF118">
        <x:f>(S118*IF(E118="F",F118,0))+(S118*IF(G118="F",H118,0))</x:f>
      </x:c>
      <x:c r="AG118">
        <x:f>(S118*IF(E118="W",F118,0))+(S118*IF(G118="W",H118,0))</x:f>
      </x:c>
      <x:c r="AH118" t="inlineStr">
        <x:is>
          <x:t xml:space="preserve">4. Legal, Privacy &amp; Ethics</x:t>
        </x:is>
      </x:c>
      <x:c r="AI118" t="inlineStr">
        <x:is>
          <x:t xml:space="preserve">Oversight &amp; Safeguards</x:t>
        </x:is>
      </x:c>
      <x:c r="AJ118" t="inlineStr">
        <x:is>
          <x:t xml:space="preserve">Review, Redress &amp; Assurance</x:t>
        </x:is>
      </x:c>
    </x:row>
    <x:row r="119">
      <x:c r="A119" t="inlineStr">
        <x:is>
          <x:t xml:space="preserve">Executive</x:t>
        </x:is>
      </x:c>
      <x:c r="B119" t="inlineStr">
        <x:is>
          <x:t xml:space="preserve">EXCO-D4-Q03</x:t>
        </x:is>
      </x:c>
      <x:c r="C119" t="inlineStr">
        <x:is>
          <x:t xml:space="preserve">T2</x:t>
        </x:is>
      </x:c>
      <x:c r="D119" t="inlineStr">
        <x:is>
          <x:t xml:space="preserve">4. People &amp; Culture</x:t>
        </x:is>
      </x:c>
      <x:c r="E119" t="inlineStr">
        <x:is>
          <x:t xml:space="preserve">H</x:t>
        </x:is>
      </x:c>
      <x:c r="F119" t="n">
        <x:v>0.5</x:v>
      </x:c>
      <x:c r="G119" t="inlineStr">
        <x:is>
          <x:t xml:space="preserve">E</x:t>
        </x:is>
      </x:c>
      <x:c r="H119" t="n">
        <x:v>0.5</x:v>
      </x:c>
      <x:c r="I119" t="inlineStr">
        <x:is>
          <x:t xml:space="preserve">How do managers handle early signs of disgruntlement or policy-bending before it becomes an incident?</x:t>
        </x:is>
      </x:c>
      <x:c r="J119" t="inlineStr">
        <x:is>
          <x:t xml:space="preserve">Plain examples: performance issues, conflicts, rule-bending, sudden disengagement. Focus on early intervention, not punishment.</x:t>
        </x:is>
      </x:c>
      <x:c r="L119" t="inlineStr">
        <x:is>
          <x:t xml:space="preserve">CULT_SOFT</x:t>
        </x:is>
      </x:c>
      <x:c r="M119" t="n">
        <x:v>1</x:v>
      </x:c>
      <x:c r="P119" t="inlineStr">
        <x:is>
          <x:t xml:space="preserve">EXCO-D4-Q03-A0</x:t>
        </x:is>
      </x:c>
      <x:c r="Q119" t="n">
        <x:v>1</x:v>
      </x:c>
      <x:c r="R119" t="inlineStr">
        <x:is>
          <x:t xml:space="preserve">I don’t know / not sure.</x:t>
        </x:is>
      </x:c>
      <x:c r="S119" t="n">
        <x:v>0</x:v>
      </x:c>
      <x:c r="T119" t="inlineStr">
        <x:is>
          <x:t xml:space="preserve">unknown</x:t>
        </x:is>
      </x:c>
      <x:c r="U119" t="inlineStr">
        <x:is>
          <x:t xml:space="preserve">Unknown</x:t>
        </x:is>
      </x:c>
      <x:c r="V119" t="inlineStr">
        <x:is>
          <x:t xml:space="preserve">Manager_Enablement</x:t>
        </x:is>
      </x:c>
      <x:c r="W119" t="inlineStr">
        <x:is>
          <x:t xml:space="preserve">N</x:t>
        </x:is>
      </x:c>
      <x:c r="Y119">
        <x:f>(S119*IF(E119="G",F119,0))+(S119*IF(G119="G",H119,0))</x:f>
      </x:c>
      <x:c r="Z119">
        <x:f>(S119*IF(E119="E",F119,0))+(S119*IF(G119="E",H119,0))</x:f>
      </x:c>
      <x:c r="AA119">
        <x:f>(S119*IF(E119="T",F119,0))+(S119*IF(G119="T",H119,0))</x:f>
      </x:c>
      <x:c r="AB119">
        <x:f>(S119*IF(E119="L",F119,0))+(S119*IF(G119="L",H119,0))</x:f>
      </x:c>
      <x:c r="AC119">
        <x:f>(S119*IF(E119="H",F119,0))+(S119*IF(G119="H",H119,0))</x:f>
      </x:c>
      <x:c r="AD119">
        <x:f>(S119*IF(E119="V",F119,0))+(S119*IF(G119="V",H119,0))</x:f>
      </x:c>
      <x:c r="AE119">
        <x:f>(S119*IF(E119="R",F119,0))+(S119*IF(G119="R",H119,0))</x:f>
      </x:c>
      <x:c r="AF119">
        <x:f>(S119*IF(E119="F",F119,0))+(S119*IF(G119="F",H119,0))</x:f>
      </x:c>
      <x:c r="AG119">
        <x:f>(S119*IF(E119="W",F119,0))+(S119*IF(G119="W",H119,0))</x:f>
      </x:c>
      <x:c r="AH119" t="inlineStr">
        <x:is>
          <x:t xml:space="preserve">4. Legal, Privacy &amp; Ethics</x:t>
        </x:is>
      </x:c>
      <x:c r="AI119" t="inlineStr">
        <x:is>
          <x:t xml:space="preserve">Compliance &amp; Policy</x:t>
        </x:is>
      </x:c>
      <x:c r="AJ119" t="inlineStr">
        <x:is>
          <x:t xml:space="preserve">Policy &amp; Standards Suite</x:t>
        </x:is>
      </x:c>
    </x:row>
    <x:row r="120">
      <x:c r="A120" t="inlineStr">
        <x:is>
          <x:t xml:space="preserve">Executive</x:t>
        </x:is>
      </x:c>
      <x:c r="B120" t="inlineStr">
        <x:is>
          <x:t xml:space="preserve">EXCO-D4-Q03</x:t>
        </x:is>
      </x:c>
      <x:c r="C120" t="inlineStr">
        <x:is>
          <x:t xml:space="preserve">T2</x:t>
        </x:is>
      </x:c>
      <x:c r="D120" t="inlineStr">
        <x:is>
          <x:t xml:space="preserve">4. People &amp; Culture</x:t>
        </x:is>
      </x:c>
      <x:c r="E120" t="inlineStr">
        <x:is>
          <x:t xml:space="preserve">H</x:t>
        </x:is>
      </x:c>
      <x:c r="F120" t="n">
        <x:v>0.5</x:v>
      </x:c>
      <x:c r="G120" t="inlineStr">
        <x:is>
          <x:t xml:space="preserve">E</x:t>
        </x:is>
      </x:c>
      <x:c r="H120" t="n">
        <x:v>0.5</x:v>
      </x:c>
      <x:c r="I120" t="inlineStr">
        <x:is>
          <x:t xml:space="preserve">How do managers handle early signs of disgruntlement or policy-bending before it becomes an incident?</x:t>
        </x:is>
      </x:c>
      <x:c r="J120" t="inlineStr">
        <x:is>
          <x:t xml:space="preserve">Plain examples: performance issues, conflicts, rule-bending, sudden disengagement. Focus on early intervention, not punishment.</x:t>
        </x:is>
      </x:c>
      <x:c r="L120" t="inlineStr">
        <x:is>
          <x:t xml:space="preserve">CULT_SOFT</x:t>
        </x:is>
      </x:c>
      <x:c r="M120" t="n">
        <x:v>1</x:v>
      </x:c>
      <x:c r="P120" t="inlineStr">
        <x:is>
          <x:t xml:space="preserve">EXCO-D4-Q03-A1</x:t>
        </x:is>
      </x:c>
      <x:c r="Q120" t="n">
        <x:v>2</x:v>
      </x:c>
      <x:c r="R120" t="inlineStr">
        <x:is>
          <x:t xml:space="preserve">There is no structured approach; issues are dealt with only after a serious event.</x:t>
        </x:is>
      </x:c>
      <x:c r="S120" t="n">
        <x:v>0</x:v>
      </x:c>
      <x:c r="T120" t="inlineStr">
        <x:is>
          <x:t xml:space="preserve">foundational_gap</x:t>
        </x:is>
      </x:c>
      <x:c r="U120" t="inlineStr">
        <x:is>
          <x:t xml:space="preserve">Culture Risk</x:t>
        </x:is>
      </x:c>
      <x:c r="V120" t="inlineStr">
        <x:is>
          <x:t xml:space="preserve">Manager_Enablement</x:t>
        </x:is>
      </x:c>
      <x:c r="W120" t="inlineStr">
        <x:is>
          <x:t xml:space="preserve">N</x:t>
        </x:is>
      </x:c>
      <x:c r="Y120">
        <x:f>(S120*IF(E120="G",F120,0))+(S120*IF(G120="G",H120,0))</x:f>
      </x:c>
      <x:c r="Z120">
        <x:f>(S120*IF(E120="E",F120,0))+(S120*IF(G120="E",H120,0))</x:f>
      </x:c>
      <x:c r="AA120">
        <x:f>(S120*IF(E120="T",F120,0))+(S120*IF(G120="T",H120,0))</x:f>
      </x:c>
      <x:c r="AB120">
        <x:f>(S120*IF(E120="L",F120,0))+(S120*IF(G120="L",H120,0))</x:f>
      </x:c>
      <x:c r="AC120">
        <x:f>(S120*IF(E120="H",F120,0))+(S120*IF(G120="H",H120,0))</x:f>
      </x:c>
      <x:c r="AD120">
        <x:f>(S120*IF(E120="V",F120,0))+(S120*IF(G120="V",H120,0))</x:f>
      </x:c>
      <x:c r="AE120">
        <x:f>(S120*IF(E120="R",F120,0))+(S120*IF(G120="R",H120,0))</x:f>
      </x:c>
      <x:c r="AF120">
        <x:f>(S120*IF(E120="F",F120,0))+(S120*IF(G120="F",H120,0))</x:f>
      </x:c>
      <x:c r="AG120">
        <x:f>(S120*IF(E120="W",F120,0))+(S120*IF(G120="W",H120,0))</x:f>
      </x:c>
      <x:c r="AH120" t="inlineStr">
        <x:is>
          <x:t xml:space="preserve">4. Legal, Privacy &amp; Ethics</x:t>
        </x:is>
      </x:c>
      <x:c r="AI120" t="inlineStr">
        <x:is>
          <x:t xml:space="preserve">Compliance &amp; Policy</x:t>
        </x:is>
      </x:c>
      <x:c r="AJ120" t="inlineStr">
        <x:is>
          <x:t xml:space="preserve">Policy &amp; Standards Suite</x:t>
        </x:is>
      </x:c>
    </x:row>
    <x:row r="121">
      <x:c r="A121" t="inlineStr">
        <x:is>
          <x:t xml:space="preserve">Executive</x:t>
        </x:is>
      </x:c>
      <x:c r="B121" t="inlineStr">
        <x:is>
          <x:t xml:space="preserve">EXCO-D4-Q03</x:t>
        </x:is>
      </x:c>
      <x:c r="C121" t="inlineStr">
        <x:is>
          <x:t xml:space="preserve">T2</x:t>
        </x:is>
      </x:c>
      <x:c r="D121" t="inlineStr">
        <x:is>
          <x:t xml:space="preserve">4. People &amp; Culture</x:t>
        </x:is>
      </x:c>
      <x:c r="E121" t="inlineStr">
        <x:is>
          <x:t xml:space="preserve">H</x:t>
        </x:is>
      </x:c>
      <x:c r="F121" t="n">
        <x:v>0.5</x:v>
      </x:c>
      <x:c r="G121" t="inlineStr">
        <x:is>
          <x:t xml:space="preserve">E</x:t>
        </x:is>
      </x:c>
      <x:c r="H121" t="n">
        <x:v>0.5</x:v>
      </x:c>
      <x:c r="I121" t="inlineStr">
        <x:is>
          <x:t xml:space="preserve">How do managers handle early signs of disgruntlement or policy-bending before it becomes an incident?</x:t>
        </x:is>
      </x:c>
      <x:c r="J121" t="inlineStr">
        <x:is>
          <x:t xml:space="preserve">Plain examples: performance issues, conflicts, rule-bending, sudden disengagement. Focus on early intervention, not punishment.</x:t>
        </x:is>
      </x:c>
      <x:c r="L121" t="inlineStr">
        <x:is>
          <x:t xml:space="preserve">CULT_SOFT</x:t>
        </x:is>
      </x:c>
      <x:c r="M121" t="n">
        <x:v>1</x:v>
      </x:c>
      <x:c r="P121" t="inlineStr">
        <x:is>
          <x:t xml:space="preserve">EXCO-D4-Q03-A2</x:t>
        </x:is>
      </x:c>
      <x:c r="Q121" t="n">
        <x:v>3</x:v>
      </x:c>
      <x:c r="R121" t="inlineStr">
        <x:is>
          <x:t xml:space="preserve">Depends on the manager; some intervene well, others avoid it.</x:t>
        </x:is>
      </x:c>
      <x:c r="S121" t="n">
        <x:v>1</x:v>
      </x:c>
      <x:c r="T121" t="inlineStr">
        <x:is>
          <x:t xml:space="preserve">inconsistent_execution</x:t>
        </x:is>
      </x:c>
      <x:c r="U121" t="inlineStr">
        <x:is>
          <x:t xml:space="preserve">Operating Model Gap</x:t>
        </x:is>
      </x:c>
      <x:c r="V121" t="inlineStr">
        <x:is>
          <x:t xml:space="preserve">Manager_Training</x:t>
        </x:is>
      </x:c>
      <x:c r="W121" t="inlineStr">
        <x:is>
          <x:t xml:space="preserve">N</x:t>
        </x:is>
      </x:c>
      <x:c r="Y121">
        <x:f>(S121*IF(E121="G",F121,0))+(S121*IF(G121="G",H121,0))</x:f>
      </x:c>
      <x:c r="Z121">
        <x:f>(S121*IF(E121="E",F121,0))+(S121*IF(G121="E",H121,0))</x:f>
      </x:c>
      <x:c r="AA121">
        <x:f>(S121*IF(E121="T",F121,0))+(S121*IF(G121="T",H121,0))</x:f>
      </x:c>
      <x:c r="AB121">
        <x:f>(S121*IF(E121="L",F121,0))+(S121*IF(G121="L",H121,0))</x:f>
      </x:c>
      <x:c r="AC121">
        <x:f>(S121*IF(E121="H",F121,0))+(S121*IF(G121="H",H121,0))</x:f>
      </x:c>
      <x:c r="AD121">
        <x:f>(S121*IF(E121="V",F121,0))+(S121*IF(G121="V",H121,0))</x:f>
      </x:c>
      <x:c r="AE121">
        <x:f>(S121*IF(E121="R",F121,0))+(S121*IF(G121="R",H121,0))</x:f>
      </x:c>
      <x:c r="AF121">
        <x:f>(S121*IF(E121="F",F121,0))+(S121*IF(G121="F",H121,0))</x:f>
      </x:c>
      <x:c r="AG121">
        <x:f>(S121*IF(E121="W",F121,0))+(S121*IF(G121="W",H121,0))</x:f>
      </x:c>
      <x:c r="AH121" t="inlineStr">
        <x:is>
          <x:t xml:space="preserve">4. Legal, Privacy &amp; Ethics</x:t>
        </x:is>
      </x:c>
      <x:c r="AI121" t="inlineStr">
        <x:is>
          <x:t xml:space="preserve">Compliance &amp; Policy</x:t>
        </x:is>
      </x:c>
      <x:c r="AJ121" t="inlineStr">
        <x:is>
          <x:t xml:space="preserve">Policy &amp; Standards Suite</x:t>
        </x:is>
      </x:c>
    </x:row>
    <x:row r="122">
      <x:c r="A122" t="inlineStr">
        <x:is>
          <x:t xml:space="preserve">Executive</x:t>
        </x:is>
      </x:c>
      <x:c r="B122" t="inlineStr">
        <x:is>
          <x:t xml:space="preserve">EXCO-D4-Q03</x:t>
        </x:is>
      </x:c>
      <x:c r="C122" t="inlineStr">
        <x:is>
          <x:t xml:space="preserve">T2</x:t>
        </x:is>
      </x:c>
      <x:c r="D122" t="inlineStr">
        <x:is>
          <x:t xml:space="preserve">4. People &amp; Culture</x:t>
        </x:is>
      </x:c>
      <x:c r="E122" t="inlineStr">
        <x:is>
          <x:t xml:space="preserve">H</x:t>
        </x:is>
      </x:c>
      <x:c r="F122" t="n">
        <x:v>0.5</x:v>
      </x:c>
      <x:c r="G122" t="inlineStr">
        <x:is>
          <x:t xml:space="preserve">E</x:t>
        </x:is>
      </x:c>
      <x:c r="H122" t="n">
        <x:v>0.5</x:v>
      </x:c>
      <x:c r="I122" t="inlineStr">
        <x:is>
          <x:t xml:space="preserve">How do managers handle early signs of disgruntlement or policy-bending before it becomes an incident?</x:t>
        </x:is>
      </x:c>
      <x:c r="J122" t="inlineStr">
        <x:is>
          <x:t xml:space="preserve">Plain examples: performance issues, conflicts, rule-bending, sudden disengagement. Focus on early intervention, not punishment.</x:t>
        </x:is>
      </x:c>
      <x:c r="L122" t="inlineStr">
        <x:is>
          <x:t xml:space="preserve">CULT_SOFT</x:t>
        </x:is>
      </x:c>
      <x:c r="M122" t="n">
        <x:v>1</x:v>
      </x:c>
      <x:c r="P122" t="inlineStr">
        <x:is>
          <x:t xml:space="preserve">EXCO-D4-Q03-A3</x:t>
        </x:is>
      </x:c>
      <x:c r="Q122" t="n">
        <x:v>4</x:v>
      </x:c>
      <x:c r="R122" t="inlineStr">
        <x:is>
          <x:t xml:space="preserve">HR provides guidance, but it’s not connected to insider risk or security concerns.</x:t>
        </x:is>
      </x:c>
      <x:c r="S122" t="n">
        <x:v>2</x:v>
      </x:c>
      <x:c r="T122" t="inlineStr">
        <x:is>
          <x:t xml:space="preserve">partial_maturity</x:t>
        </x:is>
      </x:c>
      <x:c r="V122" t="inlineStr">
        <x:is>
          <x:t xml:space="preserve">Integrate_HR_Security</x:t>
        </x:is>
      </x:c>
      <x:c r="W122" t="inlineStr">
        <x:is>
          <x:t xml:space="preserve">N</x:t>
        </x:is>
      </x:c>
      <x:c r="Y122">
        <x:f>(S122*IF(E122="G",F122,0))+(S122*IF(G122="G",H122,0))</x:f>
      </x:c>
      <x:c r="Z122">
        <x:f>(S122*IF(E122="E",F122,0))+(S122*IF(G122="E",H122,0))</x:f>
      </x:c>
      <x:c r="AA122">
        <x:f>(S122*IF(E122="T",F122,0))+(S122*IF(G122="T",H122,0))</x:f>
      </x:c>
      <x:c r="AB122">
        <x:f>(S122*IF(E122="L",F122,0))+(S122*IF(G122="L",H122,0))</x:f>
      </x:c>
      <x:c r="AC122">
        <x:f>(S122*IF(E122="H",F122,0))+(S122*IF(G122="H",H122,0))</x:f>
      </x:c>
      <x:c r="AD122">
        <x:f>(S122*IF(E122="V",F122,0))+(S122*IF(G122="V",H122,0))</x:f>
      </x:c>
      <x:c r="AE122">
        <x:f>(S122*IF(E122="R",F122,0))+(S122*IF(G122="R",H122,0))</x:f>
      </x:c>
      <x:c r="AF122">
        <x:f>(S122*IF(E122="F",F122,0))+(S122*IF(G122="F",H122,0))</x:f>
      </x:c>
      <x:c r="AG122">
        <x:f>(S122*IF(E122="W",F122,0))+(S122*IF(G122="W",H122,0))</x:f>
      </x:c>
      <x:c r="AH122" t="inlineStr">
        <x:is>
          <x:t xml:space="preserve">4. Legal, Privacy &amp; Ethics</x:t>
        </x:is>
      </x:c>
      <x:c r="AI122" t="inlineStr">
        <x:is>
          <x:t xml:space="preserve">Compliance &amp; Policy</x:t>
        </x:is>
      </x:c>
      <x:c r="AJ122" t="inlineStr">
        <x:is>
          <x:t xml:space="preserve">Policy &amp; Standards Suite</x:t>
        </x:is>
      </x:c>
    </x:row>
    <x:row r="123">
      <x:c r="A123" t="inlineStr">
        <x:is>
          <x:t xml:space="preserve">Executive</x:t>
        </x:is>
      </x:c>
      <x:c r="B123" t="inlineStr">
        <x:is>
          <x:t xml:space="preserve">EXCO-D4-Q03</x:t>
        </x:is>
      </x:c>
      <x:c r="C123" t="inlineStr">
        <x:is>
          <x:t xml:space="preserve">T2</x:t>
        </x:is>
      </x:c>
      <x:c r="D123" t="inlineStr">
        <x:is>
          <x:t xml:space="preserve">4. People &amp; Culture</x:t>
        </x:is>
      </x:c>
      <x:c r="E123" t="inlineStr">
        <x:is>
          <x:t xml:space="preserve">H</x:t>
        </x:is>
      </x:c>
      <x:c r="F123" t="n">
        <x:v>0.5</x:v>
      </x:c>
      <x:c r="G123" t="inlineStr">
        <x:is>
          <x:t xml:space="preserve">E</x:t>
        </x:is>
      </x:c>
      <x:c r="H123" t="n">
        <x:v>0.5</x:v>
      </x:c>
      <x:c r="I123" t="inlineStr">
        <x:is>
          <x:t xml:space="preserve">How do managers handle early signs of disgruntlement or policy-bending before it becomes an incident?</x:t>
        </x:is>
      </x:c>
      <x:c r="J123" t="inlineStr">
        <x:is>
          <x:t xml:space="preserve">Plain examples: performance issues, conflicts, rule-bending, sudden disengagement. Focus on early intervention, not punishment.</x:t>
        </x:is>
      </x:c>
      <x:c r="L123" t="inlineStr">
        <x:is>
          <x:t xml:space="preserve">CULT_SOFT</x:t>
        </x:is>
      </x:c>
      <x:c r="M123" t="n">
        <x:v>1</x:v>
      </x:c>
      <x:c r="P123" t="inlineStr">
        <x:is>
          <x:t xml:space="preserve">EXCO-D4-Q03-A4</x:t>
        </x:is>
      </x:c>
      <x:c r="Q123" t="n">
        <x:v>5</x:v>
      </x:c>
      <x:c r="R123" t="inlineStr">
        <x:is>
          <x:t xml:space="preserve">Managers have clear guidance, escalation paths and support; interventions are tracked.</x:t>
        </x:is>
      </x:c>
      <x:c r="S123" t="n">
        <x:v>3</x:v>
      </x:c>
      <x:c r="T123" t="inlineStr">
        <x:is>
          <x:t xml:space="preserve">good_practice</x:t>
        </x:is>
      </x:c>
      <x:c r="V123" t="inlineStr">
        <x:is>
          <x:t xml:space="preserve">Request_Evidence</x:t>
        </x:is>
      </x:c>
      <x:c r="W123" t="inlineStr">
        <x:is>
          <x:t xml:space="preserve">Y</x:t>
        </x:is>
      </x:c>
      <x:c r="Y123">
        <x:f>(S123*IF(E123="G",F123,0))+(S123*IF(G123="G",H123,0))</x:f>
      </x:c>
      <x:c r="Z123">
        <x:f>(S123*IF(E123="E",F123,0))+(S123*IF(G123="E",H123,0))</x:f>
      </x:c>
      <x:c r="AA123">
        <x:f>(S123*IF(E123="T",F123,0))+(S123*IF(G123="T",H123,0))</x:f>
      </x:c>
      <x:c r="AB123">
        <x:f>(S123*IF(E123="L",F123,0))+(S123*IF(G123="L",H123,0))</x:f>
      </x:c>
      <x:c r="AC123">
        <x:f>(S123*IF(E123="H",F123,0))+(S123*IF(G123="H",H123,0))</x:f>
      </x:c>
      <x:c r="AD123">
        <x:f>(S123*IF(E123="V",F123,0))+(S123*IF(G123="V",H123,0))</x:f>
      </x:c>
      <x:c r="AE123">
        <x:f>(S123*IF(E123="R",F123,0))+(S123*IF(G123="R",H123,0))</x:f>
      </x:c>
      <x:c r="AF123">
        <x:f>(S123*IF(E123="F",F123,0))+(S123*IF(G123="F",H123,0))</x:f>
      </x:c>
      <x:c r="AG123">
        <x:f>(S123*IF(E123="W",F123,0))+(S123*IF(G123="W",H123,0))</x:f>
      </x:c>
      <x:c r="AH123" t="inlineStr">
        <x:is>
          <x:t xml:space="preserve">4. Legal, Privacy &amp; Ethics</x:t>
        </x:is>
      </x:c>
      <x:c r="AI123" t="inlineStr">
        <x:is>
          <x:t xml:space="preserve">Compliance &amp; Policy</x:t>
        </x:is>
      </x:c>
      <x:c r="AJ123" t="inlineStr">
        <x:is>
          <x:t xml:space="preserve">Policy &amp; Standards Suite</x:t>
        </x:is>
      </x:c>
    </x:row>
    <x:row r="124">
      <x:c r="A124" t="inlineStr">
        <x:is>
          <x:t xml:space="preserve">Executive</x:t>
        </x:is>
      </x:c>
      <x:c r="B124" t="inlineStr">
        <x:is>
          <x:t xml:space="preserve">EXCO-D4-Q03</x:t>
        </x:is>
      </x:c>
      <x:c r="C124" t="inlineStr">
        <x:is>
          <x:t xml:space="preserve">T2</x:t>
        </x:is>
      </x:c>
      <x:c r="D124" t="inlineStr">
        <x:is>
          <x:t xml:space="preserve">4. People &amp; Culture</x:t>
        </x:is>
      </x:c>
      <x:c r="E124" t="inlineStr">
        <x:is>
          <x:t xml:space="preserve">H</x:t>
        </x:is>
      </x:c>
      <x:c r="F124" t="n">
        <x:v>0.5</x:v>
      </x:c>
      <x:c r="G124" t="inlineStr">
        <x:is>
          <x:t xml:space="preserve">E</x:t>
        </x:is>
      </x:c>
      <x:c r="H124" t="n">
        <x:v>0.5</x:v>
      </x:c>
      <x:c r="I124" t="inlineStr">
        <x:is>
          <x:t xml:space="preserve">How do managers handle early signs of disgruntlement or policy-bending before it becomes an incident?</x:t>
        </x:is>
      </x:c>
      <x:c r="J124" t="inlineStr">
        <x:is>
          <x:t xml:space="preserve">Plain examples: performance issues, conflicts, rule-bending, sudden disengagement. Focus on early intervention, not punishment.</x:t>
        </x:is>
      </x:c>
      <x:c r="L124" t="inlineStr">
        <x:is>
          <x:t xml:space="preserve">CULT_SOFT</x:t>
        </x:is>
      </x:c>
      <x:c r="M124" t="n">
        <x:v>1</x:v>
      </x:c>
      <x:c r="P124" t="inlineStr">
        <x:is>
          <x:t xml:space="preserve">EXCO-D4-Q03-A5</x:t>
        </x:is>
      </x:c>
      <x:c r="Q124" t="n">
        <x:v>6</x:v>
      </x:c>
      <x:c r="R124" t="inlineStr">
        <x:is>
          <x:t xml:space="preserve">Manager capability is measured; early interventions reduce repeat incidents; learning loops exist.</x:t>
        </x:is>
      </x:c>
      <x:c r="S124" t="n">
        <x:v>4</x:v>
      </x:c>
      <x:c r="T124" t="inlineStr">
        <x:is>
          <x:t xml:space="preserve">optimized</x:t>
        </x:is>
      </x:c>
      <x:c r="V124" t="inlineStr">
        <x:is>
          <x:t xml:space="preserve">Request_Evidence</x:t>
        </x:is>
      </x:c>
      <x:c r="W124" t="inlineStr">
        <x:is>
          <x:t xml:space="preserve">Y</x:t>
        </x:is>
      </x:c>
      <x:c r="Y124">
        <x:f>(S124*IF(E124="G",F124,0))+(S124*IF(G124="G",H124,0))</x:f>
      </x:c>
      <x:c r="Z124">
        <x:f>(S124*IF(E124="E",F124,0))+(S124*IF(G124="E",H124,0))</x:f>
      </x:c>
      <x:c r="AA124">
        <x:f>(S124*IF(E124="T",F124,0))+(S124*IF(G124="T",H124,0))</x:f>
      </x:c>
      <x:c r="AB124">
        <x:f>(S124*IF(E124="L",F124,0))+(S124*IF(G124="L",H124,0))</x:f>
      </x:c>
      <x:c r="AC124">
        <x:f>(S124*IF(E124="H",F124,0))+(S124*IF(G124="H",H124,0))</x:f>
      </x:c>
      <x:c r="AD124">
        <x:f>(S124*IF(E124="V",F124,0))+(S124*IF(G124="V",H124,0))</x:f>
      </x:c>
      <x:c r="AE124">
        <x:f>(S124*IF(E124="R",F124,0))+(S124*IF(G124="R",H124,0))</x:f>
      </x:c>
      <x:c r="AF124">
        <x:f>(S124*IF(E124="F",F124,0))+(S124*IF(G124="F",H124,0))</x:f>
      </x:c>
      <x:c r="AG124">
        <x:f>(S124*IF(E124="W",F124,0))+(S124*IF(G124="W",H124,0))</x:f>
      </x:c>
      <x:c r="AH124" t="inlineStr">
        <x:is>
          <x:t xml:space="preserve">4. Legal, Privacy &amp; Ethics</x:t>
        </x:is>
      </x:c>
      <x:c r="AI124" t="inlineStr">
        <x:is>
          <x:t xml:space="preserve">Compliance &amp; Policy</x:t>
        </x:is>
      </x:c>
      <x:c r="AJ124" t="inlineStr">
        <x:is>
          <x:t xml:space="preserve">Policy &amp; Standards Suite</x:t>
        </x:is>
      </x:c>
    </x:row>
    <x:row r="125">
      <x:c r="A125" t="inlineStr">
        <x:is>
          <x:t xml:space="preserve">Executive</x:t>
        </x:is>
      </x:c>
      <x:c r="B125" t="inlineStr">
        <x:is>
          <x:t xml:space="preserve">EXCO-D4-Q04</x:t>
        </x:is>
      </x:c>
      <x:c r="C125" t="inlineStr">
        <x:is>
          <x:t xml:space="preserve">T2</x:t>
        </x:is>
      </x:c>
      <x:c r="D125" t="inlineStr">
        <x:is>
          <x:t xml:space="preserve">4. People &amp; Culture</x:t>
        </x:is>
      </x:c>
      <x:c r="E125" t="inlineStr">
        <x:is>
          <x:t xml:space="preserve">H</x:t>
        </x:is>
      </x:c>
      <x:c r="F125" t="n">
        <x:v>1</x:v>
      </x:c>
      <x:c r="G125" t="inlineStr">
        <x:is>
          <x:t xml:space="preserve">-</x:t>
        </x:is>
      </x:c>
      <x:c r="I125" t="inlineStr">
        <x:is>
          <x:t xml:space="preserve">How is positive security behaviour encouraged (not just punishment for mistakes)?</x:t>
        </x:is>
      </x:c>
      <x:c r="J125" t="inlineStr">
        <x:is>
          <x:t xml:space="preserve">Examples: recognising good reporting, simplifying secure ways of working, feedback after ‘near misses’.</x:t>
        </x:is>
      </x:c>
      <x:c r="L125" t="inlineStr">
        <x:is>
          <x:t xml:space="preserve">CULT_SOFT</x:t>
        </x:is>
      </x:c>
      <x:c r="M125" t="n">
        <x:v>1</x:v>
      </x:c>
      <x:c r="P125" t="inlineStr">
        <x:is>
          <x:t xml:space="preserve">EXCO-D4-Q04-A0</x:t>
        </x:is>
      </x:c>
      <x:c r="Q125" t="n">
        <x:v>1</x:v>
      </x:c>
      <x:c r="R125" t="inlineStr">
        <x:is>
          <x:t xml:space="preserve">I don’t know / not sure.</x:t>
        </x:is>
      </x:c>
      <x:c r="S125" t="n">
        <x:v>0</x:v>
      </x:c>
      <x:c r="T125" t="inlineStr">
        <x:is>
          <x:t xml:space="preserve">unknown</x:t>
        </x:is>
      </x:c>
      <x:c r="U125" t="inlineStr">
        <x:is>
          <x:t xml:space="preserve">Unknown</x:t>
        </x:is>
      </x:c>
      <x:c r="V125" t="inlineStr">
        <x:is>
          <x:t xml:space="preserve">Culture_Workshop</x:t>
        </x:is>
      </x:c>
      <x:c r="W125" t="inlineStr">
        <x:is>
          <x:t xml:space="preserve">N</x:t>
        </x:is>
      </x:c>
      <x:c r="Y125">
        <x:f>(S125*IF(E125="G",F125,0))+(S125*IF(G125="G",H125,0))</x:f>
      </x:c>
      <x:c r="Z125">
        <x:f>(S125*IF(E125="E",F125,0))+(S125*IF(G125="E",H125,0))</x:f>
      </x:c>
      <x:c r="AA125">
        <x:f>(S125*IF(E125="T",F125,0))+(S125*IF(G125="T",H125,0))</x:f>
      </x:c>
      <x:c r="AB125">
        <x:f>(S125*IF(E125="L",F125,0))+(S125*IF(G125="L",H125,0))</x:f>
      </x:c>
      <x:c r="AC125">
        <x:f>(S125*IF(E125="H",F125,0))+(S125*IF(G125="H",H125,0))</x:f>
      </x:c>
      <x:c r="AD125">
        <x:f>(S125*IF(E125="V",F125,0))+(S125*IF(G125="V",H125,0))</x:f>
      </x:c>
      <x:c r="AE125">
        <x:f>(S125*IF(E125="R",F125,0))+(S125*IF(G125="R",H125,0))</x:f>
      </x:c>
      <x:c r="AF125">
        <x:f>(S125*IF(E125="F",F125,0))+(S125*IF(G125="F",H125,0))</x:f>
      </x:c>
      <x:c r="AG125">
        <x:f>(S125*IF(E125="W",F125,0))+(S125*IF(G125="W",H125,0))</x:f>
      </x:c>
      <x:c r="AH125" t="inlineStr">
        <x:is>
          <x:t xml:space="preserve">9. Performance &amp; Resilience</x:t>
        </x:is>
      </x:c>
      <x:c r="AI125" t="inlineStr">
        <x:is>
          <x:t xml:space="preserve">Assurance &amp; Metrics</x:t>
        </x:is>
      </x:c>
      <x:c r="AJ125" t="inlineStr">
        <x:is>
          <x:t xml:space="preserve">KPI/KRI framework &amp; dashboards</x:t>
        </x:is>
      </x:c>
    </x:row>
    <x:row r="126">
      <x:c r="A126" t="inlineStr">
        <x:is>
          <x:t xml:space="preserve">Executive</x:t>
        </x:is>
      </x:c>
      <x:c r="B126" t="inlineStr">
        <x:is>
          <x:t xml:space="preserve">EXCO-D4-Q04</x:t>
        </x:is>
      </x:c>
      <x:c r="C126" t="inlineStr">
        <x:is>
          <x:t xml:space="preserve">T2</x:t>
        </x:is>
      </x:c>
      <x:c r="D126" t="inlineStr">
        <x:is>
          <x:t xml:space="preserve">4. People &amp; Culture</x:t>
        </x:is>
      </x:c>
      <x:c r="E126" t="inlineStr">
        <x:is>
          <x:t xml:space="preserve">H</x:t>
        </x:is>
      </x:c>
      <x:c r="F126" t="n">
        <x:v>1</x:v>
      </x:c>
      <x:c r="G126" t="inlineStr">
        <x:is>
          <x:t xml:space="preserve">-</x:t>
        </x:is>
      </x:c>
      <x:c r="I126" t="inlineStr">
        <x:is>
          <x:t xml:space="preserve">How is positive security behaviour encouraged (not just punishment for mistakes)?</x:t>
        </x:is>
      </x:c>
      <x:c r="J126" t="inlineStr">
        <x:is>
          <x:t xml:space="preserve">Examples: recognising good reporting, simplifying secure ways of working, feedback after ‘near misses’.</x:t>
        </x:is>
      </x:c>
      <x:c r="L126" t="inlineStr">
        <x:is>
          <x:t xml:space="preserve">CULT_SOFT</x:t>
        </x:is>
      </x:c>
      <x:c r="M126" t="n">
        <x:v>1</x:v>
      </x:c>
      <x:c r="P126" t="inlineStr">
        <x:is>
          <x:t xml:space="preserve">EXCO-D4-Q04-A1</x:t>
        </x:is>
      </x:c>
      <x:c r="Q126" t="n">
        <x:v>2</x:v>
      </x:c>
      <x:c r="R126" t="inlineStr">
        <x:is>
          <x:t xml:space="preserve">We mainly focus on catching and punishing bad behaviour.</x:t>
        </x:is>
      </x:c>
      <x:c r="S126" t="n">
        <x:v>0</x:v>
      </x:c>
      <x:c r="T126" t="inlineStr">
        <x:is>
          <x:t xml:space="preserve">toxic_enforcer_signal</x:t>
        </x:is>
      </x:c>
      <x:c r="U126" t="inlineStr">
        <x:is>
          <x:t xml:space="preserve">Toxic Enforcer</x:t>
        </x:is>
      </x:c>
      <x:c r="V126" t="inlineStr">
        <x:is>
          <x:t xml:space="preserve">Behavioral_Design</x:t>
        </x:is>
      </x:c>
      <x:c r="W126" t="inlineStr">
        <x:is>
          <x:t xml:space="preserve">N</x:t>
        </x:is>
      </x:c>
      <x:c r="Y126">
        <x:f>(S126*IF(E126="G",F126,0))+(S126*IF(G126="G",H126,0))</x:f>
      </x:c>
      <x:c r="Z126">
        <x:f>(S126*IF(E126="E",F126,0))+(S126*IF(G126="E",H126,0))</x:f>
      </x:c>
      <x:c r="AA126">
        <x:f>(S126*IF(E126="T",F126,0))+(S126*IF(G126="T",H126,0))</x:f>
      </x:c>
      <x:c r="AB126">
        <x:f>(S126*IF(E126="L",F126,0))+(S126*IF(G126="L",H126,0))</x:f>
      </x:c>
      <x:c r="AC126">
        <x:f>(S126*IF(E126="H",F126,0))+(S126*IF(G126="H",H126,0))</x:f>
      </x:c>
      <x:c r="AD126">
        <x:f>(S126*IF(E126="V",F126,0))+(S126*IF(G126="V",H126,0))</x:f>
      </x:c>
      <x:c r="AE126">
        <x:f>(S126*IF(E126="R",F126,0))+(S126*IF(G126="R",H126,0))</x:f>
      </x:c>
      <x:c r="AF126">
        <x:f>(S126*IF(E126="F",F126,0))+(S126*IF(G126="F",H126,0))</x:f>
      </x:c>
      <x:c r="AG126">
        <x:f>(S126*IF(E126="W",F126,0))+(S126*IF(G126="W",H126,0))</x:f>
      </x:c>
      <x:c r="AH126" t="inlineStr">
        <x:is>
          <x:t xml:space="preserve">9. Performance &amp; Resilience</x:t>
        </x:is>
      </x:c>
      <x:c r="AI126" t="inlineStr">
        <x:is>
          <x:t xml:space="preserve">Assurance &amp; Metrics</x:t>
        </x:is>
      </x:c>
      <x:c r="AJ126" t="inlineStr">
        <x:is>
          <x:t xml:space="preserve">KPI/KRI framework &amp; dashboards</x:t>
        </x:is>
      </x:c>
    </x:row>
    <x:row r="127">
      <x:c r="A127" t="inlineStr">
        <x:is>
          <x:t xml:space="preserve">Executive</x:t>
        </x:is>
      </x:c>
      <x:c r="B127" t="inlineStr">
        <x:is>
          <x:t xml:space="preserve">EXCO-D4-Q04</x:t>
        </x:is>
      </x:c>
      <x:c r="C127" t="inlineStr">
        <x:is>
          <x:t xml:space="preserve">T2</x:t>
        </x:is>
      </x:c>
      <x:c r="D127" t="inlineStr">
        <x:is>
          <x:t xml:space="preserve">4. People &amp; Culture</x:t>
        </x:is>
      </x:c>
      <x:c r="E127" t="inlineStr">
        <x:is>
          <x:t xml:space="preserve">H</x:t>
        </x:is>
      </x:c>
      <x:c r="F127" t="n">
        <x:v>1</x:v>
      </x:c>
      <x:c r="G127" t="inlineStr">
        <x:is>
          <x:t xml:space="preserve">-</x:t>
        </x:is>
      </x:c>
      <x:c r="I127" t="inlineStr">
        <x:is>
          <x:t xml:space="preserve">How is positive security behaviour encouraged (not just punishment for mistakes)?</x:t>
        </x:is>
      </x:c>
      <x:c r="J127" t="inlineStr">
        <x:is>
          <x:t xml:space="preserve">Examples: recognising good reporting, simplifying secure ways of working, feedback after ‘near misses’.</x:t>
        </x:is>
      </x:c>
      <x:c r="L127" t="inlineStr">
        <x:is>
          <x:t xml:space="preserve">CULT_SOFT</x:t>
        </x:is>
      </x:c>
      <x:c r="M127" t="n">
        <x:v>1</x:v>
      </x:c>
      <x:c r="P127" t="inlineStr">
        <x:is>
          <x:t xml:space="preserve">EXCO-D4-Q04-A2</x:t>
        </x:is>
      </x:c>
      <x:c r="Q127" t="n">
        <x:v>3</x:v>
      </x:c>
      <x:c r="R127" t="inlineStr">
        <x:is>
          <x:t xml:space="preserve">Managers sometimes thank people informally, but nothing systematic exists.</x:t>
        </x:is>
      </x:c>
      <x:c r="S127" t="n">
        <x:v>1</x:v>
      </x:c>
      <x:c r="T127" t="inlineStr">
        <x:is>
          <x:t xml:space="preserve">informal_only</x:t>
        </x:is>
      </x:c>
      <x:c r="U127" t="inlineStr">
        <x:is>
          <x:t xml:space="preserve">Shadow Mature</x:t>
        </x:is>
      </x:c>
      <x:c r="V127" t="inlineStr">
        <x:is>
          <x:t xml:space="preserve">Formalize_Reinforcement</x:t>
        </x:is>
      </x:c>
      <x:c r="W127" t="inlineStr">
        <x:is>
          <x:t xml:space="preserve">N</x:t>
        </x:is>
      </x:c>
      <x:c r="Y127">
        <x:f>(S127*IF(E127="G",F127,0))+(S127*IF(G127="G",H127,0))</x:f>
      </x:c>
      <x:c r="Z127">
        <x:f>(S127*IF(E127="E",F127,0))+(S127*IF(G127="E",H127,0))</x:f>
      </x:c>
      <x:c r="AA127">
        <x:f>(S127*IF(E127="T",F127,0))+(S127*IF(G127="T",H127,0))</x:f>
      </x:c>
      <x:c r="AB127">
        <x:f>(S127*IF(E127="L",F127,0))+(S127*IF(G127="L",H127,0))</x:f>
      </x:c>
      <x:c r="AC127">
        <x:f>(S127*IF(E127="H",F127,0))+(S127*IF(G127="H",H127,0))</x:f>
      </x:c>
      <x:c r="AD127">
        <x:f>(S127*IF(E127="V",F127,0))+(S127*IF(G127="V",H127,0))</x:f>
      </x:c>
      <x:c r="AE127">
        <x:f>(S127*IF(E127="R",F127,0))+(S127*IF(G127="R",H127,0))</x:f>
      </x:c>
      <x:c r="AF127">
        <x:f>(S127*IF(E127="F",F127,0))+(S127*IF(G127="F",H127,0))</x:f>
      </x:c>
      <x:c r="AG127">
        <x:f>(S127*IF(E127="W",F127,0))+(S127*IF(G127="W",H127,0))</x:f>
      </x:c>
      <x:c r="AH127" t="inlineStr">
        <x:is>
          <x:t xml:space="preserve">9. Performance &amp; Resilience</x:t>
        </x:is>
      </x:c>
      <x:c r="AI127" t="inlineStr">
        <x:is>
          <x:t xml:space="preserve">Assurance &amp; Metrics</x:t>
        </x:is>
      </x:c>
      <x:c r="AJ127" t="inlineStr">
        <x:is>
          <x:t xml:space="preserve">KPI/KRI framework &amp; dashboards</x:t>
        </x:is>
      </x:c>
    </x:row>
    <x:row r="128">
      <x:c r="A128" t="inlineStr">
        <x:is>
          <x:t xml:space="preserve">Executive</x:t>
        </x:is>
      </x:c>
      <x:c r="B128" t="inlineStr">
        <x:is>
          <x:t xml:space="preserve">EXCO-D4-Q04</x:t>
        </x:is>
      </x:c>
      <x:c r="C128" t="inlineStr">
        <x:is>
          <x:t xml:space="preserve">T2</x:t>
        </x:is>
      </x:c>
      <x:c r="D128" t="inlineStr">
        <x:is>
          <x:t xml:space="preserve">4. People &amp; Culture</x:t>
        </x:is>
      </x:c>
      <x:c r="E128" t="inlineStr">
        <x:is>
          <x:t xml:space="preserve">H</x:t>
        </x:is>
      </x:c>
      <x:c r="F128" t="n">
        <x:v>1</x:v>
      </x:c>
      <x:c r="G128" t="inlineStr">
        <x:is>
          <x:t xml:space="preserve">-</x:t>
        </x:is>
      </x:c>
      <x:c r="I128" t="inlineStr">
        <x:is>
          <x:t xml:space="preserve">How is positive security behaviour encouraged (not just punishment for mistakes)?</x:t>
        </x:is>
      </x:c>
      <x:c r="J128" t="inlineStr">
        <x:is>
          <x:t xml:space="preserve">Examples: recognising good reporting, simplifying secure ways of working, feedback after ‘near misses’.</x:t>
        </x:is>
      </x:c>
      <x:c r="L128" t="inlineStr">
        <x:is>
          <x:t xml:space="preserve">CULT_SOFT</x:t>
        </x:is>
      </x:c>
      <x:c r="M128" t="n">
        <x:v>1</x:v>
      </x:c>
      <x:c r="P128" t="inlineStr">
        <x:is>
          <x:t xml:space="preserve">EXCO-D4-Q04-A3</x:t>
        </x:is>
      </x:c>
      <x:c r="Q128" t="n">
        <x:v>4</x:v>
      </x:c>
      <x:c r="R128" t="inlineStr">
        <x:is>
          <x:t xml:space="preserve">We do generic awareness communications, but behaviour change isn’t measured.</x:t>
        </x:is>
      </x:c>
      <x:c r="S128" t="n">
        <x:v>2</x:v>
      </x:c>
      <x:c r="T128" t="inlineStr">
        <x:is>
          <x:t xml:space="preserve">paper_process</x:t>
        </x:is>
      </x:c>
      <x:c r="U128" t="inlineStr">
        <x:is>
          <x:t xml:space="preserve">Paper Dragon</x:t>
        </x:is>
      </x:c>
      <x:c r="V128" t="inlineStr">
        <x:is>
          <x:t xml:space="preserve">Behavioral_Design</x:t>
        </x:is>
      </x:c>
      <x:c r="W128" t="inlineStr">
        <x:is>
          <x:t xml:space="preserve">N</x:t>
        </x:is>
      </x:c>
      <x:c r="Y128">
        <x:f>(S128*IF(E128="G",F128,0))+(S128*IF(G128="G",H128,0))</x:f>
      </x:c>
      <x:c r="Z128">
        <x:f>(S128*IF(E128="E",F128,0))+(S128*IF(G128="E",H128,0))</x:f>
      </x:c>
      <x:c r="AA128">
        <x:f>(S128*IF(E128="T",F128,0))+(S128*IF(G128="T",H128,0))</x:f>
      </x:c>
      <x:c r="AB128">
        <x:f>(S128*IF(E128="L",F128,0))+(S128*IF(G128="L",H128,0))</x:f>
      </x:c>
      <x:c r="AC128">
        <x:f>(S128*IF(E128="H",F128,0))+(S128*IF(G128="H",H128,0))</x:f>
      </x:c>
      <x:c r="AD128">
        <x:f>(S128*IF(E128="V",F128,0))+(S128*IF(G128="V",H128,0))</x:f>
      </x:c>
      <x:c r="AE128">
        <x:f>(S128*IF(E128="R",F128,0))+(S128*IF(G128="R",H128,0))</x:f>
      </x:c>
      <x:c r="AF128">
        <x:f>(S128*IF(E128="F",F128,0))+(S128*IF(G128="F",H128,0))</x:f>
      </x:c>
      <x:c r="AG128">
        <x:f>(S128*IF(E128="W",F128,0))+(S128*IF(G128="W",H128,0))</x:f>
      </x:c>
      <x:c r="AH128" t="inlineStr">
        <x:is>
          <x:t xml:space="preserve">9. Performance &amp; Resilience</x:t>
        </x:is>
      </x:c>
      <x:c r="AI128" t="inlineStr">
        <x:is>
          <x:t xml:space="preserve">Assurance &amp; Metrics</x:t>
        </x:is>
      </x:c>
      <x:c r="AJ128" t="inlineStr">
        <x:is>
          <x:t xml:space="preserve">KPI/KRI framework &amp; dashboards</x:t>
        </x:is>
      </x:c>
    </x:row>
    <x:row r="129">
      <x:c r="A129" t="inlineStr">
        <x:is>
          <x:t xml:space="preserve">Executive</x:t>
        </x:is>
      </x:c>
      <x:c r="B129" t="inlineStr">
        <x:is>
          <x:t xml:space="preserve">EXCO-D4-Q04</x:t>
        </x:is>
      </x:c>
      <x:c r="C129" t="inlineStr">
        <x:is>
          <x:t xml:space="preserve">T2</x:t>
        </x:is>
      </x:c>
      <x:c r="D129" t="inlineStr">
        <x:is>
          <x:t xml:space="preserve">4. People &amp; Culture</x:t>
        </x:is>
      </x:c>
      <x:c r="E129" t="inlineStr">
        <x:is>
          <x:t xml:space="preserve">H</x:t>
        </x:is>
      </x:c>
      <x:c r="F129" t="n">
        <x:v>1</x:v>
      </x:c>
      <x:c r="G129" t="inlineStr">
        <x:is>
          <x:t xml:space="preserve">-</x:t>
        </x:is>
      </x:c>
      <x:c r="I129" t="inlineStr">
        <x:is>
          <x:t xml:space="preserve">How is positive security behaviour encouraged (not just punishment for mistakes)?</x:t>
        </x:is>
      </x:c>
      <x:c r="J129" t="inlineStr">
        <x:is>
          <x:t xml:space="preserve">Examples: recognising good reporting, simplifying secure ways of working, feedback after ‘near misses’.</x:t>
        </x:is>
      </x:c>
      <x:c r="L129" t="inlineStr">
        <x:is>
          <x:t xml:space="preserve">CULT_SOFT</x:t>
        </x:is>
      </x:c>
      <x:c r="M129" t="n">
        <x:v>1</x:v>
      </x:c>
      <x:c r="P129" t="inlineStr">
        <x:is>
          <x:t xml:space="preserve">EXCO-D4-Q04-A4</x:t>
        </x:is>
      </x:c>
      <x:c r="Q129" t="n">
        <x:v>5</x:v>
      </x:c>
      <x:c r="R129" t="inlineStr">
        <x:is>
          <x:t xml:space="preserve">We recognise good reporting and measure participation/engagement.</x:t>
        </x:is>
      </x:c>
      <x:c r="S129" t="n">
        <x:v>3</x:v>
      </x:c>
      <x:c r="T129" t="inlineStr">
        <x:is>
          <x:t xml:space="preserve">good_practice</x:t>
        </x:is>
      </x:c>
      <x:c r="V129" t="inlineStr">
        <x:is>
          <x:t xml:space="preserve">Request_Evidence</x:t>
        </x:is>
      </x:c>
      <x:c r="W129" t="inlineStr">
        <x:is>
          <x:t xml:space="preserve">Y</x:t>
        </x:is>
      </x:c>
      <x:c r="Y129">
        <x:f>(S129*IF(E129="G",F129,0))+(S129*IF(G129="G",H129,0))</x:f>
      </x:c>
      <x:c r="Z129">
        <x:f>(S129*IF(E129="E",F129,0))+(S129*IF(G129="E",H129,0))</x:f>
      </x:c>
      <x:c r="AA129">
        <x:f>(S129*IF(E129="T",F129,0))+(S129*IF(G129="T",H129,0))</x:f>
      </x:c>
      <x:c r="AB129">
        <x:f>(S129*IF(E129="L",F129,0))+(S129*IF(G129="L",H129,0))</x:f>
      </x:c>
      <x:c r="AC129">
        <x:f>(S129*IF(E129="H",F129,0))+(S129*IF(G129="H",H129,0))</x:f>
      </x:c>
      <x:c r="AD129">
        <x:f>(S129*IF(E129="V",F129,0))+(S129*IF(G129="V",H129,0))</x:f>
      </x:c>
      <x:c r="AE129">
        <x:f>(S129*IF(E129="R",F129,0))+(S129*IF(G129="R",H129,0))</x:f>
      </x:c>
      <x:c r="AF129">
        <x:f>(S129*IF(E129="F",F129,0))+(S129*IF(G129="F",H129,0))</x:f>
      </x:c>
      <x:c r="AG129">
        <x:f>(S129*IF(E129="W",F129,0))+(S129*IF(G129="W",H129,0))</x:f>
      </x:c>
      <x:c r="AH129" t="inlineStr">
        <x:is>
          <x:t xml:space="preserve">9. Performance &amp; Resilience</x:t>
        </x:is>
      </x:c>
      <x:c r="AI129" t="inlineStr">
        <x:is>
          <x:t xml:space="preserve">Assurance &amp; Metrics</x:t>
        </x:is>
      </x:c>
      <x:c r="AJ129" t="inlineStr">
        <x:is>
          <x:t xml:space="preserve">KPI/KRI framework &amp; dashboards</x:t>
        </x:is>
      </x:c>
    </x:row>
    <x:row r="130">
      <x:c r="A130" t="inlineStr">
        <x:is>
          <x:t xml:space="preserve">Executive</x:t>
        </x:is>
      </x:c>
      <x:c r="B130" t="inlineStr">
        <x:is>
          <x:t xml:space="preserve">EXCO-D4-Q04</x:t>
        </x:is>
      </x:c>
      <x:c r="C130" t="inlineStr">
        <x:is>
          <x:t xml:space="preserve">T2</x:t>
        </x:is>
      </x:c>
      <x:c r="D130" t="inlineStr">
        <x:is>
          <x:t xml:space="preserve">4. People &amp; Culture</x:t>
        </x:is>
      </x:c>
      <x:c r="E130" t="inlineStr">
        <x:is>
          <x:t xml:space="preserve">H</x:t>
        </x:is>
      </x:c>
      <x:c r="F130" t="n">
        <x:v>1</x:v>
      </x:c>
      <x:c r="G130" t="inlineStr">
        <x:is>
          <x:t xml:space="preserve">-</x:t>
        </x:is>
      </x:c>
      <x:c r="I130" t="inlineStr">
        <x:is>
          <x:t xml:space="preserve">How is positive security behaviour encouraged (not just punishment for mistakes)?</x:t>
        </x:is>
      </x:c>
      <x:c r="J130" t="inlineStr">
        <x:is>
          <x:t xml:space="preserve">Examples: recognising good reporting, simplifying secure ways of working, feedback after ‘near misses’.</x:t>
        </x:is>
      </x:c>
      <x:c r="L130" t="inlineStr">
        <x:is>
          <x:t xml:space="preserve">CULT_SOFT</x:t>
        </x:is>
      </x:c>
      <x:c r="M130" t="n">
        <x:v>1</x:v>
      </x:c>
      <x:c r="P130" t="inlineStr">
        <x:is>
          <x:t xml:space="preserve">EXCO-D4-Q04-A5</x:t>
        </x:is>
      </x:c>
      <x:c r="Q130" t="n">
        <x:v>6</x:v>
      </x:c>
      <x:c r="R130" t="inlineStr">
        <x:is>
          <x:t xml:space="preserve">We run behavioural programs (nudges, simplification, incentives) with measurable outcomes.</x:t>
        </x:is>
      </x:c>
      <x:c r="S130" t="n">
        <x:v>4</x:v>
      </x:c>
      <x:c r="T130" t="inlineStr">
        <x:is>
          <x:t xml:space="preserve">optimized</x:t>
        </x:is>
      </x:c>
      <x:c r="V130" t="inlineStr">
        <x:is>
          <x:t xml:space="preserve">Request_Evidence</x:t>
        </x:is>
      </x:c>
      <x:c r="W130" t="inlineStr">
        <x:is>
          <x:t xml:space="preserve">Y</x:t>
        </x:is>
      </x:c>
      <x:c r="Y130">
        <x:f>(S130*IF(E130="G",F130,0))+(S130*IF(G130="G",H130,0))</x:f>
      </x:c>
      <x:c r="Z130">
        <x:f>(S130*IF(E130="E",F130,0))+(S130*IF(G130="E",H130,0))</x:f>
      </x:c>
      <x:c r="AA130">
        <x:f>(S130*IF(E130="T",F130,0))+(S130*IF(G130="T",H130,0))</x:f>
      </x:c>
      <x:c r="AB130">
        <x:f>(S130*IF(E130="L",F130,0))+(S130*IF(G130="L",H130,0))</x:f>
      </x:c>
      <x:c r="AC130">
        <x:f>(S130*IF(E130="H",F130,0))+(S130*IF(G130="H",H130,0))</x:f>
      </x:c>
      <x:c r="AD130">
        <x:f>(S130*IF(E130="V",F130,0))+(S130*IF(G130="V",H130,0))</x:f>
      </x:c>
      <x:c r="AE130">
        <x:f>(S130*IF(E130="R",F130,0))+(S130*IF(G130="R",H130,0))</x:f>
      </x:c>
      <x:c r="AF130">
        <x:f>(S130*IF(E130="F",F130,0))+(S130*IF(G130="F",H130,0))</x:f>
      </x:c>
      <x:c r="AG130">
        <x:f>(S130*IF(E130="W",F130,0))+(S130*IF(G130="W",H130,0))</x:f>
      </x:c>
      <x:c r="AH130" t="inlineStr">
        <x:is>
          <x:t xml:space="preserve">9. Performance &amp; Resilience</x:t>
        </x:is>
      </x:c>
      <x:c r="AI130" t="inlineStr">
        <x:is>
          <x:t xml:space="preserve">Assurance &amp; Metrics</x:t>
        </x:is>
      </x:c>
      <x:c r="AJ130" t="inlineStr">
        <x:is>
          <x:t xml:space="preserve">KPI/KRI framework &amp; dashboards</x:t>
        </x:is>
      </x:c>
    </x:row>
    <x:row r="131">
      <x:c r="A131" t="inlineStr">
        <x:is>
          <x:t xml:space="preserve">Executive</x:t>
        </x:is>
      </x:c>
      <x:c r="B131" t="inlineStr">
        <x:is>
          <x:t xml:space="preserve">EXCO-D5-Q01</x:t>
        </x:is>
      </x:c>
      <x:c r="C131" t="inlineStr">
        <x:is>
          <x:t xml:space="preserve">T1</x:t>
        </x:is>
      </x:c>
      <x:c r="D131" t="inlineStr">
        <x:is>
          <x:t xml:space="preserve">5. Friction &amp; Productivity</x:t>
        </x:is>
      </x:c>
      <x:c r="E131" t="inlineStr">
        <x:is>
          <x:t xml:space="preserve">F</x:t>
        </x:is>
      </x:c>
      <x:c r="F131" t="n">
        <x:v>0.7</x:v>
      </x:c>
      <x:c r="G131" t="inlineStr">
        <x:is>
          <x:t xml:space="preserve">E</x:t>
        </x:is>
      </x:c>
      <x:c r="H131" t="n">
        <x:v>0.3</x:v>
      </x:c>
      <x:c r="I131" t="inlineStr">
        <x:is>
          <x:t xml:space="preserve">Do security controls make it hard for people to do their job, leading to workarounds (e.g., personal email/SaaS)?</x:t>
        </x:is>
      </x:c>
      <x:c r="J131" t="inlineStr">
        <x:is>
          <x:t xml:space="preserve">This is about bypass pressure: the gap between secure ways of working and what people need to do.</x:t>
        </x:is>
      </x:c>
      <x:c r="L131" t="inlineStr">
        <x:is>
          <x:t xml:space="preserve">OPS_STD</x:t>
        </x:is>
      </x:c>
      <x:c r="M131" t="n">
        <x:v>1</x:v>
      </x:c>
      <x:c r="P131" t="inlineStr">
        <x:is>
          <x:t xml:space="preserve">EXCO-D5-Q01-A0</x:t>
        </x:is>
      </x:c>
      <x:c r="Q131" t="n">
        <x:v>1</x:v>
      </x:c>
      <x:c r="R131" t="inlineStr">
        <x:is>
          <x:t xml:space="preserve">I don’t know / not sure.</x:t>
        </x:is>
      </x:c>
      <x:c r="S131" t="n">
        <x:v>0</x:v>
      </x:c>
      <x:c r="T131" t="inlineStr">
        <x:is>
          <x:t xml:space="preserve">unknown</x:t>
        </x:is>
      </x:c>
      <x:c r="U131" t="inlineStr">
        <x:is>
          <x:t xml:space="preserve">Unknown</x:t>
        </x:is>
      </x:c>
      <x:c r="V131" t="inlineStr">
        <x:is>
          <x:t xml:space="preserve">Assess_Friction</x:t>
        </x:is>
      </x:c>
      <x:c r="W131" t="inlineStr">
        <x:is>
          <x:t xml:space="preserve">N</x:t>
        </x:is>
      </x:c>
      <x:c r="Y131">
        <x:f>(S131*IF(E131="G",F131,0))+(S131*IF(G131="G",H131,0))</x:f>
      </x:c>
      <x:c r="Z131">
        <x:f>(S131*IF(E131="E",F131,0))+(S131*IF(G131="E",H131,0))</x:f>
      </x:c>
      <x:c r="AA131">
        <x:f>(S131*IF(E131="T",F131,0))+(S131*IF(G131="T",H131,0))</x:f>
      </x:c>
      <x:c r="AB131">
        <x:f>(S131*IF(E131="L",F131,0))+(S131*IF(G131="L",H131,0))</x:f>
      </x:c>
      <x:c r="AC131">
        <x:f>(S131*IF(E131="H",F131,0))+(S131*IF(G131="H",H131,0))</x:f>
      </x:c>
      <x:c r="AD131">
        <x:f>(S131*IF(E131="V",F131,0))+(S131*IF(G131="V",H131,0))</x:f>
      </x:c>
      <x:c r="AE131">
        <x:f>(S131*IF(E131="R",F131,0))+(S131*IF(G131="R",H131,0))</x:f>
      </x:c>
      <x:c r="AF131">
        <x:f>(S131*IF(E131="F",F131,0))+(S131*IF(G131="F",H131,0))</x:f>
      </x:c>
      <x:c r="AG131">
        <x:f>(S131*IF(E131="W",F131,0))+(S131*IF(G131="W",H131,0))</x:f>
      </x:c>
      <x:c r="AH131" t="inlineStr">
        <x:is>
          <x:t xml:space="preserve">6. Technical Controls</x:t>
        </x:is>
      </x:c>
      <x:c r="AI131" t="inlineStr">
        <x:is>
          <x:t xml:space="preserve">Data, Endpoint &amp; Cloud Controls</x:t>
        </x:is>
      </x:c>
      <x:c r="AJ131" t="inlineStr">
        <x:is>
          <x:t xml:space="preserve">Collaboration/SaaS sharing controls</x:t>
        </x:is>
      </x:c>
    </x:row>
    <x:row r="132">
      <x:c r="A132" t="inlineStr">
        <x:is>
          <x:t xml:space="preserve">Executive</x:t>
        </x:is>
      </x:c>
      <x:c r="B132" t="inlineStr">
        <x:is>
          <x:t xml:space="preserve">EXCO-D5-Q01</x:t>
        </x:is>
      </x:c>
      <x:c r="C132" t="inlineStr">
        <x:is>
          <x:t xml:space="preserve">T1</x:t>
        </x:is>
      </x:c>
      <x:c r="D132" t="inlineStr">
        <x:is>
          <x:t xml:space="preserve">5. Friction &amp; Productivity</x:t>
        </x:is>
      </x:c>
      <x:c r="E132" t="inlineStr">
        <x:is>
          <x:t xml:space="preserve">F</x:t>
        </x:is>
      </x:c>
      <x:c r="F132" t="n">
        <x:v>0.7</x:v>
      </x:c>
      <x:c r="G132" t="inlineStr">
        <x:is>
          <x:t xml:space="preserve">E</x:t>
        </x:is>
      </x:c>
      <x:c r="H132" t="n">
        <x:v>0.3</x:v>
      </x:c>
      <x:c r="I132" t="inlineStr">
        <x:is>
          <x:t xml:space="preserve">Do security controls make it hard for people to do their job, leading to workarounds (e.g., personal email/SaaS)?</x:t>
        </x:is>
      </x:c>
      <x:c r="J132" t="inlineStr">
        <x:is>
          <x:t xml:space="preserve">This is about bypass pressure: the gap between secure ways of working and what people need to do.</x:t>
        </x:is>
      </x:c>
      <x:c r="L132" t="inlineStr">
        <x:is>
          <x:t xml:space="preserve">OPS_STD</x:t>
        </x:is>
      </x:c>
      <x:c r="M132" t="n">
        <x:v>1</x:v>
      </x:c>
      <x:c r="P132" t="inlineStr">
        <x:is>
          <x:t xml:space="preserve">EXCO-D5-Q01-A1</x:t>
        </x:is>
      </x:c>
      <x:c r="Q132" t="n">
        <x:v>2</x:v>
      </x:c>
      <x:c r="R132" t="inlineStr">
        <x:is>
          <x:t xml:space="preserve">High friction—controls frequently block normal work; people regularly use workarounds.</x:t>
        </x:is>
      </x:c>
      <x:c r="S132" t="n">
        <x:v>0</x:v>
      </x:c>
      <x:c r="T132" t="inlineStr">
        <x:is>
          <x:t xml:space="preserve">bypass_pressure</x:t>
        </x:is>
      </x:c>
      <x:c r="U132" t="inlineStr">
        <x:is>
          <x:t xml:space="preserve">Bypass Pressure</x:t>
        </x:is>
      </x:c>
      <x:c r="V132" t="inlineStr">
        <x:is>
          <x:t xml:space="preserve">Security_UX_Review</x:t>
        </x:is>
      </x:c>
      <x:c r="W132" t="inlineStr">
        <x:is>
          <x:t xml:space="preserve">N</x:t>
        </x:is>
      </x:c>
      <x:c r="Y132">
        <x:f>(S132*IF(E132="G",F132,0))+(S132*IF(G132="G",H132,0))</x:f>
      </x:c>
      <x:c r="Z132">
        <x:f>(S132*IF(E132="E",F132,0))+(S132*IF(G132="E",H132,0))</x:f>
      </x:c>
      <x:c r="AA132">
        <x:f>(S132*IF(E132="T",F132,0))+(S132*IF(G132="T",H132,0))</x:f>
      </x:c>
      <x:c r="AB132">
        <x:f>(S132*IF(E132="L",F132,0))+(S132*IF(G132="L",H132,0))</x:f>
      </x:c>
      <x:c r="AC132">
        <x:f>(S132*IF(E132="H",F132,0))+(S132*IF(G132="H",H132,0))</x:f>
      </x:c>
      <x:c r="AD132">
        <x:f>(S132*IF(E132="V",F132,0))+(S132*IF(G132="V",H132,0))</x:f>
      </x:c>
      <x:c r="AE132">
        <x:f>(S132*IF(E132="R",F132,0))+(S132*IF(G132="R",H132,0))</x:f>
      </x:c>
      <x:c r="AF132">
        <x:f>(S132*IF(E132="F",F132,0))+(S132*IF(G132="F",H132,0))</x:f>
      </x:c>
      <x:c r="AG132">
        <x:f>(S132*IF(E132="W",F132,0))+(S132*IF(G132="W",H132,0))</x:f>
      </x:c>
      <x:c r="AH132" t="inlineStr">
        <x:is>
          <x:t xml:space="preserve">6. Technical Controls</x:t>
        </x:is>
      </x:c>
      <x:c r="AI132" t="inlineStr">
        <x:is>
          <x:t xml:space="preserve">Data, Endpoint &amp; Cloud Controls</x:t>
        </x:is>
      </x:c>
      <x:c r="AJ132" t="inlineStr">
        <x:is>
          <x:t xml:space="preserve">Collaboration/SaaS sharing controls</x:t>
        </x:is>
      </x:c>
    </x:row>
    <x:row r="133">
      <x:c r="A133" t="inlineStr">
        <x:is>
          <x:t xml:space="preserve">Executive</x:t>
        </x:is>
      </x:c>
      <x:c r="B133" t="inlineStr">
        <x:is>
          <x:t xml:space="preserve">EXCO-D5-Q01</x:t>
        </x:is>
      </x:c>
      <x:c r="C133" t="inlineStr">
        <x:is>
          <x:t xml:space="preserve">T1</x:t>
        </x:is>
      </x:c>
      <x:c r="D133" t="inlineStr">
        <x:is>
          <x:t xml:space="preserve">5. Friction &amp; Productivity</x:t>
        </x:is>
      </x:c>
      <x:c r="E133" t="inlineStr">
        <x:is>
          <x:t xml:space="preserve">F</x:t>
        </x:is>
      </x:c>
      <x:c r="F133" t="n">
        <x:v>0.7</x:v>
      </x:c>
      <x:c r="G133" t="inlineStr">
        <x:is>
          <x:t xml:space="preserve">E</x:t>
        </x:is>
      </x:c>
      <x:c r="H133" t="n">
        <x:v>0.3</x:v>
      </x:c>
      <x:c r="I133" t="inlineStr">
        <x:is>
          <x:t xml:space="preserve">Do security controls make it hard for people to do their job, leading to workarounds (e.g., personal email/SaaS)?</x:t>
        </x:is>
      </x:c>
      <x:c r="J133" t="inlineStr">
        <x:is>
          <x:t xml:space="preserve">This is about bypass pressure: the gap between secure ways of working and what people need to do.</x:t>
        </x:is>
      </x:c>
      <x:c r="L133" t="inlineStr">
        <x:is>
          <x:t xml:space="preserve">OPS_STD</x:t>
        </x:is>
      </x:c>
      <x:c r="M133" t="n">
        <x:v>1</x:v>
      </x:c>
      <x:c r="P133" t="inlineStr">
        <x:is>
          <x:t xml:space="preserve">EXCO-D5-Q01-A2</x:t>
        </x:is>
      </x:c>
      <x:c r="Q133" t="n">
        <x:v>3</x:v>
      </x:c>
      <x:c r="R133" t="inlineStr">
        <x:is>
          <x:t xml:space="preserve">Moderate friction—workarounds happen in some teams or processes.</x:t>
        </x:is>
      </x:c>
      <x:c r="S133" t="n">
        <x:v>1</x:v>
      </x:c>
      <x:c r="T133" t="inlineStr">
        <x:is>
          <x:t xml:space="preserve">bypass_pressure</x:t>
        </x:is>
      </x:c>
      <x:c r="U133" t="inlineStr">
        <x:is>
          <x:t xml:space="preserve">Bypass Pressure</x:t>
        </x:is>
      </x:c>
      <x:c r="V133" t="inlineStr">
        <x:is>
          <x:t xml:space="preserve">Security_UX_Review</x:t>
        </x:is>
      </x:c>
      <x:c r="W133" t="inlineStr">
        <x:is>
          <x:t xml:space="preserve">N</x:t>
        </x:is>
      </x:c>
      <x:c r="Y133">
        <x:f>(S133*IF(E133="G",F133,0))+(S133*IF(G133="G",H133,0))</x:f>
      </x:c>
      <x:c r="Z133">
        <x:f>(S133*IF(E133="E",F133,0))+(S133*IF(G133="E",H133,0))</x:f>
      </x:c>
      <x:c r="AA133">
        <x:f>(S133*IF(E133="T",F133,0))+(S133*IF(G133="T",H133,0))</x:f>
      </x:c>
      <x:c r="AB133">
        <x:f>(S133*IF(E133="L",F133,0))+(S133*IF(G133="L",H133,0))</x:f>
      </x:c>
      <x:c r="AC133">
        <x:f>(S133*IF(E133="H",F133,0))+(S133*IF(G133="H",H133,0))</x:f>
      </x:c>
      <x:c r="AD133">
        <x:f>(S133*IF(E133="V",F133,0))+(S133*IF(G133="V",H133,0))</x:f>
      </x:c>
      <x:c r="AE133">
        <x:f>(S133*IF(E133="R",F133,0))+(S133*IF(G133="R",H133,0))</x:f>
      </x:c>
      <x:c r="AF133">
        <x:f>(S133*IF(E133="F",F133,0))+(S133*IF(G133="F",H133,0))</x:f>
      </x:c>
      <x:c r="AG133">
        <x:f>(S133*IF(E133="W",F133,0))+(S133*IF(G133="W",H133,0))</x:f>
      </x:c>
      <x:c r="AH133" t="inlineStr">
        <x:is>
          <x:t xml:space="preserve">6. Technical Controls</x:t>
        </x:is>
      </x:c>
      <x:c r="AI133" t="inlineStr">
        <x:is>
          <x:t xml:space="preserve">Data, Endpoint &amp; Cloud Controls</x:t>
        </x:is>
      </x:c>
      <x:c r="AJ133" t="inlineStr">
        <x:is>
          <x:t xml:space="preserve">Collaboration/SaaS sharing controls</x:t>
        </x:is>
      </x:c>
    </x:row>
    <x:row r="134">
      <x:c r="A134" t="inlineStr">
        <x:is>
          <x:t xml:space="preserve">Executive</x:t>
        </x:is>
      </x:c>
      <x:c r="B134" t="inlineStr">
        <x:is>
          <x:t xml:space="preserve">EXCO-D5-Q01</x:t>
        </x:is>
      </x:c>
      <x:c r="C134" t="inlineStr">
        <x:is>
          <x:t xml:space="preserve">T1</x:t>
        </x:is>
      </x:c>
      <x:c r="D134" t="inlineStr">
        <x:is>
          <x:t xml:space="preserve">5. Friction &amp; Productivity</x:t>
        </x:is>
      </x:c>
      <x:c r="E134" t="inlineStr">
        <x:is>
          <x:t xml:space="preserve">F</x:t>
        </x:is>
      </x:c>
      <x:c r="F134" t="n">
        <x:v>0.7</x:v>
      </x:c>
      <x:c r="G134" t="inlineStr">
        <x:is>
          <x:t xml:space="preserve">E</x:t>
        </x:is>
      </x:c>
      <x:c r="H134" t="n">
        <x:v>0.3</x:v>
      </x:c>
      <x:c r="I134" t="inlineStr">
        <x:is>
          <x:t xml:space="preserve">Do security controls make it hard for people to do their job, leading to workarounds (e.g., personal email/SaaS)?</x:t>
        </x:is>
      </x:c>
      <x:c r="J134" t="inlineStr">
        <x:is>
          <x:t xml:space="preserve">This is about bypass pressure: the gap between secure ways of working and what people need to do.</x:t>
        </x:is>
      </x:c>
      <x:c r="L134" t="inlineStr">
        <x:is>
          <x:t xml:space="preserve">OPS_STD</x:t>
        </x:is>
      </x:c>
      <x:c r="M134" t="n">
        <x:v>1</x:v>
      </x:c>
      <x:c r="P134" t="inlineStr">
        <x:is>
          <x:t xml:space="preserve">EXCO-D5-Q01-A3</x:t>
        </x:is>
      </x:c>
      <x:c r="Q134" t="n">
        <x:v>4</x:v>
      </x:c>
      <x:c r="R134" t="inlineStr">
        <x:is>
          <x:t xml:space="preserve">We think it’s fine, but we don’t measure exceptions, bypasses, or complaints.</x:t>
        </x:is>
      </x:c>
      <x:c r="S134" t="n">
        <x:v>2</x:v>
      </x:c>
      <x:c r="T134" t="inlineStr">
        <x:is>
          <x:t xml:space="preserve">blind_spot</x:t>
        </x:is>
      </x:c>
      <x:c r="U134" t="inlineStr">
        <x:is>
          <x:t xml:space="preserve">Paper Dragon</x:t>
        </x:is>
      </x:c>
      <x:c r="V134" t="inlineStr">
        <x:is>
          <x:t xml:space="preserve">Measure_Friction</x:t>
        </x:is>
      </x:c>
      <x:c r="W134" t="inlineStr">
        <x:is>
          <x:t xml:space="preserve">N</x:t>
        </x:is>
      </x:c>
      <x:c r="Y134">
        <x:f>(S134*IF(E134="G",F134,0))+(S134*IF(G134="G",H134,0))</x:f>
      </x:c>
      <x:c r="Z134">
        <x:f>(S134*IF(E134="E",F134,0))+(S134*IF(G134="E",H134,0))</x:f>
      </x:c>
      <x:c r="AA134">
        <x:f>(S134*IF(E134="T",F134,0))+(S134*IF(G134="T",H134,0))</x:f>
      </x:c>
      <x:c r="AB134">
        <x:f>(S134*IF(E134="L",F134,0))+(S134*IF(G134="L",H134,0))</x:f>
      </x:c>
      <x:c r="AC134">
        <x:f>(S134*IF(E134="H",F134,0))+(S134*IF(G134="H",H134,0))</x:f>
      </x:c>
      <x:c r="AD134">
        <x:f>(S134*IF(E134="V",F134,0))+(S134*IF(G134="V",H134,0))</x:f>
      </x:c>
      <x:c r="AE134">
        <x:f>(S134*IF(E134="R",F134,0))+(S134*IF(G134="R",H134,0))</x:f>
      </x:c>
      <x:c r="AF134">
        <x:f>(S134*IF(E134="F",F134,0))+(S134*IF(G134="F",H134,0))</x:f>
      </x:c>
      <x:c r="AG134">
        <x:f>(S134*IF(E134="W",F134,0))+(S134*IF(G134="W",H134,0))</x:f>
      </x:c>
      <x:c r="AH134" t="inlineStr">
        <x:is>
          <x:t xml:space="preserve">6. Technical Controls</x:t>
        </x:is>
      </x:c>
      <x:c r="AI134" t="inlineStr">
        <x:is>
          <x:t xml:space="preserve">Data, Endpoint &amp; Cloud Controls</x:t>
        </x:is>
      </x:c>
      <x:c r="AJ134" t="inlineStr">
        <x:is>
          <x:t xml:space="preserve">Collaboration/SaaS sharing controls</x:t>
        </x:is>
      </x:c>
    </x:row>
    <x:row r="135">
      <x:c r="A135" t="inlineStr">
        <x:is>
          <x:t xml:space="preserve">Executive</x:t>
        </x:is>
      </x:c>
      <x:c r="B135" t="inlineStr">
        <x:is>
          <x:t xml:space="preserve">EXCO-D5-Q01</x:t>
        </x:is>
      </x:c>
      <x:c r="C135" t="inlineStr">
        <x:is>
          <x:t xml:space="preserve">T1</x:t>
        </x:is>
      </x:c>
      <x:c r="D135" t="inlineStr">
        <x:is>
          <x:t xml:space="preserve">5. Friction &amp; Productivity</x:t>
        </x:is>
      </x:c>
      <x:c r="E135" t="inlineStr">
        <x:is>
          <x:t xml:space="preserve">F</x:t>
        </x:is>
      </x:c>
      <x:c r="F135" t="n">
        <x:v>0.7</x:v>
      </x:c>
      <x:c r="G135" t="inlineStr">
        <x:is>
          <x:t xml:space="preserve">E</x:t>
        </x:is>
      </x:c>
      <x:c r="H135" t="n">
        <x:v>0.3</x:v>
      </x:c>
      <x:c r="I135" t="inlineStr">
        <x:is>
          <x:t xml:space="preserve">Do security controls make it hard for people to do their job, leading to workarounds (e.g., personal email/SaaS)?</x:t>
        </x:is>
      </x:c>
      <x:c r="J135" t="inlineStr">
        <x:is>
          <x:t xml:space="preserve">This is about bypass pressure: the gap between secure ways of working and what people need to do.</x:t>
        </x:is>
      </x:c>
      <x:c r="L135" t="inlineStr">
        <x:is>
          <x:t xml:space="preserve">OPS_STD</x:t>
        </x:is>
      </x:c>
      <x:c r="M135" t="n">
        <x:v>1</x:v>
      </x:c>
      <x:c r="P135" t="inlineStr">
        <x:is>
          <x:t xml:space="preserve">EXCO-D5-Q01-A4</x:t>
        </x:is>
      </x:c>
      <x:c r="Q135" t="n">
        <x:v>5</x:v>
      </x:c>
      <x:c r="R135" t="inlineStr">
        <x:is>
          <x:t xml:space="preserve">Friction is monitored (exceptions, tickets, false positives) and we improve controls regularly.</x:t>
        </x:is>
      </x:c>
      <x:c r="S135" t="n">
        <x:v>3</x:v>
      </x:c>
      <x:c r="T135" t="inlineStr">
        <x:is>
          <x:t xml:space="preserve">good_practice</x:t>
        </x:is>
      </x:c>
      <x:c r="V135" t="inlineStr">
        <x:is>
          <x:t xml:space="preserve">Request_Evidence</x:t>
        </x:is>
      </x:c>
      <x:c r="W135" t="inlineStr">
        <x:is>
          <x:t xml:space="preserve">Y</x:t>
        </x:is>
      </x:c>
      <x:c r="Y135">
        <x:f>(S135*IF(E135="G",F135,0))+(S135*IF(G135="G",H135,0))</x:f>
      </x:c>
      <x:c r="Z135">
        <x:f>(S135*IF(E135="E",F135,0))+(S135*IF(G135="E",H135,0))</x:f>
      </x:c>
      <x:c r="AA135">
        <x:f>(S135*IF(E135="T",F135,0))+(S135*IF(G135="T",H135,0))</x:f>
      </x:c>
      <x:c r="AB135">
        <x:f>(S135*IF(E135="L",F135,0))+(S135*IF(G135="L",H135,0))</x:f>
      </x:c>
      <x:c r="AC135">
        <x:f>(S135*IF(E135="H",F135,0))+(S135*IF(G135="H",H135,0))</x:f>
      </x:c>
      <x:c r="AD135">
        <x:f>(S135*IF(E135="V",F135,0))+(S135*IF(G135="V",H135,0))</x:f>
      </x:c>
      <x:c r="AE135">
        <x:f>(S135*IF(E135="R",F135,0))+(S135*IF(G135="R",H135,0))</x:f>
      </x:c>
      <x:c r="AF135">
        <x:f>(S135*IF(E135="F",F135,0))+(S135*IF(G135="F",H135,0))</x:f>
      </x:c>
      <x:c r="AG135">
        <x:f>(S135*IF(E135="W",F135,0))+(S135*IF(G135="W",H135,0))</x:f>
      </x:c>
      <x:c r="AH135" t="inlineStr">
        <x:is>
          <x:t xml:space="preserve">6. Technical Controls</x:t>
        </x:is>
      </x:c>
      <x:c r="AI135" t="inlineStr">
        <x:is>
          <x:t xml:space="preserve">Data, Endpoint &amp; Cloud Controls</x:t>
        </x:is>
      </x:c>
      <x:c r="AJ135" t="inlineStr">
        <x:is>
          <x:t xml:space="preserve">Collaboration/SaaS sharing controls</x:t>
        </x:is>
      </x:c>
    </x:row>
    <x:row r="136">
      <x:c r="A136" t="inlineStr">
        <x:is>
          <x:t xml:space="preserve">Executive</x:t>
        </x:is>
      </x:c>
      <x:c r="B136" t="inlineStr">
        <x:is>
          <x:t xml:space="preserve">EXCO-D5-Q01</x:t>
        </x:is>
      </x:c>
      <x:c r="C136" t="inlineStr">
        <x:is>
          <x:t xml:space="preserve">T1</x:t>
        </x:is>
      </x:c>
      <x:c r="D136" t="inlineStr">
        <x:is>
          <x:t xml:space="preserve">5. Friction &amp; Productivity</x:t>
        </x:is>
      </x:c>
      <x:c r="E136" t="inlineStr">
        <x:is>
          <x:t xml:space="preserve">F</x:t>
        </x:is>
      </x:c>
      <x:c r="F136" t="n">
        <x:v>0.7</x:v>
      </x:c>
      <x:c r="G136" t="inlineStr">
        <x:is>
          <x:t xml:space="preserve">E</x:t>
        </x:is>
      </x:c>
      <x:c r="H136" t="n">
        <x:v>0.3</x:v>
      </x:c>
      <x:c r="I136" t="inlineStr">
        <x:is>
          <x:t xml:space="preserve">Do security controls make it hard for people to do their job, leading to workarounds (e.g., personal email/SaaS)?</x:t>
        </x:is>
      </x:c>
      <x:c r="J136" t="inlineStr">
        <x:is>
          <x:t xml:space="preserve">This is about bypass pressure: the gap between secure ways of working and what people need to do.</x:t>
        </x:is>
      </x:c>
      <x:c r="L136" t="inlineStr">
        <x:is>
          <x:t xml:space="preserve">OPS_STD</x:t>
        </x:is>
      </x:c>
      <x:c r="M136" t="n">
        <x:v>1</x:v>
      </x:c>
      <x:c r="P136" t="inlineStr">
        <x:is>
          <x:t xml:space="preserve">EXCO-D5-Q01-A5</x:t>
        </x:is>
      </x:c>
      <x:c r="Q136" t="n">
        <x:v>6</x:v>
      </x:c>
      <x:c r="R136" t="inlineStr">
        <x:is>
          <x:t xml:space="preserve">Controls are designed for usability; bypass signals are low and measured; improvements are continuous.</x:t>
        </x:is>
      </x:c>
      <x:c r="S136" t="n">
        <x:v>4</x:v>
      </x:c>
      <x:c r="T136" t="inlineStr">
        <x:is>
          <x:t xml:space="preserve">optimized</x:t>
        </x:is>
      </x:c>
      <x:c r="V136" t="inlineStr">
        <x:is>
          <x:t xml:space="preserve">Request_Evidence</x:t>
        </x:is>
      </x:c>
      <x:c r="W136" t="inlineStr">
        <x:is>
          <x:t xml:space="preserve">Y</x:t>
        </x:is>
      </x:c>
      <x:c r="Y136">
        <x:f>(S136*IF(E136="G",F136,0))+(S136*IF(G136="G",H136,0))</x:f>
      </x:c>
      <x:c r="Z136">
        <x:f>(S136*IF(E136="E",F136,0))+(S136*IF(G136="E",H136,0))</x:f>
      </x:c>
      <x:c r="AA136">
        <x:f>(S136*IF(E136="T",F136,0))+(S136*IF(G136="T",H136,0))</x:f>
      </x:c>
      <x:c r="AB136">
        <x:f>(S136*IF(E136="L",F136,0))+(S136*IF(G136="L",H136,0))</x:f>
      </x:c>
      <x:c r="AC136">
        <x:f>(S136*IF(E136="H",F136,0))+(S136*IF(G136="H",H136,0))</x:f>
      </x:c>
      <x:c r="AD136">
        <x:f>(S136*IF(E136="V",F136,0))+(S136*IF(G136="V",H136,0))</x:f>
      </x:c>
      <x:c r="AE136">
        <x:f>(S136*IF(E136="R",F136,0))+(S136*IF(G136="R",H136,0))</x:f>
      </x:c>
      <x:c r="AF136">
        <x:f>(S136*IF(E136="F",F136,0))+(S136*IF(G136="F",H136,0))</x:f>
      </x:c>
      <x:c r="AG136">
        <x:f>(S136*IF(E136="W",F136,0))+(S136*IF(G136="W",H136,0))</x:f>
      </x:c>
      <x:c r="AH136" t="inlineStr">
        <x:is>
          <x:t xml:space="preserve">6. Technical Controls</x:t>
        </x:is>
      </x:c>
      <x:c r="AI136" t="inlineStr">
        <x:is>
          <x:t xml:space="preserve">Data, Endpoint &amp; Cloud Controls</x:t>
        </x:is>
      </x:c>
      <x:c r="AJ136" t="inlineStr">
        <x:is>
          <x:t xml:space="preserve">Collaboration/SaaS sharing controls</x:t>
        </x:is>
      </x:c>
    </x:row>
    <x:row r="137">
      <x:c r="A137" t="inlineStr">
        <x:is>
          <x:t xml:space="preserve">Executive</x:t>
        </x:is>
      </x:c>
      <x:c r="B137" t="inlineStr">
        <x:is>
          <x:t xml:space="preserve">EXCO-D5-Q02</x:t>
        </x:is>
      </x:c>
      <x:c r="C137" t="inlineStr">
        <x:is>
          <x:t xml:space="preserve">T2</x:t>
        </x:is>
      </x:c>
      <x:c r="D137" t="inlineStr">
        <x:is>
          <x:t xml:space="preserve">5. Friction &amp; Productivity</x:t>
        </x:is>
      </x:c>
      <x:c r="E137" t="inlineStr">
        <x:is>
          <x:t xml:space="preserve">F</x:t>
        </x:is>
      </x:c>
      <x:c r="F137" t="n">
        <x:v>0.6</x:v>
      </x:c>
      <x:c r="G137" t="inlineStr">
        <x:is>
          <x:t xml:space="preserve">V</x:t>
        </x:is>
      </x:c>
      <x:c r="H137" t="n">
        <x:v>0.4</x:v>
      </x:c>
      <x:c r="I137" t="inlineStr">
        <x:is>
          <x:t xml:space="preserve">(Shadow probe) Do we have visibility into common workarounds (shadow IT) and why they happen?</x:t>
        </x:is>
      </x:c>
      <x:c r="J137" t="inlineStr">
        <x:is>
          <x:t xml:space="preserve">Examples: unapproved file sharing, personal accounts, unsanctioned AI tools, external USB devices.</x:t>
        </x:is>
      </x:c>
      <x:c r="L137" t="inlineStr">
        <x:is>
          <x:t xml:space="preserve">OPS_STD</x:t>
        </x:is>
      </x:c>
      <x:c r="M137" t="n">
        <x:v>1</x:v>
      </x:c>
      <x:c r="P137" t="inlineStr">
        <x:is>
          <x:t xml:space="preserve">EXCO-D5-Q02-A1</x:t>
        </x:is>
      </x:c>
      <x:c r="Q137" t="n">
        <x:v>1</x:v>
      </x:c>
      <x:c r="R137" t="inlineStr">
        <x:is>
          <x:t xml:space="preserve">No—we only find out after incidents or audits.</x:t>
        </x:is>
      </x:c>
      <x:c r="S137" t="n">
        <x:v>0</x:v>
      </x:c>
      <x:c r="T137" t="inlineStr">
        <x:is>
          <x:t xml:space="preserve">bypass_pressure,visibility_gap</x:t>
        </x:is>
      </x:c>
      <x:c r="U137" t="inlineStr">
        <x:is>
          <x:t xml:space="preserve">Bypass Pressure</x:t>
        </x:is>
      </x:c>
      <x:c r="V137" t="inlineStr">
        <x:is>
          <x:t xml:space="preserve">ShadowIT_Discovery</x:t>
        </x:is>
      </x:c>
      <x:c r="W137" t="inlineStr">
        <x:is>
          <x:t xml:space="preserve">N</x:t>
        </x:is>
      </x:c>
      <x:c r="Y137">
        <x:f>(S137*IF(E137="G",F137,0))+(S137*IF(G137="G",H137,0))</x:f>
      </x:c>
      <x:c r="Z137">
        <x:f>(S137*IF(E137="E",F137,0))+(S137*IF(G137="E",H137,0))</x:f>
      </x:c>
      <x:c r="AA137">
        <x:f>(S137*IF(E137="T",F137,0))+(S137*IF(G137="T",H137,0))</x:f>
      </x:c>
      <x:c r="AB137">
        <x:f>(S137*IF(E137="L",F137,0))+(S137*IF(G137="L",H137,0))</x:f>
      </x:c>
      <x:c r="AC137">
        <x:f>(S137*IF(E137="H",F137,0))+(S137*IF(G137="H",H137,0))</x:f>
      </x:c>
      <x:c r="AD137">
        <x:f>(S137*IF(E137="V",F137,0))+(S137*IF(G137="V",H137,0))</x:f>
      </x:c>
      <x:c r="AE137">
        <x:f>(S137*IF(E137="R",F137,0))+(S137*IF(G137="R",H137,0))</x:f>
      </x:c>
      <x:c r="AF137">
        <x:f>(S137*IF(E137="F",F137,0))+(S137*IF(G137="F",H137,0))</x:f>
      </x:c>
      <x:c r="AG137">
        <x:f>(S137*IF(E137="W",F137,0))+(S137*IF(G137="W",H137,0))</x:f>
      </x:c>
      <x:c r="AH137" t="inlineStr">
        <x:is>
          <x:t xml:space="preserve">3. Risk Management</x:t>
        </x:is>
      </x:c>
      <x:c r="AI137" t="inlineStr">
        <x:is>
          <x:t xml:space="preserve">Inventory &amp; Scope</x:t>
        </x:is>
      </x:c>
      <x:c r="AJ137" t="inlineStr">
        <x:is>
          <x:t xml:space="preserve">Critical process mapping</x:t>
        </x:is>
      </x:c>
    </x:row>
    <x:row r="138">
      <x:c r="A138" t="inlineStr">
        <x:is>
          <x:t xml:space="preserve">Executive</x:t>
        </x:is>
      </x:c>
      <x:c r="B138" t="inlineStr">
        <x:is>
          <x:t xml:space="preserve">EXCO-D5-Q02</x:t>
        </x:is>
      </x:c>
      <x:c r="C138" t="inlineStr">
        <x:is>
          <x:t xml:space="preserve">T2</x:t>
        </x:is>
      </x:c>
      <x:c r="D138" t="inlineStr">
        <x:is>
          <x:t xml:space="preserve">5. Friction &amp; Productivity</x:t>
        </x:is>
      </x:c>
      <x:c r="E138" t="inlineStr">
        <x:is>
          <x:t xml:space="preserve">F</x:t>
        </x:is>
      </x:c>
      <x:c r="F138" t="n">
        <x:v>0.6</x:v>
      </x:c>
      <x:c r="G138" t="inlineStr">
        <x:is>
          <x:t xml:space="preserve">V</x:t>
        </x:is>
      </x:c>
      <x:c r="H138" t="n">
        <x:v>0.4</x:v>
      </x:c>
      <x:c r="I138" t="inlineStr">
        <x:is>
          <x:t xml:space="preserve">(Shadow probe) Do we have visibility into common workarounds (shadow IT) and why they happen?</x:t>
        </x:is>
      </x:c>
      <x:c r="J138" t="inlineStr">
        <x:is>
          <x:t xml:space="preserve">Examples: unapproved file sharing, personal accounts, unsanctioned AI tools, external USB devices.</x:t>
        </x:is>
      </x:c>
      <x:c r="L138" t="inlineStr">
        <x:is>
          <x:t xml:space="preserve">OPS_STD</x:t>
        </x:is>
      </x:c>
      <x:c r="M138" t="n">
        <x:v>1</x:v>
      </x:c>
      <x:c r="P138" t="inlineStr">
        <x:is>
          <x:t xml:space="preserve">EXCO-D5-Q02-A2</x:t>
        </x:is>
      </x:c>
      <x:c r="Q138" t="n">
        <x:v>2</x:v>
      </x:c>
      <x:c r="R138" t="inlineStr">
        <x:is>
          <x:t xml:space="preserve">We hear about it informally, but we don’t have a structured view of causes.</x:t>
        </x:is>
      </x:c>
      <x:c r="S138" t="n">
        <x:v>1</x:v>
      </x:c>
      <x:c r="T138" t="inlineStr">
        <x:is>
          <x:t xml:space="preserve">shadow_signal</x:t>
        </x:is>
      </x:c>
      <x:c r="U138" t="inlineStr">
        <x:is>
          <x:t xml:space="preserve">Shadow Mature</x:t>
        </x:is>
      </x:c>
      <x:c r="V138" t="inlineStr">
        <x:is>
          <x:t xml:space="preserve">ShadowIT_Discovery</x:t>
        </x:is>
      </x:c>
      <x:c r="W138" t="inlineStr">
        <x:is>
          <x:t xml:space="preserve">N</x:t>
        </x:is>
      </x:c>
      <x:c r="Y138">
        <x:f>(S138*IF(E138="G",F138,0))+(S138*IF(G138="G",H138,0))</x:f>
      </x:c>
      <x:c r="Z138">
        <x:f>(S138*IF(E138="E",F138,0))+(S138*IF(G138="E",H138,0))</x:f>
      </x:c>
      <x:c r="AA138">
        <x:f>(S138*IF(E138="T",F138,0))+(S138*IF(G138="T",H138,0))</x:f>
      </x:c>
      <x:c r="AB138">
        <x:f>(S138*IF(E138="L",F138,0))+(S138*IF(G138="L",H138,0))</x:f>
      </x:c>
      <x:c r="AC138">
        <x:f>(S138*IF(E138="H",F138,0))+(S138*IF(G138="H",H138,0))</x:f>
      </x:c>
      <x:c r="AD138">
        <x:f>(S138*IF(E138="V",F138,0))+(S138*IF(G138="V",H138,0))</x:f>
      </x:c>
      <x:c r="AE138">
        <x:f>(S138*IF(E138="R",F138,0))+(S138*IF(G138="R",H138,0))</x:f>
      </x:c>
      <x:c r="AF138">
        <x:f>(S138*IF(E138="F",F138,0))+(S138*IF(G138="F",H138,0))</x:f>
      </x:c>
      <x:c r="AG138">
        <x:f>(S138*IF(E138="W",F138,0))+(S138*IF(G138="W",H138,0))</x:f>
      </x:c>
      <x:c r="AH138" t="inlineStr">
        <x:is>
          <x:t xml:space="preserve">3. Risk Management</x:t>
        </x:is>
      </x:c>
      <x:c r="AI138" t="inlineStr">
        <x:is>
          <x:t xml:space="preserve">Inventory &amp; Scope</x:t>
        </x:is>
      </x:c>
      <x:c r="AJ138" t="inlineStr">
        <x:is>
          <x:t xml:space="preserve">Critical process mapping</x:t>
        </x:is>
      </x:c>
    </x:row>
    <x:row r="139">
      <x:c r="A139" t="inlineStr">
        <x:is>
          <x:t xml:space="preserve">Executive</x:t>
        </x:is>
      </x:c>
      <x:c r="B139" t="inlineStr">
        <x:is>
          <x:t xml:space="preserve">EXCO-D5-Q02</x:t>
        </x:is>
      </x:c>
      <x:c r="C139" t="inlineStr">
        <x:is>
          <x:t xml:space="preserve">T2</x:t>
        </x:is>
      </x:c>
      <x:c r="D139" t="inlineStr">
        <x:is>
          <x:t xml:space="preserve">5. Friction &amp; Productivity</x:t>
        </x:is>
      </x:c>
      <x:c r="E139" t="inlineStr">
        <x:is>
          <x:t xml:space="preserve">F</x:t>
        </x:is>
      </x:c>
      <x:c r="F139" t="n">
        <x:v>0.6</x:v>
      </x:c>
      <x:c r="G139" t="inlineStr">
        <x:is>
          <x:t xml:space="preserve">V</x:t>
        </x:is>
      </x:c>
      <x:c r="H139" t="n">
        <x:v>0.4</x:v>
      </x:c>
      <x:c r="I139" t="inlineStr">
        <x:is>
          <x:t xml:space="preserve">(Shadow probe) Do we have visibility into common workarounds (shadow IT) and why they happen?</x:t>
        </x:is>
      </x:c>
      <x:c r="J139" t="inlineStr">
        <x:is>
          <x:t xml:space="preserve">Examples: unapproved file sharing, personal accounts, unsanctioned AI tools, external USB devices.</x:t>
        </x:is>
      </x:c>
      <x:c r="L139" t="inlineStr">
        <x:is>
          <x:t xml:space="preserve">OPS_STD</x:t>
        </x:is>
      </x:c>
      <x:c r="M139" t="n">
        <x:v>1</x:v>
      </x:c>
      <x:c r="P139" t="inlineStr">
        <x:is>
          <x:t xml:space="preserve">EXCO-D5-Q02-A3</x:t>
        </x:is>
      </x:c>
      <x:c r="Q139" t="n">
        <x:v>3</x:v>
      </x:c>
      <x:c r="R139" t="inlineStr">
        <x:is>
          <x:t xml:space="preserve">We track some signals (tickets, audits), but visibility is incomplete.</x:t>
        </x:is>
      </x:c>
      <x:c r="S139" t="n">
        <x:v>2</x:v>
      </x:c>
      <x:c r="T139" t="inlineStr">
        <x:is>
          <x:t xml:space="preserve">partial_visibility</x:t>
        </x:is>
      </x:c>
      <x:c r="V139" t="inlineStr">
        <x:is>
          <x:t xml:space="preserve">Improve_Visibility</x:t>
        </x:is>
      </x:c>
      <x:c r="W139" t="inlineStr">
        <x:is>
          <x:t xml:space="preserve">N</x:t>
        </x:is>
      </x:c>
      <x:c r="Y139">
        <x:f>(S139*IF(E139="G",F139,0))+(S139*IF(G139="G",H139,0))</x:f>
      </x:c>
      <x:c r="Z139">
        <x:f>(S139*IF(E139="E",F139,0))+(S139*IF(G139="E",H139,0))</x:f>
      </x:c>
      <x:c r="AA139">
        <x:f>(S139*IF(E139="T",F139,0))+(S139*IF(G139="T",H139,0))</x:f>
      </x:c>
      <x:c r="AB139">
        <x:f>(S139*IF(E139="L",F139,0))+(S139*IF(G139="L",H139,0))</x:f>
      </x:c>
      <x:c r="AC139">
        <x:f>(S139*IF(E139="H",F139,0))+(S139*IF(G139="H",H139,0))</x:f>
      </x:c>
      <x:c r="AD139">
        <x:f>(S139*IF(E139="V",F139,0))+(S139*IF(G139="V",H139,0))</x:f>
      </x:c>
      <x:c r="AE139">
        <x:f>(S139*IF(E139="R",F139,0))+(S139*IF(G139="R",H139,0))</x:f>
      </x:c>
      <x:c r="AF139">
        <x:f>(S139*IF(E139="F",F139,0))+(S139*IF(G139="F",H139,0))</x:f>
      </x:c>
      <x:c r="AG139">
        <x:f>(S139*IF(E139="W",F139,0))+(S139*IF(G139="W",H139,0))</x:f>
      </x:c>
      <x:c r="AH139" t="inlineStr">
        <x:is>
          <x:t xml:space="preserve">3. Risk Management</x:t>
        </x:is>
      </x:c>
      <x:c r="AI139" t="inlineStr">
        <x:is>
          <x:t xml:space="preserve">Inventory &amp; Scope</x:t>
        </x:is>
      </x:c>
      <x:c r="AJ139" t="inlineStr">
        <x:is>
          <x:t xml:space="preserve">Critical process mapping</x:t>
        </x:is>
      </x:c>
    </x:row>
    <x:row r="140">
      <x:c r="A140" t="inlineStr">
        <x:is>
          <x:t xml:space="preserve">Executive</x:t>
        </x:is>
      </x:c>
      <x:c r="B140" t="inlineStr">
        <x:is>
          <x:t xml:space="preserve">EXCO-D5-Q02</x:t>
        </x:is>
      </x:c>
      <x:c r="C140" t="inlineStr">
        <x:is>
          <x:t xml:space="preserve">T2</x:t>
        </x:is>
      </x:c>
      <x:c r="D140" t="inlineStr">
        <x:is>
          <x:t xml:space="preserve">5. Friction &amp; Productivity</x:t>
        </x:is>
      </x:c>
      <x:c r="E140" t="inlineStr">
        <x:is>
          <x:t xml:space="preserve">F</x:t>
        </x:is>
      </x:c>
      <x:c r="F140" t="n">
        <x:v>0.6</x:v>
      </x:c>
      <x:c r="G140" t="inlineStr">
        <x:is>
          <x:t xml:space="preserve">V</x:t>
        </x:is>
      </x:c>
      <x:c r="H140" t="n">
        <x:v>0.4</x:v>
      </x:c>
      <x:c r="I140" t="inlineStr">
        <x:is>
          <x:t xml:space="preserve">(Shadow probe) Do we have visibility into common workarounds (shadow IT) and why they happen?</x:t>
        </x:is>
      </x:c>
      <x:c r="J140" t="inlineStr">
        <x:is>
          <x:t xml:space="preserve">Examples: unapproved file sharing, personal accounts, unsanctioned AI tools, external USB devices.</x:t>
        </x:is>
      </x:c>
      <x:c r="L140" t="inlineStr">
        <x:is>
          <x:t xml:space="preserve">OPS_STD</x:t>
        </x:is>
      </x:c>
      <x:c r="M140" t="n">
        <x:v>1</x:v>
      </x:c>
      <x:c r="P140" t="inlineStr">
        <x:is>
          <x:t xml:space="preserve">EXCO-D5-Q02-A4</x:t>
        </x:is>
      </x:c>
      <x:c r="Q140" t="n">
        <x:v>4</x:v>
      </x:c>
      <x:c r="R140" t="inlineStr">
        <x:is>
          <x:t xml:space="preserve">Yes—we track workarounds and address root causes (usability, process speed, missing tools).</x:t>
        </x:is>
      </x:c>
      <x:c r="S140" t="n">
        <x:v>3</x:v>
      </x:c>
      <x:c r="T140" t="inlineStr">
        <x:is>
          <x:t xml:space="preserve">good_practice</x:t>
        </x:is>
      </x:c>
      <x:c r="V140" t="inlineStr">
        <x:is>
          <x:t xml:space="preserve">Request_Evidence</x:t>
        </x:is>
      </x:c>
      <x:c r="W140" t="inlineStr">
        <x:is>
          <x:t xml:space="preserve">Y</x:t>
        </x:is>
      </x:c>
      <x:c r="Y140">
        <x:f>(S140*IF(E140="G",F140,0))+(S140*IF(G140="G",H140,0))</x:f>
      </x:c>
      <x:c r="Z140">
        <x:f>(S140*IF(E140="E",F140,0))+(S140*IF(G140="E",H140,0))</x:f>
      </x:c>
      <x:c r="AA140">
        <x:f>(S140*IF(E140="T",F140,0))+(S140*IF(G140="T",H140,0))</x:f>
      </x:c>
      <x:c r="AB140">
        <x:f>(S140*IF(E140="L",F140,0))+(S140*IF(G140="L",H140,0))</x:f>
      </x:c>
      <x:c r="AC140">
        <x:f>(S140*IF(E140="H",F140,0))+(S140*IF(G140="H",H140,0))</x:f>
      </x:c>
      <x:c r="AD140">
        <x:f>(S140*IF(E140="V",F140,0))+(S140*IF(G140="V",H140,0))</x:f>
      </x:c>
      <x:c r="AE140">
        <x:f>(S140*IF(E140="R",F140,0))+(S140*IF(G140="R",H140,0))</x:f>
      </x:c>
      <x:c r="AF140">
        <x:f>(S140*IF(E140="F",F140,0))+(S140*IF(G140="F",H140,0))</x:f>
      </x:c>
      <x:c r="AG140">
        <x:f>(S140*IF(E140="W",F140,0))+(S140*IF(G140="W",H140,0))</x:f>
      </x:c>
      <x:c r="AH140" t="inlineStr">
        <x:is>
          <x:t xml:space="preserve">3. Risk Management</x:t>
        </x:is>
      </x:c>
      <x:c r="AI140" t="inlineStr">
        <x:is>
          <x:t xml:space="preserve">Inventory &amp; Scope</x:t>
        </x:is>
      </x:c>
      <x:c r="AJ140" t="inlineStr">
        <x:is>
          <x:t xml:space="preserve">Critical process mapping</x:t>
        </x:is>
      </x:c>
    </x:row>
    <x:row r="141">
      <x:c r="A141" t="inlineStr">
        <x:is>
          <x:t xml:space="preserve">Executive</x:t>
        </x:is>
      </x:c>
      <x:c r="B141" t="inlineStr">
        <x:is>
          <x:t xml:space="preserve">EXCO-D5-Q03</x:t>
        </x:is>
      </x:c>
      <x:c r="C141" t="inlineStr">
        <x:is>
          <x:t xml:space="preserve">T2</x:t>
        </x:is>
      </x:c>
      <x:c r="D141" t="inlineStr">
        <x:is>
          <x:t xml:space="preserve">5. Friction &amp; Productivity</x:t>
        </x:is>
      </x:c>
      <x:c r="E141" t="inlineStr">
        <x:is>
          <x:t xml:space="preserve">F</x:t>
        </x:is>
      </x:c>
      <x:c r="F141" t="n">
        <x:v>0.5</x:v>
      </x:c>
      <x:c r="G141" t="inlineStr">
        <x:is>
          <x:t xml:space="preserve">V</x:t>
        </x:is>
      </x:c>
      <x:c r="H141" t="n">
        <x:v>0.5</x:v>
      </x:c>
      <x:c r="I141" t="inlineStr">
        <x:is>
          <x:t xml:space="preserve">When shadow IT is found, do we provide safe alternatives quickly (so people don’t revert)?</x:t>
        </x:is>
      </x:c>
      <x:c r="J141" t="inlineStr">
        <x:is>
          <x:t xml:space="preserve">This checks whether the business can move from ‘no’ to ‘safe yes’ quickly.</x:t>
        </x:is>
      </x:c>
      <x:c r="L141" t="inlineStr">
        <x:is>
          <x:t xml:space="preserve">OPS_STD</x:t>
        </x:is>
      </x:c>
      <x:c r="M141" t="n">
        <x:v>1</x:v>
      </x:c>
      <x:c r="P141" t="inlineStr">
        <x:is>
          <x:t xml:space="preserve">EXCO-D5-Q03-A0</x:t>
        </x:is>
      </x:c>
      <x:c r="Q141" t="n">
        <x:v>1</x:v>
      </x:c>
      <x:c r="R141" t="inlineStr">
        <x:is>
          <x:t xml:space="preserve">I don’t know / not sure.</x:t>
        </x:is>
      </x:c>
      <x:c r="S141" t="n">
        <x:v>0</x:v>
      </x:c>
      <x:c r="T141" t="inlineStr">
        <x:is>
          <x:t xml:space="preserve">unknown</x:t>
        </x:is>
      </x:c>
      <x:c r="U141" t="inlineStr">
        <x:is>
          <x:t xml:space="preserve">Unknown</x:t>
        </x:is>
      </x:c>
      <x:c r="V141" t="inlineStr">
        <x:is>
          <x:t xml:space="preserve">ShadowIT_Process</x:t>
        </x:is>
      </x:c>
      <x:c r="W141" t="inlineStr">
        <x:is>
          <x:t xml:space="preserve">N</x:t>
        </x:is>
      </x:c>
      <x:c r="Y141">
        <x:f>(S141*IF(E141="G",F141,0))+(S141*IF(G141="G",H141,0))</x:f>
      </x:c>
      <x:c r="Z141">
        <x:f>(S141*IF(E141="E",F141,0))+(S141*IF(G141="E",H141,0))</x:f>
      </x:c>
      <x:c r="AA141">
        <x:f>(S141*IF(E141="T",F141,0))+(S141*IF(G141="T",H141,0))</x:f>
      </x:c>
      <x:c r="AB141">
        <x:f>(S141*IF(E141="L",F141,0))+(S141*IF(G141="L",H141,0))</x:f>
      </x:c>
      <x:c r="AC141">
        <x:f>(S141*IF(E141="H",F141,0))+(S141*IF(G141="H",H141,0))</x:f>
      </x:c>
      <x:c r="AD141">
        <x:f>(S141*IF(E141="V",F141,0))+(S141*IF(G141="V",H141,0))</x:f>
      </x:c>
      <x:c r="AE141">
        <x:f>(S141*IF(E141="R",F141,0))+(S141*IF(G141="R",H141,0))</x:f>
      </x:c>
      <x:c r="AF141">
        <x:f>(S141*IF(E141="F",F141,0))+(S141*IF(G141="F",H141,0))</x:f>
      </x:c>
      <x:c r="AG141">
        <x:f>(S141*IF(E141="W",F141,0))+(S141*IF(G141="W",H141,0))</x:f>
      </x:c>
      <x:c r="AH141" t="inlineStr">
        <x:is>
          <x:t xml:space="preserve">5. Human-Centric Culture</x:t>
        </x:is>
      </x:c>
      <x:c r="AI141" t="inlineStr">
        <x:is>
          <x:t xml:space="preserve">Personnel Security</x:t>
        </x:is>
      </x:c>
      <x:c r="AJ141" t="inlineStr">
        <x:is>
          <x:t xml:space="preserve">People-Signal Governance</x:t>
        </x:is>
      </x:c>
    </x:row>
    <x:row r="142">
      <x:c r="A142" t="inlineStr">
        <x:is>
          <x:t xml:space="preserve">Executive</x:t>
        </x:is>
      </x:c>
      <x:c r="B142" t="inlineStr">
        <x:is>
          <x:t xml:space="preserve">EXCO-D5-Q03</x:t>
        </x:is>
      </x:c>
      <x:c r="C142" t="inlineStr">
        <x:is>
          <x:t xml:space="preserve">T2</x:t>
        </x:is>
      </x:c>
      <x:c r="D142" t="inlineStr">
        <x:is>
          <x:t xml:space="preserve">5. Friction &amp; Productivity</x:t>
        </x:is>
      </x:c>
      <x:c r="E142" t="inlineStr">
        <x:is>
          <x:t xml:space="preserve">F</x:t>
        </x:is>
      </x:c>
      <x:c r="F142" t="n">
        <x:v>0.5</x:v>
      </x:c>
      <x:c r="G142" t="inlineStr">
        <x:is>
          <x:t xml:space="preserve">V</x:t>
        </x:is>
      </x:c>
      <x:c r="H142" t="n">
        <x:v>0.5</x:v>
      </x:c>
      <x:c r="I142" t="inlineStr">
        <x:is>
          <x:t xml:space="preserve">When shadow IT is found, do we provide safe alternatives quickly (so people don’t revert)?</x:t>
        </x:is>
      </x:c>
      <x:c r="J142" t="inlineStr">
        <x:is>
          <x:t xml:space="preserve">This checks whether the business can move from ‘no’ to ‘safe yes’ quickly.</x:t>
        </x:is>
      </x:c>
      <x:c r="L142" t="inlineStr">
        <x:is>
          <x:t xml:space="preserve">OPS_STD</x:t>
        </x:is>
      </x:c>
      <x:c r="M142" t="n">
        <x:v>1</x:v>
      </x:c>
      <x:c r="P142" t="inlineStr">
        <x:is>
          <x:t xml:space="preserve">EXCO-D5-Q03-A1</x:t>
        </x:is>
      </x:c>
      <x:c r="Q142" t="n">
        <x:v>2</x:v>
      </x:c>
      <x:c r="R142" t="inlineStr">
        <x:is>
          <x:t xml:space="preserve">No—shadow IT is blocked/punished, but alternatives are not provided.</x:t>
        </x:is>
      </x:c>
      <x:c r="S142" t="n">
        <x:v>0</x:v>
      </x:c>
      <x:c r="T142" t="inlineStr">
        <x:is>
          <x:t xml:space="preserve">toxic_enforcer_signal,bypass_pressure</x:t>
        </x:is>
      </x:c>
      <x:c r="U142" t="inlineStr">
        <x:is>
          <x:t xml:space="preserve">Bypass Pressure</x:t>
        </x:is>
      </x:c>
      <x:c r="V142" t="inlineStr">
        <x:is>
          <x:t xml:space="preserve">Security_UX_Review</x:t>
        </x:is>
      </x:c>
      <x:c r="W142" t="inlineStr">
        <x:is>
          <x:t xml:space="preserve">N</x:t>
        </x:is>
      </x:c>
      <x:c r="Y142">
        <x:f>(S142*IF(E142="G",F142,0))+(S142*IF(G142="G",H142,0))</x:f>
      </x:c>
      <x:c r="Z142">
        <x:f>(S142*IF(E142="E",F142,0))+(S142*IF(G142="E",H142,0))</x:f>
      </x:c>
      <x:c r="AA142">
        <x:f>(S142*IF(E142="T",F142,0))+(S142*IF(G142="T",H142,0))</x:f>
      </x:c>
      <x:c r="AB142">
        <x:f>(S142*IF(E142="L",F142,0))+(S142*IF(G142="L",H142,0))</x:f>
      </x:c>
      <x:c r="AC142">
        <x:f>(S142*IF(E142="H",F142,0))+(S142*IF(G142="H",H142,0))</x:f>
      </x:c>
      <x:c r="AD142">
        <x:f>(S142*IF(E142="V",F142,0))+(S142*IF(G142="V",H142,0))</x:f>
      </x:c>
      <x:c r="AE142">
        <x:f>(S142*IF(E142="R",F142,0))+(S142*IF(G142="R",H142,0))</x:f>
      </x:c>
      <x:c r="AF142">
        <x:f>(S142*IF(E142="F",F142,0))+(S142*IF(G142="F",H142,0))</x:f>
      </x:c>
      <x:c r="AG142">
        <x:f>(S142*IF(E142="W",F142,0))+(S142*IF(G142="W",H142,0))</x:f>
      </x:c>
      <x:c r="AH142" t="inlineStr">
        <x:is>
          <x:t xml:space="preserve">5. Human-Centric Culture</x:t>
        </x:is>
      </x:c>
      <x:c r="AI142" t="inlineStr">
        <x:is>
          <x:t xml:space="preserve">Personnel Security</x:t>
        </x:is>
      </x:c>
      <x:c r="AJ142" t="inlineStr">
        <x:is>
          <x:t xml:space="preserve">People-Signal Governance</x:t>
        </x:is>
      </x:c>
    </x:row>
    <x:row r="143">
      <x:c r="A143" t="inlineStr">
        <x:is>
          <x:t xml:space="preserve">Executive</x:t>
        </x:is>
      </x:c>
      <x:c r="B143" t="inlineStr">
        <x:is>
          <x:t xml:space="preserve">EXCO-D5-Q03</x:t>
        </x:is>
      </x:c>
      <x:c r="C143" t="inlineStr">
        <x:is>
          <x:t xml:space="preserve">T2</x:t>
        </x:is>
      </x:c>
      <x:c r="D143" t="inlineStr">
        <x:is>
          <x:t xml:space="preserve">5. Friction &amp; Productivity</x:t>
        </x:is>
      </x:c>
      <x:c r="E143" t="inlineStr">
        <x:is>
          <x:t xml:space="preserve">F</x:t>
        </x:is>
      </x:c>
      <x:c r="F143" t="n">
        <x:v>0.5</x:v>
      </x:c>
      <x:c r="G143" t="inlineStr">
        <x:is>
          <x:t xml:space="preserve">V</x:t>
        </x:is>
      </x:c>
      <x:c r="H143" t="n">
        <x:v>0.5</x:v>
      </x:c>
      <x:c r="I143" t="inlineStr">
        <x:is>
          <x:t xml:space="preserve">When shadow IT is found, do we provide safe alternatives quickly (so people don’t revert)?</x:t>
        </x:is>
      </x:c>
      <x:c r="J143" t="inlineStr">
        <x:is>
          <x:t xml:space="preserve">This checks whether the business can move from ‘no’ to ‘safe yes’ quickly.</x:t>
        </x:is>
      </x:c>
      <x:c r="L143" t="inlineStr">
        <x:is>
          <x:t xml:space="preserve">OPS_STD</x:t>
        </x:is>
      </x:c>
      <x:c r="M143" t="n">
        <x:v>1</x:v>
      </x:c>
      <x:c r="P143" t="inlineStr">
        <x:is>
          <x:t xml:space="preserve">EXCO-D5-Q03-A2</x:t>
        </x:is>
      </x:c>
      <x:c r="Q143" t="n">
        <x:v>3</x:v>
      </x:c>
      <x:c r="R143" t="inlineStr">
        <x:is>
          <x:t xml:space="preserve">Sometimes—depends on the team; approvals are slow.</x:t>
        </x:is>
      </x:c>
      <x:c r="S143" t="n">
        <x:v>1</x:v>
      </x:c>
      <x:c r="T143" t="inlineStr">
        <x:is>
          <x:t xml:space="preserve">control_lag_high</x:t>
        </x:is>
      </x:c>
      <x:c r="U143" t="inlineStr">
        <x:is>
          <x:t xml:space="preserve">Control Lag</x:t>
        </x:is>
      </x:c>
      <x:c r="V143" t="inlineStr">
        <x:is>
          <x:t xml:space="preserve">Speed_Alternatives</x:t>
        </x:is>
      </x:c>
      <x:c r="W143" t="inlineStr">
        <x:is>
          <x:t xml:space="preserve">N</x:t>
        </x:is>
      </x:c>
      <x:c r="Y143">
        <x:f>(S143*IF(E143="G",F143,0))+(S143*IF(G143="G",H143,0))</x:f>
      </x:c>
      <x:c r="Z143">
        <x:f>(S143*IF(E143="E",F143,0))+(S143*IF(G143="E",H143,0))</x:f>
      </x:c>
      <x:c r="AA143">
        <x:f>(S143*IF(E143="T",F143,0))+(S143*IF(G143="T",H143,0))</x:f>
      </x:c>
      <x:c r="AB143">
        <x:f>(S143*IF(E143="L",F143,0))+(S143*IF(G143="L",H143,0))</x:f>
      </x:c>
      <x:c r="AC143">
        <x:f>(S143*IF(E143="H",F143,0))+(S143*IF(G143="H",H143,0))</x:f>
      </x:c>
      <x:c r="AD143">
        <x:f>(S143*IF(E143="V",F143,0))+(S143*IF(G143="V",H143,0))</x:f>
      </x:c>
      <x:c r="AE143">
        <x:f>(S143*IF(E143="R",F143,0))+(S143*IF(G143="R",H143,0))</x:f>
      </x:c>
      <x:c r="AF143">
        <x:f>(S143*IF(E143="F",F143,0))+(S143*IF(G143="F",H143,0))</x:f>
      </x:c>
      <x:c r="AG143">
        <x:f>(S143*IF(E143="W",F143,0))+(S143*IF(G143="W",H143,0))</x:f>
      </x:c>
      <x:c r="AH143" t="inlineStr">
        <x:is>
          <x:t xml:space="preserve">5. Human-Centric Culture</x:t>
        </x:is>
      </x:c>
      <x:c r="AI143" t="inlineStr">
        <x:is>
          <x:t xml:space="preserve">Personnel Security</x:t>
        </x:is>
      </x:c>
      <x:c r="AJ143" t="inlineStr">
        <x:is>
          <x:t xml:space="preserve">People-Signal Governance</x:t>
        </x:is>
      </x:c>
    </x:row>
    <x:row r="144">
      <x:c r="A144" t="inlineStr">
        <x:is>
          <x:t xml:space="preserve">Executive</x:t>
        </x:is>
      </x:c>
      <x:c r="B144" t="inlineStr">
        <x:is>
          <x:t xml:space="preserve">EXCO-D5-Q03</x:t>
        </x:is>
      </x:c>
      <x:c r="C144" t="inlineStr">
        <x:is>
          <x:t xml:space="preserve">T2</x:t>
        </x:is>
      </x:c>
      <x:c r="D144" t="inlineStr">
        <x:is>
          <x:t xml:space="preserve">5. Friction &amp; Productivity</x:t>
        </x:is>
      </x:c>
      <x:c r="E144" t="inlineStr">
        <x:is>
          <x:t xml:space="preserve">F</x:t>
        </x:is>
      </x:c>
      <x:c r="F144" t="n">
        <x:v>0.5</x:v>
      </x:c>
      <x:c r="G144" t="inlineStr">
        <x:is>
          <x:t xml:space="preserve">V</x:t>
        </x:is>
      </x:c>
      <x:c r="H144" t="n">
        <x:v>0.5</x:v>
      </x:c>
      <x:c r="I144" t="inlineStr">
        <x:is>
          <x:t xml:space="preserve">When shadow IT is found, do we provide safe alternatives quickly (so people don’t revert)?</x:t>
        </x:is>
      </x:c>
      <x:c r="J144" t="inlineStr">
        <x:is>
          <x:t xml:space="preserve">This checks whether the business can move from ‘no’ to ‘safe yes’ quickly.</x:t>
        </x:is>
      </x:c>
      <x:c r="L144" t="inlineStr">
        <x:is>
          <x:t xml:space="preserve">OPS_STD</x:t>
        </x:is>
      </x:c>
      <x:c r="M144" t="n">
        <x:v>1</x:v>
      </x:c>
      <x:c r="P144" t="inlineStr">
        <x:is>
          <x:t xml:space="preserve">EXCO-D5-Q03-A3</x:t>
        </x:is>
      </x:c>
      <x:c r="Q144" t="n">
        <x:v>4</x:v>
      </x:c>
      <x:c r="R144" t="inlineStr">
        <x:is>
          <x:t xml:space="preserve">We have a process, but it’s not measured (time-to-approve, adoption).</x:t>
        </x:is>
      </x:c>
      <x:c r="S144" t="n">
        <x:v>2</x:v>
      </x:c>
      <x:c r="T144" t="inlineStr">
        <x:is>
          <x:t xml:space="preserve">paper_process</x:t>
        </x:is>
      </x:c>
      <x:c r="U144" t="inlineStr">
        <x:is>
          <x:t xml:space="preserve">Paper Dragon</x:t>
        </x:is>
      </x:c>
      <x:c r="V144" t="inlineStr">
        <x:is>
          <x:t xml:space="preserve">Measure_Alt_Delivery</x:t>
        </x:is>
      </x:c>
      <x:c r="W144" t="inlineStr">
        <x:is>
          <x:t xml:space="preserve">N</x:t>
        </x:is>
      </x:c>
      <x:c r="Y144">
        <x:f>(S144*IF(E144="G",F144,0))+(S144*IF(G144="G",H144,0))</x:f>
      </x:c>
      <x:c r="Z144">
        <x:f>(S144*IF(E144="E",F144,0))+(S144*IF(G144="E",H144,0))</x:f>
      </x:c>
      <x:c r="AA144">
        <x:f>(S144*IF(E144="T",F144,0))+(S144*IF(G144="T",H144,0))</x:f>
      </x:c>
      <x:c r="AB144">
        <x:f>(S144*IF(E144="L",F144,0))+(S144*IF(G144="L",H144,0))</x:f>
      </x:c>
      <x:c r="AC144">
        <x:f>(S144*IF(E144="H",F144,0))+(S144*IF(G144="H",H144,0))</x:f>
      </x:c>
      <x:c r="AD144">
        <x:f>(S144*IF(E144="V",F144,0))+(S144*IF(G144="V",H144,0))</x:f>
      </x:c>
      <x:c r="AE144">
        <x:f>(S144*IF(E144="R",F144,0))+(S144*IF(G144="R",H144,0))</x:f>
      </x:c>
      <x:c r="AF144">
        <x:f>(S144*IF(E144="F",F144,0))+(S144*IF(G144="F",H144,0))</x:f>
      </x:c>
      <x:c r="AG144">
        <x:f>(S144*IF(E144="W",F144,0))+(S144*IF(G144="W",H144,0))</x:f>
      </x:c>
      <x:c r="AH144" t="inlineStr">
        <x:is>
          <x:t xml:space="preserve">5. Human-Centric Culture</x:t>
        </x:is>
      </x:c>
      <x:c r="AI144" t="inlineStr">
        <x:is>
          <x:t xml:space="preserve">Personnel Security</x:t>
        </x:is>
      </x:c>
      <x:c r="AJ144" t="inlineStr">
        <x:is>
          <x:t xml:space="preserve">People-Signal Governance</x:t>
        </x:is>
      </x:c>
    </x:row>
    <x:row r="145">
      <x:c r="A145" t="inlineStr">
        <x:is>
          <x:t xml:space="preserve">Executive</x:t>
        </x:is>
      </x:c>
      <x:c r="B145" t="inlineStr">
        <x:is>
          <x:t xml:space="preserve">EXCO-D5-Q03</x:t>
        </x:is>
      </x:c>
      <x:c r="C145" t="inlineStr">
        <x:is>
          <x:t xml:space="preserve">T2</x:t>
        </x:is>
      </x:c>
      <x:c r="D145" t="inlineStr">
        <x:is>
          <x:t xml:space="preserve">5. Friction &amp; Productivity</x:t>
        </x:is>
      </x:c>
      <x:c r="E145" t="inlineStr">
        <x:is>
          <x:t xml:space="preserve">F</x:t>
        </x:is>
      </x:c>
      <x:c r="F145" t="n">
        <x:v>0.5</x:v>
      </x:c>
      <x:c r="G145" t="inlineStr">
        <x:is>
          <x:t xml:space="preserve">V</x:t>
        </x:is>
      </x:c>
      <x:c r="H145" t="n">
        <x:v>0.5</x:v>
      </x:c>
      <x:c r="I145" t="inlineStr">
        <x:is>
          <x:t xml:space="preserve">When shadow IT is found, do we provide safe alternatives quickly (so people don’t revert)?</x:t>
        </x:is>
      </x:c>
      <x:c r="J145" t="inlineStr">
        <x:is>
          <x:t xml:space="preserve">This checks whether the business can move from ‘no’ to ‘safe yes’ quickly.</x:t>
        </x:is>
      </x:c>
      <x:c r="L145" t="inlineStr">
        <x:is>
          <x:t xml:space="preserve">OPS_STD</x:t>
        </x:is>
      </x:c>
      <x:c r="M145" t="n">
        <x:v>1</x:v>
      </x:c>
      <x:c r="P145" t="inlineStr">
        <x:is>
          <x:t xml:space="preserve">EXCO-D5-Q03-A4</x:t>
        </x:is>
      </x:c>
      <x:c r="Q145" t="n">
        <x:v>5</x:v>
      </x:c>
      <x:c r="R145" t="inlineStr">
        <x:is>
          <x:t xml:space="preserve">Yes—there is a fast review and rollout process; adoption is tracked.</x:t>
        </x:is>
      </x:c>
      <x:c r="S145" t="n">
        <x:v>3</x:v>
      </x:c>
      <x:c r="T145" t="inlineStr">
        <x:is>
          <x:t xml:space="preserve">good_practice</x:t>
        </x:is>
      </x:c>
      <x:c r="V145" t="inlineStr">
        <x:is>
          <x:t xml:space="preserve">Request_Evidence</x:t>
        </x:is>
      </x:c>
      <x:c r="W145" t="inlineStr">
        <x:is>
          <x:t xml:space="preserve">Y</x:t>
        </x:is>
      </x:c>
      <x:c r="Y145">
        <x:f>(S145*IF(E145="G",F145,0))+(S145*IF(G145="G",H145,0))</x:f>
      </x:c>
      <x:c r="Z145">
        <x:f>(S145*IF(E145="E",F145,0))+(S145*IF(G145="E",H145,0))</x:f>
      </x:c>
      <x:c r="AA145">
        <x:f>(S145*IF(E145="T",F145,0))+(S145*IF(G145="T",H145,0))</x:f>
      </x:c>
      <x:c r="AB145">
        <x:f>(S145*IF(E145="L",F145,0))+(S145*IF(G145="L",H145,0))</x:f>
      </x:c>
      <x:c r="AC145">
        <x:f>(S145*IF(E145="H",F145,0))+(S145*IF(G145="H",H145,0))</x:f>
      </x:c>
      <x:c r="AD145">
        <x:f>(S145*IF(E145="V",F145,0))+(S145*IF(G145="V",H145,0))</x:f>
      </x:c>
      <x:c r="AE145">
        <x:f>(S145*IF(E145="R",F145,0))+(S145*IF(G145="R",H145,0))</x:f>
      </x:c>
      <x:c r="AF145">
        <x:f>(S145*IF(E145="F",F145,0))+(S145*IF(G145="F",H145,0))</x:f>
      </x:c>
      <x:c r="AG145">
        <x:f>(S145*IF(E145="W",F145,0))+(S145*IF(G145="W",H145,0))</x:f>
      </x:c>
      <x:c r="AH145" t="inlineStr">
        <x:is>
          <x:t xml:space="preserve">5. Human-Centric Culture</x:t>
        </x:is>
      </x:c>
      <x:c r="AI145" t="inlineStr">
        <x:is>
          <x:t xml:space="preserve">Personnel Security</x:t>
        </x:is>
      </x:c>
      <x:c r="AJ145" t="inlineStr">
        <x:is>
          <x:t xml:space="preserve">People-Signal Governance</x:t>
        </x:is>
      </x:c>
    </x:row>
    <x:row r="146">
      <x:c r="A146" t="inlineStr">
        <x:is>
          <x:t xml:space="preserve">Executive</x:t>
        </x:is>
      </x:c>
      <x:c r="B146" t="inlineStr">
        <x:is>
          <x:t xml:space="preserve">EXCO-D5-Q03</x:t>
        </x:is>
      </x:c>
      <x:c r="C146" t="inlineStr">
        <x:is>
          <x:t xml:space="preserve">T2</x:t>
        </x:is>
      </x:c>
      <x:c r="D146" t="inlineStr">
        <x:is>
          <x:t xml:space="preserve">5. Friction &amp; Productivity</x:t>
        </x:is>
      </x:c>
      <x:c r="E146" t="inlineStr">
        <x:is>
          <x:t xml:space="preserve">F</x:t>
        </x:is>
      </x:c>
      <x:c r="F146" t="n">
        <x:v>0.5</x:v>
      </x:c>
      <x:c r="G146" t="inlineStr">
        <x:is>
          <x:t xml:space="preserve">V</x:t>
        </x:is>
      </x:c>
      <x:c r="H146" t="n">
        <x:v>0.5</x:v>
      </x:c>
      <x:c r="I146" t="inlineStr">
        <x:is>
          <x:t xml:space="preserve">When shadow IT is found, do we provide safe alternatives quickly (so people don’t revert)?</x:t>
        </x:is>
      </x:c>
      <x:c r="J146" t="inlineStr">
        <x:is>
          <x:t xml:space="preserve">This checks whether the business can move from ‘no’ to ‘safe yes’ quickly.</x:t>
        </x:is>
      </x:c>
      <x:c r="L146" t="inlineStr">
        <x:is>
          <x:t xml:space="preserve">OPS_STD</x:t>
        </x:is>
      </x:c>
      <x:c r="M146" t="n">
        <x:v>1</x:v>
      </x:c>
      <x:c r="P146" t="inlineStr">
        <x:is>
          <x:t xml:space="preserve">EXCO-D5-Q03-A5</x:t>
        </x:is>
      </x:c>
      <x:c r="Q146" t="n">
        <x:v>6</x:v>
      </x:c>
      <x:c r="R146" t="inlineStr">
        <x:is>
          <x:t xml:space="preserve">Yes—secure alternatives are delivered quickly (days), with continuous feedback and improvement.</x:t>
        </x:is>
      </x:c>
      <x:c r="S146" t="n">
        <x:v>4</x:v>
      </x:c>
      <x:c r="T146" t="inlineStr">
        <x:is>
          <x:t xml:space="preserve">optimized</x:t>
        </x:is>
      </x:c>
      <x:c r="V146" t="inlineStr">
        <x:is>
          <x:t xml:space="preserve">Request_Evidence</x:t>
        </x:is>
      </x:c>
      <x:c r="W146" t="inlineStr">
        <x:is>
          <x:t xml:space="preserve">Y</x:t>
        </x:is>
      </x:c>
      <x:c r="Y146">
        <x:f>(S146*IF(E146="G",F146,0))+(S146*IF(G146="G",H146,0))</x:f>
      </x:c>
      <x:c r="Z146">
        <x:f>(S146*IF(E146="E",F146,0))+(S146*IF(G146="E",H146,0))</x:f>
      </x:c>
      <x:c r="AA146">
        <x:f>(S146*IF(E146="T",F146,0))+(S146*IF(G146="T",H146,0))</x:f>
      </x:c>
      <x:c r="AB146">
        <x:f>(S146*IF(E146="L",F146,0))+(S146*IF(G146="L",H146,0))</x:f>
      </x:c>
      <x:c r="AC146">
        <x:f>(S146*IF(E146="H",F146,0))+(S146*IF(G146="H",H146,0))</x:f>
      </x:c>
      <x:c r="AD146">
        <x:f>(S146*IF(E146="V",F146,0))+(S146*IF(G146="V",H146,0))</x:f>
      </x:c>
      <x:c r="AE146">
        <x:f>(S146*IF(E146="R",F146,0))+(S146*IF(G146="R",H146,0))</x:f>
      </x:c>
      <x:c r="AF146">
        <x:f>(S146*IF(E146="F",F146,0))+(S146*IF(G146="F",H146,0))</x:f>
      </x:c>
      <x:c r="AG146">
        <x:f>(S146*IF(E146="W",F146,0))+(S146*IF(G146="W",H146,0))</x:f>
      </x:c>
      <x:c r="AH146" t="inlineStr">
        <x:is>
          <x:t xml:space="preserve">5. Human-Centric Culture</x:t>
        </x:is>
      </x:c>
      <x:c r="AI146" t="inlineStr">
        <x:is>
          <x:t xml:space="preserve">Personnel Security</x:t>
        </x:is>
      </x:c>
      <x:c r="AJ146" t="inlineStr">
        <x:is>
          <x:t xml:space="preserve">People-Signal Governance</x:t>
        </x:is>
      </x:c>
    </x:row>
    <x:row r="147">
      <x:c r="A147" t="inlineStr">
        <x:is>
          <x:t xml:space="preserve">Executive</x:t>
        </x:is>
      </x:c>
      <x:c r="B147" t="inlineStr">
        <x:is>
          <x:t xml:space="preserve">EXCO-D6-Q01</x:t>
        </x:is>
      </x:c>
      <x:c r="C147" t="inlineStr">
        <x:is>
          <x:t xml:space="preserve">T1</x:t>
        </x:is>
      </x:c>
      <x:c r="D147" t="inlineStr">
        <x:is>
          <x:t xml:space="preserve">6. Detection &amp; Analytics</x:t>
        </x:is>
      </x:c>
      <x:c r="E147" t="inlineStr">
        <x:is>
          <x:t xml:space="preserve">T</x:t>
        </x:is>
      </x:c>
      <x:c r="F147" t="n">
        <x:v>0.6</x:v>
      </x:c>
      <x:c r="G147" t="inlineStr">
        <x:is>
          <x:t xml:space="preserve">V</x:t>
        </x:is>
      </x:c>
      <x:c r="H147" t="n">
        <x:v>0.4</x:v>
      </x:c>
      <x:c r="I147" t="inlineStr">
        <x:is>
          <x:t xml:space="preserve">What is the current focus of monitoring/detection for insider risk?</x:t>
        </x:is>
      </x:c>
      <x:c r="J147" t="inlineStr">
        <x:is>
          <x:t xml:space="preserve">Plain terms: do we only investigate after a loss, or do we proactively look for risky behaviour around sensitive assets?</x:t>
        </x:is>
      </x:c>
      <x:c r="L147" t="inlineStr">
        <x:is>
          <x:t xml:space="preserve">OPS_STD</x:t>
        </x:is>
      </x:c>
      <x:c r="M147" t="n">
        <x:v>1</x:v>
      </x:c>
      <x:c r="P147" t="inlineStr">
        <x:is>
          <x:t xml:space="preserve">EXCO-D6-Q01-A0</x:t>
        </x:is>
      </x:c>
      <x:c r="Q147" t="n">
        <x:v>1</x:v>
      </x:c>
      <x:c r="R147" t="inlineStr">
        <x:is>
          <x:t xml:space="preserve">I don’t know / not sure.</x:t>
        </x:is>
      </x:c>
      <x:c r="S147" t="n">
        <x:v>0</x:v>
      </x:c>
      <x:c r="T147" t="inlineStr">
        <x:is>
          <x:t xml:space="preserve">unknown</x:t>
        </x:is>
      </x:c>
      <x:c r="U147" t="inlineStr">
        <x:is>
          <x:t xml:space="preserve">Unknown</x:t>
        </x:is>
      </x:c>
      <x:c r="V147" t="inlineStr">
        <x:is>
          <x:t xml:space="preserve">Assess_Detection</x:t>
        </x:is>
      </x:c>
      <x:c r="W147" t="inlineStr">
        <x:is>
          <x:t xml:space="preserve">N</x:t>
        </x:is>
      </x:c>
      <x:c r="Y147">
        <x:f>(S147*IF(E147="G",F147,0))+(S147*IF(G147="G",H147,0))</x:f>
      </x:c>
      <x:c r="Z147">
        <x:f>(S147*IF(E147="E",F147,0))+(S147*IF(G147="E",H147,0))</x:f>
      </x:c>
      <x:c r="AA147">
        <x:f>(S147*IF(E147="T",F147,0))+(S147*IF(G147="T",H147,0))</x:f>
      </x:c>
      <x:c r="AB147">
        <x:f>(S147*IF(E147="L",F147,0))+(S147*IF(G147="L",H147,0))</x:f>
      </x:c>
      <x:c r="AC147">
        <x:f>(S147*IF(E147="H",F147,0))+(S147*IF(G147="H",H147,0))</x:f>
      </x:c>
      <x:c r="AD147">
        <x:f>(S147*IF(E147="V",F147,0))+(S147*IF(G147="V",H147,0))</x:f>
      </x:c>
      <x:c r="AE147">
        <x:f>(S147*IF(E147="R",F147,0))+(S147*IF(G147="R",H147,0))</x:f>
      </x:c>
      <x:c r="AF147">
        <x:f>(S147*IF(E147="F",F147,0))+(S147*IF(G147="F",H147,0))</x:f>
      </x:c>
      <x:c r="AG147">
        <x:f>(S147*IF(E147="W",F147,0))+(S147*IF(G147="W",H147,0))</x:f>
      </x:c>
      <x:c r="AH147" t="inlineStr">
        <x:is>
          <x:t xml:space="preserve">2. Threat Model &amp; Operations</x:t>
        </x:is>
      </x:c>
      <x:c r="AI147" t="inlineStr">
        <x:is>
          <x:t xml:space="preserve">Deterrence &amp; Disruption</x:t>
        </x:is>
      </x:c>
      <x:c r="AJ147" t="inlineStr">
        <x:is>
          <x:t xml:space="preserve">Sensitive transition workflow (flight-risk)</x:t>
        </x:is>
      </x:c>
    </x:row>
    <x:row r="148">
      <x:c r="A148" t="inlineStr">
        <x:is>
          <x:t xml:space="preserve">Executive</x:t>
        </x:is>
      </x:c>
      <x:c r="B148" t="inlineStr">
        <x:is>
          <x:t xml:space="preserve">EXCO-D6-Q01</x:t>
        </x:is>
      </x:c>
      <x:c r="C148" t="inlineStr">
        <x:is>
          <x:t xml:space="preserve">T1</x:t>
        </x:is>
      </x:c>
      <x:c r="D148" t="inlineStr">
        <x:is>
          <x:t xml:space="preserve">6. Detection &amp; Analytics</x:t>
        </x:is>
      </x:c>
      <x:c r="E148" t="inlineStr">
        <x:is>
          <x:t xml:space="preserve">T</x:t>
        </x:is>
      </x:c>
      <x:c r="F148" t="n">
        <x:v>0.6</x:v>
      </x:c>
      <x:c r="G148" t="inlineStr">
        <x:is>
          <x:t xml:space="preserve">V</x:t>
        </x:is>
      </x:c>
      <x:c r="H148" t="n">
        <x:v>0.4</x:v>
      </x:c>
      <x:c r="I148" t="inlineStr">
        <x:is>
          <x:t xml:space="preserve">What is the current focus of monitoring/detection for insider risk?</x:t>
        </x:is>
      </x:c>
      <x:c r="J148" t="inlineStr">
        <x:is>
          <x:t xml:space="preserve">Plain terms: do we only investigate after a loss, or do we proactively look for risky behaviour around sensitive assets?</x:t>
        </x:is>
      </x:c>
      <x:c r="L148" t="inlineStr">
        <x:is>
          <x:t xml:space="preserve">OPS_STD</x:t>
        </x:is>
      </x:c>
      <x:c r="M148" t="n">
        <x:v>1</x:v>
      </x:c>
      <x:c r="P148" t="inlineStr">
        <x:is>
          <x:t xml:space="preserve">EXCO-D6-Q01-A1</x:t>
        </x:is>
      </x:c>
      <x:c r="Q148" t="n">
        <x:v>2</x:v>
      </x:c>
      <x:c r="R148" t="inlineStr">
        <x:is>
          <x:t xml:space="preserve">Reactive—mostly investigated after a serious incident or tip-off.</x:t>
        </x:is>
      </x:c>
      <x:c r="S148" t="n">
        <x:v>0</x:v>
      </x:c>
      <x:c r="T148" t="inlineStr">
        <x:is>
          <x:t xml:space="preserve">foundational_gap</x:t>
        </x:is>
      </x:c>
      <x:c r="U148" t="inlineStr">
        <x:is>
          <x:t xml:space="preserve">Resilience Gap</x:t>
        </x:is>
      </x:c>
      <x:c r="V148" t="inlineStr">
        <x:is>
          <x:t xml:space="preserve">Build_Detection_Strategy</x:t>
        </x:is>
      </x:c>
      <x:c r="W148" t="inlineStr">
        <x:is>
          <x:t xml:space="preserve">N</x:t>
        </x:is>
      </x:c>
      <x:c r="Y148">
        <x:f>(S148*IF(E148="G",F148,0))+(S148*IF(G148="G",H148,0))</x:f>
      </x:c>
      <x:c r="Z148">
        <x:f>(S148*IF(E148="E",F148,0))+(S148*IF(G148="E",H148,0))</x:f>
      </x:c>
      <x:c r="AA148">
        <x:f>(S148*IF(E148="T",F148,0))+(S148*IF(G148="T",H148,0))</x:f>
      </x:c>
      <x:c r="AB148">
        <x:f>(S148*IF(E148="L",F148,0))+(S148*IF(G148="L",H148,0))</x:f>
      </x:c>
      <x:c r="AC148">
        <x:f>(S148*IF(E148="H",F148,0))+(S148*IF(G148="H",H148,0))</x:f>
      </x:c>
      <x:c r="AD148">
        <x:f>(S148*IF(E148="V",F148,0))+(S148*IF(G148="V",H148,0))</x:f>
      </x:c>
      <x:c r="AE148">
        <x:f>(S148*IF(E148="R",F148,0))+(S148*IF(G148="R",H148,0))</x:f>
      </x:c>
      <x:c r="AF148">
        <x:f>(S148*IF(E148="F",F148,0))+(S148*IF(G148="F",H148,0))</x:f>
      </x:c>
      <x:c r="AG148">
        <x:f>(S148*IF(E148="W",F148,0))+(S148*IF(G148="W",H148,0))</x:f>
      </x:c>
      <x:c r="AH148" t="inlineStr">
        <x:is>
          <x:t xml:space="preserve">2. Threat Model &amp; Operations</x:t>
        </x:is>
      </x:c>
      <x:c r="AI148" t="inlineStr">
        <x:is>
          <x:t xml:space="preserve">Deterrence &amp; Disruption</x:t>
        </x:is>
      </x:c>
      <x:c r="AJ148" t="inlineStr">
        <x:is>
          <x:t xml:space="preserve">Sensitive transition workflow (flight-risk)</x:t>
        </x:is>
      </x:c>
    </x:row>
    <x:row r="149">
      <x:c r="A149" t="inlineStr">
        <x:is>
          <x:t xml:space="preserve">Executive</x:t>
        </x:is>
      </x:c>
      <x:c r="B149" t="inlineStr">
        <x:is>
          <x:t xml:space="preserve">EXCO-D6-Q01</x:t>
        </x:is>
      </x:c>
      <x:c r="C149" t="inlineStr">
        <x:is>
          <x:t xml:space="preserve">T1</x:t>
        </x:is>
      </x:c>
      <x:c r="D149" t="inlineStr">
        <x:is>
          <x:t xml:space="preserve">6. Detection &amp; Analytics</x:t>
        </x:is>
      </x:c>
      <x:c r="E149" t="inlineStr">
        <x:is>
          <x:t xml:space="preserve">T</x:t>
        </x:is>
      </x:c>
      <x:c r="F149" t="n">
        <x:v>0.6</x:v>
      </x:c>
      <x:c r="G149" t="inlineStr">
        <x:is>
          <x:t xml:space="preserve">V</x:t>
        </x:is>
      </x:c>
      <x:c r="H149" t="n">
        <x:v>0.4</x:v>
      </x:c>
      <x:c r="I149" t="inlineStr">
        <x:is>
          <x:t xml:space="preserve">What is the current focus of monitoring/detection for insider risk?</x:t>
        </x:is>
      </x:c>
      <x:c r="J149" t="inlineStr">
        <x:is>
          <x:t xml:space="preserve">Plain terms: do we only investigate after a loss, or do we proactively look for risky behaviour around sensitive assets?</x:t>
        </x:is>
      </x:c>
      <x:c r="L149" t="inlineStr">
        <x:is>
          <x:t xml:space="preserve">OPS_STD</x:t>
        </x:is>
      </x:c>
      <x:c r="M149" t="n">
        <x:v>1</x:v>
      </x:c>
      <x:c r="P149" t="inlineStr">
        <x:is>
          <x:t xml:space="preserve">EXCO-D6-Q01-A2</x:t>
        </x:is>
      </x:c>
      <x:c r="Q149" t="n">
        <x:v>3</x:v>
      </x:c>
      <x:c r="R149" t="inlineStr">
        <x:is>
          <x:t xml:space="preserve">Ad-hoc—experienced individuals spot patterns, but it’s not systematic.</x:t>
        </x:is>
      </x:c>
      <x:c r="S149" t="n">
        <x:v>1</x:v>
      </x:c>
      <x:c r="T149" t="inlineStr">
        <x:is>
          <x:t xml:space="preserve">key_person_dependency,shadow_signal</x:t>
        </x:is>
      </x:c>
      <x:c r="U149" t="inlineStr">
        <x:is>
          <x:t xml:space="preserve">Shadow Mature</x:t>
        </x:is>
      </x:c>
      <x:c r="V149" t="inlineStr">
        <x:is>
          <x:t xml:space="preserve">Systematize_Detection</x:t>
        </x:is>
      </x:c>
      <x:c r="W149" t="inlineStr">
        <x:is>
          <x:t xml:space="preserve">N</x:t>
        </x:is>
      </x:c>
      <x:c r="Y149">
        <x:f>(S149*IF(E149="G",F149,0))+(S149*IF(G149="G",H149,0))</x:f>
      </x:c>
      <x:c r="Z149">
        <x:f>(S149*IF(E149="E",F149,0))+(S149*IF(G149="E",H149,0))</x:f>
      </x:c>
      <x:c r="AA149">
        <x:f>(S149*IF(E149="T",F149,0))+(S149*IF(G149="T",H149,0))</x:f>
      </x:c>
      <x:c r="AB149">
        <x:f>(S149*IF(E149="L",F149,0))+(S149*IF(G149="L",H149,0))</x:f>
      </x:c>
      <x:c r="AC149">
        <x:f>(S149*IF(E149="H",F149,0))+(S149*IF(G149="H",H149,0))</x:f>
      </x:c>
      <x:c r="AD149">
        <x:f>(S149*IF(E149="V",F149,0))+(S149*IF(G149="V",H149,0))</x:f>
      </x:c>
      <x:c r="AE149">
        <x:f>(S149*IF(E149="R",F149,0))+(S149*IF(G149="R",H149,0))</x:f>
      </x:c>
      <x:c r="AF149">
        <x:f>(S149*IF(E149="F",F149,0))+(S149*IF(G149="F",H149,0))</x:f>
      </x:c>
      <x:c r="AG149">
        <x:f>(S149*IF(E149="W",F149,0))+(S149*IF(G149="W",H149,0))</x:f>
      </x:c>
      <x:c r="AH149" t="inlineStr">
        <x:is>
          <x:t xml:space="preserve">2. Threat Model &amp; Operations</x:t>
        </x:is>
      </x:c>
      <x:c r="AI149" t="inlineStr">
        <x:is>
          <x:t xml:space="preserve">Deterrence &amp; Disruption</x:t>
        </x:is>
      </x:c>
      <x:c r="AJ149" t="inlineStr">
        <x:is>
          <x:t xml:space="preserve">Sensitive transition workflow (flight-risk)</x:t>
        </x:is>
      </x:c>
    </x:row>
    <x:row r="150">
      <x:c r="A150" t="inlineStr">
        <x:is>
          <x:t xml:space="preserve">Executive</x:t>
        </x:is>
      </x:c>
      <x:c r="B150" t="inlineStr">
        <x:is>
          <x:t xml:space="preserve">EXCO-D6-Q01</x:t>
        </x:is>
      </x:c>
      <x:c r="C150" t="inlineStr">
        <x:is>
          <x:t xml:space="preserve">T1</x:t>
        </x:is>
      </x:c>
      <x:c r="D150" t="inlineStr">
        <x:is>
          <x:t xml:space="preserve">6. Detection &amp; Analytics</x:t>
        </x:is>
      </x:c>
      <x:c r="E150" t="inlineStr">
        <x:is>
          <x:t xml:space="preserve">T</x:t>
        </x:is>
      </x:c>
      <x:c r="F150" t="n">
        <x:v>0.6</x:v>
      </x:c>
      <x:c r="G150" t="inlineStr">
        <x:is>
          <x:t xml:space="preserve">V</x:t>
        </x:is>
      </x:c>
      <x:c r="H150" t="n">
        <x:v>0.4</x:v>
      </x:c>
      <x:c r="I150" t="inlineStr">
        <x:is>
          <x:t xml:space="preserve">What is the current focus of monitoring/detection for insider risk?</x:t>
        </x:is>
      </x:c>
      <x:c r="J150" t="inlineStr">
        <x:is>
          <x:t xml:space="preserve">Plain terms: do we only investigate after a loss, or do we proactively look for risky behaviour around sensitive assets?</x:t>
        </x:is>
      </x:c>
      <x:c r="L150" t="inlineStr">
        <x:is>
          <x:t xml:space="preserve">OPS_STD</x:t>
        </x:is>
      </x:c>
      <x:c r="M150" t="n">
        <x:v>1</x:v>
      </x:c>
      <x:c r="P150" t="inlineStr">
        <x:is>
          <x:t xml:space="preserve">EXCO-D6-Q01-A3</x:t>
        </x:is>
      </x:c>
      <x:c r="Q150" t="n">
        <x:v>4</x:v>
      </x:c>
      <x:c r="R150" t="inlineStr">
        <x:is>
          <x:t xml:space="preserve">Rule-based monitoring exists (thresholds), but quality (false positives/coverage) is not measured.</x:t>
        </x:is>
      </x:c>
      <x:c r="S150" t="n">
        <x:v>2</x:v>
      </x:c>
      <x:c r="T150" t="inlineStr">
        <x:is>
          <x:t xml:space="preserve">paper_process</x:t>
        </x:is>
      </x:c>
      <x:c r="U150" t="inlineStr">
        <x:is>
          <x:t xml:space="preserve">Paper Dragon</x:t>
        </x:is>
      </x:c>
      <x:c r="V150" t="inlineStr">
        <x:is>
          <x:t xml:space="preserve">Improve_Metrics</x:t>
        </x:is>
      </x:c>
      <x:c r="W150" t="inlineStr">
        <x:is>
          <x:t xml:space="preserve">N</x:t>
        </x:is>
      </x:c>
      <x:c r="Y150">
        <x:f>(S150*IF(E150="G",F150,0))+(S150*IF(G150="G",H150,0))</x:f>
      </x:c>
      <x:c r="Z150">
        <x:f>(S150*IF(E150="E",F150,0))+(S150*IF(G150="E",H150,0))</x:f>
      </x:c>
      <x:c r="AA150">
        <x:f>(S150*IF(E150="T",F150,0))+(S150*IF(G150="T",H150,0))</x:f>
      </x:c>
      <x:c r="AB150">
        <x:f>(S150*IF(E150="L",F150,0))+(S150*IF(G150="L",H150,0))</x:f>
      </x:c>
      <x:c r="AC150">
        <x:f>(S150*IF(E150="H",F150,0))+(S150*IF(G150="H",H150,0))</x:f>
      </x:c>
      <x:c r="AD150">
        <x:f>(S150*IF(E150="V",F150,0))+(S150*IF(G150="V",H150,0))</x:f>
      </x:c>
      <x:c r="AE150">
        <x:f>(S150*IF(E150="R",F150,0))+(S150*IF(G150="R",H150,0))</x:f>
      </x:c>
      <x:c r="AF150">
        <x:f>(S150*IF(E150="F",F150,0))+(S150*IF(G150="F",H150,0))</x:f>
      </x:c>
      <x:c r="AG150">
        <x:f>(S150*IF(E150="W",F150,0))+(S150*IF(G150="W",H150,0))</x:f>
      </x:c>
      <x:c r="AH150" t="inlineStr">
        <x:is>
          <x:t xml:space="preserve">2. Threat Model &amp; Operations</x:t>
        </x:is>
      </x:c>
      <x:c r="AI150" t="inlineStr">
        <x:is>
          <x:t xml:space="preserve">Deterrence &amp; Disruption</x:t>
        </x:is>
      </x:c>
      <x:c r="AJ150" t="inlineStr">
        <x:is>
          <x:t xml:space="preserve">Sensitive transition workflow (flight-risk)</x:t>
        </x:is>
      </x:c>
    </x:row>
    <x:row r="151">
      <x:c r="A151" t="inlineStr">
        <x:is>
          <x:t xml:space="preserve">Executive</x:t>
        </x:is>
      </x:c>
      <x:c r="B151" t="inlineStr">
        <x:is>
          <x:t xml:space="preserve">EXCO-D6-Q01</x:t>
        </x:is>
      </x:c>
      <x:c r="C151" t="inlineStr">
        <x:is>
          <x:t xml:space="preserve">T1</x:t>
        </x:is>
      </x:c>
      <x:c r="D151" t="inlineStr">
        <x:is>
          <x:t xml:space="preserve">6. Detection &amp; Analytics</x:t>
        </x:is>
      </x:c>
      <x:c r="E151" t="inlineStr">
        <x:is>
          <x:t xml:space="preserve">T</x:t>
        </x:is>
      </x:c>
      <x:c r="F151" t="n">
        <x:v>0.6</x:v>
      </x:c>
      <x:c r="G151" t="inlineStr">
        <x:is>
          <x:t xml:space="preserve">V</x:t>
        </x:is>
      </x:c>
      <x:c r="H151" t="n">
        <x:v>0.4</x:v>
      </x:c>
      <x:c r="I151" t="inlineStr">
        <x:is>
          <x:t xml:space="preserve">What is the current focus of monitoring/detection for insider risk?</x:t>
        </x:is>
      </x:c>
      <x:c r="J151" t="inlineStr">
        <x:is>
          <x:t xml:space="preserve">Plain terms: do we only investigate after a loss, or do we proactively look for risky behaviour around sensitive assets?</x:t>
        </x:is>
      </x:c>
      <x:c r="L151" t="inlineStr">
        <x:is>
          <x:t xml:space="preserve">OPS_STD</x:t>
        </x:is>
      </x:c>
      <x:c r="M151" t="n">
        <x:v>1</x:v>
      </x:c>
      <x:c r="P151" t="inlineStr">
        <x:is>
          <x:t xml:space="preserve">EXCO-D6-Q01-A4</x:t>
        </x:is>
      </x:c>
      <x:c r="Q151" t="n">
        <x:v>5</x:v>
      </x:c>
      <x:c r="R151" t="inlineStr">
        <x:is>
          <x:t xml:space="preserve">Risk-based monitoring focuses on sensitive data/systems; detection quality is measured.</x:t>
        </x:is>
      </x:c>
      <x:c r="S151" t="n">
        <x:v>3</x:v>
      </x:c>
      <x:c r="T151" t="inlineStr">
        <x:is>
          <x:t xml:space="preserve">good_practice</x:t>
        </x:is>
      </x:c>
      <x:c r="V151" t="inlineStr">
        <x:is>
          <x:t xml:space="preserve">Request_Evidence</x:t>
        </x:is>
      </x:c>
      <x:c r="W151" t="inlineStr">
        <x:is>
          <x:t xml:space="preserve">Y</x:t>
        </x:is>
      </x:c>
      <x:c r="Y151">
        <x:f>(S151*IF(E151="G",F151,0))+(S151*IF(G151="G",H151,0))</x:f>
      </x:c>
      <x:c r="Z151">
        <x:f>(S151*IF(E151="E",F151,0))+(S151*IF(G151="E",H151,0))</x:f>
      </x:c>
      <x:c r="AA151">
        <x:f>(S151*IF(E151="T",F151,0))+(S151*IF(G151="T",H151,0))</x:f>
      </x:c>
      <x:c r="AB151">
        <x:f>(S151*IF(E151="L",F151,0))+(S151*IF(G151="L",H151,0))</x:f>
      </x:c>
      <x:c r="AC151">
        <x:f>(S151*IF(E151="H",F151,0))+(S151*IF(G151="H",H151,0))</x:f>
      </x:c>
      <x:c r="AD151">
        <x:f>(S151*IF(E151="V",F151,0))+(S151*IF(G151="V",H151,0))</x:f>
      </x:c>
      <x:c r="AE151">
        <x:f>(S151*IF(E151="R",F151,0))+(S151*IF(G151="R",H151,0))</x:f>
      </x:c>
      <x:c r="AF151">
        <x:f>(S151*IF(E151="F",F151,0))+(S151*IF(G151="F",H151,0))</x:f>
      </x:c>
      <x:c r="AG151">
        <x:f>(S151*IF(E151="W",F151,0))+(S151*IF(G151="W",H151,0))</x:f>
      </x:c>
      <x:c r="AH151" t="inlineStr">
        <x:is>
          <x:t xml:space="preserve">2. Threat Model &amp; Operations</x:t>
        </x:is>
      </x:c>
      <x:c r="AI151" t="inlineStr">
        <x:is>
          <x:t xml:space="preserve">Deterrence &amp; Disruption</x:t>
        </x:is>
      </x:c>
      <x:c r="AJ151" t="inlineStr">
        <x:is>
          <x:t xml:space="preserve">Sensitive transition workflow (flight-risk)</x:t>
        </x:is>
      </x:c>
    </x:row>
    <x:row r="152">
      <x:c r="A152" t="inlineStr">
        <x:is>
          <x:t xml:space="preserve">Executive</x:t>
        </x:is>
      </x:c>
      <x:c r="B152" t="inlineStr">
        <x:is>
          <x:t xml:space="preserve">EXCO-D6-Q01</x:t>
        </x:is>
      </x:c>
      <x:c r="C152" t="inlineStr">
        <x:is>
          <x:t xml:space="preserve">T1</x:t>
        </x:is>
      </x:c>
      <x:c r="D152" t="inlineStr">
        <x:is>
          <x:t xml:space="preserve">6. Detection &amp; Analytics</x:t>
        </x:is>
      </x:c>
      <x:c r="E152" t="inlineStr">
        <x:is>
          <x:t xml:space="preserve">T</x:t>
        </x:is>
      </x:c>
      <x:c r="F152" t="n">
        <x:v>0.6</x:v>
      </x:c>
      <x:c r="G152" t="inlineStr">
        <x:is>
          <x:t xml:space="preserve">V</x:t>
        </x:is>
      </x:c>
      <x:c r="H152" t="n">
        <x:v>0.4</x:v>
      </x:c>
      <x:c r="I152" t="inlineStr">
        <x:is>
          <x:t xml:space="preserve">What is the current focus of monitoring/detection for insider risk?</x:t>
        </x:is>
      </x:c>
      <x:c r="J152" t="inlineStr">
        <x:is>
          <x:t xml:space="preserve">Plain terms: do we only investigate after a loss, or do we proactively look for risky behaviour around sensitive assets?</x:t>
        </x:is>
      </x:c>
      <x:c r="L152" t="inlineStr">
        <x:is>
          <x:t xml:space="preserve">OPS_STD</x:t>
        </x:is>
      </x:c>
      <x:c r="M152" t="n">
        <x:v>1</x:v>
      </x:c>
      <x:c r="P152" t="inlineStr">
        <x:is>
          <x:t xml:space="preserve">EXCO-D6-Q01-A5</x:t>
        </x:is>
      </x:c>
      <x:c r="Q152" t="n">
        <x:v>6</x:v>
      </x:c>
      <x:c r="R152" t="inlineStr">
        <x:is>
          <x:t xml:space="preserve">Integrated detection combining multiple signals with continuous tuning and independent quality checks.</x:t>
        </x:is>
      </x:c>
      <x:c r="S152" t="n">
        <x:v>4</x:v>
      </x:c>
      <x:c r="T152" t="inlineStr">
        <x:is>
          <x:t xml:space="preserve">optimized</x:t>
        </x:is>
      </x:c>
      <x:c r="V152" t="inlineStr">
        <x:is>
          <x:t xml:space="preserve">Request_Evidence</x:t>
        </x:is>
      </x:c>
      <x:c r="W152" t="inlineStr">
        <x:is>
          <x:t xml:space="preserve">Y</x:t>
        </x:is>
      </x:c>
      <x:c r="Y152">
        <x:f>(S152*IF(E152="G",F152,0))+(S152*IF(G152="G",H152,0))</x:f>
      </x:c>
      <x:c r="Z152">
        <x:f>(S152*IF(E152="E",F152,0))+(S152*IF(G152="E",H152,0))</x:f>
      </x:c>
      <x:c r="AA152">
        <x:f>(S152*IF(E152="T",F152,0))+(S152*IF(G152="T",H152,0))</x:f>
      </x:c>
      <x:c r="AB152">
        <x:f>(S152*IF(E152="L",F152,0))+(S152*IF(G152="L",H152,0))</x:f>
      </x:c>
      <x:c r="AC152">
        <x:f>(S152*IF(E152="H",F152,0))+(S152*IF(G152="H",H152,0))</x:f>
      </x:c>
      <x:c r="AD152">
        <x:f>(S152*IF(E152="V",F152,0))+(S152*IF(G152="V",H152,0))</x:f>
      </x:c>
      <x:c r="AE152">
        <x:f>(S152*IF(E152="R",F152,0))+(S152*IF(G152="R",H152,0))</x:f>
      </x:c>
      <x:c r="AF152">
        <x:f>(S152*IF(E152="F",F152,0))+(S152*IF(G152="F",H152,0))</x:f>
      </x:c>
      <x:c r="AG152">
        <x:f>(S152*IF(E152="W",F152,0))+(S152*IF(G152="W",H152,0))</x:f>
      </x:c>
      <x:c r="AH152" t="inlineStr">
        <x:is>
          <x:t xml:space="preserve">2. Threat Model &amp; Operations</x:t>
        </x:is>
      </x:c>
      <x:c r="AI152" t="inlineStr">
        <x:is>
          <x:t xml:space="preserve">Deterrence &amp; Disruption</x:t>
        </x:is>
      </x:c>
      <x:c r="AJ152" t="inlineStr">
        <x:is>
          <x:t xml:space="preserve">Sensitive transition workflow (flight-risk)</x:t>
        </x:is>
      </x:c>
    </x:row>
    <x:row r="153">
      <x:c r="A153" t="inlineStr">
        <x:is>
          <x:t xml:space="preserve">Executive</x:t>
        </x:is>
      </x:c>
      <x:c r="B153" t="inlineStr">
        <x:is>
          <x:t xml:space="preserve">EXCO-D6-Q02</x:t>
        </x:is>
      </x:c>
      <x:c r="C153" t="inlineStr">
        <x:is>
          <x:t xml:space="preserve">T2</x:t>
        </x:is>
      </x:c>
      <x:c r="D153" t="inlineStr">
        <x:is>
          <x:t xml:space="preserve">6. Detection &amp; Analytics</x:t>
        </x:is>
      </x:c>
      <x:c r="E153" t="inlineStr">
        <x:is>
          <x:t xml:space="preserve">E</x:t>
        </x:is>
      </x:c>
      <x:c r="F153" t="n">
        <x:v>1</x:v>
      </x:c>
      <x:c r="G153" t="inlineStr">
        <x:is>
          <x:t xml:space="preserve">-</x:t>
        </x:is>
      </x:c>
      <x:c r="I153" t="inlineStr">
        <x:is>
          <x:t xml:space="preserve">(Shadow probe) Even if tools are limited, do teams consistently escalate ‘concerning behaviour’ to the right place?</x:t>
        </x:is>
      </x:c>
      <x:c r="J153" t="inlineStr">
        <x:is>
          <x:t xml:space="preserve">This checks consistent escalation habits as a substitute signal for detection maturity.</x:t>
        </x:is>
      </x:c>
      <x:c r="L153" t="inlineStr">
        <x:is>
          <x:t xml:space="preserve">OPS_STD</x:t>
        </x:is>
      </x:c>
      <x:c r="M153" t="n">
        <x:v>1</x:v>
      </x:c>
      <x:c r="P153" t="inlineStr">
        <x:is>
          <x:t xml:space="preserve">EXCO-D6-Q02-A1</x:t>
        </x:is>
      </x:c>
      <x:c r="Q153" t="n">
        <x:v>1</x:v>
      </x:c>
      <x:c r="R153" t="inlineStr">
        <x:is>
          <x:t xml:space="preserve">No—escalations are inconsistent or avoided.</x:t>
        </x:is>
      </x:c>
      <x:c r="S153" t="n">
        <x:v>0</x:v>
      </x:c>
      <x:c r="T153" t="inlineStr">
        <x:is>
          <x:t xml:space="preserve">foundational_gap</x:t>
        </x:is>
      </x:c>
      <x:c r="U153" t="inlineStr">
        <x:is>
          <x:t xml:space="preserve">Operating Model Gap</x:t>
        </x:is>
      </x:c>
      <x:c r="V153" t="inlineStr">
        <x:is>
          <x:t xml:space="preserve">Define_Escalation</x:t>
        </x:is>
      </x:c>
      <x:c r="W153" t="inlineStr">
        <x:is>
          <x:t xml:space="preserve">N</x:t>
        </x:is>
      </x:c>
      <x:c r="Y153">
        <x:f>(S153*IF(E153="G",F153,0))+(S153*IF(G153="G",H153,0))</x:f>
      </x:c>
      <x:c r="Z153">
        <x:f>(S153*IF(E153="E",F153,0))+(S153*IF(G153="E",H153,0))</x:f>
      </x:c>
      <x:c r="AA153">
        <x:f>(S153*IF(E153="T",F153,0))+(S153*IF(G153="T",H153,0))</x:f>
      </x:c>
      <x:c r="AB153">
        <x:f>(S153*IF(E153="L",F153,0))+(S153*IF(G153="L",H153,0))</x:f>
      </x:c>
      <x:c r="AC153">
        <x:f>(S153*IF(E153="H",F153,0))+(S153*IF(G153="H",H153,0))</x:f>
      </x:c>
      <x:c r="AD153">
        <x:f>(S153*IF(E153="V",F153,0))+(S153*IF(G153="V",H153,0))</x:f>
      </x:c>
      <x:c r="AE153">
        <x:f>(S153*IF(E153="R",F153,0))+(S153*IF(G153="R",H153,0))</x:f>
      </x:c>
      <x:c r="AF153">
        <x:f>(S153*IF(E153="F",F153,0))+(S153*IF(G153="F",H153,0))</x:f>
      </x:c>
      <x:c r="AG153">
        <x:f>(S153*IF(E153="W",F153,0))+(S153*IF(G153="W",H153,0))</x:f>
      </x:c>
      <x:c r="AH153" t="inlineStr">
        <x:is>
          <x:t xml:space="preserve">6. Technical Controls</x:t>
        </x:is>
      </x:c>
      <x:c r="AI153" t="inlineStr">
        <x:is>
          <x:t xml:space="preserve">Data, Endpoint &amp; Cloud Controls</x:t>
        </x:is>
      </x:c>
      <x:c r="AJ153" t="inlineStr">
        <x:is>
          <x:t xml:space="preserve">Collaboration/SaaS sharing controls</x:t>
        </x:is>
      </x:c>
    </x:row>
    <x:row r="154">
      <x:c r="A154" t="inlineStr">
        <x:is>
          <x:t xml:space="preserve">Executive</x:t>
        </x:is>
      </x:c>
      <x:c r="B154" t="inlineStr">
        <x:is>
          <x:t xml:space="preserve">EXCO-D6-Q02</x:t>
        </x:is>
      </x:c>
      <x:c r="C154" t="inlineStr">
        <x:is>
          <x:t xml:space="preserve">T2</x:t>
        </x:is>
      </x:c>
      <x:c r="D154" t="inlineStr">
        <x:is>
          <x:t xml:space="preserve">6. Detection &amp; Analytics</x:t>
        </x:is>
      </x:c>
      <x:c r="E154" t="inlineStr">
        <x:is>
          <x:t xml:space="preserve">E</x:t>
        </x:is>
      </x:c>
      <x:c r="F154" t="n">
        <x:v>1</x:v>
      </x:c>
      <x:c r="G154" t="inlineStr">
        <x:is>
          <x:t xml:space="preserve">-</x:t>
        </x:is>
      </x:c>
      <x:c r="I154" t="inlineStr">
        <x:is>
          <x:t xml:space="preserve">(Shadow probe) Even if tools are limited, do teams consistently escalate ‘concerning behaviour’ to the right place?</x:t>
        </x:is>
      </x:c>
      <x:c r="J154" t="inlineStr">
        <x:is>
          <x:t xml:space="preserve">This checks consistent escalation habits as a substitute signal for detection maturity.</x:t>
        </x:is>
      </x:c>
      <x:c r="L154" t="inlineStr">
        <x:is>
          <x:t xml:space="preserve">OPS_STD</x:t>
        </x:is>
      </x:c>
      <x:c r="M154" t="n">
        <x:v>1</x:v>
      </x:c>
      <x:c r="P154" t="inlineStr">
        <x:is>
          <x:t xml:space="preserve">EXCO-D6-Q02-A2</x:t>
        </x:is>
      </x:c>
      <x:c r="Q154" t="n">
        <x:v>2</x:v>
      </x:c>
      <x:c r="R154" t="inlineStr">
        <x:is>
          <x:t xml:space="preserve">Yes, but it depends on individuals and is not documented.</x:t>
        </x:is>
      </x:c>
      <x:c r="S154" t="n">
        <x:v>1</x:v>
      </x:c>
      <x:c r="T154" t="inlineStr">
        <x:is>
          <x:t xml:space="preserve">shadow_signal</x:t>
        </x:is>
      </x:c>
      <x:c r="U154" t="inlineStr">
        <x:is>
          <x:t xml:space="preserve">Shadow Mature</x:t>
        </x:is>
      </x:c>
      <x:c r="V154" t="inlineStr">
        <x:is>
          <x:t xml:space="preserve">Formalize_Escalation</x:t>
        </x:is>
      </x:c>
      <x:c r="W154" t="inlineStr">
        <x:is>
          <x:t xml:space="preserve">N</x:t>
        </x:is>
      </x:c>
      <x:c r="Y154">
        <x:f>(S154*IF(E154="G",F154,0))+(S154*IF(G154="G",H154,0))</x:f>
      </x:c>
      <x:c r="Z154">
        <x:f>(S154*IF(E154="E",F154,0))+(S154*IF(G154="E",H154,0))</x:f>
      </x:c>
      <x:c r="AA154">
        <x:f>(S154*IF(E154="T",F154,0))+(S154*IF(G154="T",H154,0))</x:f>
      </x:c>
      <x:c r="AB154">
        <x:f>(S154*IF(E154="L",F154,0))+(S154*IF(G154="L",H154,0))</x:f>
      </x:c>
      <x:c r="AC154">
        <x:f>(S154*IF(E154="H",F154,0))+(S154*IF(G154="H",H154,0))</x:f>
      </x:c>
      <x:c r="AD154">
        <x:f>(S154*IF(E154="V",F154,0))+(S154*IF(G154="V",H154,0))</x:f>
      </x:c>
      <x:c r="AE154">
        <x:f>(S154*IF(E154="R",F154,0))+(S154*IF(G154="R",H154,0))</x:f>
      </x:c>
      <x:c r="AF154">
        <x:f>(S154*IF(E154="F",F154,0))+(S154*IF(G154="F",H154,0))</x:f>
      </x:c>
      <x:c r="AG154">
        <x:f>(S154*IF(E154="W",F154,0))+(S154*IF(G154="W",H154,0))</x:f>
      </x:c>
      <x:c r="AH154" t="inlineStr">
        <x:is>
          <x:t xml:space="preserve">6. Technical Controls</x:t>
        </x:is>
      </x:c>
      <x:c r="AI154" t="inlineStr">
        <x:is>
          <x:t xml:space="preserve">Data, Endpoint &amp; Cloud Controls</x:t>
        </x:is>
      </x:c>
      <x:c r="AJ154" t="inlineStr">
        <x:is>
          <x:t xml:space="preserve">Collaboration/SaaS sharing controls</x:t>
        </x:is>
      </x:c>
    </x:row>
    <x:row r="155">
      <x:c r="A155" t="inlineStr">
        <x:is>
          <x:t xml:space="preserve">Executive</x:t>
        </x:is>
      </x:c>
      <x:c r="B155" t="inlineStr">
        <x:is>
          <x:t xml:space="preserve">EXCO-D6-Q02</x:t>
        </x:is>
      </x:c>
      <x:c r="C155" t="inlineStr">
        <x:is>
          <x:t xml:space="preserve">T2</x:t>
        </x:is>
      </x:c>
      <x:c r="D155" t="inlineStr">
        <x:is>
          <x:t xml:space="preserve">6. Detection &amp; Analytics</x:t>
        </x:is>
      </x:c>
      <x:c r="E155" t="inlineStr">
        <x:is>
          <x:t xml:space="preserve">E</x:t>
        </x:is>
      </x:c>
      <x:c r="F155" t="n">
        <x:v>1</x:v>
      </x:c>
      <x:c r="G155" t="inlineStr">
        <x:is>
          <x:t xml:space="preserve">-</x:t>
        </x:is>
      </x:c>
      <x:c r="I155" t="inlineStr">
        <x:is>
          <x:t xml:space="preserve">(Shadow probe) Even if tools are limited, do teams consistently escalate ‘concerning behaviour’ to the right place?</x:t>
        </x:is>
      </x:c>
      <x:c r="J155" t="inlineStr">
        <x:is>
          <x:t xml:space="preserve">This checks consistent escalation habits as a substitute signal for detection maturity.</x:t>
        </x:is>
      </x:c>
      <x:c r="L155" t="inlineStr">
        <x:is>
          <x:t xml:space="preserve">OPS_STD</x:t>
        </x:is>
      </x:c>
      <x:c r="M155" t="n">
        <x:v>1</x:v>
      </x:c>
      <x:c r="P155" t="inlineStr">
        <x:is>
          <x:t xml:space="preserve">EXCO-D6-Q02-A3</x:t>
        </x:is>
      </x:c>
      <x:c r="Q155" t="n">
        <x:v>3</x:v>
      </x:c>
      <x:c r="R155" t="inlineStr">
        <x:is>
          <x:t xml:space="preserve">Yes—there is a known path to escalate concerns and it is used consistently.</x:t>
        </x:is>
      </x:c>
      <x:c r="S155" t="n">
        <x:v>2</x:v>
      </x:c>
      <x:c r="T155" t="inlineStr">
        <x:is>
          <x:t xml:space="preserve">good_practice</x:t>
        </x:is>
      </x:c>
      <x:c r="V155" t="inlineStr">
        <x:is>
          <x:t xml:space="preserve">Request_Evidence</x:t>
        </x:is>
      </x:c>
      <x:c r="W155" t="inlineStr">
        <x:is>
          <x:t xml:space="preserve">Y</x:t>
        </x:is>
      </x:c>
      <x:c r="X155" t="inlineStr">
        <x:is>
          <x:t xml:space="preserve">Provide example of a recent escalation path (anonymised).</x:t>
        </x:is>
      </x:c>
      <x:c r="Y155">
        <x:f>(S155*IF(E155="G",F155,0))+(S155*IF(G155="G",H155,0))</x:f>
      </x:c>
      <x:c r="Z155">
        <x:f>(S155*IF(E155="E",F155,0))+(S155*IF(G155="E",H155,0))</x:f>
      </x:c>
      <x:c r="AA155">
        <x:f>(S155*IF(E155="T",F155,0))+(S155*IF(G155="T",H155,0))</x:f>
      </x:c>
      <x:c r="AB155">
        <x:f>(S155*IF(E155="L",F155,0))+(S155*IF(G155="L",H155,0))</x:f>
      </x:c>
      <x:c r="AC155">
        <x:f>(S155*IF(E155="H",F155,0))+(S155*IF(G155="H",H155,0))</x:f>
      </x:c>
      <x:c r="AD155">
        <x:f>(S155*IF(E155="V",F155,0))+(S155*IF(G155="V",H155,0))</x:f>
      </x:c>
      <x:c r="AE155">
        <x:f>(S155*IF(E155="R",F155,0))+(S155*IF(G155="R",H155,0))</x:f>
      </x:c>
      <x:c r="AF155">
        <x:f>(S155*IF(E155="F",F155,0))+(S155*IF(G155="F",H155,0))</x:f>
      </x:c>
      <x:c r="AG155">
        <x:f>(S155*IF(E155="W",F155,0))+(S155*IF(G155="W",H155,0))</x:f>
      </x:c>
      <x:c r="AH155" t="inlineStr">
        <x:is>
          <x:t xml:space="preserve">6. Technical Controls</x:t>
        </x:is>
      </x:c>
      <x:c r="AI155" t="inlineStr">
        <x:is>
          <x:t xml:space="preserve">Data, Endpoint &amp; Cloud Controls</x:t>
        </x:is>
      </x:c>
      <x:c r="AJ155" t="inlineStr">
        <x:is>
          <x:t xml:space="preserve">Collaboration/SaaS sharing controls</x:t>
        </x:is>
      </x:c>
    </x:row>
    <x:row r="156">
      <x:c r="A156" t="inlineStr">
        <x:is>
          <x:t xml:space="preserve">Executive</x:t>
        </x:is>
      </x:c>
      <x:c r="B156" t="inlineStr">
        <x:is>
          <x:t xml:space="preserve">EXCO-D6-Q02</x:t>
        </x:is>
      </x:c>
      <x:c r="C156" t="inlineStr">
        <x:is>
          <x:t xml:space="preserve">T2</x:t>
        </x:is>
      </x:c>
      <x:c r="D156" t="inlineStr">
        <x:is>
          <x:t xml:space="preserve">6. Detection &amp; Analytics</x:t>
        </x:is>
      </x:c>
      <x:c r="E156" t="inlineStr">
        <x:is>
          <x:t xml:space="preserve">E</x:t>
        </x:is>
      </x:c>
      <x:c r="F156" t="n">
        <x:v>1</x:v>
      </x:c>
      <x:c r="G156" t="inlineStr">
        <x:is>
          <x:t xml:space="preserve">-</x:t>
        </x:is>
      </x:c>
      <x:c r="I156" t="inlineStr">
        <x:is>
          <x:t xml:space="preserve">(Shadow probe) Even if tools are limited, do teams consistently escalate ‘concerning behaviour’ to the right place?</x:t>
        </x:is>
      </x:c>
      <x:c r="J156" t="inlineStr">
        <x:is>
          <x:t xml:space="preserve">This checks consistent escalation habits as a substitute signal for detection maturity.</x:t>
        </x:is>
      </x:c>
      <x:c r="L156" t="inlineStr">
        <x:is>
          <x:t xml:space="preserve">OPS_STD</x:t>
        </x:is>
      </x:c>
      <x:c r="M156" t="n">
        <x:v>1</x:v>
      </x:c>
      <x:c r="P156" t="inlineStr">
        <x:is>
          <x:t xml:space="preserve">EXCO-D6-Q02-A4</x:t>
        </x:is>
      </x:c>
      <x:c r="Q156" t="n">
        <x:v>4</x:v>
      </x:c>
      <x:c r="R156" t="inlineStr">
        <x:is>
          <x:t xml:space="preserve">Yes—and escalations are tracked with outcomes (time-to-triage, closure quality).</x:t>
        </x:is>
      </x:c>
      <x:c r="S156" t="n">
        <x:v>3</x:v>
      </x:c>
      <x:c r="T156" t="inlineStr">
        <x:is>
          <x:t xml:space="preserve">optimized</x:t>
        </x:is>
      </x:c>
      <x:c r="V156" t="inlineStr">
        <x:is>
          <x:t xml:space="preserve">Request_Evidence</x:t>
        </x:is>
      </x:c>
      <x:c r="W156" t="inlineStr">
        <x:is>
          <x:t xml:space="preserve">Y</x:t>
        </x:is>
      </x:c>
      <x:c r="Y156">
        <x:f>(S156*IF(E156="G",F156,0))+(S156*IF(G156="G",H156,0))</x:f>
      </x:c>
      <x:c r="Z156">
        <x:f>(S156*IF(E156="E",F156,0))+(S156*IF(G156="E",H156,0))</x:f>
      </x:c>
      <x:c r="AA156">
        <x:f>(S156*IF(E156="T",F156,0))+(S156*IF(G156="T",H156,0))</x:f>
      </x:c>
      <x:c r="AB156">
        <x:f>(S156*IF(E156="L",F156,0))+(S156*IF(G156="L",H156,0))</x:f>
      </x:c>
      <x:c r="AC156">
        <x:f>(S156*IF(E156="H",F156,0))+(S156*IF(G156="H",H156,0))</x:f>
      </x:c>
      <x:c r="AD156">
        <x:f>(S156*IF(E156="V",F156,0))+(S156*IF(G156="V",H156,0))</x:f>
      </x:c>
      <x:c r="AE156">
        <x:f>(S156*IF(E156="R",F156,0))+(S156*IF(G156="R",H156,0))</x:f>
      </x:c>
      <x:c r="AF156">
        <x:f>(S156*IF(E156="F",F156,0))+(S156*IF(G156="F",H156,0))</x:f>
      </x:c>
      <x:c r="AG156">
        <x:f>(S156*IF(E156="W",F156,0))+(S156*IF(G156="W",H156,0))</x:f>
      </x:c>
      <x:c r="AH156" t="inlineStr">
        <x:is>
          <x:t xml:space="preserve">6. Technical Controls</x:t>
        </x:is>
      </x:c>
      <x:c r="AI156" t="inlineStr">
        <x:is>
          <x:t xml:space="preserve">Data, Endpoint &amp; Cloud Controls</x:t>
        </x:is>
      </x:c>
      <x:c r="AJ156" t="inlineStr">
        <x:is>
          <x:t xml:space="preserve">Collaboration/SaaS sharing controls</x:t>
        </x:is>
      </x:c>
    </x:row>
    <x:row r="157">
      <x:c r="A157" t="inlineStr">
        <x:is>
          <x:t xml:space="preserve">Executive</x:t>
        </x:is>
      </x:c>
      <x:c r="B157" t="inlineStr">
        <x:is>
          <x:t xml:space="preserve">EXCO-D6-Q03</x:t>
        </x:is>
      </x:c>
      <x:c r="C157" t="inlineStr">
        <x:is>
          <x:t xml:space="preserve">T2</x:t>
        </x:is>
      </x:c>
      <x:c r="D157" t="inlineStr">
        <x:is>
          <x:t xml:space="preserve">6. Detection &amp; Analytics</x:t>
        </x:is>
      </x:c>
      <x:c r="E157" t="inlineStr">
        <x:is>
          <x:t xml:space="preserve">L</x:t>
        </x:is>
      </x:c>
      <x:c r="F157" t="n">
        <x:v>0.5</x:v>
      </x:c>
      <x:c r="G157" t="inlineStr">
        <x:is>
          <x:t xml:space="preserve">G</x:t>
        </x:is>
      </x:c>
      <x:c r="H157" t="n">
        <x:v>0.5</x:v>
      </x:c>
      <x:c r="I157" t="inlineStr">
        <x:is>
          <x:t xml:space="preserve">If HR or people-related signals are used (e.g., leavers, disputes), is there clear governance on what is shared and why?</x:t>
        </x:is>
      </x:c>
      <x:c r="J157" t="inlineStr">
        <x:is>
          <x:t xml:space="preserve">This does not mean ‘watch everyone’; it means legal basis, proportionality, approvals, and safeguards.</x:t>
        </x:is>
      </x:c>
      <x:c r="L157" t="inlineStr">
        <x:is>
          <x:t xml:space="preserve">LEG_STRICT</x:t>
        </x:is>
      </x:c>
      <x:c r="M157" t="n">
        <x:v>1</x:v>
      </x:c>
      <x:c r="P157" t="inlineStr">
        <x:is>
          <x:t xml:space="preserve">EXCO-D6-Q03-A0</x:t>
        </x:is>
      </x:c>
      <x:c r="Q157" t="n">
        <x:v>1</x:v>
      </x:c>
      <x:c r="R157" t="inlineStr">
        <x:is>
          <x:t xml:space="preserve">I don’t know / not sure.</x:t>
        </x:is>
      </x:c>
      <x:c r="S157" t="n">
        <x:v>0</x:v>
      </x:c>
      <x:c r="T157" t="inlineStr">
        <x:is>
          <x:t xml:space="preserve">unknown</x:t>
        </x:is>
      </x:c>
      <x:c r="U157" t="inlineStr">
        <x:is>
          <x:t xml:space="preserve">Unknown</x:t>
        </x:is>
      </x:c>
      <x:c r="V157" t="inlineStr">
        <x:is>
          <x:t xml:space="preserve">Legal_Defensibility_Audit</x:t>
        </x:is>
      </x:c>
      <x:c r="W157" t="inlineStr">
        <x:is>
          <x:t xml:space="preserve">N</x:t>
        </x:is>
      </x:c>
      <x:c r="Y157">
        <x:f>(S157*IF(E157="G",F157,0))+(S157*IF(G157="G",H157,0))</x:f>
      </x:c>
      <x:c r="Z157">
        <x:f>(S157*IF(E157="E",F157,0))+(S157*IF(G157="E",H157,0))</x:f>
      </x:c>
      <x:c r="AA157">
        <x:f>(S157*IF(E157="T",F157,0))+(S157*IF(G157="T",H157,0))</x:f>
      </x:c>
      <x:c r="AB157">
        <x:f>(S157*IF(E157="L",F157,0))+(S157*IF(G157="L",H157,0))</x:f>
      </x:c>
      <x:c r="AC157">
        <x:f>(S157*IF(E157="H",F157,0))+(S157*IF(G157="H",H157,0))</x:f>
      </x:c>
      <x:c r="AD157">
        <x:f>(S157*IF(E157="V",F157,0))+(S157*IF(G157="V",H157,0))</x:f>
      </x:c>
      <x:c r="AE157">
        <x:f>(S157*IF(E157="R",F157,0))+(S157*IF(G157="R",H157,0))</x:f>
      </x:c>
      <x:c r="AF157">
        <x:f>(S157*IF(E157="F",F157,0))+(S157*IF(G157="F",H157,0))</x:f>
      </x:c>
      <x:c r="AG157">
        <x:f>(S157*IF(E157="W",F157,0))+(S157*IF(G157="W",H157,0))</x:f>
      </x:c>
      <x:c r="AH157" t="inlineStr">
        <x:is>
          <x:t xml:space="preserve">5. Human-Centric Culture</x:t>
        </x:is>
      </x:c>
      <x:c r="AI157" t="inlineStr">
        <x:is>
          <x:t xml:space="preserve">Personnel Security</x:t>
        </x:is>
      </x:c>
      <x:c r="AJ157" t="inlineStr">
        <x:is>
          <x:t xml:space="preserve">People-Signal Governance</x:t>
        </x:is>
      </x:c>
    </x:row>
    <x:row r="158">
      <x:c r="A158" t="inlineStr">
        <x:is>
          <x:t xml:space="preserve">Executive</x:t>
        </x:is>
      </x:c>
      <x:c r="B158" t="inlineStr">
        <x:is>
          <x:t xml:space="preserve">EXCO-D6-Q03</x:t>
        </x:is>
      </x:c>
      <x:c r="C158" t="inlineStr">
        <x:is>
          <x:t xml:space="preserve">T2</x:t>
        </x:is>
      </x:c>
      <x:c r="D158" t="inlineStr">
        <x:is>
          <x:t xml:space="preserve">6. Detection &amp; Analytics</x:t>
        </x:is>
      </x:c>
      <x:c r="E158" t="inlineStr">
        <x:is>
          <x:t xml:space="preserve">L</x:t>
        </x:is>
      </x:c>
      <x:c r="F158" t="n">
        <x:v>0.5</x:v>
      </x:c>
      <x:c r="G158" t="inlineStr">
        <x:is>
          <x:t xml:space="preserve">G</x:t>
        </x:is>
      </x:c>
      <x:c r="H158" t="n">
        <x:v>0.5</x:v>
      </x:c>
      <x:c r="I158" t="inlineStr">
        <x:is>
          <x:t xml:space="preserve">If HR or people-related signals are used (e.g., leavers, disputes), is there clear governance on what is shared and why?</x:t>
        </x:is>
      </x:c>
      <x:c r="J158" t="inlineStr">
        <x:is>
          <x:t xml:space="preserve">This does not mean ‘watch everyone’; it means legal basis, proportionality, approvals, and safeguards.</x:t>
        </x:is>
      </x:c>
      <x:c r="L158" t="inlineStr">
        <x:is>
          <x:t xml:space="preserve">LEG_STRICT</x:t>
        </x:is>
      </x:c>
      <x:c r="M158" t="n">
        <x:v>1</x:v>
      </x:c>
      <x:c r="P158" t="inlineStr">
        <x:is>
          <x:t xml:space="preserve">EXCO-D6-Q03-A1</x:t>
        </x:is>
      </x:c>
      <x:c r="Q158" t="n">
        <x:v>2</x:v>
      </x:c>
      <x:c r="R158" t="inlineStr">
        <x:is>
          <x:t xml:space="preserve">No—HR and Security share information informally when they think it’s needed.</x:t>
        </x:is>
      </x:c>
      <x:c r="S158" t="n">
        <x:v>0</x:v>
      </x:c>
      <x:c r="T158" t="inlineStr">
        <x:is>
          <x:t xml:space="preserve">legal_red_flag</x:t>
        </x:is>
      </x:c>
      <x:c r="U158" t="inlineStr">
        <x:is>
          <x:t xml:space="preserve">Legal Exposure</x:t>
        </x:is>
      </x:c>
      <x:c r="V158" t="inlineStr">
        <x:is>
          <x:t xml:space="preserve">Legal_Defensibility_Audit</x:t>
        </x:is>
      </x:c>
      <x:c r="W158" t="inlineStr">
        <x:is>
          <x:t xml:space="preserve">N</x:t>
        </x:is>
      </x:c>
      <x:c r="Y158">
        <x:f>(S158*IF(E158="G",F158,0))+(S158*IF(G158="G",H158,0))</x:f>
      </x:c>
      <x:c r="Z158">
        <x:f>(S158*IF(E158="E",F158,0))+(S158*IF(G158="E",H158,0))</x:f>
      </x:c>
      <x:c r="AA158">
        <x:f>(S158*IF(E158="T",F158,0))+(S158*IF(G158="T",H158,0))</x:f>
      </x:c>
      <x:c r="AB158">
        <x:f>(S158*IF(E158="L",F158,0))+(S158*IF(G158="L",H158,0))</x:f>
      </x:c>
      <x:c r="AC158">
        <x:f>(S158*IF(E158="H",F158,0))+(S158*IF(G158="H",H158,0))</x:f>
      </x:c>
      <x:c r="AD158">
        <x:f>(S158*IF(E158="V",F158,0))+(S158*IF(G158="V",H158,0))</x:f>
      </x:c>
      <x:c r="AE158">
        <x:f>(S158*IF(E158="R",F158,0))+(S158*IF(G158="R",H158,0))</x:f>
      </x:c>
      <x:c r="AF158">
        <x:f>(S158*IF(E158="F",F158,0))+(S158*IF(G158="F",H158,0))</x:f>
      </x:c>
      <x:c r="AG158">
        <x:f>(S158*IF(E158="W",F158,0))+(S158*IF(G158="W",H158,0))</x:f>
      </x:c>
      <x:c r="AH158" t="inlineStr">
        <x:is>
          <x:t xml:space="preserve">5. Human-Centric Culture</x:t>
        </x:is>
      </x:c>
      <x:c r="AI158" t="inlineStr">
        <x:is>
          <x:t xml:space="preserve">Personnel Security</x:t>
        </x:is>
      </x:c>
      <x:c r="AJ158" t="inlineStr">
        <x:is>
          <x:t xml:space="preserve">People-Signal Governance</x:t>
        </x:is>
      </x:c>
    </x:row>
    <x:row r="159">
      <x:c r="A159" t="inlineStr">
        <x:is>
          <x:t xml:space="preserve">Executive</x:t>
        </x:is>
      </x:c>
      <x:c r="B159" t="inlineStr">
        <x:is>
          <x:t xml:space="preserve">EXCO-D6-Q03</x:t>
        </x:is>
      </x:c>
      <x:c r="C159" t="inlineStr">
        <x:is>
          <x:t xml:space="preserve">T2</x:t>
        </x:is>
      </x:c>
      <x:c r="D159" t="inlineStr">
        <x:is>
          <x:t xml:space="preserve">6. Detection &amp; Analytics</x:t>
        </x:is>
      </x:c>
      <x:c r="E159" t="inlineStr">
        <x:is>
          <x:t xml:space="preserve">L</x:t>
        </x:is>
      </x:c>
      <x:c r="F159" t="n">
        <x:v>0.5</x:v>
      </x:c>
      <x:c r="G159" t="inlineStr">
        <x:is>
          <x:t xml:space="preserve">G</x:t>
        </x:is>
      </x:c>
      <x:c r="H159" t="n">
        <x:v>0.5</x:v>
      </x:c>
      <x:c r="I159" t="inlineStr">
        <x:is>
          <x:t xml:space="preserve">If HR or people-related signals are used (e.g., leavers, disputes), is there clear governance on what is shared and why?</x:t>
        </x:is>
      </x:c>
      <x:c r="J159" t="inlineStr">
        <x:is>
          <x:t xml:space="preserve">This does not mean ‘watch everyone’; it means legal basis, proportionality, approvals, and safeguards.</x:t>
        </x:is>
      </x:c>
      <x:c r="L159" t="inlineStr">
        <x:is>
          <x:t xml:space="preserve">LEG_STRICT</x:t>
        </x:is>
      </x:c>
      <x:c r="M159" t="n">
        <x:v>1</x:v>
      </x:c>
      <x:c r="P159" t="inlineStr">
        <x:is>
          <x:t xml:space="preserve">EXCO-D6-Q03-A2</x:t>
        </x:is>
      </x:c>
      <x:c r="Q159" t="n">
        <x:v>3</x:v>
      </x:c>
      <x:c r="R159" t="inlineStr">
        <x:is>
          <x:t xml:space="preserve">Some sharing exists via spreadsheets/emails, but approvals and safeguards are unclear.</x:t>
        </x:is>
      </x:c>
      <x:c r="S159" t="n">
        <x:v>1</x:v>
      </x:c>
      <x:c r="T159" t="inlineStr">
        <x:is>
          <x:t xml:space="preserve">legal_red_flag</x:t>
        </x:is>
      </x:c>
      <x:c r="U159" t="inlineStr">
        <x:is>
          <x:t xml:space="preserve">Legal Exposure</x:t>
        </x:is>
      </x:c>
      <x:c r="V159" t="inlineStr">
        <x:is>
          <x:t xml:space="preserve">Legal_Defensibility_Audit</x:t>
        </x:is>
      </x:c>
      <x:c r="W159" t="inlineStr">
        <x:is>
          <x:t xml:space="preserve">N</x:t>
        </x:is>
      </x:c>
      <x:c r="Y159">
        <x:f>(S159*IF(E159="G",F159,0))+(S159*IF(G159="G",H159,0))</x:f>
      </x:c>
      <x:c r="Z159">
        <x:f>(S159*IF(E159="E",F159,0))+(S159*IF(G159="E",H159,0))</x:f>
      </x:c>
      <x:c r="AA159">
        <x:f>(S159*IF(E159="T",F159,0))+(S159*IF(G159="T",H159,0))</x:f>
      </x:c>
      <x:c r="AB159">
        <x:f>(S159*IF(E159="L",F159,0))+(S159*IF(G159="L",H159,0))</x:f>
      </x:c>
      <x:c r="AC159">
        <x:f>(S159*IF(E159="H",F159,0))+(S159*IF(G159="H",H159,0))</x:f>
      </x:c>
      <x:c r="AD159">
        <x:f>(S159*IF(E159="V",F159,0))+(S159*IF(G159="V",H159,0))</x:f>
      </x:c>
      <x:c r="AE159">
        <x:f>(S159*IF(E159="R",F159,0))+(S159*IF(G159="R",H159,0))</x:f>
      </x:c>
      <x:c r="AF159">
        <x:f>(S159*IF(E159="F",F159,0))+(S159*IF(G159="F",H159,0))</x:f>
      </x:c>
      <x:c r="AG159">
        <x:f>(S159*IF(E159="W",F159,0))+(S159*IF(G159="W",H159,0))</x:f>
      </x:c>
      <x:c r="AH159" t="inlineStr">
        <x:is>
          <x:t xml:space="preserve">5. Human-Centric Culture</x:t>
        </x:is>
      </x:c>
      <x:c r="AI159" t="inlineStr">
        <x:is>
          <x:t xml:space="preserve">Personnel Security</x:t>
        </x:is>
      </x:c>
      <x:c r="AJ159" t="inlineStr">
        <x:is>
          <x:t xml:space="preserve">People-Signal Governance</x:t>
        </x:is>
      </x:c>
    </x:row>
    <x:row r="160">
      <x:c r="A160" t="inlineStr">
        <x:is>
          <x:t xml:space="preserve">Executive</x:t>
        </x:is>
      </x:c>
      <x:c r="B160" t="inlineStr">
        <x:is>
          <x:t xml:space="preserve">EXCO-D6-Q03</x:t>
        </x:is>
      </x:c>
      <x:c r="C160" t="inlineStr">
        <x:is>
          <x:t xml:space="preserve">T2</x:t>
        </x:is>
      </x:c>
      <x:c r="D160" t="inlineStr">
        <x:is>
          <x:t xml:space="preserve">6. Detection &amp; Analytics</x:t>
        </x:is>
      </x:c>
      <x:c r="E160" t="inlineStr">
        <x:is>
          <x:t xml:space="preserve">L</x:t>
        </x:is>
      </x:c>
      <x:c r="F160" t="n">
        <x:v>0.5</x:v>
      </x:c>
      <x:c r="G160" t="inlineStr">
        <x:is>
          <x:t xml:space="preserve">G</x:t>
        </x:is>
      </x:c>
      <x:c r="H160" t="n">
        <x:v>0.5</x:v>
      </x:c>
      <x:c r="I160" t="inlineStr">
        <x:is>
          <x:t xml:space="preserve">If HR or people-related signals are used (e.g., leavers, disputes), is there clear governance on what is shared and why?</x:t>
        </x:is>
      </x:c>
      <x:c r="J160" t="inlineStr">
        <x:is>
          <x:t xml:space="preserve">This does not mean ‘watch everyone’; it means legal basis, proportionality, approvals, and safeguards.</x:t>
        </x:is>
      </x:c>
      <x:c r="L160" t="inlineStr">
        <x:is>
          <x:t xml:space="preserve">LEG_STRICT</x:t>
        </x:is>
      </x:c>
      <x:c r="M160" t="n">
        <x:v>1</x:v>
      </x:c>
      <x:c r="P160" t="inlineStr">
        <x:is>
          <x:t xml:space="preserve">EXCO-D6-Q03-A3</x:t>
        </x:is>
      </x:c>
      <x:c r="Q160" t="n">
        <x:v>4</x:v>
      </x:c>
      <x:c r="R160" t="inlineStr">
        <x:is>
          <x:t xml:space="preserve">Governance exists, but practice varies by region or manager.</x:t>
        </x:is>
      </x:c>
      <x:c r="S160" t="n">
        <x:v>2</x:v>
      </x:c>
      <x:c r="T160" t="inlineStr">
        <x:is>
          <x:t xml:space="preserve">inconsistent_execution</x:t>
        </x:is>
      </x:c>
      <x:c r="U160" t="inlineStr">
        <x:is>
          <x:t xml:space="preserve">Operating Model Gap</x:t>
        </x:is>
      </x:c>
      <x:c r="V160" t="inlineStr">
        <x:is>
          <x:t xml:space="preserve">Standardize_Governance</x:t>
        </x:is>
      </x:c>
      <x:c r="W160" t="inlineStr">
        <x:is>
          <x:t xml:space="preserve">N</x:t>
        </x:is>
      </x:c>
      <x:c r="Y160">
        <x:f>(S160*IF(E160="G",F160,0))+(S160*IF(G160="G",H160,0))</x:f>
      </x:c>
      <x:c r="Z160">
        <x:f>(S160*IF(E160="E",F160,0))+(S160*IF(G160="E",H160,0))</x:f>
      </x:c>
      <x:c r="AA160">
        <x:f>(S160*IF(E160="T",F160,0))+(S160*IF(G160="T",H160,0))</x:f>
      </x:c>
      <x:c r="AB160">
        <x:f>(S160*IF(E160="L",F160,0))+(S160*IF(G160="L",H160,0))</x:f>
      </x:c>
      <x:c r="AC160">
        <x:f>(S160*IF(E160="H",F160,0))+(S160*IF(G160="H",H160,0))</x:f>
      </x:c>
      <x:c r="AD160">
        <x:f>(S160*IF(E160="V",F160,0))+(S160*IF(G160="V",H160,0))</x:f>
      </x:c>
      <x:c r="AE160">
        <x:f>(S160*IF(E160="R",F160,0))+(S160*IF(G160="R",H160,0))</x:f>
      </x:c>
      <x:c r="AF160">
        <x:f>(S160*IF(E160="F",F160,0))+(S160*IF(G160="F",H160,0))</x:f>
      </x:c>
      <x:c r="AG160">
        <x:f>(S160*IF(E160="W",F160,0))+(S160*IF(G160="W",H160,0))</x:f>
      </x:c>
      <x:c r="AH160" t="inlineStr">
        <x:is>
          <x:t xml:space="preserve">5. Human-Centric Culture</x:t>
        </x:is>
      </x:c>
      <x:c r="AI160" t="inlineStr">
        <x:is>
          <x:t xml:space="preserve">Personnel Security</x:t>
        </x:is>
      </x:c>
      <x:c r="AJ160" t="inlineStr">
        <x:is>
          <x:t xml:space="preserve">People-Signal Governance</x:t>
        </x:is>
      </x:c>
    </x:row>
    <x:row r="161">
      <x:c r="A161" t="inlineStr">
        <x:is>
          <x:t xml:space="preserve">Executive</x:t>
        </x:is>
      </x:c>
      <x:c r="B161" t="inlineStr">
        <x:is>
          <x:t xml:space="preserve">EXCO-D6-Q03</x:t>
        </x:is>
      </x:c>
      <x:c r="C161" t="inlineStr">
        <x:is>
          <x:t xml:space="preserve">T2</x:t>
        </x:is>
      </x:c>
      <x:c r="D161" t="inlineStr">
        <x:is>
          <x:t xml:space="preserve">6. Detection &amp; Analytics</x:t>
        </x:is>
      </x:c>
      <x:c r="E161" t="inlineStr">
        <x:is>
          <x:t xml:space="preserve">L</x:t>
        </x:is>
      </x:c>
      <x:c r="F161" t="n">
        <x:v>0.5</x:v>
      </x:c>
      <x:c r="G161" t="inlineStr">
        <x:is>
          <x:t xml:space="preserve">G</x:t>
        </x:is>
      </x:c>
      <x:c r="H161" t="n">
        <x:v>0.5</x:v>
      </x:c>
      <x:c r="I161" t="inlineStr">
        <x:is>
          <x:t xml:space="preserve">If HR or people-related signals are used (e.g., leavers, disputes), is there clear governance on what is shared and why?</x:t>
        </x:is>
      </x:c>
      <x:c r="J161" t="inlineStr">
        <x:is>
          <x:t xml:space="preserve">This does not mean ‘watch everyone’; it means legal basis, proportionality, approvals, and safeguards.</x:t>
        </x:is>
      </x:c>
      <x:c r="L161" t="inlineStr">
        <x:is>
          <x:t xml:space="preserve">LEG_STRICT</x:t>
        </x:is>
      </x:c>
      <x:c r="M161" t="n">
        <x:v>1</x:v>
      </x:c>
      <x:c r="P161" t="inlineStr">
        <x:is>
          <x:t xml:space="preserve">EXCO-D6-Q03-A4</x:t>
        </x:is>
      </x:c>
      <x:c r="Q161" t="n">
        <x:v>5</x:v>
      </x:c>
      <x:c r="R161" t="inlineStr">
        <x:is>
          <x:t xml:space="preserve">Clear governance exists with approvals, minimisation, retention, and audit trails.</x:t>
        </x:is>
      </x:c>
      <x:c r="S161" t="n">
        <x:v>3</x:v>
      </x:c>
      <x:c r="T161" t="inlineStr">
        <x:is>
          <x:t xml:space="preserve">good_practice</x:t>
        </x:is>
      </x:c>
      <x:c r="V161" t="inlineStr">
        <x:is>
          <x:t xml:space="preserve">Request_Evidence</x:t>
        </x:is>
      </x:c>
      <x:c r="W161" t="inlineStr">
        <x:is>
          <x:t xml:space="preserve">Y</x:t>
        </x:is>
      </x:c>
      <x:c r="Y161">
        <x:f>(S161*IF(E161="G",F161,0))+(S161*IF(G161="G",H161,0))</x:f>
      </x:c>
      <x:c r="Z161">
        <x:f>(S161*IF(E161="E",F161,0))+(S161*IF(G161="E",H161,0))</x:f>
      </x:c>
      <x:c r="AA161">
        <x:f>(S161*IF(E161="T",F161,0))+(S161*IF(G161="T",H161,0))</x:f>
      </x:c>
      <x:c r="AB161">
        <x:f>(S161*IF(E161="L",F161,0))+(S161*IF(G161="L",H161,0))</x:f>
      </x:c>
      <x:c r="AC161">
        <x:f>(S161*IF(E161="H",F161,0))+(S161*IF(G161="H",H161,0))</x:f>
      </x:c>
      <x:c r="AD161">
        <x:f>(S161*IF(E161="V",F161,0))+(S161*IF(G161="V",H161,0))</x:f>
      </x:c>
      <x:c r="AE161">
        <x:f>(S161*IF(E161="R",F161,0))+(S161*IF(G161="R",H161,0))</x:f>
      </x:c>
      <x:c r="AF161">
        <x:f>(S161*IF(E161="F",F161,0))+(S161*IF(G161="F",H161,0))</x:f>
      </x:c>
      <x:c r="AG161">
        <x:f>(S161*IF(E161="W",F161,0))+(S161*IF(G161="W",H161,0))</x:f>
      </x:c>
      <x:c r="AH161" t="inlineStr">
        <x:is>
          <x:t xml:space="preserve">5. Human-Centric Culture</x:t>
        </x:is>
      </x:c>
      <x:c r="AI161" t="inlineStr">
        <x:is>
          <x:t xml:space="preserve">Personnel Security</x:t>
        </x:is>
      </x:c>
      <x:c r="AJ161" t="inlineStr">
        <x:is>
          <x:t xml:space="preserve">People-Signal Governance</x:t>
        </x:is>
      </x:c>
    </x:row>
    <x:row r="162">
      <x:c r="A162" t="inlineStr">
        <x:is>
          <x:t xml:space="preserve">Executive</x:t>
        </x:is>
      </x:c>
      <x:c r="B162" t="inlineStr">
        <x:is>
          <x:t xml:space="preserve">EXCO-D6-Q03</x:t>
        </x:is>
      </x:c>
      <x:c r="C162" t="inlineStr">
        <x:is>
          <x:t xml:space="preserve">T2</x:t>
        </x:is>
      </x:c>
      <x:c r="D162" t="inlineStr">
        <x:is>
          <x:t xml:space="preserve">6. Detection &amp; Analytics</x:t>
        </x:is>
      </x:c>
      <x:c r="E162" t="inlineStr">
        <x:is>
          <x:t xml:space="preserve">L</x:t>
        </x:is>
      </x:c>
      <x:c r="F162" t="n">
        <x:v>0.5</x:v>
      </x:c>
      <x:c r="G162" t="inlineStr">
        <x:is>
          <x:t xml:space="preserve">G</x:t>
        </x:is>
      </x:c>
      <x:c r="H162" t="n">
        <x:v>0.5</x:v>
      </x:c>
      <x:c r="I162" t="inlineStr">
        <x:is>
          <x:t xml:space="preserve">If HR or people-related signals are used (e.g., leavers, disputes), is there clear governance on what is shared and why?</x:t>
        </x:is>
      </x:c>
      <x:c r="J162" t="inlineStr">
        <x:is>
          <x:t xml:space="preserve">This does not mean ‘watch everyone’; it means legal basis, proportionality, approvals, and safeguards.</x:t>
        </x:is>
      </x:c>
      <x:c r="L162" t="inlineStr">
        <x:is>
          <x:t xml:space="preserve">LEG_STRICT</x:t>
        </x:is>
      </x:c>
      <x:c r="M162" t="n">
        <x:v>1</x:v>
      </x:c>
      <x:c r="P162" t="inlineStr">
        <x:is>
          <x:t xml:space="preserve">EXCO-D6-Q03-A5</x:t>
        </x:is>
      </x:c>
      <x:c r="Q162" t="n">
        <x:v>6</x:v>
      </x:c>
      <x:c r="R162" t="inlineStr">
        <x:is>
          <x:t xml:space="preserve">Governance is mature and audited; role-based access and transparency safeguards are strong.</x:t>
        </x:is>
      </x:c>
      <x:c r="S162" t="n">
        <x:v>4</x:v>
      </x:c>
      <x:c r="T162" t="inlineStr">
        <x:is>
          <x:t xml:space="preserve">optimized</x:t>
        </x:is>
      </x:c>
      <x:c r="V162" t="inlineStr">
        <x:is>
          <x:t xml:space="preserve">Request_Evidence</x:t>
        </x:is>
      </x:c>
      <x:c r="W162" t="inlineStr">
        <x:is>
          <x:t xml:space="preserve">Y</x:t>
        </x:is>
      </x:c>
      <x:c r="Y162">
        <x:f>(S162*IF(E162="G",F162,0))+(S162*IF(G162="G",H162,0))</x:f>
      </x:c>
      <x:c r="Z162">
        <x:f>(S162*IF(E162="E",F162,0))+(S162*IF(G162="E",H162,0))</x:f>
      </x:c>
      <x:c r="AA162">
        <x:f>(S162*IF(E162="T",F162,0))+(S162*IF(G162="T",H162,0))</x:f>
      </x:c>
      <x:c r="AB162">
        <x:f>(S162*IF(E162="L",F162,0))+(S162*IF(G162="L",H162,0))</x:f>
      </x:c>
      <x:c r="AC162">
        <x:f>(S162*IF(E162="H",F162,0))+(S162*IF(G162="H",H162,0))</x:f>
      </x:c>
      <x:c r="AD162">
        <x:f>(S162*IF(E162="V",F162,0))+(S162*IF(G162="V",H162,0))</x:f>
      </x:c>
      <x:c r="AE162">
        <x:f>(S162*IF(E162="R",F162,0))+(S162*IF(G162="R",H162,0))</x:f>
      </x:c>
      <x:c r="AF162">
        <x:f>(S162*IF(E162="F",F162,0))+(S162*IF(G162="F",H162,0))</x:f>
      </x:c>
      <x:c r="AG162">
        <x:f>(S162*IF(E162="W",F162,0))+(S162*IF(G162="W",H162,0))</x:f>
      </x:c>
      <x:c r="AH162" t="inlineStr">
        <x:is>
          <x:t xml:space="preserve">5. Human-Centric Culture</x:t>
        </x:is>
      </x:c>
      <x:c r="AI162" t="inlineStr">
        <x:is>
          <x:t xml:space="preserve">Personnel Security</x:t>
        </x:is>
      </x:c>
      <x:c r="AJ162" t="inlineStr">
        <x:is>
          <x:t xml:space="preserve">People-Signal Governance</x:t>
        </x:is>
      </x:c>
    </x:row>
    <x:row r="163">
      <x:c r="A163" t="inlineStr">
        <x:is>
          <x:t xml:space="preserve">Executive</x:t>
        </x:is>
      </x:c>
      <x:c r="B163" t="inlineStr">
        <x:is>
          <x:t xml:space="preserve">EXCO-D7-Q01</x:t>
        </x:is>
      </x:c>
      <x:c r="C163" t="inlineStr">
        <x:is>
          <x:t xml:space="preserve">T1</x:t>
        </x:is>
      </x:c>
      <x:c r="D163" t="inlineStr">
        <x:is>
          <x:t xml:space="preserve">7. Response &amp; Resilience</x:t>
        </x:is>
      </x:c>
      <x:c r="E163" t="inlineStr">
        <x:is>
          <x:t xml:space="preserve">R</x:t>
        </x:is>
      </x:c>
      <x:c r="F163" t="n">
        <x:v>0.6</x:v>
      </x:c>
      <x:c r="G163" t="inlineStr">
        <x:is>
          <x:t xml:space="preserve">G</x:t>
        </x:is>
      </x:c>
      <x:c r="H163" t="n">
        <x:v>0.4</x:v>
      </x:c>
      <x:c r="I163" t="inlineStr">
        <x:is>
          <x:t xml:space="preserve">When an insider concern arises, how are Security, HR, Legal and the business coordinated?</x:t>
        </x:is>
      </x:c>
      <x:c r="J163" t="inlineStr">
        <x:is>
          <x:t xml:space="preserve">Think about a predefined taskforce, clear roles, and whether cases are handled consistently.</x:t>
        </x:is>
      </x:c>
      <x:c r="L163" t="inlineStr">
        <x:is>
          <x:t xml:space="preserve">OPS_STD</x:t>
        </x:is>
      </x:c>
      <x:c r="M163" t="n">
        <x:v>1</x:v>
      </x:c>
      <x:c r="P163" t="inlineStr">
        <x:is>
          <x:t xml:space="preserve">EXCO-D7-Q01-A0</x:t>
        </x:is>
      </x:c>
      <x:c r="Q163" t="n">
        <x:v>1</x:v>
      </x:c>
      <x:c r="R163" t="inlineStr">
        <x:is>
          <x:t xml:space="preserve">I don’t know / not sure.</x:t>
        </x:is>
      </x:c>
      <x:c r="S163" t="n">
        <x:v>0</x:v>
      </x:c>
      <x:c r="T163" t="inlineStr">
        <x:is>
          <x:t xml:space="preserve">unknown</x:t>
        </x:is>
      </x:c>
      <x:c r="U163" t="inlineStr">
        <x:is>
          <x:t xml:space="preserve">Unknown</x:t>
        </x:is>
      </x:c>
      <x:c r="V163" t="inlineStr">
        <x:is>
          <x:t xml:space="preserve">Assess_Case_Model</x:t>
        </x:is>
      </x:c>
      <x:c r="W163" t="inlineStr">
        <x:is>
          <x:t xml:space="preserve">N</x:t>
        </x:is>
      </x:c>
      <x:c r="Y163">
        <x:f>(S163*IF(E163="G",F163,0))+(S163*IF(G163="G",H163,0))</x:f>
      </x:c>
      <x:c r="Z163">
        <x:f>(S163*IF(E163="E",F163,0))+(S163*IF(G163="E",H163,0))</x:f>
      </x:c>
      <x:c r="AA163">
        <x:f>(S163*IF(E163="T",F163,0))+(S163*IF(G163="T",H163,0))</x:f>
      </x:c>
      <x:c r="AB163">
        <x:f>(S163*IF(E163="L",F163,0))+(S163*IF(G163="L",H163,0))</x:f>
      </x:c>
      <x:c r="AC163">
        <x:f>(S163*IF(E163="H",F163,0))+(S163*IF(G163="H",H163,0))</x:f>
      </x:c>
      <x:c r="AD163">
        <x:f>(S163*IF(E163="V",F163,0))+(S163*IF(G163="V",H163,0))</x:f>
      </x:c>
      <x:c r="AE163">
        <x:f>(S163*IF(E163="R",F163,0))+(S163*IF(G163="R",H163,0))</x:f>
      </x:c>
      <x:c r="AF163">
        <x:f>(S163*IF(E163="F",F163,0))+(S163*IF(G163="F",H163,0))</x:f>
      </x:c>
      <x:c r="AG163">
        <x:f>(S163*IF(E163="W",F163,0))+(S163*IF(G163="W",H163,0))</x:f>
      </x:c>
      <x:c r="AH163" t="inlineStr">
        <x:is>
          <x:t xml:space="preserve">6. Technical Controls</x:t>
        </x:is>
      </x:c>
      <x:c r="AI163" t="inlineStr">
        <x:is>
          <x:t xml:space="preserve">Data, Endpoint &amp; Cloud Controls</x:t>
        </x:is>
      </x:c>
      <x:c r="AJ163" t="inlineStr">
        <x:is>
          <x:t xml:space="preserve">EDR for insider use-cases</x:t>
        </x:is>
      </x:c>
    </x:row>
    <x:row r="164">
      <x:c r="A164" t="inlineStr">
        <x:is>
          <x:t xml:space="preserve">Executive</x:t>
        </x:is>
      </x:c>
      <x:c r="B164" t="inlineStr">
        <x:is>
          <x:t xml:space="preserve">EXCO-D7-Q01</x:t>
        </x:is>
      </x:c>
      <x:c r="C164" t="inlineStr">
        <x:is>
          <x:t xml:space="preserve">T1</x:t>
        </x:is>
      </x:c>
      <x:c r="D164" t="inlineStr">
        <x:is>
          <x:t xml:space="preserve">7. Response &amp; Resilience</x:t>
        </x:is>
      </x:c>
      <x:c r="E164" t="inlineStr">
        <x:is>
          <x:t xml:space="preserve">R</x:t>
        </x:is>
      </x:c>
      <x:c r="F164" t="n">
        <x:v>0.6</x:v>
      </x:c>
      <x:c r="G164" t="inlineStr">
        <x:is>
          <x:t xml:space="preserve">G</x:t>
        </x:is>
      </x:c>
      <x:c r="H164" t="n">
        <x:v>0.4</x:v>
      </x:c>
      <x:c r="I164" t="inlineStr">
        <x:is>
          <x:t xml:space="preserve">When an insider concern arises, how are Security, HR, Legal and the business coordinated?</x:t>
        </x:is>
      </x:c>
      <x:c r="J164" t="inlineStr">
        <x:is>
          <x:t xml:space="preserve">Think about a predefined taskforce, clear roles, and whether cases are handled consistently.</x:t>
        </x:is>
      </x:c>
      <x:c r="L164" t="inlineStr">
        <x:is>
          <x:t xml:space="preserve">OPS_STD</x:t>
        </x:is>
      </x:c>
      <x:c r="M164" t="n">
        <x:v>1</x:v>
      </x:c>
      <x:c r="P164" t="inlineStr">
        <x:is>
          <x:t xml:space="preserve">EXCO-D7-Q01-A1</x:t>
        </x:is>
      </x:c>
      <x:c r="Q164" t="n">
        <x:v>2</x:v>
      </x:c>
      <x:c r="R164" t="inlineStr">
        <x:is>
          <x:t xml:space="preserve">Siloed—teams act separately and information sharing is difficult.</x:t>
        </x:is>
      </x:c>
      <x:c r="S164" t="n">
        <x:v>0</x:v>
      </x:c>
      <x:c r="T164" t="inlineStr">
        <x:is>
          <x:t xml:space="preserve">siloed</x:t>
        </x:is>
      </x:c>
      <x:c r="U164" t="inlineStr">
        <x:is>
          <x:t xml:space="preserve">Resilience Gap</x:t>
        </x:is>
      </x:c>
      <x:c r="V164" t="inlineStr">
        <x:is>
          <x:t xml:space="preserve">Design_Case_Model</x:t>
        </x:is>
      </x:c>
      <x:c r="W164" t="inlineStr">
        <x:is>
          <x:t xml:space="preserve">N</x:t>
        </x:is>
      </x:c>
      <x:c r="Y164">
        <x:f>(S164*IF(E164="G",F164,0))+(S164*IF(G164="G",H164,0))</x:f>
      </x:c>
      <x:c r="Z164">
        <x:f>(S164*IF(E164="E",F164,0))+(S164*IF(G164="E",H164,0))</x:f>
      </x:c>
      <x:c r="AA164">
        <x:f>(S164*IF(E164="T",F164,0))+(S164*IF(G164="T",H164,0))</x:f>
      </x:c>
      <x:c r="AB164">
        <x:f>(S164*IF(E164="L",F164,0))+(S164*IF(G164="L",H164,0))</x:f>
      </x:c>
      <x:c r="AC164">
        <x:f>(S164*IF(E164="H",F164,0))+(S164*IF(G164="H",H164,0))</x:f>
      </x:c>
      <x:c r="AD164">
        <x:f>(S164*IF(E164="V",F164,0))+(S164*IF(G164="V",H164,0))</x:f>
      </x:c>
      <x:c r="AE164">
        <x:f>(S164*IF(E164="R",F164,0))+(S164*IF(G164="R",H164,0))</x:f>
      </x:c>
      <x:c r="AF164">
        <x:f>(S164*IF(E164="F",F164,0))+(S164*IF(G164="F",H164,0))</x:f>
      </x:c>
      <x:c r="AG164">
        <x:f>(S164*IF(E164="W",F164,0))+(S164*IF(G164="W",H164,0))</x:f>
      </x:c>
      <x:c r="AH164" t="inlineStr">
        <x:is>
          <x:t xml:space="preserve">6. Technical Controls</x:t>
        </x:is>
      </x:c>
      <x:c r="AI164" t="inlineStr">
        <x:is>
          <x:t xml:space="preserve">Data, Endpoint &amp; Cloud Controls</x:t>
        </x:is>
      </x:c>
      <x:c r="AJ164" t="inlineStr">
        <x:is>
          <x:t xml:space="preserve">EDR for insider use-cases</x:t>
        </x:is>
      </x:c>
    </x:row>
    <x:row r="165">
      <x:c r="A165" t="inlineStr">
        <x:is>
          <x:t xml:space="preserve">Executive</x:t>
        </x:is>
      </x:c>
      <x:c r="B165" t="inlineStr">
        <x:is>
          <x:t xml:space="preserve">EXCO-D7-Q01</x:t>
        </x:is>
      </x:c>
      <x:c r="C165" t="inlineStr">
        <x:is>
          <x:t xml:space="preserve">T1</x:t>
        </x:is>
      </x:c>
      <x:c r="D165" t="inlineStr">
        <x:is>
          <x:t xml:space="preserve">7. Response &amp; Resilience</x:t>
        </x:is>
      </x:c>
      <x:c r="E165" t="inlineStr">
        <x:is>
          <x:t xml:space="preserve">R</x:t>
        </x:is>
      </x:c>
      <x:c r="F165" t="n">
        <x:v>0.6</x:v>
      </x:c>
      <x:c r="G165" t="inlineStr">
        <x:is>
          <x:t xml:space="preserve">G</x:t>
        </x:is>
      </x:c>
      <x:c r="H165" t="n">
        <x:v>0.4</x:v>
      </x:c>
      <x:c r="I165" t="inlineStr">
        <x:is>
          <x:t xml:space="preserve">When an insider concern arises, how are Security, HR, Legal and the business coordinated?</x:t>
        </x:is>
      </x:c>
      <x:c r="J165" t="inlineStr">
        <x:is>
          <x:t xml:space="preserve">Think about a predefined taskforce, clear roles, and whether cases are handled consistently.</x:t>
        </x:is>
      </x:c>
      <x:c r="L165" t="inlineStr">
        <x:is>
          <x:t xml:space="preserve">OPS_STD</x:t>
        </x:is>
      </x:c>
      <x:c r="M165" t="n">
        <x:v>1</x:v>
      </x:c>
      <x:c r="P165" t="inlineStr">
        <x:is>
          <x:t xml:space="preserve">EXCO-D7-Q01-A2</x:t>
        </x:is>
      </x:c>
      <x:c r="Q165" t="n">
        <x:v>3</x:v>
      </x:c>
      <x:c r="R165" t="inlineStr">
        <x:is>
          <x:t xml:space="preserve">Ad-hoc—teams coordinate through email/chat when needed.</x:t>
        </x:is>
      </x:c>
      <x:c r="S165" t="n">
        <x:v>1</x:v>
      </x:c>
      <x:c r="T165" t="inlineStr">
        <x:is>
          <x:t xml:space="preserve">informal_only</x:t>
        </x:is>
      </x:c>
      <x:c r="U165" t="inlineStr">
        <x:is>
          <x:t xml:space="preserve">Shadow Mature</x:t>
        </x:is>
      </x:c>
      <x:c r="V165" t="inlineStr">
        <x:is>
          <x:t xml:space="preserve">Formalize_Case_Model</x:t>
        </x:is>
      </x:c>
      <x:c r="W165" t="inlineStr">
        <x:is>
          <x:t xml:space="preserve">N</x:t>
        </x:is>
      </x:c>
      <x:c r="Y165">
        <x:f>(S165*IF(E165="G",F165,0))+(S165*IF(G165="G",H165,0))</x:f>
      </x:c>
      <x:c r="Z165">
        <x:f>(S165*IF(E165="E",F165,0))+(S165*IF(G165="E",H165,0))</x:f>
      </x:c>
      <x:c r="AA165">
        <x:f>(S165*IF(E165="T",F165,0))+(S165*IF(G165="T",H165,0))</x:f>
      </x:c>
      <x:c r="AB165">
        <x:f>(S165*IF(E165="L",F165,0))+(S165*IF(G165="L",H165,0))</x:f>
      </x:c>
      <x:c r="AC165">
        <x:f>(S165*IF(E165="H",F165,0))+(S165*IF(G165="H",H165,0))</x:f>
      </x:c>
      <x:c r="AD165">
        <x:f>(S165*IF(E165="V",F165,0))+(S165*IF(G165="V",H165,0))</x:f>
      </x:c>
      <x:c r="AE165">
        <x:f>(S165*IF(E165="R",F165,0))+(S165*IF(G165="R",H165,0))</x:f>
      </x:c>
      <x:c r="AF165">
        <x:f>(S165*IF(E165="F",F165,0))+(S165*IF(G165="F",H165,0))</x:f>
      </x:c>
      <x:c r="AG165">
        <x:f>(S165*IF(E165="W",F165,0))+(S165*IF(G165="W",H165,0))</x:f>
      </x:c>
      <x:c r="AH165" t="inlineStr">
        <x:is>
          <x:t xml:space="preserve">6. Technical Controls</x:t>
        </x:is>
      </x:c>
      <x:c r="AI165" t="inlineStr">
        <x:is>
          <x:t xml:space="preserve">Data, Endpoint &amp; Cloud Controls</x:t>
        </x:is>
      </x:c>
      <x:c r="AJ165" t="inlineStr">
        <x:is>
          <x:t xml:space="preserve">EDR for insider use-cases</x:t>
        </x:is>
      </x:c>
    </x:row>
    <x:row r="166">
      <x:c r="A166" t="inlineStr">
        <x:is>
          <x:t xml:space="preserve">Executive</x:t>
        </x:is>
      </x:c>
      <x:c r="B166" t="inlineStr">
        <x:is>
          <x:t xml:space="preserve">EXCO-D7-Q01</x:t>
        </x:is>
      </x:c>
      <x:c r="C166" t="inlineStr">
        <x:is>
          <x:t xml:space="preserve">T1</x:t>
        </x:is>
      </x:c>
      <x:c r="D166" t="inlineStr">
        <x:is>
          <x:t xml:space="preserve">7. Response &amp; Resilience</x:t>
        </x:is>
      </x:c>
      <x:c r="E166" t="inlineStr">
        <x:is>
          <x:t xml:space="preserve">R</x:t>
        </x:is>
      </x:c>
      <x:c r="F166" t="n">
        <x:v>0.6</x:v>
      </x:c>
      <x:c r="G166" t="inlineStr">
        <x:is>
          <x:t xml:space="preserve">G</x:t>
        </x:is>
      </x:c>
      <x:c r="H166" t="n">
        <x:v>0.4</x:v>
      </x:c>
      <x:c r="I166" t="inlineStr">
        <x:is>
          <x:t xml:space="preserve">When an insider concern arises, how are Security, HR, Legal and the business coordinated?</x:t>
        </x:is>
      </x:c>
      <x:c r="J166" t="inlineStr">
        <x:is>
          <x:t xml:space="preserve">Think about a predefined taskforce, clear roles, and whether cases are handled consistently.</x:t>
        </x:is>
      </x:c>
      <x:c r="L166" t="inlineStr">
        <x:is>
          <x:t xml:space="preserve">OPS_STD</x:t>
        </x:is>
      </x:c>
      <x:c r="M166" t="n">
        <x:v>1</x:v>
      </x:c>
      <x:c r="P166" t="inlineStr">
        <x:is>
          <x:t xml:space="preserve">EXCO-D7-Q01-A3</x:t>
        </x:is>
      </x:c>
      <x:c r="Q166" t="n">
        <x:v>4</x:v>
      </x:c>
      <x:c r="R166" t="inlineStr">
        <x:is>
          <x:t xml:space="preserve">A process exists, but it’s generic (not tailored for insider cases) or inconsistently used.</x:t>
        </x:is>
      </x:c>
      <x:c r="S166" t="n">
        <x:v>2</x:v>
      </x:c>
      <x:c r="T166" t="inlineStr">
        <x:is>
          <x:t xml:space="preserve">paper_process</x:t>
        </x:is>
      </x:c>
      <x:c r="U166" t="inlineStr">
        <x:is>
          <x:t xml:space="preserve">Paper Dragon</x:t>
        </x:is>
      </x:c>
      <x:c r="V166" t="inlineStr">
        <x:is>
          <x:t xml:space="preserve">Insider_Playbooks</x:t>
        </x:is>
      </x:c>
      <x:c r="W166" t="inlineStr">
        <x:is>
          <x:t xml:space="preserve">N</x:t>
        </x:is>
      </x:c>
      <x:c r="Y166">
        <x:f>(S166*IF(E166="G",F166,0))+(S166*IF(G166="G",H166,0))</x:f>
      </x:c>
      <x:c r="Z166">
        <x:f>(S166*IF(E166="E",F166,0))+(S166*IF(G166="E",H166,0))</x:f>
      </x:c>
      <x:c r="AA166">
        <x:f>(S166*IF(E166="T",F166,0))+(S166*IF(G166="T",H166,0))</x:f>
      </x:c>
      <x:c r="AB166">
        <x:f>(S166*IF(E166="L",F166,0))+(S166*IF(G166="L",H166,0))</x:f>
      </x:c>
      <x:c r="AC166">
        <x:f>(S166*IF(E166="H",F166,0))+(S166*IF(G166="H",H166,0))</x:f>
      </x:c>
      <x:c r="AD166">
        <x:f>(S166*IF(E166="V",F166,0))+(S166*IF(G166="V",H166,0))</x:f>
      </x:c>
      <x:c r="AE166">
        <x:f>(S166*IF(E166="R",F166,0))+(S166*IF(G166="R",H166,0))</x:f>
      </x:c>
      <x:c r="AF166">
        <x:f>(S166*IF(E166="F",F166,0))+(S166*IF(G166="F",H166,0))</x:f>
      </x:c>
      <x:c r="AG166">
        <x:f>(S166*IF(E166="W",F166,0))+(S166*IF(G166="W",H166,0))</x:f>
      </x:c>
      <x:c r="AH166" t="inlineStr">
        <x:is>
          <x:t xml:space="preserve">6. Technical Controls</x:t>
        </x:is>
      </x:c>
      <x:c r="AI166" t="inlineStr">
        <x:is>
          <x:t xml:space="preserve">Data, Endpoint &amp; Cloud Controls</x:t>
        </x:is>
      </x:c>
      <x:c r="AJ166" t="inlineStr">
        <x:is>
          <x:t xml:space="preserve">EDR for insider use-cases</x:t>
        </x:is>
      </x:c>
    </x:row>
    <x:row r="167">
      <x:c r="A167" t="inlineStr">
        <x:is>
          <x:t xml:space="preserve">Executive</x:t>
        </x:is>
      </x:c>
      <x:c r="B167" t="inlineStr">
        <x:is>
          <x:t xml:space="preserve">EXCO-D7-Q01</x:t>
        </x:is>
      </x:c>
      <x:c r="C167" t="inlineStr">
        <x:is>
          <x:t xml:space="preserve">T1</x:t>
        </x:is>
      </x:c>
      <x:c r="D167" t="inlineStr">
        <x:is>
          <x:t xml:space="preserve">7. Response &amp; Resilience</x:t>
        </x:is>
      </x:c>
      <x:c r="E167" t="inlineStr">
        <x:is>
          <x:t xml:space="preserve">R</x:t>
        </x:is>
      </x:c>
      <x:c r="F167" t="n">
        <x:v>0.6</x:v>
      </x:c>
      <x:c r="G167" t="inlineStr">
        <x:is>
          <x:t xml:space="preserve">G</x:t>
        </x:is>
      </x:c>
      <x:c r="H167" t="n">
        <x:v>0.4</x:v>
      </x:c>
      <x:c r="I167" t="inlineStr">
        <x:is>
          <x:t xml:space="preserve">When an insider concern arises, how are Security, HR, Legal and the business coordinated?</x:t>
        </x:is>
      </x:c>
      <x:c r="J167" t="inlineStr">
        <x:is>
          <x:t xml:space="preserve">Think about a predefined taskforce, clear roles, and whether cases are handled consistently.</x:t>
        </x:is>
      </x:c>
      <x:c r="L167" t="inlineStr">
        <x:is>
          <x:t xml:space="preserve">OPS_STD</x:t>
        </x:is>
      </x:c>
      <x:c r="M167" t="n">
        <x:v>1</x:v>
      </x:c>
      <x:c r="P167" t="inlineStr">
        <x:is>
          <x:t xml:space="preserve">EXCO-D7-Q01-A4</x:t>
        </x:is>
      </x:c>
      <x:c r="Q167" t="n">
        <x:v>5</x:v>
      </x:c>
      <x:c r="R167" t="inlineStr">
        <x:is>
          <x:t xml:space="preserve">Predefined cross-functional taskforce exists with clear roles and decision points.</x:t>
        </x:is>
      </x:c>
      <x:c r="S167" t="n">
        <x:v>3</x:v>
      </x:c>
      <x:c r="T167" t="inlineStr">
        <x:is>
          <x:t xml:space="preserve">good_practice</x:t>
        </x:is>
      </x:c>
      <x:c r="V167" t="inlineStr">
        <x:is>
          <x:t xml:space="preserve">Request_Evidence</x:t>
        </x:is>
      </x:c>
      <x:c r="W167" t="inlineStr">
        <x:is>
          <x:t xml:space="preserve">Y</x:t>
        </x:is>
      </x:c>
      <x:c r="Y167">
        <x:f>(S167*IF(E167="G",F167,0))+(S167*IF(G167="G",H167,0))</x:f>
      </x:c>
      <x:c r="Z167">
        <x:f>(S167*IF(E167="E",F167,0))+(S167*IF(G167="E",H167,0))</x:f>
      </x:c>
      <x:c r="AA167">
        <x:f>(S167*IF(E167="T",F167,0))+(S167*IF(G167="T",H167,0))</x:f>
      </x:c>
      <x:c r="AB167">
        <x:f>(S167*IF(E167="L",F167,0))+(S167*IF(G167="L",H167,0))</x:f>
      </x:c>
      <x:c r="AC167">
        <x:f>(S167*IF(E167="H",F167,0))+(S167*IF(G167="H",H167,0))</x:f>
      </x:c>
      <x:c r="AD167">
        <x:f>(S167*IF(E167="V",F167,0))+(S167*IF(G167="V",H167,0))</x:f>
      </x:c>
      <x:c r="AE167">
        <x:f>(S167*IF(E167="R",F167,0))+(S167*IF(G167="R",H167,0))</x:f>
      </x:c>
      <x:c r="AF167">
        <x:f>(S167*IF(E167="F",F167,0))+(S167*IF(G167="F",H167,0))</x:f>
      </x:c>
      <x:c r="AG167">
        <x:f>(S167*IF(E167="W",F167,0))+(S167*IF(G167="W",H167,0))</x:f>
      </x:c>
      <x:c r="AH167" t="inlineStr">
        <x:is>
          <x:t xml:space="preserve">6. Technical Controls</x:t>
        </x:is>
      </x:c>
      <x:c r="AI167" t="inlineStr">
        <x:is>
          <x:t xml:space="preserve">Data, Endpoint &amp; Cloud Controls</x:t>
        </x:is>
      </x:c>
      <x:c r="AJ167" t="inlineStr">
        <x:is>
          <x:t xml:space="preserve">EDR for insider use-cases</x:t>
        </x:is>
      </x:c>
    </x:row>
    <x:row r="168">
      <x:c r="A168" t="inlineStr">
        <x:is>
          <x:t xml:space="preserve">Executive</x:t>
        </x:is>
      </x:c>
      <x:c r="B168" t="inlineStr">
        <x:is>
          <x:t xml:space="preserve">EXCO-D7-Q01</x:t>
        </x:is>
      </x:c>
      <x:c r="C168" t="inlineStr">
        <x:is>
          <x:t xml:space="preserve">T1</x:t>
        </x:is>
      </x:c>
      <x:c r="D168" t="inlineStr">
        <x:is>
          <x:t xml:space="preserve">7. Response &amp; Resilience</x:t>
        </x:is>
      </x:c>
      <x:c r="E168" t="inlineStr">
        <x:is>
          <x:t xml:space="preserve">R</x:t>
        </x:is>
      </x:c>
      <x:c r="F168" t="n">
        <x:v>0.6</x:v>
      </x:c>
      <x:c r="G168" t="inlineStr">
        <x:is>
          <x:t xml:space="preserve">G</x:t>
        </x:is>
      </x:c>
      <x:c r="H168" t="n">
        <x:v>0.4</x:v>
      </x:c>
      <x:c r="I168" t="inlineStr">
        <x:is>
          <x:t xml:space="preserve">When an insider concern arises, how are Security, HR, Legal and the business coordinated?</x:t>
        </x:is>
      </x:c>
      <x:c r="J168" t="inlineStr">
        <x:is>
          <x:t xml:space="preserve">Think about a predefined taskforce, clear roles, and whether cases are handled consistently.</x:t>
        </x:is>
      </x:c>
      <x:c r="L168" t="inlineStr">
        <x:is>
          <x:t xml:space="preserve">OPS_STD</x:t>
        </x:is>
      </x:c>
      <x:c r="M168" t="n">
        <x:v>1</x:v>
      </x:c>
      <x:c r="P168" t="inlineStr">
        <x:is>
          <x:t xml:space="preserve">EXCO-D7-Q01-A5</x:t>
        </x:is>
      </x:c>
      <x:c r="Q168" t="n">
        <x:v>6</x:v>
      </x:c>
      <x:c r="R168" t="inlineStr">
        <x:is>
          <x:t xml:space="preserve">Unified case management with metrics, quality checks, and documented learning loops.</x:t>
        </x:is>
      </x:c>
      <x:c r="S168" t="n">
        <x:v>4</x:v>
      </x:c>
      <x:c r="T168" t="inlineStr">
        <x:is>
          <x:t xml:space="preserve">optimized</x:t>
        </x:is>
      </x:c>
      <x:c r="V168" t="inlineStr">
        <x:is>
          <x:t xml:space="preserve">Request_Evidence</x:t>
        </x:is>
      </x:c>
      <x:c r="W168" t="inlineStr">
        <x:is>
          <x:t xml:space="preserve">Y</x:t>
        </x:is>
      </x:c>
      <x:c r="Y168">
        <x:f>(S168*IF(E168="G",F168,0))+(S168*IF(G168="G",H168,0))</x:f>
      </x:c>
      <x:c r="Z168">
        <x:f>(S168*IF(E168="E",F168,0))+(S168*IF(G168="E",H168,0))</x:f>
      </x:c>
      <x:c r="AA168">
        <x:f>(S168*IF(E168="T",F168,0))+(S168*IF(G168="T",H168,0))</x:f>
      </x:c>
      <x:c r="AB168">
        <x:f>(S168*IF(E168="L",F168,0))+(S168*IF(G168="L",H168,0))</x:f>
      </x:c>
      <x:c r="AC168">
        <x:f>(S168*IF(E168="H",F168,0))+(S168*IF(G168="H",H168,0))</x:f>
      </x:c>
      <x:c r="AD168">
        <x:f>(S168*IF(E168="V",F168,0))+(S168*IF(G168="V",H168,0))</x:f>
      </x:c>
      <x:c r="AE168">
        <x:f>(S168*IF(E168="R",F168,0))+(S168*IF(G168="R",H168,0))</x:f>
      </x:c>
      <x:c r="AF168">
        <x:f>(S168*IF(E168="F",F168,0))+(S168*IF(G168="F",H168,0))</x:f>
      </x:c>
      <x:c r="AG168">
        <x:f>(S168*IF(E168="W",F168,0))+(S168*IF(G168="W",H168,0))</x:f>
      </x:c>
      <x:c r="AH168" t="inlineStr">
        <x:is>
          <x:t xml:space="preserve">6. Technical Controls</x:t>
        </x:is>
      </x:c>
      <x:c r="AI168" t="inlineStr">
        <x:is>
          <x:t xml:space="preserve">Data, Endpoint &amp; Cloud Controls</x:t>
        </x:is>
      </x:c>
      <x:c r="AJ168" t="inlineStr">
        <x:is>
          <x:t xml:space="preserve">EDR for insider use-cases</x:t>
        </x:is>
      </x:c>
    </x:row>
    <x:row r="169">
      <x:c r="A169" t="inlineStr">
        <x:is>
          <x:t xml:space="preserve">Executive</x:t>
        </x:is>
      </x:c>
      <x:c r="B169" t="inlineStr">
        <x:is>
          <x:t xml:space="preserve">EXCO-D7-Q02</x:t>
        </x:is>
      </x:c>
      <x:c r="C169" t="inlineStr">
        <x:is>
          <x:t xml:space="preserve">T2</x:t>
        </x:is>
      </x:c>
      <x:c r="D169" t="inlineStr">
        <x:is>
          <x:t xml:space="preserve">7. Response &amp; Resilience</x:t>
        </x:is>
      </x:c>
      <x:c r="E169" t="inlineStr">
        <x:is>
          <x:t xml:space="preserve">E</x:t>
        </x:is>
      </x:c>
      <x:c r="F169" t="n">
        <x:v>1</x:v>
      </x:c>
      <x:c r="G169" t="inlineStr">
        <x:is>
          <x:t xml:space="preserve">-</x:t>
        </x:is>
      </x:c>
      <x:c r="I169" t="inlineStr">
        <x:is>
          <x:t xml:space="preserve">(Shadow probe) Even without a formal process, do teams coordinate effectively in practice?</x:t>
        </x:is>
      </x:c>
      <x:c r="J169" t="inlineStr">
        <x:is>
          <x:t xml:space="preserve">This checks whether informal ‘muscle memory’ exists.</x:t>
        </x:is>
      </x:c>
      <x:c r="L169" t="inlineStr">
        <x:is>
          <x:t xml:space="preserve">OPS_STD</x:t>
        </x:is>
      </x:c>
      <x:c r="M169" t="n">
        <x:v>1</x:v>
      </x:c>
      <x:c r="P169" t="inlineStr">
        <x:is>
          <x:t xml:space="preserve">EXCO-D7-Q02-A1</x:t>
        </x:is>
      </x:c>
      <x:c r="Q169" t="n">
        <x:v>1</x:v>
      </x:c>
      <x:c r="R169" t="inlineStr">
        <x:is>
          <x:t xml:space="preserve">No—coordination is slow and unclear; decisions get stuck.</x:t>
        </x:is>
      </x:c>
      <x:c r="S169" t="n">
        <x:v>0</x:v>
      </x:c>
      <x:c r="T169" t="inlineStr">
        <x:is>
          <x:t xml:space="preserve">foundational_gap</x:t>
        </x:is>
      </x:c>
      <x:c r="U169" t="inlineStr">
        <x:is>
          <x:t xml:space="preserve">Resilience Gap</x:t>
        </x:is>
      </x:c>
      <x:c r="V169" t="inlineStr">
        <x:is>
          <x:t xml:space="preserve">Design_Case_Model</x:t>
        </x:is>
      </x:c>
      <x:c r="W169" t="inlineStr">
        <x:is>
          <x:t xml:space="preserve">N</x:t>
        </x:is>
      </x:c>
      <x:c r="Y169">
        <x:f>(S169*IF(E169="G",F169,0))+(S169*IF(G169="G",H169,0))</x:f>
      </x:c>
      <x:c r="Z169">
        <x:f>(S169*IF(E169="E",F169,0))+(S169*IF(G169="E",H169,0))</x:f>
      </x:c>
      <x:c r="AA169">
        <x:f>(S169*IF(E169="T",F169,0))+(S169*IF(G169="T",H169,0))</x:f>
      </x:c>
      <x:c r="AB169">
        <x:f>(S169*IF(E169="L",F169,0))+(S169*IF(G169="L",H169,0))</x:f>
      </x:c>
      <x:c r="AC169">
        <x:f>(S169*IF(E169="H",F169,0))+(S169*IF(G169="H",H169,0))</x:f>
      </x:c>
      <x:c r="AD169">
        <x:f>(S169*IF(E169="V",F169,0))+(S169*IF(G169="V",H169,0))</x:f>
      </x:c>
      <x:c r="AE169">
        <x:f>(S169*IF(E169="R",F169,0))+(S169*IF(G169="R",H169,0))</x:f>
      </x:c>
      <x:c r="AF169">
        <x:f>(S169*IF(E169="F",F169,0))+(S169*IF(G169="F",H169,0))</x:f>
      </x:c>
      <x:c r="AG169">
        <x:f>(S169*IF(E169="W",F169,0))+(S169*IF(G169="W",H169,0))</x:f>
      </x:c>
      <x:c r="AH169" t="inlineStr">
        <x:is>
          <x:t xml:space="preserve">6. Technical Controls</x:t>
        </x:is>
      </x:c>
      <x:c r="AI169" t="inlineStr">
        <x:is>
          <x:t xml:space="preserve">Data, Endpoint &amp; Cloud Controls</x:t>
        </x:is>
      </x:c>
      <x:c r="AJ169" t="inlineStr">
        <x:is>
          <x:t xml:space="preserve">Collaboration/SaaS sharing controls</x:t>
        </x:is>
      </x:c>
    </x:row>
    <x:row r="170">
      <x:c r="A170" t="inlineStr">
        <x:is>
          <x:t xml:space="preserve">Executive</x:t>
        </x:is>
      </x:c>
      <x:c r="B170" t="inlineStr">
        <x:is>
          <x:t xml:space="preserve">EXCO-D7-Q02</x:t>
        </x:is>
      </x:c>
      <x:c r="C170" t="inlineStr">
        <x:is>
          <x:t xml:space="preserve">T2</x:t>
        </x:is>
      </x:c>
      <x:c r="D170" t="inlineStr">
        <x:is>
          <x:t xml:space="preserve">7. Response &amp; Resilience</x:t>
        </x:is>
      </x:c>
      <x:c r="E170" t="inlineStr">
        <x:is>
          <x:t xml:space="preserve">E</x:t>
        </x:is>
      </x:c>
      <x:c r="F170" t="n">
        <x:v>1</x:v>
      </x:c>
      <x:c r="G170" t="inlineStr">
        <x:is>
          <x:t xml:space="preserve">-</x:t>
        </x:is>
      </x:c>
      <x:c r="I170" t="inlineStr">
        <x:is>
          <x:t xml:space="preserve">(Shadow probe) Even without a formal process, do teams coordinate effectively in practice?</x:t>
        </x:is>
      </x:c>
      <x:c r="J170" t="inlineStr">
        <x:is>
          <x:t xml:space="preserve">This checks whether informal ‘muscle memory’ exists.</x:t>
        </x:is>
      </x:c>
      <x:c r="L170" t="inlineStr">
        <x:is>
          <x:t xml:space="preserve">OPS_STD</x:t>
        </x:is>
      </x:c>
      <x:c r="M170" t="n">
        <x:v>1</x:v>
      </x:c>
      <x:c r="P170" t="inlineStr">
        <x:is>
          <x:t xml:space="preserve">EXCO-D7-Q02-A2</x:t>
        </x:is>
      </x:c>
      <x:c r="Q170" t="n">
        <x:v>2</x:v>
      </x:c>
      <x:c r="R170" t="inlineStr">
        <x:is>
          <x:t xml:space="preserve">Sometimes—depends on personal relationships; outcomes vary.</x:t>
        </x:is>
      </x:c>
      <x:c r="S170" t="n">
        <x:v>1</x:v>
      </x:c>
      <x:c r="T170" t="inlineStr">
        <x:is>
          <x:t xml:space="preserve">shadow_signal</x:t>
        </x:is>
      </x:c>
      <x:c r="U170" t="inlineStr">
        <x:is>
          <x:t xml:space="preserve">Shadow Mature</x:t>
        </x:is>
      </x:c>
      <x:c r="V170" t="inlineStr">
        <x:is>
          <x:t xml:space="preserve">Formalize_Case_Model</x:t>
        </x:is>
      </x:c>
      <x:c r="W170" t="inlineStr">
        <x:is>
          <x:t xml:space="preserve">N</x:t>
        </x:is>
      </x:c>
      <x:c r="Y170">
        <x:f>(S170*IF(E170="G",F170,0))+(S170*IF(G170="G",H170,0))</x:f>
      </x:c>
      <x:c r="Z170">
        <x:f>(S170*IF(E170="E",F170,0))+(S170*IF(G170="E",H170,0))</x:f>
      </x:c>
      <x:c r="AA170">
        <x:f>(S170*IF(E170="T",F170,0))+(S170*IF(G170="T",H170,0))</x:f>
      </x:c>
      <x:c r="AB170">
        <x:f>(S170*IF(E170="L",F170,0))+(S170*IF(G170="L",H170,0))</x:f>
      </x:c>
      <x:c r="AC170">
        <x:f>(S170*IF(E170="H",F170,0))+(S170*IF(G170="H",H170,0))</x:f>
      </x:c>
      <x:c r="AD170">
        <x:f>(S170*IF(E170="V",F170,0))+(S170*IF(G170="V",H170,0))</x:f>
      </x:c>
      <x:c r="AE170">
        <x:f>(S170*IF(E170="R",F170,0))+(S170*IF(G170="R",H170,0))</x:f>
      </x:c>
      <x:c r="AF170">
        <x:f>(S170*IF(E170="F",F170,0))+(S170*IF(G170="F",H170,0))</x:f>
      </x:c>
      <x:c r="AG170">
        <x:f>(S170*IF(E170="W",F170,0))+(S170*IF(G170="W",H170,0))</x:f>
      </x:c>
      <x:c r="AH170" t="inlineStr">
        <x:is>
          <x:t xml:space="preserve">6. Technical Controls</x:t>
        </x:is>
      </x:c>
      <x:c r="AI170" t="inlineStr">
        <x:is>
          <x:t xml:space="preserve">Data, Endpoint &amp; Cloud Controls</x:t>
        </x:is>
      </x:c>
      <x:c r="AJ170" t="inlineStr">
        <x:is>
          <x:t xml:space="preserve">Collaboration/SaaS sharing controls</x:t>
        </x:is>
      </x:c>
    </x:row>
    <x:row r="171">
      <x:c r="A171" t="inlineStr">
        <x:is>
          <x:t xml:space="preserve">Executive</x:t>
        </x:is>
      </x:c>
      <x:c r="B171" t="inlineStr">
        <x:is>
          <x:t xml:space="preserve">EXCO-D7-Q02</x:t>
        </x:is>
      </x:c>
      <x:c r="C171" t="inlineStr">
        <x:is>
          <x:t xml:space="preserve">T2</x:t>
        </x:is>
      </x:c>
      <x:c r="D171" t="inlineStr">
        <x:is>
          <x:t xml:space="preserve">7. Response &amp; Resilience</x:t>
        </x:is>
      </x:c>
      <x:c r="E171" t="inlineStr">
        <x:is>
          <x:t xml:space="preserve">E</x:t>
        </x:is>
      </x:c>
      <x:c r="F171" t="n">
        <x:v>1</x:v>
      </x:c>
      <x:c r="G171" t="inlineStr">
        <x:is>
          <x:t xml:space="preserve">-</x:t>
        </x:is>
      </x:c>
      <x:c r="I171" t="inlineStr">
        <x:is>
          <x:t xml:space="preserve">(Shadow probe) Even without a formal process, do teams coordinate effectively in practice?</x:t>
        </x:is>
      </x:c>
      <x:c r="J171" t="inlineStr">
        <x:is>
          <x:t xml:space="preserve">This checks whether informal ‘muscle memory’ exists.</x:t>
        </x:is>
      </x:c>
      <x:c r="L171" t="inlineStr">
        <x:is>
          <x:t xml:space="preserve">OPS_STD</x:t>
        </x:is>
      </x:c>
      <x:c r="M171" t="n">
        <x:v>1</x:v>
      </x:c>
      <x:c r="P171" t="inlineStr">
        <x:is>
          <x:t xml:space="preserve">EXCO-D7-Q02-A3</x:t>
        </x:is>
      </x:c>
      <x:c r="Q171" t="n">
        <x:v>3</x:v>
      </x:c>
      <x:c r="R171" t="inlineStr">
        <x:is>
          <x:t xml:space="preserve">Yes—there is an understood way of working, even if not documented.</x:t>
        </x:is>
      </x:c>
      <x:c r="S171" t="n">
        <x:v>2</x:v>
      </x:c>
      <x:c r="T171" t="inlineStr">
        <x:is>
          <x:t xml:space="preserve">shadow_mature_signal</x:t>
        </x:is>
      </x:c>
      <x:c r="U171" t="inlineStr">
        <x:is>
          <x:t xml:space="preserve">Shadow Mature</x:t>
        </x:is>
      </x:c>
      <x:c r="V171" t="inlineStr">
        <x:is>
          <x:t xml:space="preserve">Capture_Playbook</x:t>
        </x:is>
      </x:c>
      <x:c r="W171" t="inlineStr">
        <x:is>
          <x:t xml:space="preserve">N</x:t>
        </x:is>
      </x:c>
      <x:c r="Y171">
        <x:f>(S171*IF(E171="G",F171,0))+(S171*IF(G171="G",H171,0))</x:f>
      </x:c>
      <x:c r="Z171">
        <x:f>(S171*IF(E171="E",F171,0))+(S171*IF(G171="E",H171,0))</x:f>
      </x:c>
      <x:c r="AA171">
        <x:f>(S171*IF(E171="T",F171,0))+(S171*IF(G171="T",H171,0))</x:f>
      </x:c>
      <x:c r="AB171">
        <x:f>(S171*IF(E171="L",F171,0))+(S171*IF(G171="L",H171,0))</x:f>
      </x:c>
      <x:c r="AC171">
        <x:f>(S171*IF(E171="H",F171,0))+(S171*IF(G171="H",H171,0))</x:f>
      </x:c>
      <x:c r="AD171">
        <x:f>(S171*IF(E171="V",F171,0))+(S171*IF(G171="V",H171,0))</x:f>
      </x:c>
      <x:c r="AE171">
        <x:f>(S171*IF(E171="R",F171,0))+(S171*IF(G171="R",H171,0))</x:f>
      </x:c>
      <x:c r="AF171">
        <x:f>(S171*IF(E171="F",F171,0))+(S171*IF(G171="F",H171,0))</x:f>
      </x:c>
      <x:c r="AG171">
        <x:f>(S171*IF(E171="W",F171,0))+(S171*IF(G171="W",H171,0))</x:f>
      </x:c>
      <x:c r="AH171" t="inlineStr">
        <x:is>
          <x:t xml:space="preserve">6. Technical Controls</x:t>
        </x:is>
      </x:c>
      <x:c r="AI171" t="inlineStr">
        <x:is>
          <x:t xml:space="preserve">Data, Endpoint &amp; Cloud Controls</x:t>
        </x:is>
      </x:c>
      <x:c r="AJ171" t="inlineStr">
        <x:is>
          <x:t xml:space="preserve">Collaboration/SaaS sharing controls</x:t>
        </x:is>
      </x:c>
    </x:row>
    <x:row r="172">
      <x:c r="A172" t="inlineStr">
        <x:is>
          <x:t xml:space="preserve">Executive</x:t>
        </x:is>
      </x:c>
      <x:c r="B172" t="inlineStr">
        <x:is>
          <x:t xml:space="preserve">EXCO-D7-Q02</x:t>
        </x:is>
      </x:c>
      <x:c r="C172" t="inlineStr">
        <x:is>
          <x:t xml:space="preserve">T2</x:t>
        </x:is>
      </x:c>
      <x:c r="D172" t="inlineStr">
        <x:is>
          <x:t xml:space="preserve">7. Response &amp; Resilience</x:t>
        </x:is>
      </x:c>
      <x:c r="E172" t="inlineStr">
        <x:is>
          <x:t xml:space="preserve">E</x:t>
        </x:is>
      </x:c>
      <x:c r="F172" t="n">
        <x:v>1</x:v>
      </x:c>
      <x:c r="G172" t="inlineStr">
        <x:is>
          <x:t xml:space="preserve">-</x:t>
        </x:is>
      </x:c>
      <x:c r="I172" t="inlineStr">
        <x:is>
          <x:t xml:space="preserve">(Shadow probe) Even without a formal process, do teams coordinate effectively in practice?</x:t>
        </x:is>
      </x:c>
      <x:c r="J172" t="inlineStr">
        <x:is>
          <x:t xml:space="preserve">This checks whether informal ‘muscle memory’ exists.</x:t>
        </x:is>
      </x:c>
      <x:c r="L172" t="inlineStr">
        <x:is>
          <x:t xml:space="preserve">OPS_STD</x:t>
        </x:is>
      </x:c>
      <x:c r="M172" t="n">
        <x:v>1</x:v>
      </x:c>
      <x:c r="P172" t="inlineStr">
        <x:is>
          <x:t xml:space="preserve">EXCO-D7-Q02-A4</x:t>
        </x:is>
      </x:c>
      <x:c r="Q172" t="n">
        <x:v>4</x:v>
      </x:c>
      <x:c r="R172" t="inlineStr">
        <x:is>
          <x:t xml:space="preserve">Yes—and we can point to recent examples and decision logs.</x:t>
        </x:is>
      </x:c>
      <x:c r="S172" t="n">
        <x:v>3</x:v>
      </x:c>
      <x:c r="T172" t="inlineStr">
        <x:is>
          <x:t xml:space="preserve">good_practice</x:t>
        </x:is>
      </x:c>
      <x:c r="V172" t="inlineStr">
        <x:is>
          <x:t xml:space="preserve">Request_Evidence</x:t>
        </x:is>
      </x:c>
      <x:c r="W172" t="inlineStr">
        <x:is>
          <x:t xml:space="preserve">Y</x:t>
        </x:is>
      </x:c>
      <x:c r="Y172">
        <x:f>(S172*IF(E172="G",F172,0))+(S172*IF(G172="G",H172,0))</x:f>
      </x:c>
      <x:c r="Z172">
        <x:f>(S172*IF(E172="E",F172,0))+(S172*IF(G172="E",H172,0))</x:f>
      </x:c>
      <x:c r="AA172">
        <x:f>(S172*IF(E172="T",F172,0))+(S172*IF(G172="T",H172,0))</x:f>
      </x:c>
      <x:c r="AB172">
        <x:f>(S172*IF(E172="L",F172,0))+(S172*IF(G172="L",H172,0))</x:f>
      </x:c>
      <x:c r="AC172">
        <x:f>(S172*IF(E172="H",F172,0))+(S172*IF(G172="H",H172,0))</x:f>
      </x:c>
      <x:c r="AD172">
        <x:f>(S172*IF(E172="V",F172,0))+(S172*IF(G172="V",H172,0))</x:f>
      </x:c>
      <x:c r="AE172">
        <x:f>(S172*IF(E172="R",F172,0))+(S172*IF(G172="R",H172,0))</x:f>
      </x:c>
      <x:c r="AF172">
        <x:f>(S172*IF(E172="F",F172,0))+(S172*IF(G172="F",H172,0))</x:f>
      </x:c>
      <x:c r="AG172">
        <x:f>(S172*IF(E172="W",F172,0))+(S172*IF(G172="W",H172,0))</x:f>
      </x:c>
      <x:c r="AH172" t="inlineStr">
        <x:is>
          <x:t xml:space="preserve">6. Technical Controls</x:t>
        </x:is>
      </x:c>
      <x:c r="AI172" t="inlineStr">
        <x:is>
          <x:t xml:space="preserve">Data, Endpoint &amp; Cloud Controls</x:t>
        </x:is>
      </x:c>
      <x:c r="AJ172" t="inlineStr">
        <x:is>
          <x:t xml:space="preserve">Collaboration/SaaS sharing controls</x:t>
        </x:is>
      </x:c>
    </x:row>
    <x:row r="173">
      <x:c r="A173" t="inlineStr">
        <x:is>
          <x:t xml:space="preserve">Executive</x:t>
        </x:is>
      </x:c>
      <x:c r="B173" t="inlineStr">
        <x:is>
          <x:t xml:space="preserve">EXCO-D7-Q03</x:t>
        </x:is>
      </x:c>
      <x:c r="C173" t="inlineStr">
        <x:is>
          <x:t xml:space="preserve">T2</x:t>
        </x:is>
      </x:c>
      <x:c r="D173" t="inlineStr">
        <x:is>
          <x:t xml:space="preserve">7. Response &amp; Resilience</x:t>
        </x:is>
      </x:c>
      <x:c r="E173" t="inlineStr">
        <x:is>
          <x:t xml:space="preserve">R</x:t>
        </x:is>
      </x:c>
      <x:c r="F173" t="n">
        <x:v>0.7</x:v>
      </x:c>
      <x:c r="G173" t="inlineStr">
        <x:is>
          <x:t xml:space="preserve">E</x:t>
        </x:is>
      </x:c>
      <x:c r="H173" t="n">
        <x:v>0.3</x:v>
      </x:c>
      <x:c r="I173" t="inlineStr">
        <x:is>
          <x:t xml:space="preserve">Do we practise insider incident response (tabletop or drills) and track lessons learned?</x:t>
        </x:is>
      </x:c>
      <x:c r="J173" t="inlineStr">
        <x:is>
          <x:t xml:space="preserve">Practise can be short; the key is that improvements are captured and implemented.</x:t>
        </x:is>
      </x:c>
      <x:c r="L173" t="inlineStr">
        <x:is>
          <x:t xml:space="preserve">OPS_STD</x:t>
        </x:is>
      </x:c>
      <x:c r="M173" t="n">
        <x:v>1</x:v>
      </x:c>
      <x:c r="P173" t="inlineStr">
        <x:is>
          <x:t xml:space="preserve">EXCO-D7-Q03-A0</x:t>
        </x:is>
      </x:c>
      <x:c r="Q173" t="n">
        <x:v>1</x:v>
      </x:c>
      <x:c r="R173" t="inlineStr">
        <x:is>
          <x:t xml:space="preserve">I don’t know / not sure.</x:t>
        </x:is>
      </x:c>
      <x:c r="S173" t="n">
        <x:v>0</x:v>
      </x:c>
      <x:c r="T173" t="inlineStr">
        <x:is>
          <x:t xml:space="preserve">unknown</x:t>
        </x:is>
      </x:c>
      <x:c r="U173" t="inlineStr">
        <x:is>
          <x:t xml:space="preserve">Unknown</x:t>
        </x:is>
      </x:c>
      <x:c r="V173" t="inlineStr">
        <x:is>
          <x:t xml:space="preserve">Plan_Exercises</x:t>
        </x:is>
      </x:c>
      <x:c r="W173" t="inlineStr">
        <x:is>
          <x:t xml:space="preserve">N</x:t>
        </x:is>
      </x:c>
      <x:c r="Y173">
        <x:f>(S173*IF(E173="G",F173,0))+(S173*IF(G173="G",H173,0))</x:f>
      </x:c>
      <x:c r="Z173">
        <x:f>(S173*IF(E173="E",F173,0))+(S173*IF(G173="E",H173,0))</x:f>
      </x:c>
      <x:c r="AA173">
        <x:f>(S173*IF(E173="T",F173,0))+(S173*IF(G173="T",H173,0))</x:f>
      </x:c>
      <x:c r="AB173">
        <x:f>(S173*IF(E173="L",F173,0))+(S173*IF(G173="L",H173,0))</x:f>
      </x:c>
      <x:c r="AC173">
        <x:f>(S173*IF(E173="H",F173,0))+(S173*IF(G173="H",H173,0))</x:f>
      </x:c>
      <x:c r="AD173">
        <x:f>(S173*IF(E173="V",F173,0))+(S173*IF(G173="V",H173,0))</x:f>
      </x:c>
      <x:c r="AE173">
        <x:f>(S173*IF(E173="R",F173,0))+(S173*IF(G173="R",H173,0))</x:f>
      </x:c>
      <x:c r="AF173">
        <x:f>(S173*IF(E173="F",F173,0))+(S173*IF(G173="F",H173,0))</x:f>
      </x:c>
      <x:c r="AG173">
        <x:f>(S173*IF(E173="W",F173,0))+(S173*IF(G173="W",H173,0))</x:f>
      </x:c>
      <x:c r="AH173" t="inlineStr">
        <x:is>
          <x:t xml:space="preserve">9. Performance &amp; Resilience</x:t>
        </x:is>
      </x:c>
      <x:c r="AI173" t="inlineStr">
        <x:is>
          <x:t xml:space="preserve">Testing &amp; Exercising</x:t>
        </x:is>
      </x:c>
      <x:c r="AJ173" t="inlineStr">
        <x:is>
          <x:t xml:space="preserve">Tabletop exercise (TTX) program</x:t>
        </x:is>
      </x:c>
    </x:row>
    <x:row r="174">
      <x:c r="A174" t="inlineStr">
        <x:is>
          <x:t xml:space="preserve">Executive</x:t>
        </x:is>
      </x:c>
      <x:c r="B174" t="inlineStr">
        <x:is>
          <x:t xml:space="preserve">EXCO-D7-Q03</x:t>
        </x:is>
      </x:c>
      <x:c r="C174" t="inlineStr">
        <x:is>
          <x:t xml:space="preserve">T2</x:t>
        </x:is>
      </x:c>
      <x:c r="D174" t="inlineStr">
        <x:is>
          <x:t xml:space="preserve">7. Response &amp; Resilience</x:t>
        </x:is>
      </x:c>
      <x:c r="E174" t="inlineStr">
        <x:is>
          <x:t xml:space="preserve">R</x:t>
        </x:is>
      </x:c>
      <x:c r="F174" t="n">
        <x:v>0.7</x:v>
      </x:c>
      <x:c r="G174" t="inlineStr">
        <x:is>
          <x:t xml:space="preserve">E</x:t>
        </x:is>
      </x:c>
      <x:c r="H174" t="n">
        <x:v>0.3</x:v>
      </x:c>
      <x:c r="I174" t="inlineStr">
        <x:is>
          <x:t xml:space="preserve">Do we practise insider incident response (tabletop or drills) and track lessons learned?</x:t>
        </x:is>
      </x:c>
      <x:c r="J174" t="inlineStr">
        <x:is>
          <x:t xml:space="preserve">Practise can be short; the key is that improvements are captured and implemented.</x:t>
        </x:is>
      </x:c>
      <x:c r="L174" t="inlineStr">
        <x:is>
          <x:t xml:space="preserve">OPS_STD</x:t>
        </x:is>
      </x:c>
      <x:c r="M174" t="n">
        <x:v>1</x:v>
      </x:c>
      <x:c r="P174" t="inlineStr">
        <x:is>
          <x:t xml:space="preserve">EXCO-D7-Q03-A1</x:t>
        </x:is>
      </x:c>
      <x:c r="Q174" t="n">
        <x:v>2</x:v>
      </x:c>
      <x:c r="R174" t="inlineStr">
        <x:is>
          <x:t xml:space="preserve">No—we haven’t practised insider scenarios.</x:t>
        </x:is>
      </x:c>
      <x:c r="S174" t="n">
        <x:v>0</x:v>
      </x:c>
      <x:c r="T174" t="inlineStr">
        <x:is>
          <x:t xml:space="preserve">foundational_gap</x:t>
        </x:is>
      </x:c>
      <x:c r="U174" t="inlineStr">
        <x:is>
          <x:t xml:space="preserve">Resilience Gap</x:t>
        </x:is>
      </x:c>
      <x:c r="V174" t="inlineStr">
        <x:is>
          <x:t xml:space="preserve">Plan_Exercises</x:t>
        </x:is>
      </x:c>
      <x:c r="W174" t="inlineStr">
        <x:is>
          <x:t xml:space="preserve">N</x:t>
        </x:is>
      </x:c>
      <x:c r="Y174">
        <x:f>(S174*IF(E174="G",F174,0))+(S174*IF(G174="G",H174,0))</x:f>
      </x:c>
      <x:c r="Z174">
        <x:f>(S174*IF(E174="E",F174,0))+(S174*IF(G174="E",H174,0))</x:f>
      </x:c>
      <x:c r="AA174">
        <x:f>(S174*IF(E174="T",F174,0))+(S174*IF(G174="T",H174,0))</x:f>
      </x:c>
      <x:c r="AB174">
        <x:f>(S174*IF(E174="L",F174,0))+(S174*IF(G174="L",H174,0))</x:f>
      </x:c>
      <x:c r="AC174">
        <x:f>(S174*IF(E174="H",F174,0))+(S174*IF(G174="H",H174,0))</x:f>
      </x:c>
      <x:c r="AD174">
        <x:f>(S174*IF(E174="V",F174,0))+(S174*IF(G174="V",H174,0))</x:f>
      </x:c>
      <x:c r="AE174">
        <x:f>(S174*IF(E174="R",F174,0))+(S174*IF(G174="R",H174,0))</x:f>
      </x:c>
      <x:c r="AF174">
        <x:f>(S174*IF(E174="F",F174,0))+(S174*IF(G174="F",H174,0))</x:f>
      </x:c>
      <x:c r="AG174">
        <x:f>(S174*IF(E174="W",F174,0))+(S174*IF(G174="W",H174,0))</x:f>
      </x:c>
      <x:c r="AH174" t="inlineStr">
        <x:is>
          <x:t xml:space="preserve">9. Performance &amp; Resilience</x:t>
        </x:is>
      </x:c>
      <x:c r="AI174" t="inlineStr">
        <x:is>
          <x:t xml:space="preserve">Testing &amp; Exercising</x:t>
        </x:is>
      </x:c>
      <x:c r="AJ174" t="inlineStr">
        <x:is>
          <x:t xml:space="preserve">Tabletop exercise (TTX) program</x:t>
        </x:is>
      </x:c>
    </x:row>
    <x:row r="175">
      <x:c r="A175" t="inlineStr">
        <x:is>
          <x:t xml:space="preserve">Executive</x:t>
        </x:is>
      </x:c>
      <x:c r="B175" t="inlineStr">
        <x:is>
          <x:t xml:space="preserve">EXCO-D7-Q03</x:t>
        </x:is>
      </x:c>
      <x:c r="C175" t="inlineStr">
        <x:is>
          <x:t xml:space="preserve">T2</x:t>
        </x:is>
      </x:c>
      <x:c r="D175" t="inlineStr">
        <x:is>
          <x:t xml:space="preserve">7. Response &amp; Resilience</x:t>
        </x:is>
      </x:c>
      <x:c r="E175" t="inlineStr">
        <x:is>
          <x:t xml:space="preserve">R</x:t>
        </x:is>
      </x:c>
      <x:c r="F175" t="n">
        <x:v>0.7</x:v>
      </x:c>
      <x:c r="G175" t="inlineStr">
        <x:is>
          <x:t xml:space="preserve">E</x:t>
        </x:is>
      </x:c>
      <x:c r="H175" t="n">
        <x:v>0.3</x:v>
      </x:c>
      <x:c r="I175" t="inlineStr">
        <x:is>
          <x:t xml:space="preserve">Do we practise insider incident response (tabletop or drills) and track lessons learned?</x:t>
        </x:is>
      </x:c>
      <x:c r="J175" t="inlineStr">
        <x:is>
          <x:t xml:space="preserve">Practise can be short; the key is that improvements are captured and implemented.</x:t>
        </x:is>
      </x:c>
      <x:c r="L175" t="inlineStr">
        <x:is>
          <x:t xml:space="preserve">OPS_STD</x:t>
        </x:is>
      </x:c>
      <x:c r="M175" t="n">
        <x:v>1</x:v>
      </x:c>
      <x:c r="P175" t="inlineStr">
        <x:is>
          <x:t xml:space="preserve">EXCO-D7-Q03-A2</x:t>
        </x:is>
      </x:c>
      <x:c r="Q175" t="n">
        <x:v>3</x:v>
      </x:c>
      <x:c r="R175" t="inlineStr">
        <x:is>
          <x:t xml:space="preserve">We’ve done a one-off exercise, but it didn’t lead to tracked improvements.</x:t>
        </x:is>
      </x:c>
      <x:c r="S175" t="n">
        <x:v>1</x:v>
      </x:c>
      <x:c r="T175" t="inlineStr">
        <x:is>
          <x:t xml:space="preserve">paper_process</x:t>
        </x:is>
      </x:c>
      <x:c r="U175" t="inlineStr">
        <x:is>
          <x:t xml:space="preserve">Paper Dragon</x:t>
        </x:is>
      </x:c>
      <x:c r="V175" t="inlineStr">
        <x:is>
          <x:t xml:space="preserve">Improve_Exercise_Loop</x:t>
        </x:is>
      </x:c>
      <x:c r="W175" t="inlineStr">
        <x:is>
          <x:t xml:space="preserve">N</x:t>
        </x:is>
      </x:c>
      <x:c r="Y175">
        <x:f>(S175*IF(E175="G",F175,0))+(S175*IF(G175="G",H175,0))</x:f>
      </x:c>
      <x:c r="Z175">
        <x:f>(S175*IF(E175="E",F175,0))+(S175*IF(G175="E",H175,0))</x:f>
      </x:c>
      <x:c r="AA175">
        <x:f>(S175*IF(E175="T",F175,0))+(S175*IF(G175="T",H175,0))</x:f>
      </x:c>
      <x:c r="AB175">
        <x:f>(S175*IF(E175="L",F175,0))+(S175*IF(G175="L",H175,0))</x:f>
      </x:c>
      <x:c r="AC175">
        <x:f>(S175*IF(E175="H",F175,0))+(S175*IF(G175="H",H175,0))</x:f>
      </x:c>
      <x:c r="AD175">
        <x:f>(S175*IF(E175="V",F175,0))+(S175*IF(G175="V",H175,0))</x:f>
      </x:c>
      <x:c r="AE175">
        <x:f>(S175*IF(E175="R",F175,0))+(S175*IF(G175="R",H175,0))</x:f>
      </x:c>
      <x:c r="AF175">
        <x:f>(S175*IF(E175="F",F175,0))+(S175*IF(G175="F",H175,0))</x:f>
      </x:c>
      <x:c r="AG175">
        <x:f>(S175*IF(E175="W",F175,0))+(S175*IF(G175="W",H175,0))</x:f>
      </x:c>
      <x:c r="AH175" t="inlineStr">
        <x:is>
          <x:t xml:space="preserve">9. Performance &amp; Resilience</x:t>
        </x:is>
      </x:c>
      <x:c r="AI175" t="inlineStr">
        <x:is>
          <x:t xml:space="preserve">Testing &amp; Exercising</x:t>
        </x:is>
      </x:c>
      <x:c r="AJ175" t="inlineStr">
        <x:is>
          <x:t xml:space="preserve">Tabletop exercise (TTX) program</x:t>
        </x:is>
      </x:c>
    </x:row>
    <x:row r="176">
      <x:c r="A176" t="inlineStr">
        <x:is>
          <x:t xml:space="preserve">Executive</x:t>
        </x:is>
      </x:c>
      <x:c r="B176" t="inlineStr">
        <x:is>
          <x:t xml:space="preserve">EXCO-D7-Q03</x:t>
        </x:is>
      </x:c>
      <x:c r="C176" t="inlineStr">
        <x:is>
          <x:t xml:space="preserve">T2</x:t>
        </x:is>
      </x:c>
      <x:c r="D176" t="inlineStr">
        <x:is>
          <x:t xml:space="preserve">7. Response &amp; Resilience</x:t>
        </x:is>
      </x:c>
      <x:c r="E176" t="inlineStr">
        <x:is>
          <x:t xml:space="preserve">R</x:t>
        </x:is>
      </x:c>
      <x:c r="F176" t="n">
        <x:v>0.7</x:v>
      </x:c>
      <x:c r="G176" t="inlineStr">
        <x:is>
          <x:t xml:space="preserve">E</x:t>
        </x:is>
      </x:c>
      <x:c r="H176" t="n">
        <x:v>0.3</x:v>
      </x:c>
      <x:c r="I176" t="inlineStr">
        <x:is>
          <x:t xml:space="preserve">Do we practise insider incident response (tabletop or drills) and track lessons learned?</x:t>
        </x:is>
      </x:c>
      <x:c r="J176" t="inlineStr">
        <x:is>
          <x:t xml:space="preserve">Practise can be short; the key is that improvements are captured and implemented.</x:t>
        </x:is>
      </x:c>
      <x:c r="L176" t="inlineStr">
        <x:is>
          <x:t xml:space="preserve">OPS_STD</x:t>
        </x:is>
      </x:c>
      <x:c r="M176" t="n">
        <x:v>1</x:v>
      </x:c>
      <x:c r="P176" t="inlineStr">
        <x:is>
          <x:t xml:space="preserve">EXCO-D7-Q03-A3</x:t>
        </x:is>
      </x:c>
      <x:c r="Q176" t="n">
        <x:v>4</x:v>
      </x:c>
      <x:c r="R176" t="inlineStr">
        <x:is>
          <x:t xml:space="preserve">We practise occasionally and track actions, but completion is inconsistent.</x:t>
        </x:is>
      </x:c>
      <x:c r="S176" t="n">
        <x:v>2</x:v>
      </x:c>
      <x:c r="T176" t="inlineStr">
        <x:is>
          <x:t xml:space="preserve">inconsistent_execution</x:t>
        </x:is>
      </x:c>
      <x:c r="U176" t="inlineStr">
        <x:is>
          <x:t xml:space="preserve">Operating Model Gap</x:t>
        </x:is>
      </x:c>
      <x:c r="V176" t="inlineStr">
        <x:is>
          <x:t xml:space="preserve">Improve_Exercise_Loop</x:t>
        </x:is>
      </x:c>
      <x:c r="W176" t="inlineStr">
        <x:is>
          <x:t xml:space="preserve">N</x:t>
        </x:is>
      </x:c>
      <x:c r="Y176">
        <x:f>(S176*IF(E176="G",F176,0))+(S176*IF(G176="G",H176,0))</x:f>
      </x:c>
      <x:c r="Z176">
        <x:f>(S176*IF(E176="E",F176,0))+(S176*IF(G176="E",H176,0))</x:f>
      </x:c>
      <x:c r="AA176">
        <x:f>(S176*IF(E176="T",F176,0))+(S176*IF(G176="T",H176,0))</x:f>
      </x:c>
      <x:c r="AB176">
        <x:f>(S176*IF(E176="L",F176,0))+(S176*IF(G176="L",H176,0))</x:f>
      </x:c>
      <x:c r="AC176">
        <x:f>(S176*IF(E176="H",F176,0))+(S176*IF(G176="H",H176,0))</x:f>
      </x:c>
      <x:c r="AD176">
        <x:f>(S176*IF(E176="V",F176,0))+(S176*IF(G176="V",H176,0))</x:f>
      </x:c>
      <x:c r="AE176">
        <x:f>(S176*IF(E176="R",F176,0))+(S176*IF(G176="R",H176,0))</x:f>
      </x:c>
      <x:c r="AF176">
        <x:f>(S176*IF(E176="F",F176,0))+(S176*IF(G176="F",H176,0))</x:f>
      </x:c>
      <x:c r="AG176">
        <x:f>(S176*IF(E176="W",F176,0))+(S176*IF(G176="W",H176,0))</x:f>
      </x:c>
      <x:c r="AH176" t="inlineStr">
        <x:is>
          <x:t xml:space="preserve">9. Performance &amp; Resilience</x:t>
        </x:is>
      </x:c>
      <x:c r="AI176" t="inlineStr">
        <x:is>
          <x:t xml:space="preserve">Testing &amp; Exercising</x:t>
        </x:is>
      </x:c>
      <x:c r="AJ176" t="inlineStr">
        <x:is>
          <x:t xml:space="preserve">Tabletop exercise (TTX) program</x:t>
        </x:is>
      </x:c>
    </x:row>
    <x:row r="177">
      <x:c r="A177" t="inlineStr">
        <x:is>
          <x:t xml:space="preserve">Executive</x:t>
        </x:is>
      </x:c>
      <x:c r="B177" t="inlineStr">
        <x:is>
          <x:t xml:space="preserve">EXCO-D7-Q03</x:t>
        </x:is>
      </x:c>
      <x:c r="C177" t="inlineStr">
        <x:is>
          <x:t xml:space="preserve">T2</x:t>
        </x:is>
      </x:c>
      <x:c r="D177" t="inlineStr">
        <x:is>
          <x:t xml:space="preserve">7. Response &amp; Resilience</x:t>
        </x:is>
      </x:c>
      <x:c r="E177" t="inlineStr">
        <x:is>
          <x:t xml:space="preserve">R</x:t>
        </x:is>
      </x:c>
      <x:c r="F177" t="n">
        <x:v>0.7</x:v>
      </x:c>
      <x:c r="G177" t="inlineStr">
        <x:is>
          <x:t xml:space="preserve">E</x:t>
        </x:is>
      </x:c>
      <x:c r="H177" t="n">
        <x:v>0.3</x:v>
      </x:c>
      <x:c r="I177" t="inlineStr">
        <x:is>
          <x:t xml:space="preserve">Do we practise insider incident response (tabletop or drills) and track lessons learned?</x:t>
        </x:is>
      </x:c>
      <x:c r="J177" t="inlineStr">
        <x:is>
          <x:t xml:space="preserve">Practise can be short; the key is that improvements are captured and implemented.</x:t>
        </x:is>
      </x:c>
      <x:c r="L177" t="inlineStr">
        <x:is>
          <x:t xml:space="preserve">OPS_STD</x:t>
        </x:is>
      </x:c>
      <x:c r="M177" t="n">
        <x:v>1</x:v>
      </x:c>
      <x:c r="P177" t="inlineStr">
        <x:is>
          <x:t xml:space="preserve">EXCO-D7-Q03-A4</x:t>
        </x:is>
      </x:c>
      <x:c r="Q177" t="n">
        <x:v>5</x:v>
      </x:c>
      <x:c r="R177" t="inlineStr">
        <x:is>
          <x:t xml:space="preserve">We practise at least annually and close out improvements with owners/dates.</x:t>
        </x:is>
      </x:c>
      <x:c r="S177" t="n">
        <x:v>3</x:v>
      </x:c>
      <x:c r="T177" t="inlineStr">
        <x:is>
          <x:t xml:space="preserve">good_practice</x:t>
        </x:is>
      </x:c>
      <x:c r="V177" t="inlineStr">
        <x:is>
          <x:t xml:space="preserve">Request_Evidence</x:t>
        </x:is>
      </x:c>
      <x:c r="W177" t="inlineStr">
        <x:is>
          <x:t xml:space="preserve">Y</x:t>
        </x:is>
      </x:c>
      <x:c r="Y177">
        <x:f>(S177*IF(E177="G",F177,0))+(S177*IF(G177="G",H177,0))</x:f>
      </x:c>
      <x:c r="Z177">
        <x:f>(S177*IF(E177="E",F177,0))+(S177*IF(G177="E",H177,0))</x:f>
      </x:c>
      <x:c r="AA177">
        <x:f>(S177*IF(E177="T",F177,0))+(S177*IF(G177="T",H177,0))</x:f>
      </x:c>
      <x:c r="AB177">
        <x:f>(S177*IF(E177="L",F177,0))+(S177*IF(G177="L",H177,0))</x:f>
      </x:c>
      <x:c r="AC177">
        <x:f>(S177*IF(E177="H",F177,0))+(S177*IF(G177="H",H177,0))</x:f>
      </x:c>
      <x:c r="AD177">
        <x:f>(S177*IF(E177="V",F177,0))+(S177*IF(G177="V",H177,0))</x:f>
      </x:c>
      <x:c r="AE177">
        <x:f>(S177*IF(E177="R",F177,0))+(S177*IF(G177="R",H177,0))</x:f>
      </x:c>
      <x:c r="AF177">
        <x:f>(S177*IF(E177="F",F177,0))+(S177*IF(G177="F",H177,0))</x:f>
      </x:c>
      <x:c r="AG177">
        <x:f>(S177*IF(E177="W",F177,0))+(S177*IF(G177="W",H177,0))</x:f>
      </x:c>
      <x:c r="AH177" t="inlineStr">
        <x:is>
          <x:t xml:space="preserve">9. Performance &amp; Resilience</x:t>
        </x:is>
      </x:c>
      <x:c r="AI177" t="inlineStr">
        <x:is>
          <x:t xml:space="preserve">Testing &amp; Exercising</x:t>
        </x:is>
      </x:c>
      <x:c r="AJ177" t="inlineStr">
        <x:is>
          <x:t xml:space="preserve">Tabletop exercise (TTX) program</x:t>
        </x:is>
      </x:c>
    </x:row>
    <x:row r="178">
      <x:c r="A178" t="inlineStr">
        <x:is>
          <x:t xml:space="preserve">Executive</x:t>
        </x:is>
      </x:c>
      <x:c r="B178" t="inlineStr">
        <x:is>
          <x:t xml:space="preserve">EXCO-D7-Q03</x:t>
        </x:is>
      </x:c>
      <x:c r="C178" t="inlineStr">
        <x:is>
          <x:t xml:space="preserve">T2</x:t>
        </x:is>
      </x:c>
      <x:c r="D178" t="inlineStr">
        <x:is>
          <x:t xml:space="preserve">7. Response &amp; Resilience</x:t>
        </x:is>
      </x:c>
      <x:c r="E178" t="inlineStr">
        <x:is>
          <x:t xml:space="preserve">R</x:t>
        </x:is>
      </x:c>
      <x:c r="F178" t="n">
        <x:v>0.7</x:v>
      </x:c>
      <x:c r="G178" t="inlineStr">
        <x:is>
          <x:t xml:space="preserve">E</x:t>
        </x:is>
      </x:c>
      <x:c r="H178" t="n">
        <x:v>0.3</x:v>
      </x:c>
      <x:c r="I178" t="inlineStr">
        <x:is>
          <x:t xml:space="preserve">Do we practise insider incident response (tabletop or drills) and track lessons learned?</x:t>
        </x:is>
      </x:c>
      <x:c r="J178" t="inlineStr">
        <x:is>
          <x:t xml:space="preserve">Practise can be short; the key is that improvements are captured and implemented.</x:t>
        </x:is>
      </x:c>
      <x:c r="L178" t="inlineStr">
        <x:is>
          <x:t xml:space="preserve">OPS_STD</x:t>
        </x:is>
      </x:c>
      <x:c r="M178" t="n">
        <x:v>1</x:v>
      </x:c>
      <x:c r="P178" t="inlineStr">
        <x:is>
          <x:t xml:space="preserve">EXCO-D7-Q03-A5</x:t>
        </x:is>
      </x:c>
      <x:c r="Q178" t="n">
        <x:v>6</x:v>
      </x:c>
      <x:c r="R178" t="inlineStr">
        <x:is>
          <x:t xml:space="preserve">Exercises are scheduled; improvement completion is measured; results feed into roadmap.</x:t>
        </x:is>
      </x:c>
      <x:c r="S178" t="n">
        <x:v>4</x:v>
      </x:c>
      <x:c r="T178" t="inlineStr">
        <x:is>
          <x:t xml:space="preserve">optimized</x:t>
        </x:is>
      </x:c>
      <x:c r="V178" t="inlineStr">
        <x:is>
          <x:t xml:space="preserve">Request_Evidence</x:t>
        </x:is>
      </x:c>
      <x:c r="W178" t="inlineStr">
        <x:is>
          <x:t xml:space="preserve">Y</x:t>
        </x:is>
      </x:c>
      <x:c r="Y178">
        <x:f>(S178*IF(E178="G",F178,0))+(S178*IF(G178="G",H178,0))</x:f>
      </x:c>
      <x:c r="Z178">
        <x:f>(S178*IF(E178="E",F178,0))+(S178*IF(G178="E",H178,0))</x:f>
      </x:c>
      <x:c r="AA178">
        <x:f>(S178*IF(E178="T",F178,0))+(S178*IF(G178="T",H178,0))</x:f>
      </x:c>
      <x:c r="AB178">
        <x:f>(S178*IF(E178="L",F178,0))+(S178*IF(G178="L",H178,0))</x:f>
      </x:c>
      <x:c r="AC178">
        <x:f>(S178*IF(E178="H",F178,0))+(S178*IF(G178="H",H178,0))</x:f>
      </x:c>
      <x:c r="AD178">
        <x:f>(S178*IF(E178="V",F178,0))+(S178*IF(G178="V",H178,0))</x:f>
      </x:c>
      <x:c r="AE178">
        <x:f>(S178*IF(E178="R",F178,0))+(S178*IF(G178="R",H178,0))</x:f>
      </x:c>
      <x:c r="AF178">
        <x:f>(S178*IF(E178="F",F178,0))+(S178*IF(G178="F",H178,0))</x:f>
      </x:c>
      <x:c r="AG178">
        <x:f>(S178*IF(E178="W",F178,0))+(S178*IF(G178="W",H178,0))</x:f>
      </x:c>
      <x:c r="AH178" t="inlineStr">
        <x:is>
          <x:t xml:space="preserve">9. Performance &amp; Resilience</x:t>
        </x:is>
      </x:c>
      <x:c r="AI178" t="inlineStr">
        <x:is>
          <x:t xml:space="preserve">Testing &amp; Exercising</x:t>
        </x:is>
      </x:c>
      <x:c r="AJ178" t="inlineStr">
        <x:is>
          <x:t xml:space="preserve">Tabletop exercise (TTX) program</x:t>
        </x:is>
      </x:c>
    </x:row>
    <x:row r="179">
      <x:c r="A179" t="inlineStr">
        <x:is>
          <x:t xml:space="preserve">Executive</x:t>
        </x:is>
      </x:c>
      <x:c r="B179" t="inlineStr">
        <x:is>
          <x:t xml:space="preserve">EXCO-D7-Q04</x:t>
        </x:is>
      </x:c>
      <x:c r="C179" t="inlineStr">
        <x:is>
          <x:t xml:space="preserve">T2</x:t>
        </x:is>
      </x:c>
      <x:c r="D179" t="inlineStr">
        <x:is>
          <x:t xml:space="preserve">7. Response &amp; Resilience</x:t>
        </x:is>
      </x:c>
      <x:c r="E179" t="inlineStr">
        <x:is>
          <x:t xml:space="preserve">L</x:t>
        </x:is>
      </x:c>
      <x:c r="F179" t="n">
        <x:v>0.5</x:v>
      </x:c>
      <x:c r="G179" t="inlineStr">
        <x:is>
          <x:t xml:space="preserve">R</x:t>
        </x:is>
      </x:c>
      <x:c r="H179" t="n">
        <x:v>0.5</x:v>
      </x:c>
      <x:c r="I179" t="inlineStr">
        <x:is>
          <x:t xml:space="preserve">Is there a plan for when to engage law enforcement or regulators (criteria, approvals, and communications)?</x:t>
        </x:is>
      </x:c>
      <x:c r="J179" t="inlineStr">
        <x:is>
          <x:t xml:space="preserve">This reduces chaos during high-stakes events.</x:t>
        </x:is>
      </x:c>
      <x:c r="L179" t="inlineStr">
        <x:is>
          <x:t xml:space="preserve">LEG_STRICT</x:t>
        </x:is>
      </x:c>
      <x:c r="M179" t="n">
        <x:v>1</x:v>
      </x:c>
      <x:c r="P179" t="inlineStr">
        <x:is>
          <x:t xml:space="preserve">EXCO-D7-Q04-A0</x:t>
        </x:is>
      </x:c>
      <x:c r="Q179" t="n">
        <x:v>1</x:v>
      </x:c>
      <x:c r="R179" t="inlineStr">
        <x:is>
          <x:t xml:space="preserve">I don’t know / not sure.</x:t>
        </x:is>
      </x:c>
      <x:c r="S179" t="n">
        <x:v>0</x:v>
      </x:c>
      <x:c r="T179" t="inlineStr">
        <x:is>
          <x:t xml:space="preserve">unknown</x:t>
        </x:is>
      </x:c>
      <x:c r="U179" t="inlineStr">
        <x:is>
          <x:t xml:space="preserve">Unknown</x:t>
        </x:is>
      </x:c>
      <x:c r="V179" t="inlineStr">
        <x:is>
          <x:t xml:space="preserve">Define_LE_Plan</x:t>
        </x:is>
      </x:c>
      <x:c r="W179" t="inlineStr">
        <x:is>
          <x:t xml:space="preserve">N</x:t>
        </x:is>
      </x:c>
      <x:c r="Y179">
        <x:f>(S179*IF(E179="G",F179,0))+(S179*IF(G179="G",H179,0))</x:f>
      </x:c>
      <x:c r="Z179">
        <x:f>(S179*IF(E179="E",F179,0))+(S179*IF(G179="E",H179,0))</x:f>
      </x:c>
      <x:c r="AA179">
        <x:f>(S179*IF(E179="T",F179,0))+(S179*IF(G179="T",H179,0))</x:f>
      </x:c>
      <x:c r="AB179">
        <x:f>(S179*IF(E179="L",F179,0))+(S179*IF(G179="L",H179,0))</x:f>
      </x:c>
      <x:c r="AC179">
        <x:f>(S179*IF(E179="H",F179,0))+(S179*IF(G179="H",H179,0))</x:f>
      </x:c>
      <x:c r="AD179">
        <x:f>(S179*IF(E179="V",F179,0))+(S179*IF(G179="V",H179,0))</x:f>
      </x:c>
      <x:c r="AE179">
        <x:f>(S179*IF(E179="R",F179,0))+(S179*IF(G179="R",H179,0))</x:f>
      </x:c>
      <x:c r="AF179">
        <x:f>(S179*IF(E179="F",F179,0))+(S179*IF(G179="F",H179,0))</x:f>
      </x:c>
      <x:c r="AG179">
        <x:f>(S179*IF(E179="W",F179,0))+(S179*IF(G179="W",H179,0))</x:f>
      </x:c>
      <x:c r="AH179" t="inlineStr">
        <x:is>
          <x:t xml:space="preserve">8. Investigation &amp; Response</x:t>
        </x:is>
      </x:c>
      <x:c r="AI179" t="inlineStr">
        <x:is>
          <x:t xml:space="preserve">Incident Action</x:t>
        </x:is>
      </x:c>
      <x:c r="AJ179" t="inlineStr">
        <x:is>
          <x:t xml:space="preserve">Law enforcement &amp; external liaison</x:t>
        </x:is>
      </x:c>
    </x:row>
    <x:row r="180">
      <x:c r="A180" t="inlineStr">
        <x:is>
          <x:t xml:space="preserve">Executive</x:t>
        </x:is>
      </x:c>
      <x:c r="B180" t="inlineStr">
        <x:is>
          <x:t xml:space="preserve">EXCO-D7-Q04</x:t>
        </x:is>
      </x:c>
      <x:c r="C180" t="inlineStr">
        <x:is>
          <x:t xml:space="preserve">T2</x:t>
        </x:is>
      </x:c>
      <x:c r="D180" t="inlineStr">
        <x:is>
          <x:t xml:space="preserve">7. Response &amp; Resilience</x:t>
        </x:is>
      </x:c>
      <x:c r="E180" t="inlineStr">
        <x:is>
          <x:t xml:space="preserve">L</x:t>
        </x:is>
      </x:c>
      <x:c r="F180" t="n">
        <x:v>0.5</x:v>
      </x:c>
      <x:c r="G180" t="inlineStr">
        <x:is>
          <x:t xml:space="preserve">R</x:t>
        </x:is>
      </x:c>
      <x:c r="H180" t="n">
        <x:v>0.5</x:v>
      </x:c>
      <x:c r="I180" t="inlineStr">
        <x:is>
          <x:t xml:space="preserve">Is there a plan for when to engage law enforcement or regulators (criteria, approvals, and communications)?</x:t>
        </x:is>
      </x:c>
      <x:c r="J180" t="inlineStr">
        <x:is>
          <x:t xml:space="preserve">This reduces chaos during high-stakes events.</x:t>
        </x:is>
      </x:c>
      <x:c r="L180" t="inlineStr">
        <x:is>
          <x:t xml:space="preserve">LEG_STRICT</x:t>
        </x:is>
      </x:c>
      <x:c r="M180" t="n">
        <x:v>1</x:v>
      </x:c>
      <x:c r="P180" t="inlineStr">
        <x:is>
          <x:t xml:space="preserve">EXCO-D7-Q04-A1</x:t>
        </x:is>
      </x:c>
      <x:c r="Q180" t="n">
        <x:v>2</x:v>
      </x:c>
      <x:c r="R180" t="inlineStr">
        <x:is>
          <x:t xml:space="preserve">No—we decide during a crisis.</x:t>
        </x:is>
      </x:c>
      <x:c r="S180" t="n">
        <x:v>0</x:v>
      </x:c>
      <x:c r="T180" t="inlineStr">
        <x:is>
          <x:t xml:space="preserve">foundational_gap</x:t>
        </x:is>
      </x:c>
      <x:c r="U180" t="inlineStr">
        <x:is>
          <x:t xml:space="preserve">Resilience Gap</x:t>
        </x:is>
      </x:c>
      <x:c r="V180" t="inlineStr">
        <x:is>
          <x:t xml:space="preserve">Define_LE_Plan</x:t>
        </x:is>
      </x:c>
      <x:c r="W180" t="inlineStr">
        <x:is>
          <x:t xml:space="preserve">N</x:t>
        </x:is>
      </x:c>
      <x:c r="Y180">
        <x:f>(S180*IF(E180="G",F180,0))+(S180*IF(G180="G",H180,0))</x:f>
      </x:c>
      <x:c r="Z180">
        <x:f>(S180*IF(E180="E",F180,0))+(S180*IF(G180="E",H180,0))</x:f>
      </x:c>
      <x:c r="AA180">
        <x:f>(S180*IF(E180="T",F180,0))+(S180*IF(G180="T",H180,0))</x:f>
      </x:c>
      <x:c r="AB180">
        <x:f>(S180*IF(E180="L",F180,0))+(S180*IF(G180="L",H180,0))</x:f>
      </x:c>
      <x:c r="AC180">
        <x:f>(S180*IF(E180="H",F180,0))+(S180*IF(G180="H",H180,0))</x:f>
      </x:c>
      <x:c r="AD180">
        <x:f>(S180*IF(E180="V",F180,0))+(S180*IF(G180="V",H180,0))</x:f>
      </x:c>
      <x:c r="AE180">
        <x:f>(S180*IF(E180="R",F180,0))+(S180*IF(G180="R",H180,0))</x:f>
      </x:c>
      <x:c r="AF180">
        <x:f>(S180*IF(E180="F",F180,0))+(S180*IF(G180="F",H180,0))</x:f>
      </x:c>
      <x:c r="AG180">
        <x:f>(S180*IF(E180="W",F180,0))+(S180*IF(G180="W",H180,0))</x:f>
      </x:c>
      <x:c r="AH180" t="inlineStr">
        <x:is>
          <x:t xml:space="preserve">8. Investigation &amp; Response</x:t>
        </x:is>
      </x:c>
      <x:c r="AI180" t="inlineStr">
        <x:is>
          <x:t xml:space="preserve">Incident Action</x:t>
        </x:is>
      </x:c>
      <x:c r="AJ180" t="inlineStr">
        <x:is>
          <x:t xml:space="preserve">Law enforcement &amp; external liaison</x:t>
        </x:is>
      </x:c>
    </x:row>
    <x:row r="181">
      <x:c r="A181" t="inlineStr">
        <x:is>
          <x:t xml:space="preserve">Executive</x:t>
        </x:is>
      </x:c>
      <x:c r="B181" t="inlineStr">
        <x:is>
          <x:t xml:space="preserve">EXCO-D7-Q04</x:t>
        </x:is>
      </x:c>
      <x:c r="C181" t="inlineStr">
        <x:is>
          <x:t xml:space="preserve">T2</x:t>
        </x:is>
      </x:c>
      <x:c r="D181" t="inlineStr">
        <x:is>
          <x:t xml:space="preserve">7. Response &amp; Resilience</x:t>
        </x:is>
      </x:c>
      <x:c r="E181" t="inlineStr">
        <x:is>
          <x:t xml:space="preserve">L</x:t>
        </x:is>
      </x:c>
      <x:c r="F181" t="n">
        <x:v>0.5</x:v>
      </x:c>
      <x:c r="G181" t="inlineStr">
        <x:is>
          <x:t xml:space="preserve">R</x:t>
        </x:is>
      </x:c>
      <x:c r="H181" t="n">
        <x:v>0.5</x:v>
      </x:c>
      <x:c r="I181" t="inlineStr">
        <x:is>
          <x:t xml:space="preserve">Is there a plan for when to engage law enforcement or regulators (criteria, approvals, and communications)?</x:t>
        </x:is>
      </x:c>
      <x:c r="J181" t="inlineStr">
        <x:is>
          <x:t xml:space="preserve">This reduces chaos during high-stakes events.</x:t>
        </x:is>
      </x:c>
      <x:c r="L181" t="inlineStr">
        <x:is>
          <x:t xml:space="preserve">LEG_STRICT</x:t>
        </x:is>
      </x:c>
      <x:c r="M181" t="n">
        <x:v>1</x:v>
      </x:c>
      <x:c r="P181" t="inlineStr">
        <x:is>
          <x:t xml:space="preserve">EXCO-D7-Q04-A2</x:t>
        </x:is>
      </x:c>
      <x:c r="Q181" t="n">
        <x:v>3</x:v>
      </x:c>
      <x:c r="R181" t="inlineStr">
        <x:is>
          <x:t xml:space="preserve">We have informal contacts, but no defined criteria or approvals.</x:t>
        </x:is>
      </x:c>
      <x:c r="S181" t="n">
        <x:v>1</x:v>
      </x:c>
      <x:c r="T181" t="inlineStr">
        <x:is>
          <x:t xml:space="preserve">ad_hoc</x:t>
        </x:is>
      </x:c>
      <x:c r="U181" t="inlineStr">
        <x:is>
          <x:t xml:space="preserve">Operating Model Gap</x:t>
        </x:is>
      </x:c>
      <x:c r="V181" t="inlineStr">
        <x:is>
          <x:t xml:space="preserve">Define_LE_Plan</x:t>
        </x:is>
      </x:c>
      <x:c r="W181" t="inlineStr">
        <x:is>
          <x:t xml:space="preserve">N</x:t>
        </x:is>
      </x:c>
      <x:c r="Y181">
        <x:f>(S181*IF(E181="G",F181,0))+(S181*IF(G181="G",H181,0))</x:f>
      </x:c>
      <x:c r="Z181">
        <x:f>(S181*IF(E181="E",F181,0))+(S181*IF(G181="E",H181,0))</x:f>
      </x:c>
      <x:c r="AA181">
        <x:f>(S181*IF(E181="T",F181,0))+(S181*IF(G181="T",H181,0))</x:f>
      </x:c>
      <x:c r="AB181">
        <x:f>(S181*IF(E181="L",F181,0))+(S181*IF(G181="L",H181,0))</x:f>
      </x:c>
      <x:c r="AC181">
        <x:f>(S181*IF(E181="H",F181,0))+(S181*IF(G181="H",H181,0))</x:f>
      </x:c>
      <x:c r="AD181">
        <x:f>(S181*IF(E181="V",F181,0))+(S181*IF(G181="V",H181,0))</x:f>
      </x:c>
      <x:c r="AE181">
        <x:f>(S181*IF(E181="R",F181,0))+(S181*IF(G181="R",H181,0))</x:f>
      </x:c>
      <x:c r="AF181">
        <x:f>(S181*IF(E181="F",F181,0))+(S181*IF(G181="F",H181,0))</x:f>
      </x:c>
      <x:c r="AG181">
        <x:f>(S181*IF(E181="W",F181,0))+(S181*IF(G181="W",H181,0))</x:f>
      </x:c>
      <x:c r="AH181" t="inlineStr">
        <x:is>
          <x:t xml:space="preserve">8. Investigation &amp; Response</x:t>
        </x:is>
      </x:c>
      <x:c r="AI181" t="inlineStr">
        <x:is>
          <x:t xml:space="preserve">Incident Action</x:t>
        </x:is>
      </x:c>
      <x:c r="AJ181" t="inlineStr">
        <x:is>
          <x:t xml:space="preserve">Law enforcement &amp; external liaison</x:t>
        </x:is>
      </x:c>
    </x:row>
    <x:row r="182">
      <x:c r="A182" t="inlineStr">
        <x:is>
          <x:t xml:space="preserve">Executive</x:t>
        </x:is>
      </x:c>
      <x:c r="B182" t="inlineStr">
        <x:is>
          <x:t xml:space="preserve">EXCO-D7-Q04</x:t>
        </x:is>
      </x:c>
      <x:c r="C182" t="inlineStr">
        <x:is>
          <x:t xml:space="preserve">T2</x:t>
        </x:is>
      </x:c>
      <x:c r="D182" t="inlineStr">
        <x:is>
          <x:t xml:space="preserve">7. Response &amp; Resilience</x:t>
        </x:is>
      </x:c>
      <x:c r="E182" t="inlineStr">
        <x:is>
          <x:t xml:space="preserve">L</x:t>
        </x:is>
      </x:c>
      <x:c r="F182" t="n">
        <x:v>0.5</x:v>
      </x:c>
      <x:c r="G182" t="inlineStr">
        <x:is>
          <x:t xml:space="preserve">R</x:t>
        </x:is>
      </x:c>
      <x:c r="H182" t="n">
        <x:v>0.5</x:v>
      </x:c>
      <x:c r="I182" t="inlineStr">
        <x:is>
          <x:t xml:space="preserve">Is there a plan for when to engage law enforcement or regulators (criteria, approvals, and communications)?</x:t>
        </x:is>
      </x:c>
      <x:c r="J182" t="inlineStr">
        <x:is>
          <x:t xml:space="preserve">This reduces chaos during high-stakes events.</x:t>
        </x:is>
      </x:c>
      <x:c r="L182" t="inlineStr">
        <x:is>
          <x:t xml:space="preserve">LEG_STRICT</x:t>
        </x:is>
      </x:c>
      <x:c r="M182" t="n">
        <x:v>1</x:v>
      </x:c>
      <x:c r="P182" t="inlineStr">
        <x:is>
          <x:t xml:space="preserve">EXCO-D7-Q04-A3</x:t>
        </x:is>
      </x:c>
      <x:c r="Q182" t="n">
        <x:v>4</x:v>
      </x:c>
      <x:c r="R182" t="inlineStr">
        <x:is>
          <x:t xml:space="preserve">A policy exists, but it is generic and not practised.</x:t>
        </x:is>
      </x:c>
      <x:c r="S182" t="n">
        <x:v>2</x:v>
      </x:c>
      <x:c r="T182" t="inlineStr">
        <x:is>
          <x:t xml:space="preserve">paper_process</x:t>
        </x:is>
      </x:c>
      <x:c r="U182" t="inlineStr">
        <x:is>
          <x:t xml:space="preserve">Paper Dragon</x:t>
        </x:is>
      </x:c>
      <x:c r="V182" t="inlineStr">
        <x:is>
          <x:t xml:space="preserve">Exercise_LE_Plan</x:t>
        </x:is>
      </x:c>
      <x:c r="W182" t="inlineStr">
        <x:is>
          <x:t xml:space="preserve">N</x:t>
        </x:is>
      </x:c>
      <x:c r="Y182">
        <x:f>(S182*IF(E182="G",F182,0))+(S182*IF(G182="G",H182,0))</x:f>
      </x:c>
      <x:c r="Z182">
        <x:f>(S182*IF(E182="E",F182,0))+(S182*IF(G182="E",H182,0))</x:f>
      </x:c>
      <x:c r="AA182">
        <x:f>(S182*IF(E182="T",F182,0))+(S182*IF(G182="T",H182,0))</x:f>
      </x:c>
      <x:c r="AB182">
        <x:f>(S182*IF(E182="L",F182,0))+(S182*IF(G182="L",H182,0))</x:f>
      </x:c>
      <x:c r="AC182">
        <x:f>(S182*IF(E182="H",F182,0))+(S182*IF(G182="H",H182,0))</x:f>
      </x:c>
      <x:c r="AD182">
        <x:f>(S182*IF(E182="V",F182,0))+(S182*IF(G182="V",H182,0))</x:f>
      </x:c>
      <x:c r="AE182">
        <x:f>(S182*IF(E182="R",F182,0))+(S182*IF(G182="R",H182,0))</x:f>
      </x:c>
      <x:c r="AF182">
        <x:f>(S182*IF(E182="F",F182,0))+(S182*IF(G182="F",H182,0))</x:f>
      </x:c>
      <x:c r="AG182">
        <x:f>(S182*IF(E182="W",F182,0))+(S182*IF(G182="W",H182,0))</x:f>
      </x:c>
      <x:c r="AH182" t="inlineStr">
        <x:is>
          <x:t xml:space="preserve">8. Investigation &amp; Response</x:t>
        </x:is>
      </x:c>
      <x:c r="AI182" t="inlineStr">
        <x:is>
          <x:t xml:space="preserve">Incident Action</x:t>
        </x:is>
      </x:c>
      <x:c r="AJ182" t="inlineStr">
        <x:is>
          <x:t xml:space="preserve">Law enforcement &amp; external liaison</x:t>
        </x:is>
      </x:c>
    </x:row>
    <x:row r="183">
      <x:c r="A183" t="inlineStr">
        <x:is>
          <x:t xml:space="preserve">Executive</x:t>
        </x:is>
      </x:c>
      <x:c r="B183" t="inlineStr">
        <x:is>
          <x:t xml:space="preserve">EXCO-D7-Q04</x:t>
        </x:is>
      </x:c>
      <x:c r="C183" t="inlineStr">
        <x:is>
          <x:t xml:space="preserve">T2</x:t>
        </x:is>
      </x:c>
      <x:c r="D183" t="inlineStr">
        <x:is>
          <x:t xml:space="preserve">7. Response &amp; Resilience</x:t>
        </x:is>
      </x:c>
      <x:c r="E183" t="inlineStr">
        <x:is>
          <x:t xml:space="preserve">L</x:t>
        </x:is>
      </x:c>
      <x:c r="F183" t="n">
        <x:v>0.5</x:v>
      </x:c>
      <x:c r="G183" t="inlineStr">
        <x:is>
          <x:t xml:space="preserve">R</x:t>
        </x:is>
      </x:c>
      <x:c r="H183" t="n">
        <x:v>0.5</x:v>
      </x:c>
      <x:c r="I183" t="inlineStr">
        <x:is>
          <x:t xml:space="preserve">Is there a plan for when to engage law enforcement or regulators (criteria, approvals, and communications)?</x:t>
        </x:is>
      </x:c>
      <x:c r="J183" t="inlineStr">
        <x:is>
          <x:t xml:space="preserve">This reduces chaos during high-stakes events.</x:t>
        </x:is>
      </x:c>
      <x:c r="L183" t="inlineStr">
        <x:is>
          <x:t xml:space="preserve">LEG_STRICT</x:t>
        </x:is>
      </x:c>
      <x:c r="M183" t="n">
        <x:v>1</x:v>
      </x:c>
      <x:c r="P183" t="inlineStr">
        <x:is>
          <x:t xml:space="preserve">EXCO-D7-Q04-A4</x:t>
        </x:is>
      </x:c>
      <x:c r="Q183" t="n">
        <x:v>5</x:v>
      </x:c>
      <x:c r="R183" t="inlineStr">
        <x:is>
          <x:t xml:space="preserve">Criteria and approvals are defined; communications roles are clear.</x:t>
        </x:is>
      </x:c>
      <x:c r="S183" t="n">
        <x:v>3</x:v>
      </x:c>
      <x:c r="T183" t="inlineStr">
        <x:is>
          <x:t xml:space="preserve">good_practice</x:t>
        </x:is>
      </x:c>
      <x:c r="V183" t="inlineStr">
        <x:is>
          <x:t xml:space="preserve">Request_Evidence</x:t>
        </x:is>
      </x:c>
      <x:c r="W183" t="inlineStr">
        <x:is>
          <x:t xml:space="preserve">Y</x:t>
        </x:is>
      </x:c>
      <x:c r="Y183">
        <x:f>(S183*IF(E183="G",F183,0))+(S183*IF(G183="G",H183,0))</x:f>
      </x:c>
      <x:c r="Z183">
        <x:f>(S183*IF(E183="E",F183,0))+(S183*IF(G183="E",H183,0))</x:f>
      </x:c>
      <x:c r="AA183">
        <x:f>(S183*IF(E183="T",F183,0))+(S183*IF(G183="T",H183,0))</x:f>
      </x:c>
      <x:c r="AB183">
        <x:f>(S183*IF(E183="L",F183,0))+(S183*IF(G183="L",H183,0))</x:f>
      </x:c>
      <x:c r="AC183">
        <x:f>(S183*IF(E183="H",F183,0))+(S183*IF(G183="H",H183,0))</x:f>
      </x:c>
      <x:c r="AD183">
        <x:f>(S183*IF(E183="V",F183,0))+(S183*IF(G183="V",H183,0))</x:f>
      </x:c>
      <x:c r="AE183">
        <x:f>(S183*IF(E183="R",F183,0))+(S183*IF(G183="R",H183,0))</x:f>
      </x:c>
      <x:c r="AF183">
        <x:f>(S183*IF(E183="F",F183,0))+(S183*IF(G183="F",H183,0))</x:f>
      </x:c>
      <x:c r="AG183">
        <x:f>(S183*IF(E183="W",F183,0))+(S183*IF(G183="W",H183,0))</x:f>
      </x:c>
      <x:c r="AH183" t="inlineStr">
        <x:is>
          <x:t xml:space="preserve">8. Investigation &amp; Response</x:t>
        </x:is>
      </x:c>
      <x:c r="AI183" t="inlineStr">
        <x:is>
          <x:t xml:space="preserve">Incident Action</x:t>
        </x:is>
      </x:c>
      <x:c r="AJ183" t="inlineStr">
        <x:is>
          <x:t xml:space="preserve">Law enforcement &amp; external liaison</x:t>
        </x:is>
      </x:c>
    </x:row>
    <x:row r="184">
      <x:c r="A184" t="inlineStr">
        <x:is>
          <x:t xml:space="preserve">Executive</x:t>
        </x:is>
      </x:c>
      <x:c r="B184" t="inlineStr">
        <x:is>
          <x:t xml:space="preserve">EXCO-D7-Q04</x:t>
        </x:is>
      </x:c>
      <x:c r="C184" t="inlineStr">
        <x:is>
          <x:t xml:space="preserve">T2</x:t>
        </x:is>
      </x:c>
      <x:c r="D184" t="inlineStr">
        <x:is>
          <x:t xml:space="preserve">7. Response &amp; Resilience</x:t>
        </x:is>
      </x:c>
      <x:c r="E184" t="inlineStr">
        <x:is>
          <x:t xml:space="preserve">L</x:t>
        </x:is>
      </x:c>
      <x:c r="F184" t="n">
        <x:v>0.5</x:v>
      </x:c>
      <x:c r="G184" t="inlineStr">
        <x:is>
          <x:t xml:space="preserve">R</x:t>
        </x:is>
      </x:c>
      <x:c r="H184" t="n">
        <x:v>0.5</x:v>
      </x:c>
      <x:c r="I184" t="inlineStr">
        <x:is>
          <x:t xml:space="preserve">Is there a plan for when to engage law enforcement or regulators (criteria, approvals, and communications)?</x:t>
        </x:is>
      </x:c>
      <x:c r="J184" t="inlineStr">
        <x:is>
          <x:t xml:space="preserve">This reduces chaos during high-stakes events.</x:t>
        </x:is>
      </x:c>
      <x:c r="L184" t="inlineStr">
        <x:is>
          <x:t xml:space="preserve">LEG_STRICT</x:t>
        </x:is>
      </x:c>
      <x:c r="M184" t="n">
        <x:v>1</x:v>
      </x:c>
      <x:c r="P184" t="inlineStr">
        <x:is>
          <x:t xml:space="preserve">EXCO-D7-Q04-A5</x:t>
        </x:is>
      </x:c>
      <x:c r="Q184" t="n">
        <x:v>6</x:v>
      </x:c>
      <x:c r="R184" t="inlineStr">
        <x:is>
          <x:t xml:space="preserve">Plan is integrated with crisis management; practised and improved regularly.</x:t>
        </x:is>
      </x:c>
      <x:c r="S184" t="n">
        <x:v>4</x:v>
      </x:c>
      <x:c r="T184" t="inlineStr">
        <x:is>
          <x:t xml:space="preserve">optimized</x:t>
        </x:is>
      </x:c>
      <x:c r="V184" t="inlineStr">
        <x:is>
          <x:t xml:space="preserve">Request_Evidence</x:t>
        </x:is>
      </x:c>
      <x:c r="W184" t="inlineStr">
        <x:is>
          <x:t xml:space="preserve">Y</x:t>
        </x:is>
      </x:c>
      <x:c r="Y184">
        <x:f>(S184*IF(E184="G",F184,0))+(S184*IF(G184="G",H184,0))</x:f>
      </x:c>
      <x:c r="Z184">
        <x:f>(S184*IF(E184="E",F184,0))+(S184*IF(G184="E",H184,0))</x:f>
      </x:c>
      <x:c r="AA184">
        <x:f>(S184*IF(E184="T",F184,0))+(S184*IF(G184="T",H184,0))</x:f>
      </x:c>
      <x:c r="AB184">
        <x:f>(S184*IF(E184="L",F184,0))+(S184*IF(G184="L",H184,0))</x:f>
      </x:c>
      <x:c r="AC184">
        <x:f>(S184*IF(E184="H",F184,0))+(S184*IF(G184="H",H184,0))</x:f>
      </x:c>
      <x:c r="AD184">
        <x:f>(S184*IF(E184="V",F184,0))+(S184*IF(G184="V",H184,0))</x:f>
      </x:c>
      <x:c r="AE184">
        <x:f>(S184*IF(E184="R",F184,0))+(S184*IF(G184="R",H184,0))</x:f>
      </x:c>
      <x:c r="AF184">
        <x:f>(S184*IF(E184="F",F184,0))+(S184*IF(G184="F",H184,0))</x:f>
      </x:c>
      <x:c r="AG184">
        <x:f>(S184*IF(E184="W",F184,0))+(S184*IF(G184="W",H184,0))</x:f>
      </x:c>
      <x:c r="AH184" t="inlineStr">
        <x:is>
          <x:t xml:space="preserve">8. Investigation &amp; Response</x:t>
        </x:is>
      </x:c>
      <x:c r="AI184" t="inlineStr">
        <x:is>
          <x:t xml:space="preserve">Incident Action</x:t>
        </x:is>
      </x:c>
      <x:c r="AJ184" t="inlineStr">
        <x:is>
          <x:t xml:space="preserve">Law enforcement &amp; external liaison</x:t>
        </x:is>
      </x:c>
    </x:row>
    <x:row r="185">
      <x:c r="A185" t="inlineStr">
        <x:is>
          <x:t xml:space="preserve">Executive</x:t>
        </x:is>
      </x:c>
      <x:c r="B185" t="inlineStr">
        <x:is>
          <x:t xml:space="preserve">EXCO-D7-Q05</x:t>
        </x:is>
      </x:c>
      <x:c r="C185" t="inlineStr">
        <x:is>
          <x:t xml:space="preserve">T2</x:t>
        </x:is>
      </x:c>
      <x:c r="D185" t="inlineStr">
        <x:is>
          <x:t xml:space="preserve">7. Response &amp; Resilience</x:t>
        </x:is>
      </x:c>
      <x:c r="E185" t="inlineStr">
        <x:is>
          <x:t xml:space="preserve">H</x:t>
        </x:is>
      </x:c>
      <x:c r="F185" t="n">
        <x:v>0.5</x:v>
      </x:c>
      <x:c r="G185" t="inlineStr">
        <x:is>
          <x:t xml:space="preserve">R</x:t>
        </x:is>
      </x:c>
      <x:c r="H185" t="n">
        <x:v>0.5</x:v>
      </x:c>
      <x:c r="I185" t="inlineStr">
        <x:is>
          <x:t xml:space="preserve">After an insider incident, do we have a plan to restore trust (team health, communications, fairness, control changes)?</x:t>
        </x:is>
      </x:c>
      <x:c r="J185" t="inlineStr">
        <x:is>
          <x:t xml:space="preserve">Trust recovery is about avoiding long-term fear, blame, and productivity loss.</x:t>
        </x:is>
      </x:c>
      <x:c r="L185" t="inlineStr">
        <x:is>
          <x:t xml:space="preserve">CULT_SOFT</x:t>
        </x:is>
      </x:c>
      <x:c r="M185" t="n">
        <x:v>1</x:v>
      </x:c>
      <x:c r="P185" t="inlineStr">
        <x:is>
          <x:t xml:space="preserve">EXCO-D7-Q05-A0</x:t>
        </x:is>
      </x:c>
      <x:c r="Q185" t="n">
        <x:v>1</x:v>
      </x:c>
      <x:c r="R185" t="inlineStr">
        <x:is>
          <x:t xml:space="preserve">I don’t know / not sure.</x:t>
        </x:is>
      </x:c>
      <x:c r="S185" t="n">
        <x:v>0</x:v>
      </x:c>
      <x:c r="T185" t="inlineStr">
        <x:is>
          <x:t xml:space="preserve">unknown</x:t>
        </x:is>
      </x:c>
      <x:c r="U185" t="inlineStr">
        <x:is>
          <x:t xml:space="preserve">Unknown</x:t>
        </x:is>
      </x:c>
      <x:c r="V185" t="inlineStr">
        <x:is>
          <x:t xml:space="preserve">Create_Trust_Playbook</x:t>
        </x:is>
      </x:c>
      <x:c r="W185" t="inlineStr">
        <x:is>
          <x:t xml:space="preserve">N</x:t>
        </x:is>
      </x:c>
      <x:c r="Y185">
        <x:f>(S185*IF(E185="G",F185,0))+(S185*IF(G185="G",H185,0))</x:f>
      </x:c>
      <x:c r="Z185">
        <x:f>(S185*IF(E185="E",F185,0))+(S185*IF(G185="E",H185,0))</x:f>
      </x:c>
      <x:c r="AA185">
        <x:f>(S185*IF(E185="T",F185,0))+(S185*IF(G185="T",H185,0))</x:f>
      </x:c>
      <x:c r="AB185">
        <x:f>(S185*IF(E185="L",F185,0))+(S185*IF(G185="L",H185,0))</x:f>
      </x:c>
      <x:c r="AC185">
        <x:f>(S185*IF(E185="H",F185,0))+(S185*IF(G185="H",H185,0))</x:f>
      </x:c>
      <x:c r="AD185">
        <x:f>(S185*IF(E185="V",F185,0))+(S185*IF(G185="V",H185,0))</x:f>
      </x:c>
      <x:c r="AE185">
        <x:f>(S185*IF(E185="R",F185,0))+(S185*IF(G185="R",H185,0))</x:f>
      </x:c>
      <x:c r="AF185">
        <x:f>(S185*IF(E185="F",F185,0))+(S185*IF(G185="F",H185,0))</x:f>
      </x:c>
      <x:c r="AG185">
        <x:f>(S185*IF(E185="W",F185,0))+(S185*IF(G185="W",H185,0))</x:f>
      </x:c>
      <x:c r="AH185" t="inlineStr">
        <x:is>
          <x:t xml:space="preserve">9. Performance &amp; Resilience</x:t>
        </x:is>
      </x:c>
      <x:c r="AI185" t="inlineStr">
        <x:is>
          <x:t xml:space="preserve">Resilience &amp; Continuity</x:t>
        </x:is>
      </x:c>
      <x:c r="AJ185" t="inlineStr">
        <x:is>
          <x:t xml:space="preserve">Recovery playbooks &amp; trust restoration</x:t>
        </x:is>
      </x:c>
    </x:row>
    <x:row r="186">
      <x:c r="A186" t="inlineStr">
        <x:is>
          <x:t xml:space="preserve">Executive</x:t>
        </x:is>
      </x:c>
      <x:c r="B186" t="inlineStr">
        <x:is>
          <x:t xml:space="preserve">EXCO-D7-Q05</x:t>
        </x:is>
      </x:c>
      <x:c r="C186" t="inlineStr">
        <x:is>
          <x:t xml:space="preserve">T2</x:t>
        </x:is>
      </x:c>
      <x:c r="D186" t="inlineStr">
        <x:is>
          <x:t xml:space="preserve">7. Response &amp; Resilience</x:t>
        </x:is>
      </x:c>
      <x:c r="E186" t="inlineStr">
        <x:is>
          <x:t xml:space="preserve">H</x:t>
        </x:is>
      </x:c>
      <x:c r="F186" t="n">
        <x:v>0.5</x:v>
      </x:c>
      <x:c r="G186" t="inlineStr">
        <x:is>
          <x:t xml:space="preserve">R</x:t>
        </x:is>
      </x:c>
      <x:c r="H186" t="n">
        <x:v>0.5</x:v>
      </x:c>
      <x:c r="I186" t="inlineStr">
        <x:is>
          <x:t xml:space="preserve">After an insider incident, do we have a plan to restore trust (team health, communications, fairness, control changes)?</x:t>
        </x:is>
      </x:c>
      <x:c r="J186" t="inlineStr">
        <x:is>
          <x:t xml:space="preserve">Trust recovery is about avoiding long-term fear, blame, and productivity loss.</x:t>
        </x:is>
      </x:c>
      <x:c r="L186" t="inlineStr">
        <x:is>
          <x:t xml:space="preserve">CULT_SOFT</x:t>
        </x:is>
      </x:c>
      <x:c r="M186" t="n">
        <x:v>1</x:v>
      </x:c>
      <x:c r="P186" t="inlineStr">
        <x:is>
          <x:t xml:space="preserve">EXCO-D7-Q05-A1</x:t>
        </x:is>
      </x:c>
      <x:c r="Q186" t="n">
        <x:v>2</x:v>
      </x:c>
      <x:c r="R186" t="inlineStr">
        <x:is>
          <x:t xml:space="preserve">No—focus is only on technical fix and PR; trust is not addressed.</x:t>
        </x:is>
      </x:c>
      <x:c r="S186" t="n">
        <x:v>0</x:v>
      </x:c>
      <x:c r="T186" t="inlineStr">
        <x:is>
          <x:t xml:space="preserve">culture_risk</x:t>
        </x:is>
      </x:c>
      <x:c r="U186" t="inlineStr">
        <x:is>
          <x:t xml:space="preserve">Culture Risk</x:t>
        </x:is>
      </x:c>
      <x:c r="V186" t="inlineStr">
        <x:is>
          <x:t xml:space="preserve">Create_Trust_Playbook</x:t>
        </x:is>
      </x:c>
      <x:c r="W186" t="inlineStr">
        <x:is>
          <x:t xml:space="preserve">N</x:t>
        </x:is>
      </x:c>
      <x:c r="Y186">
        <x:f>(S186*IF(E186="G",F186,0))+(S186*IF(G186="G",H186,0))</x:f>
      </x:c>
      <x:c r="Z186">
        <x:f>(S186*IF(E186="E",F186,0))+(S186*IF(G186="E",H186,0))</x:f>
      </x:c>
      <x:c r="AA186">
        <x:f>(S186*IF(E186="T",F186,0))+(S186*IF(G186="T",H186,0))</x:f>
      </x:c>
      <x:c r="AB186">
        <x:f>(S186*IF(E186="L",F186,0))+(S186*IF(G186="L",H186,0))</x:f>
      </x:c>
      <x:c r="AC186">
        <x:f>(S186*IF(E186="H",F186,0))+(S186*IF(G186="H",H186,0))</x:f>
      </x:c>
      <x:c r="AD186">
        <x:f>(S186*IF(E186="V",F186,0))+(S186*IF(G186="V",H186,0))</x:f>
      </x:c>
      <x:c r="AE186">
        <x:f>(S186*IF(E186="R",F186,0))+(S186*IF(G186="R",H186,0))</x:f>
      </x:c>
      <x:c r="AF186">
        <x:f>(S186*IF(E186="F",F186,0))+(S186*IF(G186="F",H186,0))</x:f>
      </x:c>
      <x:c r="AG186">
        <x:f>(S186*IF(E186="W",F186,0))+(S186*IF(G186="W",H186,0))</x:f>
      </x:c>
      <x:c r="AH186" t="inlineStr">
        <x:is>
          <x:t xml:space="preserve">9. Performance &amp; Resilience</x:t>
        </x:is>
      </x:c>
      <x:c r="AI186" t="inlineStr">
        <x:is>
          <x:t xml:space="preserve">Resilience &amp; Continuity</x:t>
        </x:is>
      </x:c>
      <x:c r="AJ186" t="inlineStr">
        <x:is>
          <x:t xml:space="preserve">Recovery playbooks &amp; trust restoration</x:t>
        </x:is>
      </x:c>
    </x:row>
    <x:row r="187">
      <x:c r="A187" t="inlineStr">
        <x:is>
          <x:t xml:space="preserve">Executive</x:t>
        </x:is>
      </x:c>
      <x:c r="B187" t="inlineStr">
        <x:is>
          <x:t xml:space="preserve">EXCO-D7-Q05</x:t>
        </x:is>
      </x:c>
      <x:c r="C187" t="inlineStr">
        <x:is>
          <x:t xml:space="preserve">T2</x:t>
        </x:is>
      </x:c>
      <x:c r="D187" t="inlineStr">
        <x:is>
          <x:t xml:space="preserve">7. Response &amp; Resilience</x:t>
        </x:is>
      </x:c>
      <x:c r="E187" t="inlineStr">
        <x:is>
          <x:t xml:space="preserve">H</x:t>
        </x:is>
      </x:c>
      <x:c r="F187" t="n">
        <x:v>0.5</x:v>
      </x:c>
      <x:c r="G187" t="inlineStr">
        <x:is>
          <x:t xml:space="preserve">R</x:t>
        </x:is>
      </x:c>
      <x:c r="H187" t="n">
        <x:v>0.5</x:v>
      </x:c>
      <x:c r="I187" t="inlineStr">
        <x:is>
          <x:t xml:space="preserve">After an insider incident, do we have a plan to restore trust (team health, communications, fairness, control changes)?</x:t>
        </x:is>
      </x:c>
      <x:c r="J187" t="inlineStr">
        <x:is>
          <x:t xml:space="preserve">Trust recovery is about avoiding long-term fear, blame, and productivity loss.</x:t>
        </x:is>
      </x:c>
      <x:c r="L187" t="inlineStr">
        <x:is>
          <x:t xml:space="preserve">CULT_SOFT</x:t>
        </x:is>
      </x:c>
      <x:c r="M187" t="n">
        <x:v>1</x:v>
      </x:c>
      <x:c r="P187" t="inlineStr">
        <x:is>
          <x:t xml:space="preserve">EXCO-D7-Q05-A2</x:t>
        </x:is>
      </x:c>
      <x:c r="Q187" t="n">
        <x:v>3</x:v>
      </x:c>
      <x:c r="R187" t="inlineStr">
        <x:is>
          <x:t xml:space="preserve">Managers try to handle it informally, but there is no structured support.</x:t>
        </x:is>
      </x:c>
      <x:c r="S187" t="n">
        <x:v>1</x:v>
      </x:c>
      <x:c r="T187" t="inlineStr">
        <x:is>
          <x:t xml:space="preserve">informal_only</x:t>
        </x:is>
      </x:c>
      <x:c r="U187" t="inlineStr">
        <x:is>
          <x:t xml:space="preserve">Operating Model Gap</x:t>
        </x:is>
      </x:c>
      <x:c r="V187" t="inlineStr">
        <x:is>
          <x:t xml:space="preserve">Create_Trust_Playbook</x:t>
        </x:is>
      </x:c>
      <x:c r="W187" t="inlineStr">
        <x:is>
          <x:t xml:space="preserve">N</x:t>
        </x:is>
      </x:c>
      <x:c r="Y187">
        <x:f>(S187*IF(E187="G",F187,0))+(S187*IF(G187="G",H187,0))</x:f>
      </x:c>
      <x:c r="Z187">
        <x:f>(S187*IF(E187="E",F187,0))+(S187*IF(G187="E",H187,0))</x:f>
      </x:c>
      <x:c r="AA187">
        <x:f>(S187*IF(E187="T",F187,0))+(S187*IF(G187="T",H187,0))</x:f>
      </x:c>
      <x:c r="AB187">
        <x:f>(S187*IF(E187="L",F187,0))+(S187*IF(G187="L",H187,0))</x:f>
      </x:c>
      <x:c r="AC187">
        <x:f>(S187*IF(E187="H",F187,0))+(S187*IF(G187="H",H187,0))</x:f>
      </x:c>
      <x:c r="AD187">
        <x:f>(S187*IF(E187="V",F187,0))+(S187*IF(G187="V",H187,0))</x:f>
      </x:c>
      <x:c r="AE187">
        <x:f>(S187*IF(E187="R",F187,0))+(S187*IF(G187="R",H187,0))</x:f>
      </x:c>
      <x:c r="AF187">
        <x:f>(S187*IF(E187="F",F187,0))+(S187*IF(G187="F",H187,0))</x:f>
      </x:c>
      <x:c r="AG187">
        <x:f>(S187*IF(E187="W",F187,0))+(S187*IF(G187="W",H187,0))</x:f>
      </x:c>
      <x:c r="AH187" t="inlineStr">
        <x:is>
          <x:t xml:space="preserve">9. Performance &amp; Resilience</x:t>
        </x:is>
      </x:c>
      <x:c r="AI187" t="inlineStr">
        <x:is>
          <x:t xml:space="preserve">Resilience &amp; Continuity</x:t>
        </x:is>
      </x:c>
      <x:c r="AJ187" t="inlineStr">
        <x:is>
          <x:t xml:space="preserve">Recovery playbooks &amp; trust restoration</x:t>
        </x:is>
      </x:c>
    </x:row>
    <x:row r="188">
      <x:c r="A188" t="inlineStr">
        <x:is>
          <x:t xml:space="preserve">Executive</x:t>
        </x:is>
      </x:c>
      <x:c r="B188" t="inlineStr">
        <x:is>
          <x:t xml:space="preserve">EXCO-D7-Q05</x:t>
        </x:is>
      </x:c>
      <x:c r="C188" t="inlineStr">
        <x:is>
          <x:t xml:space="preserve">T2</x:t>
        </x:is>
      </x:c>
      <x:c r="D188" t="inlineStr">
        <x:is>
          <x:t xml:space="preserve">7. Response &amp; Resilience</x:t>
        </x:is>
      </x:c>
      <x:c r="E188" t="inlineStr">
        <x:is>
          <x:t xml:space="preserve">H</x:t>
        </x:is>
      </x:c>
      <x:c r="F188" t="n">
        <x:v>0.5</x:v>
      </x:c>
      <x:c r="G188" t="inlineStr">
        <x:is>
          <x:t xml:space="preserve">R</x:t>
        </x:is>
      </x:c>
      <x:c r="H188" t="n">
        <x:v>0.5</x:v>
      </x:c>
      <x:c r="I188" t="inlineStr">
        <x:is>
          <x:t xml:space="preserve">After an insider incident, do we have a plan to restore trust (team health, communications, fairness, control changes)?</x:t>
        </x:is>
      </x:c>
      <x:c r="J188" t="inlineStr">
        <x:is>
          <x:t xml:space="preserve">Trust recovery is about avoiding long-term fear, blame, and productivity loss.</x:t>
        </x:is>
      </x:c>
      <x:c r="L188" t="inlineStr">
        <x:is>
          <x:t xml:space="preserve">CULT_SOFT</x:t>
        </x:is>
      </x:c>
      <x:c r="M188" t="n">
        <x:v>1</x:v>
      </x:c>
      <x:c r="P188" t="inlineStr">
        <x:is>
          <x:t xml:space="preserve">EXCO-D7-Q05-A3</x:t>
        </x:is>
      </x:c>
      <x:c r="Q188" t="n">
        <x:v>4</x:v>
      </x:c>
      <x:c r="R188" t="inlineStr">
        <x:is>
          <x:t xml:space="preserve">We have some steps (comms, HR support), but it isn’t documented or measured.</x:t>
        </x:is>
      </x:c>
      <x:c r="S188" t="n">
        <x:v>2</x:v>
      </x:c>
      <x:c r="T188" t="inlineStr">
        <x:is>
          <x:t xml:space="preserve">paper_process</x:t>
        </x:is>
      </x:c>
      <x:c r="U188" t="inlineStr">
        <x:is>
          <x:t xml:space="preserve">Paper Dragon</x:t>
        </x:is>
      </x:c>
      <x:c r="V188" t="inlineStr">
        <x:is>
          <x:t xml:space="preserve">Formalize_Trust_Playbook</x:t>
        </x:is>
      </x:c>
      <x:c r="W188" t="inlineStr">
        <x:is>
          <x:t xml:space="preserve">N</x:t>
        </x:is>
      </x:c>
      <x:c r="Y188">
        <x:f>(S188*IF(E188="G",F188,0))+(S188*IF(G188="G",H188,0))</x:f>
      </x:c>
      <x:c r="Z188">
        <x:f>(S188*IF(E188="E",F188,0))+(S188*IF(G188="E",H188,0))</x:f>
      </x:c>
      <x:c r="AA188">
        <x:f>(S188*IF(E188="T",F188,0))+(S188*IF(G188="T",H188,0))</x:f>
      </x:c>
      <x:c r="AB188">
        <x:f>(S188*IF(E188="L",F188,0))+(S188*IF(G188="L",H188,0))</x:f>
      </x:c>
      <x:c r="AC188">
        <x:f>(S188*IF(E188="H",F188,0))+(S188*IF(G188="H",H188,0))</x:f>
      </x:c>
      <x:c r="AD188">
        <x:f>(S188*IF(E188="V",F188,0))+(S188*IF(G188="V",H188,0))</x:f>
      </x:c>
      <x:c r="AE188">
        <x:f>(S188*IF(E188="R",F188,0))+(S188*IF(G188="R",H188,0))</x:f>
      </x:c>
      <x:c r="AF188">
        <x:f>(S188*IF(E188="F",F188,0))+(S188*IF(G188="F",H188,0))</x:f>
      </x:c>
      <x:c r="AG188">
        <x:f>(S188*IF(E188="W",F188,0))+(S188*IF(G188="W",H188,0))</x:f>
      </x:c>
      <x:c r="AH188" t="inlineStr">
        <x:is>
          <x:t xml:space="preserve">9. Performance &amp; Resilience</x:t>
        </x:is>
      </x:c>
      <x:c r="AI188" t="inlineStr">
        <x:is>
          <x:t xml:space="preserve">Resilience &amp; Continuity</x:t>
        </x:is>
      </x:c>
      <x:c r="AJ188" t="inlineStr">
        <x:is>
          <x:t xml:space="preserve">Recovery playbooks &amp; trust restoration</x:t>
        </x:is>
      </x:c>
    </x:row>
    <x:row r="189">
      <x:c r="A189" t="inlineStr">
        <x:is>
          <x:t xml:space="preserve">Executive</x:t>
        </x:is>
      </x:c>
      <x:c r="B189" t="inlineStr">
        <x:is>
          <x:t xml:space="preserve">EXCO-D7-Q05</x:t>
        </x:is>
      </x:c>
      <x:c r="C189" t="inlineStr">
        <x:is>
          <x:t xml:space="preserve">T2</x:t>
        </x:is>
      </x:c>
      <x:c r="D189" t="inlineStr">
        <x:is>
          <x:t xml:space="preserve">7. Response &amp; Resilience</x:t>
        </x:is>
      </x:c>
      <x:c r="E189" t="inlineStr">
        <x:is>
          <x:t xml:space="preserve">H</x:t>
        </x:is>
      </x:c>
      <x:c r="F189" t="n">
        <x:v>0.5</x:v>
      </x:c>
      <x:c r="G189" t="inlineStr">
        <x:is>
          <x:t xml:space="preserve">R</x:t>
        </x:is>
      </x:c>
      <x:c r="H189" t="n">
        <x:v>0.5</x:v>
      </x:c>
      <x:c r="I189" t="inlineStr">
        <x:is>
          <x:t xml:space="preserve">After an insider incident, do we have a plan to restore trust (team health, communications, fairness, control changes)?</x:t>
        </x:is>
      </x:c>
      <x:c r="J189" t="inlineStr">
        <x:is>
          <x:t xml:space="preserve">Trust recovery is about avoiding long-term fear, blame, and productivity loss.</x:t>
        </x:is>
      </x:c>
      <x:c r="L189" t="inlineStr">
        <x:is>
          <x:t xml:space="preserve">CULT_SOFT</x:t>
        </x:is>
      </x:c>
      <x:c r="M189" t="n">
        <x:v>1</x:v>
      </x:c>
      <x:c r="P189" t="inlineStr">
        <x:is>
          <x:t xml:space="preserve">EXCO-D7-Q05-A4</x:t>
        </x:is>
      </x:c>
      <x:c r="Q189" t="n">
        <x:v>5</x:v>
      </x:c>
      <x:c r="R189" t="inlineStr">
        <x:is>
          <x:t xml:space="preserve">We have a documented trust restoration approach and apply it after incidents.</x:t>
        </x:is>
      </x:c>
      <x:c r="S189" t="n">
        <x:v>3</x:v>
      </x:c>
      <x:c r="T189" t="inlineStr">
        <x:is>
          <x:t xml:space="preserve">good_practice</x:t>
        </x:is>
      </x:c>
      <x:c r="V189" t="inlineStr">
        <x:is>
          <x:t xml:space="preserve">Request_Evidence</x:t>
        </x:is>
      </x:c>
      <x:c r="W189" t="inlineStr">
        <x:is>
          <x:t xml:space="preserve">Y</x:t>
        </x:is>
      </x:c>
      <x:c r="Y189">
        <x:f>(S189*IF(E189="G",F189,0))+(S189*IF(G189="G",H189,0))</x:f>
      </x:c>
      <x:c r="Z189">
        <x:f>(S189*IF(E189="E",F189,0))+(S189*IF(G189="E",H189,0))</x:f>
      </x:c>
      <x:c r="AA189">
        <x:f>(S189*IF(E189="T",F189,0))+(S189*IF(G189="T",H189,0))</x:f>
      </x:c>
      <x:c r="AB189">
        <x:f>(S189*IF(E189="L",F189,0))+(S189*IF(G189="L",H189,0))</x:f>
      </x:c>
      <x:c r="AC189">
        <x:f>(S189*IF(E189="H",F189,0))+(S189*IF(G189="H",H189,0))</x:f>
      </x:c>
      <x:c r="AD189">
        <x:f>(S189*IF(E189="V",F189,0))+(S189*IF(G189="V",H189,0))</x:f>
      </x:c>
      <x:c r="AE189">
        <x:f>(S189*IF(E189="R",F189,0))+(S189*IF(G189="R",H189,0))</x:f>
      </x:c>
      <x:c r="AF189">
        <x:f>(S189*IF(E189="F",F189,0))+(S189*IF(G189="F",H189,0))</x:f>
      </x:c>
      <x:c r="AG189">
        <x:f>(S189*IF(E189="W",F189,0))+(S189*IF(G189="W",H189,0))</x:f>
      </x:c>
      <x:c r="AH189" t="inlineStr">
        <x:is>
          <x:t xml:space="preserve">9. Performance &amp; Resilience</x:t>
        </x:is>
      </x:c>
      <x:c r="AI189" t="inlineStr">
        <x:is>
          <x:t xml:space="preserve">Resilience &amp; Continuity</x:t>
        </x:is>
      </x:c>
      <x:c r="AJ189" t="inlineStr">
        <x:is>
          <x:t xml:space="preserve">Recovery playbooks &amp; trust restoration</x:t>
        </x:is>
      </x:c>
    </x:row>
    <x:row r="190">
      <x:c r="A190" t="inlineStr">
        <x:is>
          <x:t xml:space="preserve">Executive</x:t>
        </x:is>
      </x:c>
      <x:c r="B190" t="inlineStr">
        <x:is>
          <x:t xml:space="preserve">EXCO-D7-Q05</x:t>
        </x:is>
      </x:c>
      <x:c r="C190" t="inlineStr">
        <x:is>
          <x:t xml:space="preserve">T2</x:t>
        </x:is>
      </x:c>
      <x:c r="D190" t="inlineStr">
        <x:is>
          <x:t xml:space="preserve">7. Response &amp; Resilience</x:t>
        </x:is>
      </x:c>
      <x:c r="E190" t="inlineStr">
        <x:is>
          <x:t xml:space="preserve">H</x:t>
        </x:is>
      </x:c>
      <x:c r="F190" t="n">
        <x:v>0.5</x:v>
      </x:c>
      <x:c r="G190" t="inlineStr">
        <x:is>
          <x:t xml:space="preserve">R</x:t>
        </x:is>
      </x:c>
      <x:c r="H190" t="n">
        <x:v>0.5</x:v>
      </x:c>
      <x:c r="I190" t="inlineStr">
        <x:is>
          <x:t xml:space="preserve">After an insider incident, do we have a plan to restore trust (team health, communications, fairness, control changes)?</x:t>
        </x:is>
      </x:c>
      <x:c r="J190" t="inlineStr">
        <x:is>
          <x:t xml:space="preserve">Trust recovery is about avoiding long-term fear, blame, and productivity loss.</x:t>
        </x:is>
      </x:c>
      <x:c r="L190" t="inlineStr">
        <x:is>
          <x:t xml:space="preserve">CULT_SOFT</x:t>
        </x:is>
      </x:c>
      <x:c r="M190" t="n">
        <x:v>1</x:v>
      </x:c>
      <x:c r="P190" t="inlineStr">
        <x:is>
          <x:t xml:space="preserve">EXCO-D7-Q05-A5</x:t>
        </x:is>
      </x:c>
      <x:c r="Q190" t="n">
        <x:v>6</x:v>
      </x:c>
      <x:c r="R190" t="inlineStr">
        <x:is>
          <x:t xml:space="preserve">We measure trust recovery (surveys, attrition, grievances) and improve controls accordingly.</x:t>
        </x:is>
      </x:c>
      <x:c r="S190" t="n">
        <x:v>4</x:v>
      </x:c>
      <x:c r="T190" t="inlineStr">
        <x:is>
          <x:t xml:space="preserve">optimized</x:t>
        </x:is>
      </x:c>
      <x:c r="V190" t="inlineStr">
        <x:is>
          <x:t xml:space="preserve">Request_Evidence</x:t>
        </x:is>
      </x:c>
      <x:c r="W190" t="inlineStr">
        <x:is>
          <x:t xml:space="preserve">Y</x:t>
        </x:is>
      </x:c>
      <x:c r="Y190">
        <x:f>(S190*IF(E190="G",F190,0))+(S190*IF(G190="G",H190,0))</x:f>
      </x:c>
      <x:c r="Z190">
        <x:f>(S190*IF(E190="E",F190,0))+(S190*IF(G190="E",H190,0))</x:f>
      </x:c>
      <x:c r="AA190">
        <x:f>(S190*IF(E190="T",F190,0))+(S190*IF(G190="T",H190,0))</x:f>
      </x:c>
      <x:c r="AB190">
        <x:f>(S190*IF(E190="L",F190,0))+(S190*IF(G190="L",H190,0))</x:f>
      </x:c>
      <x:c r="AC190">
        <x:f>(S190*IF(E190="H",F190,0))+(S190*IF(G190="H",H190,0))</x:f>
      </x:c>
      <x:c r="AD190">
        <x:f>(S190*IF(E190="V",F190,0))+(S190*IF(G190="V",H190,0))</x:f>
      </x:c>
      <x:c r="AE190">
        <x:f>(S190*IF(E190="R",F190,0))+(S190*IF(G190="R",H190,0))</x:f>
      </x:c>
      <x:c r="AF190">
        <x:f>(S190*IF(E190="F",F190,0))+(S190*IF(G190="F",H190,0))</x:f>
      </x:c>
      <x:c r="AG190">
        <x:f>(S190*IF(E190="W",F190,0))+(S190*IF(G190="W",H190,0))</x:f>
      </x:c>
      <x:c r="AH190" t="inlineStr">
        <x:is>
          <x:t xml:space="preserve">9. Performance &amp; Resilience</x:t>
        </x:is>
      </x:c>
      <x:c r="AI190" t="inlineStr">
        <x:is>
          <x:t xml:space="preserve">Resilience &amp; Continuity</x:t>
        </x:is>
      </x:c>
      <x:c r="AJ190" t="inlineStr">
        <x:is>
          <x:t xml:space="preserve">Recovery playbooks &amp; trust restoration</x:t>
        </x:is>
      </x:c>
    </x:row>
    <x:row r="191">
      <x:c r="A191" t="inlineStr">
        <x:is>
          <x:t xml:space="preserve">Executive</x:t>
        </x:is>
      </x:c>
      <x:c r="B191" t="inlineStr">
        <x:is>
          <x:t xml:space="preserve">EXCO-D8-Q01</x:t>
        </x:is>
      </x:c>
      <x:c r="C191" t="inlineStr">
        <x:is>
          <x:t xml:space="preserve">T1</x:t>
        </x:is>
      </x:c>
      <x:c r="D191" t="inlineStr">
        <x:is>
          <x:t xml:space="preserve">8. Performance &amp; Assurance</x:t>
        </x:is>
      </x:c>
      <x:c r="E191" t="inlineStr">
        <x:is>
          <x:t xml:space="preserve">G</x:t>
        </x:is>
      </x:c>
      <x:c r="F191" t="n">
        <x:v>0.6</x:v>
      </x:c>
      <x:c r="G191" t="inlineStr">
        <x:is>
          <x:t xml:space="preserve">R</x:t>
        </x:is>
      </x:c>
      <x:c r="H191" t="n">
        <x:v>0.4</x:v>
      </x:c>
      <x:c r="I191" t="inlineStr">
        <x:is>
          <x:t xml:space="preserve">How is insider risk performance reported to executives/board (what metrics, how often, and what decisions follow)?</x:t>
        </x:is>
      </x:c>
      <x:c r="J191" t="inlineStr">
        <x:is>
          <x:t xml:space="preserve">Look for useful metrics: time to triage, high-risk clusters reduced, coverage of sensitive assets, fairness indicators, and learning actions.</x:t>
        </x:is>
      </x:c>
      <x:c r="L191" t="inlineStr">
        <x:is>
          <x:t xml:space="preserve">GOV_STD</x:t>
        </x:is>
      </x:c>
      <x:c r="M191" t="n">
        <x:v>1</x:v>
      </x:c>
      <x:c r="P191" t="inlineStr">
        <x:is>
          <x:t xml:space="preserve">EXCO-D8-Q01-A0</x:t>
        </x:is>
      </x:c>
      <x:c r="Q191" t="n">
        <x:v>1</x:v>
      </x:c>
      <x:c r="R191" t="inlineStr">
        <x:is>
          <x:t xml:space="preserve">I don’t know / not sure.</x:t>
        </x:is>
      </x:c>
      <x:c r="S191" t="n">
        <x:v>0</x:v>
      </x:c>
      <x:c r="T191" t="inlineStr">
        <x:is>
          <x:t xml:space="preserve">unknown</x:t>
        </x:is>
      </x:c>
      <x:c r="U191" t="inlineStr">
        <x:is>
          <x:t xml:space="preserve">Unknown</x:t>
        </x:is>
      </x:c>
      <x:c r="V191" t="inlineStr">
        <x:is>
          <x:t xml:space="preserve">Define_KPIs</x:t>
        </x:is>
      </x:c>
      <x:c r="W191" t="inlineStr">
        <x:is>
          <x:t xml:space="preserve">N</x:t>
        </x:is>
      </x:c>
      <x:c r="Y191">
        <x:f>(S191*IF(E191="G",F191,0))+(S191*IF(G191="G",H191,0))</x:f>
      </x:c>
      <x:c r="Z191">
        <x:f>(S191*IF(E191="E",F191,0))+(S191*IF(G191="E",H191,0))</x:f>
      </x:c>
      <x:c r="AA191">
        <x:f>(S191*IF(E191="T",F191,0))+(S191*IF(G191="T",H191,0))</x:f>
      </x:c>
      <x:c r="AB191">
        <x:f>(S191*IF(E191="L",F191,0))+(S191*IF(G191="L",H191,0))</x:f>
      </x:c>
      <x:c r="AC191">
        <x:f>(S191*IF(E191="H",F191,0))+(S191*IF(G191="H",H191,0))</x:f>
      </x:c>
      <x:c r="AD191">
        <x:f>(S191*IF(E191="V",F191,0))+(S191*IF(G191="V",H191,0))</x:f>
      </x:c>
      <x:c r="AE191">
        <x:f>(S191*IF(E191="R",F191,0))+(S191*IF(G191="R",H191,0))</x:f>
      </x:c>
      <x:c r="AF191">
        <x:f>(S191*IF(E191="F",F191,0))+(S191*IF(G191="F",H191,0))</x:f>
      </x:c>
      <x:c r="AG191">
        <x:f>(S191*IF(E191="W",F191,0))+(S191*IF(G191="W",H191,0))</x:f>
      </x:c>
      <x:c r="AH191" t="inlineStr">
        <x:is>
          <x:t xml:space="preserve">2. Threat Model &amp; Operations</x:t>
        </x:is>
      </x:c>
      <x:c r="AI191" t="inlineStr">
        <x:is>
          <x:t xml:space="preserve">Deterrence &amp; Disruption</x:t>
        </x:is>
      </x:c>
      <x:c r="AJ191" t="inlineStr">
        <x:is>
          <x:t xml:space="preserve">Sensitive transition workflow (flight-risk)</x:t>
        </x:is>
      </x:c>
    </x:row>
    <x:row r="192">
      <x:c r="A192" t="inlineStr">
        <x:is>
          <x:t xml:space="preserve">Executive</x:t>
        </x:is>
      </x:c>
      <x:c r="B192" t="inlineStr">
        <x:is>
          <x:t xml:space="preserve">EXCO-D8-Q01</x:t>
        </x:is>
      </x:c>
      <x:c r="C192" t="inlineStr">
        <x:is>
          <x:t xml:space="preserve">T1</x:t>
        </x:is>
      </x:c>
      <x:c r="D192" t="inlineStr">
        <x:is>
          <x:t xml:space="preserve">8. Performance &amp; Assurance</x:t>
        </x:is>
      </x:c>
      <x:c r="E192" t="inlineStr">
        <x:is>
          <x:t xml:space="preserve">G</x:t>
        </x:is>
      </x:c>
      <x:c r="F192" t="n">
        <x:v>0.6</x:v>
      </x:c>
      <x:c r="G192" t="inlineStr">
        <x:is>
          <x:t xml:space="preserve">R</x:t>
        </x:is>
      </x:c>
      <x:c r="H192" t="n">
        <x:v>0.4</x:v>
      </x:c>
      <x:c r="I192" t="inlineStr">
        <x:is>
          <x:t xml:space="preserve">How is insider risk performance reported to executives/board (what metrics, how often, and what decisions follow)?</x:t>
        </x:is>
      </x:c>
      <x:c r="J192" t="inlineStr">
        <x:is>
          <x:t xml:space="preserve">Look for useful metrics: time to triage, high-risk clusters reduced, coverage of sensitive assets, fairness indicators, and learning actions.</x:t>
        </x:is>
      </x:c>
      <x:c r="L192" t="inlineStr">
        <x:is>
          <x:t xml:space="preserve">GOV_STD</x:t>
        </x:is>
      </x:c>
      <x:c r="M192" t="n">
        <x:v>1</x:v>
      </x:c>
      <x:c r="P192" t="inlineStr">
        <x:is>
          <x:t xml:space="preserve">EXCO-D8-Q01-A1</x:t>
        </x:is>
      </x:c>
      <x:c r="Q192" t="n">
        <x:v>2</x:v>
      </x:c>
      <x:c r="R192" t="inlineStr">
        <x:is>
          <x:t xml:space="preserve">It isn’t reported unless there is a crisis.</x:t>
        </x:is>
      </x:c>
      <x:c r="S192" t="n">
        <x:v>0</x:v>
      </x:c>
      <x:c r="T192" t="inlineStr">
        <x:is>
          <x:t xml:space="preserve">foundational_gap</x:t>
        </x:is>
      </x:c>
      <x:c r="U192" t="inlineStr">
        <x:is>
          <x:t xml:space="preserve">Operating Model Gap</x:t>
        </x:is>
      </x:c>
      <x:c r="V192" t="inlineStr">
        <x:is>
          <x:t xml:space="preserve">Define_KPIs</x:t>
        </x:is>
      </x:c>
      <x:c r="W192" t="inlineStr">
        <x:is>
          <x:t xml:space="preserve">N</x:t>
        </x:is>
      </x:c>
      <x:c r="Y192">
        <x:f>(S192*IF(E192="G",F192,0))+(S192*IF(G192="G",H192,0))</x:f>
      </x:c>
      <x:c r="Z192">
        <x:f>(S192*IF(E192="E",F192,0))+(S192*IF(G192="E",H192,0))</x:f>
      </x:c>
      <x:c r="AA192">
        <x:f>(S192*IF(E192="T",F192,0))+(S192*IF(G192="T",H192,0))</x:f>
      </x:c>
      <x:c r="AB192">
        <x:f>(S192*IF(E192="L",F192,0))+(S192*IF(G192="L",H192,0))</x:f>
      </x:c>
      <x:c r="AC192">
        <x:f>(S192*IF(E192="H",F192,0))+(S192*IF(G192="H",H192,0))</x:f>
      </x:c>
      <x:c r="AD192">
        <x:f>(S192*IF(E192="V",F192,0))+(S192*IF(G192="V",H192,0))</x:f>
      </x:c>
      <x:c r="AE192">
        <x:f>(S192*IF(E192="R",F192,0))+(S192*IF(G192="R",H192,0))</x:f>
      </x:c>
      <x:c r="AF192">
        <x:f>(S192*IF(E192="F",F192,0))+(S192*IF(G192="F",H192,0))</x:f>
      </x:c>
      <x:c r="AG192">
        <x:f>(S192*IF(E192="W",F192,0))+(S192*IF(G192="W",H192,0))</x:f>
      </x:c>
      <x:c r="AH192" t="inlineStr">
        <x:is>
          <x:t xml:space="preserve">2. Threat Model &amp; Operations</x:t>
        </x:is>
      </x:c>
      <x:c r="AI192" t="inlineStr">
        <x:is>
          <x:t xml:space="preserve">Deterrence &amp; Disruption</x:t>
        </x:is>
      </x:c>
      <x:c r="AJ192" t="inlineStr">
        <x:is>
          <x:t xml:space="preserve">Sensitive transition workflow (flight-risk)</x:t>
        </x:is>
      </x:c>
    </x:row>
    <x:row r="193">
      <x:c r="A193" t="inlineStr">
        <x:is>
          <x:t xml:space="preserve">Executive</x:t>
        </x:is>
      </x:c>
      <x:c r="B193" t="inlineStr">
        <x:is>
          <x:t xml:space="preserve">EXCO-D8-Q01</x:t>
        </x:is>
      </x:c>
      <x:c r="C193" t="inlineStr">
        <x:is>
          <x:t xml:space="preserve">T1</x:t>
        </x:is>
      </x:c>
      <x:c r="D193" t="inlineStr">
        <x:is>
          <x:t xml:space="preserve">8. Performance &amp; Assurance</x:t>
        </x:is>
      </x:c>
      <x:c r="E193" t="inlineStr">
        <x:is>
          <x:t xml:space="preserve">G</x:t>
        </x:is>
      </x:c>
      <x:c r="F193" t="n">
        <x:v>0.6</x:v>
      </x:c>
      <x:c r="G193" t="inlineStr">
        <x:is>
          <x:t xml:space="preserve">R</x:t>
        </x:is>
      </x:c>
      <x:c r="H193" t="n">
        <x:v>0.4</x:v>
      </x:c>
      <x:c r="I193" t="inlineStr">
        <x:is>
          <x:t xml:space="preserve">How is insider risk performance reported to executives/board (what metrics, how often, and what decisions follow)?</x:t>
        </x:is>
      </x:c>
      <x:c r="J193" t="inlineStr">
        <x:is>
          <x:t xml:space="preserve">Look for useful metrics: time to triage, high-risk clusters reduced, coverage of sensitive assets, fairness indicators, and learning actions.</x:t>
        </x:is>
      </x:c>
      <x:c r="L193" t="inlineStr">
        <x:is>
          <x:t xml:space="preserve">GOV_STD</x:t>
        </x:is>
      </x:c>
      <x:c r="M193" t="n">
        <x:v>1</x:v>
      </x:c>
      <x:c r="P193" t="inlineStr">
        <x:is>
          <x:t xml:space="preserve">EXCO-D8-Q01-A2</x:t>
        </x:is>
      </x:c>
      <x:c r="Q193" t="n">
        <x:v>3</x:v>
      </x:c>
      <x:c r="R193" t="inlineStr">
        <x:is>
          <x:t xml:space="preserve">Reporting focuses on vanity numbers (e.g., number of alerts) without business meaning.</x:t>
        </x:is>
      </x:c>
      <x:c r="S193" t="n">
        <x:v>1</x:v>
      </x:c>
      <x:c r="T193" t="inlineStr">
        <x:is>
          <x:t xml:space="preserve">vanity_metrics</x:t>
        </x:is>
      </x:c>
      <x:c r="U193" t="inlineStr">
        <x:is>
          <x:t xml:space="preserve">Paper Dragon</x:t>
        </x:is>
      </x:c>
      <x:c r="V193" t="inlineStr">
        <x:is>
          <x:t xml:space="preserve">Upgrade_KPIs</x:t>
        </x:is>
      </x:c>
      <x:c r="W193" t="inlineStr">
        <x:is>
          <x:t xml:space="preserve">N</x:t>
        </x:is>
      </x:c>
      <x:c r="Y193">
        <x:f>(S193*IF(E193="G",F193,0))+(S193*IF(G193="G",H193,0))</x:f>
      </x:c>
      <x:c r="Z193">
        <x:f>(S193*IF(E193="E",F193,0))+(S193*IF(G193="E",H193,0))</x:f>
      </x:c>
      <x:c r="AA193">
        <x:f>(S193*IF(E193="T",F193,0))+(S193*IF(G193="T",H193,0))</x:f>
      </x:c>
      <x:c r="AB193">
        <x:f>(S193*IF(E193="L",F193,0))+(S193*IF(G193="L",H193,0))</x:f>
      </x:c>
      <x:c r="AC193">
        <x:f>(S193*IF(E193="H",F193,0))+(S193*IF(G193="H",H193,0))</x:f>
      </x:c>
      <x:c r="AD193">
        <x:f>(S193*IF(E193="V",F193,0))+(S193*IF(G193="V",H193,0))</x:f>
      </x:c>
      <x:c r="AE193">
        <x:f>(S193*IF(E193="R",F193,0))+(S193*IF(G193="R",H193,0))</x:f>
      </x:c>
      <x:c r="AF193">
        <x:f>(S193*IF(E193="F",F193,0))+(S193*IF(G193="F",H193,0))</x:f>
      </x:c>
      <x:c r="AG193">
        <x:f>(S193*IF(E193="W",F193,0))+(S193*IF(G193="W",H193,0))</x:f>
      </x:c>
      <x:c r="AH193" t="inlineStr">
        <x:is>
          <x:t xml:space="preserve">2. Threat Model &amp; Operations</x:t>
        </x:is>
      </x:c>
      <x:c r="AI193" t="inlineStr">
        <x:is>
          <x:t xml:space="preserve">Deterrence &amp; Disruption</x:t>
        </x:is>
      </x:c>
      <x:c r="AJ193" t="inlineStr">
        <x:is>
          <x:t xml:space="preserve">Sensitive transition workflow (flight-risk)</x:t>
        </x:is>
      </x:c>
    </x:row>
    <x:row r="194">
      <x:c r="A194" t="inlineStr">
        <x:is>
          <x:t xml:space="preserve">Executive</x:t>
        </x:is>
      </x:c>
      <x:c r="B194" t="inlineStr">
        <x:is>
          <x:t xml:space="preserve">EXCO-D8-Q01</x:t>
        </x:is>
      </x:c>
      <x:c r="C194" t="inlineStr">
        <x:is>
          <x:t xml:space="preserve">T1</x:t>
        </x:is>
      </x:c>
      <x:c r="D194" t="inlineStr">
        <x:is>
          <x:t xml:space="preserve">8. Performance &amp; Assurance</x:t>
        </x:is>
      </x:c>
      <x:c r="E194" t="inlineStr">
        <x:is>
          <x:t xml:space="preserve">G</x:t>
        </x:is>
      </x:c>
      <x:c r="F194" t="n">
        <x:v>0.6</x:v>
      </x:c>
      <x:c r="G194" t="inlineStr">
        <x:is>
          <x:t xml:space="preserve">R</x:t>
        </x:is>
      </x:c>
      <x:c r="H194" t="n">
        <x:v>0.4</x:v>
      </x:c>
      <x:c r="I194" t="inlineStr">
        <x:is>
          <x:t xml:space="preserve">How is insider risk performance reported to executives/board (what metrics, how often, and what decisions follow)?</x:t>
        </x:is>
      </x:c>
      <x:c r="J194" t="inlineStr">
        <x:is>
          <x:t xml:space="preserve">Look for useful metrics: time to triage, high-risk clusters reduced, coverage of sensitive assets, fairness indicators, and learning actions.</x:t>
        </x:is>
      </x:c>
      <x:c r="L194" t="inlineStr">
        <x:is>
          <x:t xml:space="preserve">GOV_STD</x:t>
        </x:is>
      </x:c>
      <x:c r="M194" t="n">
        <x:v>1</x:v>
      </x:c>
      <x:c r="P194" t="inlineStr">
        <x:is>
          <x:t xml:space="preserve">EXCO-D8-Q01-A3</x:t>
        </x:is>
      </x:c>
      <x:c r="Q194" t="n">
        <x:v>4</x:v>
      </x:c>
      <x:c r="R194" t="inlineStr">
        <x:is>
          <x:t xml:space="preserve">Reporting focuses on compliance (‘we have policies’), not operational reality.</x:t>
        </x:is>
      </x:c>
      <x:c r="S194" t="n">
        <x:v>2</x:v>
      </x:c>
      <x:c r="T194" t="inlineStr">
        <x:is>
          <x:t xml:space="preserve">paper_dragon_signal</x:t>
        </x:is>
      </x:c>
      <x:c r="U194" t="inlineStr">
        <x:is>
          <x:t xml:space="preserve">Paper Dragon</x:t>
        </x:is>
      </x:c>
      <x:c r="V194" t="inlineStr">
        <x:is>
          <x:t xml:space="preserve">Upgrade_KPIs</x:t>
        </x:is>
      </x:c>
      <x:c r="W194" t="inlineStr">
        <x:is>
          <x:t xml:space="preserve">N</x:t>
        </x:is>
      </x:c>
      <x:c r="Y194">
        <x:f>(S194*IF(E194="G",F194,0))+(S194*IF(G194="G",H194,0))</x:f>
      </x:c>
      <x:c r="Z194">
        <x:f>(S194*IF(E194="E",F194,0))+(S194*IF(G194="E",H194,0))</x:f>
      </x:c>
      <x:c r="AA194">
        <x:f>(S194*IF(E194="T",F194,0))+(S194*IF(G194="T",H194,0))</x:f>
      </x:c>
      <x:c r="AB194">
        <x:f>(S194*IF(E194="L",F194,0))+(S194*IF(G194="L",H194,0))</x:f>
      </x:c>
      <x:c r="AC194">
        <x:f>(S194*IF(E194="H",F194,0))+(S194*IF(G194="H",H194,0))</x:f>
      </x:c>
      <x:c r="AD194">
        <x:f>(S194*IF(E194="V",F194,0))+(S194*IF(G194="V",H194,0))</x:f>
      </x:c>
      <x:c r="AE194">
        <x:f>(S194*IF(E194="R",F194,0))+(S194*IF(G194="R",H194,0))</x:f>
      </x:c>
      <x:c r="AF194">
        <x:f>(S194*IF(E194="F",F194,0))+(S194*IF(G194="F",H194,0))</x:f>
      </x:c>
      <x:c r="AG194">
        <x:f>(S194*IF(E194="W",F194,0))+(S194*IF(G194="W",H194,0))</x:f>
      </x:c>
      <x:c r="AH194" t="inlineStr">
        <x:is>
          <x:t xml:space="preserve">2. Threat Model &amp; Operations</x:t>
        </x:is>
      </x:c>
      <x:c r="AI194" t="inlineStr">
        <x:is>
          <x:t xml:space="preserve">Deterrence &amp; Disruption</x:t>
        </x:is>
      </x:c>
      <x:c r="AJ194" t="inlineStr">
        <x:is>
          <x:t xml:space="preserve">Sensitive transition workflow (flight-risk)</x:t>
        </x:is>
      </x:c>
    </x:row>
    <x:row r="195">
      <x:c r="A195" t="inlineStr">
        <x:is>
          <x:t xml:space="preserve">Executive</x:t>
        </x:is>
      </x:c>
      <x:c r="B195" t="inlineStr">
        <x:is>
          <x:t xml:space="preserve">EXCO-D8-Q01</x:t>
        </x:is>
      </x:c>
      <x:c r="C195" t="inlineStr">
        <x:is>
          <x:t xml:space="preserve">T1</x:t>
        </x:is>
      </x:c>
      <x:c r="D195" t="inlineStr">
        <x:is>
          <x:t xml:space="preserve">8. Performance &amp; Assurance</x:t>
        </x:is>
      </x:c>
      <x:c r="E195" t="inlineStr">
        <x:is>
          <x:t xml:space="preserve">G</x:t>
        </x:is>
      </x:c>
      <x:c r="F195" t="n">
        <x:v>0.6</x:v>
      </x:c>
      <x:c r="G195" t="inlineStr">
        <x:is>
          <x:t xml:space="preserve">R</x:t>
        </x:is>
      </x:c>
      <x:c r="H195" t="n">
        <x:v>0.4</x:v>
      </x:c>
      <x:c r="I195" t="inlineStr">
        <x:is>
          <x:t xml:space="preserve">How is insider risk performance reported to executives/board (what metrics, how often, and what decisions follow)?</x:t>
        </x:is>
      </x:c>
      <x:c r="J195" t="inlineStr">
        <x:is>
          <x:t xml:space="preserve">Look for useful metrics: time to triage, high-risk clusters reduced, coverage of sensitive assets, fairness indicators, and learning actions.</x:t>
        </x:is>
      </x:c>
      <x:c r="L195" t="inlineStr">
        <x:is>
          <x:t xml:space="preserve">GOV_STD</x:t>
        </x:is>
      </x:c>
      <x:c r="M195" t="n">
        <x:v>1</x:v>
      </x:c>
      <x:c r="P195" t="inlineStr">
        <x:is>
          <x:t xml:space="preserve">EXCO-D8-Q01-A4</x:t>
        </x:is>
      </x:c>
      <x:c r="Q195" t="n">
        <x:v>5</x:v>
      </x:c>
      <x:c r="R195" t="inlineStr">
        <x:is>
          <x:t xml:space="preserve">We report useful operational KPIs at least quarterly and decisions/actions follow.</x:t>
        </x:is>
      </x:c>
      <x:c r="S195" t="n">
        <x:v>3</x:v>
      </x:c>
      <x:c r="T195" t="inlineStr">
        <x:is>
          <x:t xml:space="preserve">good_practice</x:t>
        </x:is>
      </x:c>
      <x:c r="V195" t="inlineStr">
        <x:is>
          <x:t xml:space="preserve">Request_Evidence</x:t>
        </x:is>
      </x:c>
      <x:c r="W195" t="inlineStr">
        <x:is>
          <x:t xml:space="preserve">Y</x:t>
        </x:is>
      </x:c>
      <x:c r="Y195">
        <x:f>(S195*IF(E195="G",F195,0))+(S195*IF(G195="G",H195,0))</x:f>
      </x:c>
      <x:c r="Z195">
        <x:f>(S195*IF(E195="E",F195,0))+(S195*IF(G195="E",H195,0))</x:f>
      </x:c>
      <x:c r="AA195">
        <x:f>(S195*IF(E195="T",F195,0))+(S195*IF(G195="T",H195,0))</x:f>
      </x:c>
      <x:c r="AB195">
        <x:f>(S195*IF(E195="L",F195,0))+(S195*IF(G195="L",H195,0))</x:f>
      </x:c>
      <x:c r="AC195">
        <x:f>(S195*IF(E195="H",F195,0))+(S195*IF(G195="H",H195,0))</x:f>
      </x:c>
      <x:c r="AD195">
        <x:f>(S195*IF(E195="V",F195,0))+(S195*IF(G195="V",H195,0))</x:f>
      </x:c>
      <x:c r="AE195">
        <x:f>(S195*IF(E195="R",F195,0))+(S195*IF(G195="R",H195,0))</x:f>
      </x:c>
      <x:c r="AF195">
        <x:f>(S195*IF(E195="F",F195,0))+(S195*IF(G195="F",H195,0))</x:f>
      </x:c>
      <x:c r="AG195">
        <x:f>(S195*IF(E195="W",F195,0))+(S195*IF(G195="W",H195,0))</x:f>
      </x:c>
      <x:c r="AH195" t="inlineStr">
        <x:is>
          <x:t xml:space="preserve">2. Threat Model &amp; Operations</x:t>
        </x:is>
      </x:c>
      <x:c r="AI195" t="inlineStr">
        <x:is>
          <x:t xml:space="preserve">Deterrence &amp; Disruption</x:t>
        </x:is>
      </x:c>
      <x:c r="AJ195" t="inlineStr">
        <x:is>
          <x:t xml:space="preserve">Sensitive transition workflow (flight-risk)</x:t>
        </x:is>
      </x:c>
    </x:row>
    <x:row r="196">
      <x:c r="A196" t="inlineStr">
        <x:is>
          <x:t xml:space="preserve">Executive</x:t>
        </x:is>
      </x:c>
      <x:c r="B196" t="inlineStr">
        <x:is>
          <x:t xml:space="preserve">EXCO-D8-Q01</x:t>
        </x:is>
      </x:c>
      <x:c r="C196" t="inlineStr">
        <x:is>
          <x:t xml:space="preserve">T1</x:t>
        </x:is>
      </x:c>
      <x:c r="D196" t="inlineStr">
        <x:is>
          <x:t xml:space="preserve">8. Performance &amp; Assurance</x:t>
        </x:is>
      </x:c>
      <x:c r="E196" t="inlineStr">
        <x:is>
          <x:t xml:space="preserve">G</x:t>
        </x:is>
      </x:c>
      <x:c r="F196" t="n">
        <x:v>0.6</x:v>
      </x:c>
      <x:c r="G196" t="inlineStr">
        <x:is>
          <x:t xml:space="preserve">R</x:t>
        </x:is>
      </x:c>
      <x:c r="H196" t="n">
        <x:v>0.4</x:v>
      </x:c>
      <x:c r="I196" t="inlineStr">
        <x:is>
          <x:t xml:space="preserve">How is insider risk performance reported to executives/board (what metrics, how often, and what decisions follow)?</x:t>
        </x:is>
      </x:c>
      <x:c r="J196" t="inlineStr">
        <x:is>
          <x:t xml:space="preserve">Look for useful metrics: time to triage, high-risk clusters reduced, coverage of sensitive assets, fairness indicators, and learning actions.</x:t>
        </x:is>
      </x:c>
      <x:c r="L196" t="inlineStr">
        <x:is>
          <x:t xml:space="preserve">GOV_STD</x:t>
        </x:is>
      </x:c>
      <x:c r="M196" t="n">
        <x:v>1</x:v>
      </x:c>
      <x:c r="P196" t="inlineStr">
        <x:is>
          <x:t xml:space="preserve">EXCO-D8-Q01-A5</x:t>
        </x:is>
      </x:c>
      <x:c r="Q196" t="n">
        <x:v>6</x:v>
      </x:c>
      <x:c r="R196" t="inlineStr">
        <x:is>
          <x:t xml:space="preserve">Real-time or frequent dashboards tied to risk appetite; actions are tracked and outcomes measured.</x:t>
        </x:is>
      </x:c>
      <x:c r="S196" t="n">
        <x:v>4</x:v>
      </x:c>
      <x:c r="T196" t="inlineStr">
        <x:is>
          <x:t xml:space="preserve">optimized</x:t>
        </x:is>
      </x:c>
      <x:c r="V196" t="inlineStr">
        <x:is>
          <x:t xml:space="preserve">Request_Evidence</x:t>
        </x:is>
      </x:c>
      <x:c r="W196" t="inlineStr">
        <x:is>
          <x:t xml:space="preserve">Y</x:t>
        </x:is>
      </x:c>
      <x:c r="Y196">
        <x:f>(S196*IF(E196="G",F196,0))+(S196*IF(G196="G",H196,0))</x:f>
      </x:c>
      <x:c r="Z196">
        <x:f>(S196*IF(E196="E",F196,0))+(S196*IF(G196="E",H196,0))</x:f>
      </x:c>
      <x:c r="AA196">
        <x:f>(S196*IF(E196="T",F196,0))+(S196*IF(G196="T",H196,0))</x:f>
      </x:c>
      <x:c r="AB196">
        <x:f>(S196*IF(E196="L",F196,0))+(S196*IF(G196="L",H196,0))</x:f>
      </x:c>
      <x:c r="AC196">
        <x:f>(S196*IF(E196="H",F196,0))+(S196*IF(G196="H",H196,0))</x:f>
      </x:c>
      <x:c r="AD196">
        <x:f>(S196*IF(E196="V",F196,0))+(S196*IF(G196="V",H196,0))</x:f>
      </x:c>
      <x:c r="AE196">
        <x:f>(S196*IF(E196="R",F196,0))+(S196*IF(G196="R",H196,0))</x:f>
      </x:c>
      <x:c r="AF196">
        <x:f>(S196*IF(E196="F",F196,0))+(S196*IF(G196="F",H196,0))</x:f>
      </x:c>
      <x:c r="AG196">
        <x:f>(S196*IF(E196="W",F196,0))+(S196*IF(G196="W",H196,0))</x:f>
      </x:c>
      <x:c r="AH196" t="inlineStr">
        <x:is>
          <x:t xml:space="preserve">2. Threat Model &amp; Operations</x:t>
        </x:is>
      </x:c>
      <x:c r="AI196" t="inlineStr">
        <x:is>
          <x:t xml:space="preserve">Deterrence &amp; Disruption</x:t>
        </x:is>
      </x:c>
      <x:c r="AJ196" t="inlineStr">
        <x:is>
          <x:t xml:space="preserve">Sensitive transition workflow (flight-risk)</x:t>
        </x:is>
      </x:c>
    </x:row>
    <x:row r="197">
      <x:c r="A197" t="inlineStr">
        <x:is>
          <x:t xml:space="preserve">Executive</x:t>
        </x:is>
      </x:c>
      <x:c r="B197" t="inlineStr">
        <x:is>
          <x:t xml:space="preserve">EXCO-D8-Q02</x:t>
        </x:is>
      </x:c>
      <x:c r="C197" t="inlineStr">
        <x:is>
          <x:t xml:space="preserve">T2</x:t>
        </x:is>
      </x:c>
      <x:c r="D197" t="inlineStr">
        <x:is>
          <x:t xml:space="preserve">8. Performance &amp; Assurance</x:t>
        </x:is>
      </x:c>
      <x:c r="E197" t="inlineStr">
        <x:is>
          <x:t xml:space="preserve">E</x:t>
        </x:is>
      </x:c>
      <x:c r="F197" t="n">
        <x:v>1</x:v>
      </x:c>
      <x:c r="G197" t="inlineStr">
        <x:is>
          <x:t xml:space="preserve">-</x:t>
        </x:is>
      </x:c>
      <x:c r="I197" t="inlineStr">
        <x:is>
          <x:t xml:space="preserve">(Shadow probe) Do we review ‘near misses’ (things that almost became incidents) and use them to improve?</x:t>
        </x:is>
      </x:c>
      <x:c r="J197" t="inlineStr">
        <x:is>
          <x:t xml:space="preserve">Near misses are a strong indicator of learning culture and operational maturity.</x:t>
        </x:is>
      </x:c>
      <x:c r="L197" t="inlineStr">
        <x:is>
          <x:t xml:space="preserve">OPS_STD</x:t>
        </x:is>
      </x:c>
      <x:c r="M197" t="n">
        <x:v>1</x:v>
      </x:c>
      <x:c r="P197" t="inlineStr">
        <x:is>
          <x:t xml:space="preserve">EXCO-D8-Q02-A1</x:t>
        </x:is>
      </x:c>
      <x:c r="Q197" t="n">
        <x:v>1</x:v>
      </x:c>
      <x:c r="R197" t="inlineStr">
        <x:is>
          <x:t xml:space="preserve">No—near misses are not captured or discussed.</x:t>
        </x:is>
      </x:c>
      <x:c r="S197" t="n">
        <x:v>0</x:v>
      </x:c>
      <x:c r="T197" t="inlineStr">
        <x:is>
          <x:t xml:space="preserve">foundational_gap</x:t>
        </x:is>
      </x:c>
      <x:c r="U197" t="inlineStr">
        <x:is>
          <x:t xml:space="preserve">Operating Model Gap</x:t>
        </x:is>
      </x:c>
      <x:c r="V197" t="inlineStr">
        <x:is>
          <x:t xml:space="preserve">Create_NearMiss_Process</x:t>
        </x:is>
      </x:c>
      <x:c r="W197" t="inlineStr">
        <x:is>
          <x:t xml:space="preserve">N</x:t>
        </x:is>
      </x:c>
      <x:c r="Y197">
        <x:f>(S197*IF(E197="G",F197,0))+(S197*IF(G197="G",H197,0))</x:f>
      </x:c>
      <x:c r="Z197">
        <x:f>(S197*IF(E197="E",F197,0))+(S197*IF(G197="E",H197,0))</x:f>
      </x:c>
      <x:c r="AA197">
        <x:f>(S197*IF(E197="T",F197,0))+(S197*IF(G197="T",H197,0))</x:f>
      </x:c>
      <x:c r="AB197">
        <x:f>(S197*IF(E197="L",F197,0))+(S197*IF(G197="L",H197,0))</x:f>
      </x:c>
      <x:c r="AC197">
        <x:f>(S197*IF(E197="H",F197,0))+(S197*IF(G197="H",H197,0))</x:f>
      </x:c>
      <x:c r="AD197">
        <x:f>(S197*IF(E197="V",F197,0))+(S197*IF(G197="V",H197,0))</x:f>
      </x:c>
      <x:c r="AE197">
        <x:f>(S197*IF(E197="R",F197,0))+(S197*IF(G197="R",H197,0))</x:f>
      </x:c>
      <x:c r="AF197">
        <x:f>(S197*IF(E197="F",F197,0))+(S197*IF(G197="F",H197,0))</x:f>
      </x:c>
      <x:c r="AG197">
        <x:f>(S197*IF(E197="W",F197,0))+(S197*IF(G197="W",H197,0))</x:f>
      </x:c>
      <x:c r="AH197" t="inlineStr">
        <x:is>
          <x:t xml:space="preserve">4. Legal, Privacy &amp; Ethics</x:t>
        </x:is>
      </x:c>
      <x:c r="AI197" t="inlineStr">
        <x:is>
          <x:t xml:space="preserve">Oversight &amp; Safeguards</x:t>
        </x:is>
      </x:c>
      <x:c r="AJ197" t="inlineStr">
        <x:is>
          <x:t xml:space="preserve">Review, Redress &amp; Assurance</x:t>
        </x:is>
      </x:c>
    </x:row>
    <x:row r="198">
      <x:c r="A198" t="inlineStr">
        <x:is>
          <x:t xml:space="preserve">Executive</x:t>
        </x:is>
      </x:c>
      <x:c r="B198" t="inlineStr">
        <x:is>
          <x:t xml:space="preserve">EXCO-D8-Q02</x:t>
        </x:is>
      </x:c>
      <x:c r="C198" t="inlineStr">
        <x:is>
          <x:t xml:space="preserve">T2</x:t>
        </x:is>
      </x:c>
      <x:c r="D198" t="inlineStr">
        <x:is>
          <x:t xml:space="preserve">8. Performance &amp; Assurance</x:t>
        </x:is>
      </x:c>
      <x:c r="E198" t="inlineStr">
        <x:is>
          <x:t xml:space="preserve">E</x:t>
        </x:is>
      </x:c>
      <x:c r="F198" t="n">
        <x:v>1</x:v>
      </x:c>
      <x:c r="G198" t="inlineStr">
        <x:is>
          <x:t xml:space="preserve">-</x:t>
        </x:is>
      </x:c>
      <x:c r="I198" t="inlineStr">
        <x:is>
          <x:t xml:space="preserve">(Shadow probe) Do we review ‘near misses’ (things that almost became incidents) and use them to improve?</x:t>
        </x:is>
      </x:c>
      <x:c r="J198" t="inlineStr">
        <x:is>
          <x:t xml:space="preserve">Near misses are a strong indicator of learning culture and operational maturity.</x:t>
        </x:is>
      </x:c>
      <x:c r="L198" t="inlineStr">
        <x:is>
          <x:t xml:space="preserve">OPS_STD</x:t>
        </x:is>
      </x:c>
      <x:c r="M198" t="n">
        <x:v>1</x:v>
      </x:c>
      <x:c r="P198" t="inlineStr">
        <x:is>
          <x:t xml:space="preserve">EXCO-D8-Q02-A2</x:t>
        </x:is>
      </x:c>
      <x:c r="Q198" t="n">
        <x:v>2</x:v>
      </x:c>
      <x:c r="R198" t="inlineStr">
        <x:is>
          <x:t xml:space="preserve">Sometimes informally, but we don’t track patterns or improvements.</x:t>
        </x:is>
      </x:c>
      <x:c r="S198" t="n">
        <x:v>1</x:v>
      </x:c>
      <x:c r="T198" t="inlineStr">
        <x:is>
          <x:t xml:space="preserve">shadow_signal</x:t>
        </x:is>
      </x:c>
      <x:c r="U198" t="inlineStr">
        <x:is>
          <x:t xml:space="preserve">Shadow Mature</x:t>
        </x:is>
      </x:c>
      <x:c r="V198" t="inlineStr">
        <x:is>
          <x:t xml:space="preserve">Formalize_NearMiss_Process</x:t>
        </x:is>
      </x:c>
      <x:c r="W198" t="inlineStr">
        <x:is>
          <x:t xml:space="preserve">N</x:t>
        </x:is>
      </x:c>
      <x:c r="Y198">
        <x:f>(S198*IF(E198="G",F198,0))+(S198*IF(G198="G",H198,0))</x:f>
      </x:c>
      <x:c r="Z198">
        <x:f>(S198*IF(E198="E",F198,0))+(S198*IF(G198="E",H198,0))</x:f>
      </x:c>
      <x:c r="AA198">
        <x:f>(S198*IF(E198="T",F198,0))+(S198*IF(G198="T",H198,0))</x:f>
      </x:c>
      <x:c r="AB198">
        <x:f>(S198*IF(E198="L",F198,0))+(S198*IF(G198="L",H198,0))</x:f>
      </x:c>
      <x:c r="AC198">
        <x:f>(S198*IF(E198="H",F198,0))+(S198*IF(G198="H",H198,0))</x:f>
      </x:c>
      <x:c r="AD198">
        <x:f>(S198*IF(E198="V",F198,0))+(S198*IF(G198="V",H198,0))</x:f>
      </x:c>
      <x:c r="AE198">
        <x:f>(S198*IF(E198="R",F198,0))+(S198*IF(G198="R",H198,0))</x:f>
      </x:c>
      <x:c r="AF198">
        <x:f>(S198*IF(E198="F",F198,0))+(S198*IF(G198="F",H198,0))</x:f>
      </x:c>
      <x:c r="AG198">
        <x:f>(S198*IF(E198="W",F198,0))+(S198*IF(G198="W",H198,0))</x:f>
      </x:c>
      <x:c r="AH198" t="inlineStr">
        <x:is>
          <x:t xml:space="preserve">4. Legal, Privacy &amp; Ethics</x:t>
        </x:is>
      </x:c>
      <x:c r="AI198" t="inlineStr">
        <x:is>
          <x:t xml:space="preserve">Oversight &amp; Safeguards</x:t>
        </x:is>
      </x:c>
      <x:c r="AJ198" t="inlineStr">
        <x:is>
          <x:t xml:space="preserve">Review, Redress &amp; Assurance</x:t>
        </x:is>
      </x:c>
    </x:row>
    <x:row r="199">
      <x:c r="A199" t="inlineStr">
        <x:is>
          <x:t xml:space="preserve">Executive</x:t>
        </x:is>
      </x:c>
      <x:c r="B199" t="inlineStr">
        <x:is>
          <x:t xml:space="preserve">EXCO-D8-Q02</x:t>
        </x:is>
      </x:c>
      <x:c r="C199" t="inlineStr">
        <x:is>
          <x:t xml:space="preserve">T2</x:t>
        </x:is>
      </x:c>
      <x:c r="D199" t="inlineStr">
        <x:is>
          <x:t xml:space="preserve">8. Performance &amp; Assurance</x:t>
        </x:is>
      </x:c>
      <x:c r="E199" t="inlineStr">
        <x:is>
          <x:t xml:space="preserve">E</x:t>
        </x:is>
      </x:c>
      <x:c r="F199" t="n">
        <x:v>1</x:v>
      </x:c>
      <x:c r="G199" t="inlineStr">
        <x:is>
          <x:t xml:space="preserve">-</x:t>
        </x:is>
      </x:c>
      <x:c r="I199" t="inlineStr">
        <x:is>
          <x:t xml:space="preserve">(Shadow probe) Do we review ‘near misses’ (things that almost became incidents) and use them to improve?</x:t>
        </x:is>
      </x:c>
      <x:c r="J199" t="inlineStr">
        <x:is>
          <x:t xml:space="preserve">Near misses are a strong indicator of learning culture and operational maturity.</x:t>
        </x:is>
      </x:c>
      <x:c r="L199" t="inlineStr">
        <x:is>
          <x:t xml:space="preserve">OPS_STD</x:t>
        </x:is>
      </x:c>
      <x:c r="M199" t="n">
        <x:v>1</x:v>
      </x:c>
      <x:c r="P199" t="inlineStr">
        <x:is>
          <x:t xml:space="preserve">EXCO-D8-Q02-A3</x:t>
        </x:is>
      </x:c>
      <x:c r="Q199" t="n">
        <x:v>3</x:v>
      </x:c>
      <x:c r="R199" t="inlineStr">
        <x:is>
          <x:t xml:space="preserve">Yes—we review and document improvements, but completion is inconsistent.</x:t>
        </x:is>
      </x:c>
      <x:c r="S199" t="n">
        <x:v>2</x:v>
      </x:c>
      <x:c r="T199" t="inlineStr">
        <x:is>
          <x:t xml:space="preserve">inconsistent_execution</x:t>
        </x:is>
      </x:c>
      <x:c r="U199" t="inlineStr">
        <x:is>
          <x:t xml:space="preserve">Operating Model Gap</x:t>
        </x:is>
      </x:c>
      <x:c r="V199" t="inlineStr">
        <x:is>
          <x:t xml:space="preserve">Close_Learning_Loop</x:t>
        </x:is>
      </x:c>
      <x:c r="W199" t="inlineStr">
        <x:is>
          <x:t xml:space="preserve">N</x:t>
        </x:is>
      </x:c>
      <x:c r="Y199">
        <x:f>(S199*IF(E199="G",F199,0))+(S199*IF(G199="G",H199,0))</x:f>
      </x:c>
      <x:c r="Z199">
        <x:f>(S199*IF(E199="E",F199,0))+(S199*IF(G199="E",H199,0))</x:f>
      </x:c>
      <x:c r="AA199">
        <x:f>(S199*IF(E199="T",F199,0))+(S199*IF(G199="T",H199,0))</x:f>
      </x:c>
      <x:c r="AB199">
        <x:f>(S199*IF(E199="L",F199,0))+(S199*IF(G199="L",H199,0))</x:f>
      </x:c>
      <x:c r="AC199">
        <x:f>(S199*IF(E199="H",F199,0))+(S199*IF(G199="H",H199,0))</x:f>
      </x:c>
      <x:c r="AD199">
        <x:f>(S199*IF(E199="V",F199,0))+(S199*IF(G199="V",H199,0))</x:f>
      </x:c>
      <x:c r="AE199">
        <x:f>(S199*IF(E199="R",F199,0))+(S199*IF(G199="R",H199,0))</x:f>
      </x:c>
      <x:c r="AF199">
        <x:f>(S199*IF(E199="F",F199,0))+(S199*IF(G199="F",H199,0))</x:f>
      </x:c>
      <x:c r="AG199">
        <x:f>(S199*IF(E199="W",F199,0))+(S199*IF(G199="W",H199,0))</x:f>
      </x:c>
      <x:c r="AH199" t="inlineStr">
        <x:is>
          <x:t xml:space="preserve">4. Legal, Privacy &amp; Ethics</x:t>
        </x:is>
      </x:c>
      <x:c r="AI199" t="inlineStr">
        <x:is>
          <x:t xml:space="preserve">Oversight &amp; Safeguards</x:t>
        </x:is>
      </x:c>
      <x:c r="AJ199" t="inlineStr">
        <x:is>
          <x:t xml:space="preserve">Review, Redress &amp; Assurance</x:t>
        </x:is>
      </x:c>
    </x:row>
    <x:row r="200">
      <x:c r="A200" t="inlineStr">
        <x:is>
          <x:t xml:space="preserve">Executive</x:t>
        </x:is>
      </x:c>
      <x:c r="B200" t="inlineStr">
        <x:is>
          <x:t xml:space="preserve">EXCO-D8-Q02</x:t>
        </x:is>
      </x:c>
      <x:c r="C200" t="inlineStr">
        <x:is>
          <x:t xml:space="preserve">T2</x:t>
        </x:is>
      </x:c>
      <x:c r="D200" t="inlineStr">
        <x:is>
          <x:t xml:space="preserve">8. Performance &amp; Assurance</x:t>
        </x:is>
      </x:c>
      <x:c r="E200" t="inlineStr">
        <x:is>
          <x:t xml:space="preserve">E</x:t>
        </x:is>
      </x:c>
      <x:c r="F200" t="n">
        <x:v>1</x:v>
      </x:c>
      <x:c r="G200" t="inlineStr">
        <x:is>
          <x:t xml:space="preserve">-</x:t>
        </x:is>
      </x:c>
      <x:c r="I200" t="inlineStr">
        <x:is>
          <x:t xml:space="preserve">(Shadow probe) Do we review ‘near misses’ (things that almost became incidents) and use them to improve?</x:t>
        </x:is>
      </x:c>
      <x:c r="J200" t="inlineStr">
        <x:is>
          <x:t xml:space="preserve">Near misses are a strong indicator of learning culture and operational maturity.</x:t>
        </x:is>
      </x:c>
      <x:c r="L200" t="inlineStr">
        <x:is>
          <x:t xml:space="preserve">OPS_STD</x:t>
        </x:is>
      </x:c>
      <x:c r="M200" t="n">
        <x:v>1</x:v>
      </x:c>
      <x:c r="P200" t="inlineStr">
        <x:is>
          <x:t xml:space="preserve">EXCO-D8-Q02-A4</x:t>
        </x:is>
      </x:c>
      <x:c r="Q200" t="n">
        <x:v>4</x:v>
      </x:c>
      <x:c r="R200" t="inlineStr">
        <x:is>
          <x:t xml:space="preserve">Yes—near misses feed into roadmap and are reported periodically.</x:t>
        </x:is>
      </x:c>
      <x:c r="S200" t="n">
        <x:v>3</x:v>
      </x:c>
      <x:c r="T200" t="inlineStr">
        <x:is>
          <x:t xml:space="preserve">good_practice</x:t>
        </x:is>
      </x:c>
      <x:c r="V200" t="inlineStr">
        <x:is>
          <x:t xml:space="preserve">Request_Evidence</x:t>
        </x:is>
      </x:c>
      <x:c r="W200" t="inlineStr">
        <x:is>
          <x:t xml:space="preserve">Y</x:t>
        </x:is>
      </x:c>
      <x:c r="Y200">
        <x:f>(S200*IF(E200="G",F200,0))+(S200*IF(G200="G",H200,0))</x:f>
      </x:c>
      <x:c r="Z200">
        <x:f>(S200*IF(E200="E",F200,0))+(S200*IF(G200="E",H200,0))</x:f>
      </x:c>
      <x:c r="AA200">
        <x:f>(S200*IF(E200="T",F200,0))+(S200*IF(G200="T",H200,0))</x:f>
      </x:c>
      <x:c r="AB200">
        <x:f>(S200*IF(E200="L",F200,0))+(S200*IF(G200="L",H200,0))</x:f>
      </x:c>
      <x:c r="AC200">
        <x:f>(S200*IF(E200="H",F200,0))+(S200*IF(G200="H",H200,0))</x:f>
      </x:c>
      <x:c r="AD200">
        <x:f>(S200*IF(E200="V",F200,0))+(S200*IF(G200="V",H200,0))</x:f>
      </x:c>
      <x:c r="AE200">
        <x:f>(S200*IF(E200="R",F200,0))+(S200*IF(G200="R",H200,0))</x:f>
      </x:c>
      <x:c r="AF200">
        <x:f>(S200*IF(E200="F",F200,0))+(S200*IF(G200="F",H200,0))</x:f>
      </x:c>
      <x:c r="AG200">
        <x:f>(S200*IF(E200="W",F200,0))+(S200*IF(G200="W",H200,0))</x:f>
      </x:c>
      <x:c r="AH200" t="inlineStr">
        <x:is>
          <x:t xml:space="preserve">4. Legal, Privacy &amp; Ethics</x:t>
        </x:is>
      </x:c>
      <x:c r="AI200" t="inlineStr">
        <x:is>
          <x:t xml:space="preserve">Oversight &amp; Safeguards</x:t>
        </x:is>
      </x:c>
      <x:c r="AJ200" t="inlineStr">
        <x:is>
          <x:t xml:space="preserve">Review, Redress &amp; Assurance</x:t>
        </x:is>
      </x:c>
    </x:row>
    <x:row r="201">
      <x:c r="A201" t="inlineStr">
        <x:is>
          <x:t xml:space="preserve">Executive</x:t>
        </x:is>
      </x:c>
      <x:c r="B201" t="inlineStr">
        <x:is>
          <x:t xml:space="preserve">EXCO-D8-Q03</x:t>
        </x:is>
      </x:c>
      <x:c r="C201" t="inlineStr">
        <x:is>
          <x:t xml:space="preserve">T2</x:t>
        </x:is>
      </x:c>
      <x:c r="D201" t="inlineStr">
        <x:is>
          <x:t xml:space="preserve">8. Performance &amp; Assurance</x:t>
        </x:is>
      </x:c>
      <x:c r="E201" t="inlineStr">
        <x:is>
          <x:t xml:space="preserve">G</x:t>
        </x:is>
      </x:c>
      <x:c r="F201" t="n">
        <x:v>0.5</x:v>
      </x:c>
      <x:c r="G201" t="inlineStr">
        <x:is>
          <x:t xml:space="preserve">R</x:t>
        </x:is>
      </x:c>
      <x:c r="H201" t="n">
        <x:v>0.5</x:v>
      </x:c>
      <x:c r="I201" t="inlineStr">
        <x:is>
          <x:t xml:space="preserve">How often is insider risk reviewed at executive/board level with clear decisions or actions?</x:t>
        </x:is>
      </x:c>
      <x:c r="J201" t="inlineStr">
        <x:is>
          <x:t xml:space="preserve">This is about cadence and accountability, not just presentations.</x:t>
        </x:is>
      </x:c>
      <x:c r="L201" t="inlineStr">
        <x:is>
          <x:t xml:space="preserve">GOV_STD</x:t>
        </x:is>
      </x:c>
      <x:c r="M201" t="n">
        <x:v>1</x:v>
      </x:c>
      <x:c r="P201" t="inlineStr">
        <x:is>
          <x:t xml:space="preserve">EXCO-D8-Q03-A0</x:t>
        </x:is>
      </x:c>
      <x:c r="Q201" t="n">
        <x:v>1</x:v>
      </x:c>
      <x:c r="R201" t="inlineStr">
        <x:is>
          <x:t xml:space="preserve">I don’t know / not sure.</x:t>
        </x:is>
      </x:c>
      <x:c r="S201" t="n">
        <x:v>0</x:v>
      </x:c>
      <x:c r="T201" t="inlineStr">
        <x:is>
          <x:t xml:space="preserve">unknown</x:t>
        </x:is>
      </x:c>
      <x:c r="U201" t="inlineStr">
        <x:is>
          <x:t xml:space="preserve">Unknown</x:t>
        </x:is>
      </x:c>
      <x:c r="V201" t="inlineStr">
        <x:is>
          <x:t xml:space="preserve">Define_Cadence</x:t>
        </x:is>
      </x:c>
      <x:c r="W201" t="inlineStr">
        <x:is>
          <x:t xml:space="preserve">N</x:t>
        </x:is>
      </x:c>
      <x:c r="Y201">
        <x:f>(S201*IF(E201="G",F201,0))+(S201*IF(G201="G",H201,0))</x:f>
      </x:c>
      <x:c r="Z201">
        <x:f>(S201*IF(E201="E",F201,0))+(S201*IF(G201="E",H201,0))</x:f>
      </x:c>
      <x:c r="AA201">
        <x:f>(S201*IF(E201="T",F201,0))+(S201*IF(G201="T",H201,0))</x:f>
      </x:c>
      <x:c r="AB201">
        <x:f>(S201*IF(E201="L",F201,0))+(S201*IF(G201="L",H201,0))</x:f>
      </x:c>
      <x:c r="AC201">
        <x:f>(S201*IF(E201="H",F201,0))+(S201*IF(G201="H",H201,0))</x:f>
      </x:c>
      <x:c r="AD201">
        <x:f>(S201*IF(E201="V",F201,0))+(S201*IF(G201="V",H201,0))</x:f>
      </x:c>
      <x:c r="AE201">
        <x:f>(S201*IF(E201="R",F201,0))+(S201*IF(G201="R",H201,0))</x:f>
      </x:c>
      <x:c r="AF201">
        <x:f>(S201*IF(E201="F",F201,0))+(S201*IF(G201="F",H201,0))</x:f>
      </x:c>
      <x:c r="AG201">
        <x:f>(S201*IF(E201="W",F201,0))+(S201*IF(G201="W",H201,0))</x:f>
      </x:c>
      <x:c r="AH201" t="inlineStr">
        <x:is>
          <x:t xml:space="preserve">1. Strategy &amp; Governance</x:t>
        </x:is>
      </x:c>
      <x:c r="AI201" t="inlineStr">
        <x:is>
          <x:t xml:space="preserve">Program Management</x:t>
        </x:is>
      </x:c>
      <x:c r="AJ201" t="inlineStr">
        <x:is>
          <x:t xml:space="preserve">Executive sponsorship &amp; oversight cadence</x:t>
        </x:is>
      </x:c>
    </x:row>
    <x:row r="202">
      <x:c r="A202" t="inlineStr">
        <x:is>
          <x:t xml:space="preserve">Executive</x:t>
        </x:is>
      </x:c>
      <x:c r="B202" t="inlineStr">
        <x:is>
          <x:t xml:space="preserve">EXCO-D8-Q03</x:t>
        </x:is>
      </x:c>
      <x:c r="C202" t="inlineStr">
        <x:is>
          <x:t xml:space="preserve">T2</x:t>
        </x:is>
      </x:c>
      <x:c r="D202" t="inlineStr">
        <x:is>
          <x:t xml:space="preserve">8. Performance &amp; Assurance</x:t>
        </x:is>
      </x:c>
      <x:c r="E202" t="inlineStr">
        <x:is>
          <x:t xml:space="preserve">G</x:t>
        </x:is>
      </x:c>
      <x:c r="F202" t="n">
        <x:v>0.5</x:v>
      </x:c>
      <x:c r="G202" t="inlineStr">
        <x:is>
          <x:t xml:space="preserve">R</x:t>
        </x:is>
      </x:c>
      <x:c r="H202" t="n">
        <x:v>0.5</x:v>
      </x:c>
      <x:c r="I202" t="inlineStr">
        <x:is>
          <x:t xml:space="preserve">How often is insider risk reviewed at executive/board level with clear decisions or actions?</x:t>
        </x:is>
      </x:c>
      <x:c r="J202" t="inlineStr">
        <x:is>
          <x:t xml:space="preserve">This is about cadence and accountability, not just presentations.</x:t>
        </x:is>
      </x:c>
      <x:c r="L202" t="inlineStr">
        <x:is>
          <x:t xml:space="preserve">GOV_STD</x:t>
        </x:is>
      </x:c>
      <x:c r="M202" t="n">
        <x:v>1</x:v>
      </x:c>
      <x:c r="P202" t="inlineStr">
        <x:is>
          <x:t xml:space="preserve">EXCO-D8-Q03-A1</x:t>
        </x:is>
      </x:c>
      <x:c r="Q202" t="n">
        <x:v>2</x:v>
      </x:c>
      <x:c r="R202" t="inlineStr">
        <x:is>
          <x:t xml:space="preserve">Never—only after serious incidents.</x:t>
        </x:is>
      </x:c>
      <x:c r="S202" t="n">
        <x:v>0</x:v>
      </x:c>
      <x:c r="T202" t="inlineStr">
        <x:is>
          <x:t xml:space="preserve">foundational_gap</x:t>
        </x:is>
      </x:c>
      <x:c r="U202" t="inlineStr">
        <x:is>
          <x:t xml:space="preserve">Operating Model Gap</x:t>
        </x:is>
      </x:c>
      <x:c r="V202" t="inlineStr">
        <x:is>
          <x:t xml:space="preserve">Set_Cadence</x:t>
        </x:is>
      </x:c>
      <x:c r="W202" t="inlineStr">
        <x:is>
          <x:t xml:space="preserve">N</x:t>
        </x:is>
      </x:c>
      <x:c r="Y202">
        <x:f>(S202*IF(E202="G",F202,0))+(S202*IF(G202="G",H202,0))</x:f>
      </x:c>
      <x:c r="Z202">
        <x:f>(S202*IF(E202="E",F202,0))+(S202*IF(G202="E",H202,0))</x:f>
      </x:c>
      <x:c r="AA202">
        <x:f>(S202*IF(E202="T",F202,0))+(S202*IF(G202="T",H202,0))</x:f>
      </x:c>
      <x:c r="AB202">
        <x:f>(S202*IF(E202="L",F202,0))+(S202*IF(G202="L",H202,0))</x:f>
      </x:c>
      <x:c r="AC202">
        <x:f>(S202*IF(E202="H",F202,0))+(S202*IF(G202="H",H202,0))</x:f>
      </x:c>
      <x:c r="AD202">
        <x:f>(S202*IF(E202="V",F202,0))+(S202*IF(G202="V",H202,0))</x:f>
      </x:c>
      <x:c r="AE202">
        <x:f>(S202*IF(E202="R",F202,0))+(S202*IF(G202="R",H202,0))</x:f>
      </x:c>
      <x:c r="AF202">
        <x:f>(S202*IF(E202="F",F202,0))+(S202*IF(G202="F",H202,0))</x:f>
      </x:c>
      <x:c r="AG202">
        <x:f>(S202*IF(E202="W",F202,0))+(S202*IF(G202="W",H202,0))</x:f>
      </x:c>
      <x:c r="AH202" t="inlineStr">
        <x:is>
          <x:t xml:space="preserve">1. Strategy &amp; Governance</x:t>
        </x:is>
      </x:c>
      <x:c r="AI202" t="inlineStr">
        <x:is>
          <x:t xml:space="preserve">Program Management</x:t>
        </x:is>
      </x:c>
      <x:c r="AJ202" t="inlineStr">
        <x:is>
          <x:t xml:space="preserve">Executive sponsorship &amp; oversight cadence</x:t>
        </x:is>
      </x:c>
    </x:row>
    <x:row r="203">
      <x:c r="A203" t="inlineStr">
        <x:is>
          <x:t xml:space="preserve">Executive</x:t>
        </x:is>
      </x:c>
      <x:c r="B203" t="inlineStr">
        <x:is>
          <x:t xml:space="preserve">EXCO-D8-Q03</x:t>
        </x:is>
      </x:c>
      <x:c r="C203" t="inlineStr">
        <x:is>
          <x:t xml:space="preserve">T2</x:t>
        </x:is>
      </x:c>
      <x:c r="D203" t="inlineStr">
        <x:is>
          <x:t xml:space="preserve">8. Performance &amp; Assurance</x:t>
        </x:is>
      </x:c>
      <x:c r="E203" t="inlineStr">
        <x:is>
          <x:t xml:space="preserve">G</x:t>
        </x:is>
      </x:c>
      <x:c r="F203" t="n">
        <x:v>0.5</x:v>
      </x:c>
      <x:c r="G203" t="inlineStr">
        <x:is>
          <x:t xml:space="preserve">R</x:t>
        </x:is>
      </x:c>
      <x:c r="H203" t="n">
        <x:v>0.5</x:v>
      </x:c>
      <x:c r="I203" t="inlineStr">
        <x:is>
          <x:t xml:space="preserve">How often is insider risk reviewed at executive/board level with clear decisions or actions?</x:t>
        </x:is>
      </x:c>
      <x:c r="J203" t="inlineStr">
        <x:is>
          <x:t xml:space="preserve">This is about cadence and accountability, not just presentations.</x:t>
        </x:is>
      </x:c>
      <x:c r="L203" t="inlineStr">
        <x:is>
          <x:t xml:space="preserve">GOV_STD</x:t>
        </x:is>
      </x:c>
      <x:c r="M203" t="n">
        <x:v>1</x:v>
      </x:c>
      <x:c r="P203" t="inlineStr">
        <x:is>
          <x:t xml:space="preserve">EXCO-D8-Q03-A2</x:t>
        </x:is>
      </x:c>
      <x:c r="Q203" t="n">
        <x:v>3</x:v>
      </x:c>
      <x:c r="R203" t="inlineStr">
        <x:is>
          <x:t xml:space="preserve">Occasional/on request (e.g., every few years).</x:t>
        </x:is>
      </x:c>
      <x:c r="S203" t="n">
        <x:v>1</x:v>
      </x:c>
      <x:c r="T203" t="inlineStr">
        <x:is>
          <x:t xml:space="preserve">low_cadence</x:t>
        </x:is>
      </x:c>
      <x:c r="U203" t="inlineStr">
        <x:is>
          <x:t xml:space="preserve">Operating Model Gap</x:t>
        </x:is>
      </x:c>
      <x:c r="V203" t="inlineStr">
        <x:is>
          <x:t xml:space="preserve">Set_Cadence</x:t>
        </x:is>
      </x:c>
      <x:c r="W203" t="inlineStr">
        <x:is>
          <x:t xml:space="preserve">N</x:t>
        </x:is>
      </x:c>
      <x:c r="Y203">
        <x:f>(S203*IF(E203="G",F203,0))+(S203*IF(G203="G",H203,0))</x:f>
      </x:c>
      <x:c r="Z203">
        <x:f>(S203*IF(E203="E",F203,0))+(S203*IF(G203="E",H203,0))</x:f>
      </x:c>
      <x:c r="AA203">
        <x:f>(S203*IF(E203="T",F203,0))+(S203*IF(G203="T",H203,0))</x:f>
      </x:c>
      <x:c r="AB203">
        <x:f>(S203*IF(E203="L",F203,0))+(S203*IF(G203="L",H203,0))</x:f>
      </x:c>
      <x:c r="AC203">
        <x:f>(S203*IF(E203="H",F203,0))+(S203*IF(G203="H",H203,0))</x:f>
      </x:c>
      <x:c r="AD203">
        <x:f>(S203*IF(E203="V",F203,0))+(S203*IF(G203="V",H203,0))</x:f>
      </x:c>
      <x:c r="AE203">
        <x:f>(S203*IF(E203="R",F203,0))+(S203*IF(G203="R",H203,0))</x:f>
      </x:c>
      <x:c r="AF203">
        <x:f>(S203*IF(E203="F",F203,0))+(S203*IF(G203="F",H203,0))</x:f>
      </x:c>
      <x:c r="AG203">
        <x:f>(S203*IF(E203="W",F203,0))+(S203*IF(G203="W",H203,0))</x:f>
      </x:c>
      <x:c r="AH203" t="inlineStr">
        <x:is>
          <x:t xml:space="preserve">1. Strategy &amp; Governance</x:t>
        </x:is>
      </x:c>
      <x:c r="AI203" t="inlineStr">
        <x:is>
          <x:t xml:space="preserve">Program Management</x:t>
        </x:is>
      </x:c>
      <x:c r="AJ203" t="inlineStr">
        <x:is>
          <x:t xml:space="preserve">Executive sponsorship &amp; oversight cadence</x:t>
        </x:is>
      </x:c>
    </x:row>
    <x:row r="204">
      <x:c r="A204" t="inlineStr">
        <x:is>
          <x:t xml:space="preserve">Executive</x:t>
        </x:is>
      </x:c>
      <x:c r="B204" t="inlineStr">
        <x:is>
          <x:t xml:space="preserve">EXCO-D8-Q03</x:t>
        </x:is>
      </x:c>
      <x:c r="C204" t="inlineStr">
        <x:is>
          <x:t xml:space="preserve">T2</x:t>
        </x:is>
      </x:c>
      <x:c r="D204" t="inlineStr">
        <x:is>
          <x:t xml:space="preserve">8. Performance &amp; Assurance</x:t>
        </x:is>
      </x:c>
      <x:c r="E204" t="inlineStr">
        <x:is>
          <x:t xml:space="preserve">G</x:t>
        </x:is>
      </x:c>
      <x:c r="F204" t="n">
        <x:v>0.5</x:v>
      </x:c>
      <x:c r="G204" t="inlineStr">
        <x:is>
          <x:t xml:space="preserve">R</x:t>
        </x:is>
      </x:c>
      <x:c r="H204" t="n">
        <x:v>0.5</x:v>
      </x:c>
      <x:c r="I204" t="inlineStr">
        <x:is>
          <x:t xml:space="preserve">How often is insider risk reviewed at executive/board level with clear decisions or actions?</x:t>
        </x:is>
      </x:c>
      <x:c r="J204" t="inlineStr">
        <x:is>
          <x:t xml:space="preserve">This is about cadence and accountability, not just presentations.</x:t>
        </x:is>
      </x:c>
      <x:c r="L204" t="inlineStr">
        <x:is>
          <x:t xml:space="preserve">GOV_STD</x:t>
        </x:is>
      </x:c>
      <x:c r="M204" t="n">
        <x:v>1</x:v>
      </x:c>
      <x:c r="P204" t="inlineStr">
        <x:is>
          <x:t xml:space="preserve">EXCO-D8-Q03-A3</x:t>
        </x:is>
      </x:c>
      <x:c r="Q204" t="n">
        <x:v>4</x:v>
      </x:c>
      <x:c r="R204" t="inlineStr">
        <x:is>
          <x:t xml:space="preserve">Annual ‘tick-box’ review with limited follow-up.</x:t>
        </x:is>
      </x:c>
      <x:c r="S204" t="n">
        <x:v>2</x:v>
      </x:c>
      <x:c r="T204" t="inlineStr">
        <x:is>
          <x:t xml:space="preserve">paper_process</x:t>
        </x:is>
      </x:c>
      <x:c r="U204" t="inlineStr">
        <x:is>
          <x:t xml:space="preserve">Paper Dragon</x:t>
        </x:is>
      </x:c>
      <x:c r="V204" t="inlineStr">
        <x:is>
          <x:t xml:space="preserve">Improve_Cadence</x:t>
        </x:is>
      </x:c>
      <x:c r="W204" t="inlineStr">
        <x:is>
          <x:t xml:space="preserve">N</x:t>
        </x:is>
      </x:c>
      <x:c r="Y204">
        <x:f>(S204*IF(E204="G",F204,0))+(S204*IF(G204="G",H204,0))</x:f>
      </x:c>
      <x:c r="Z204">
        <x:f>(S204*IF(E204="E",F204,0))+(S204*IF(G204="E",H204,0))</x:f>
      </x:c>
      <x:c r="AA204">
        <x:f>(S204*IF(E204="T",F204,0))+(S204*IF(G204="T",H204,0))</x:f>
      </x:c>
      <x:c r="AB204">
        <x:f>(S204*IF(E204="L",F204,0))+(S204*IF(G204="L",H204,0))</x:f>
      </x:c>
      <x:c r="AC204">
        <x:f>(S204*IF(E204="H",F204,0))+(S204*IF(G204="H",H204,0))</x:f>
      </x:c>
      <x:c r="AD204">
        <x:f>(S204*IF(E204="V",F204,0))+(S204*IF(G204="V",H204,0))</x:f>
      </x:c>
      <x:c r="AE204">
        <x:f>(S204*IF(E204="R",F204,0))+(S204*IF(G204="R",H204,0))</x:f>
      </x:c>
      <x:c r="AF204">
        <x:f>(S204*IF(E204="F",F204,0))+(S204*IF(G204="F",H204,0))</x:f>
      </x:c>
      <x:c r="AG204">
        <x:f>(S204*IF(E204="W",F204,0))+(S204*IF(G204="W",H204,0))</x:f>
      </x:c>
      <x:c r="AH204" t="inlineStr">
        <x:is>
          <x:t xml:space="preserve">1. Strategy &amp; Governance</x:t>
        </x:is>
      </x:c>
      <x:c r="AI204" t="inlineStr">
        <x:is>
          <x:t xml:space="preserve">Program Management</x:t>
        </x:is>
      </x:c>
      <x:c r="AJ204" t="inlineStr">
        <x:is>
          <x:t xml:space="preserve">Executive sponsorship &amp; oversight cadence</x:t>
        </x:is>
      </x:c>
    </x:row>
    <x:row r="205">
      <x:c r="A205" t="inlineStr">
        <x:is>
          <x:t xml:space="preserve">Executive</x:t>
        </x:is>
      </x:c>
      <x:c r="B205" t="inlineStr">
        <x:is>
          <x:t xml:space="preserve">EXCO-D8-Q03</x:t>
        </x:is>
      </x:c>
      <x:c r="C205" t="inlineStr">
        <x:is>
          <x:t xml:space="preserve">T2</x:t>
        </x:is>
      </x:c>
      <x:c r="D205" t="inlineStr">
        <x:is>
          <x:t xml:space="preserve">8. Performance &amp; Assurance</x:t>
        </x:is>
      </x:c>
      <x:c r="E205" t="inlineStr">
        <x:is>
          <x:t xml:space="preserve">G</x:t>
        </x:is>
      </x:c>
      <x:c r="F205" t="n">
        <x:v>0.5</x:v>
      </x:c>
      <x:c r="G205" t="inlineStr">
        <x:is>
          <x:t xml:space="preserve">R</x:t>
        </x:is>
      </x:c>
      <x:c r="H205" t="n">
        <x:v>0.5</x:v>
      </x:c>
      <x:c r="I205" t="inlineStr">
        <x:is>
          <x:t xml:space="preserve">How often is insider risk reviewed at executive/board level with clear decisions or actions?</x:t>
        </x:is>
      </x:c>
      <x:c r="J205" t="inlineStr">
        <x:is>
          <x:t xml:space="preserve">This is about cadence and accountability, not just presentations.</x:t>
        </x:is>
      </x:c>
      <x:c r="L205" t="inlineStr">
        <x:is>
          <x:t xml:space="preserve">GOV_STD</x:t>
        </x:is>
      </x:c>
      <x:c r="M205" t="n">
        <x:v>1</x:v>
      </x:c>
      <x:c r="P205" t="inlineStr">
        <x:is>
          <x:t xml:space="preserve">EXCO-D8-Q03-A4</x:t>
        </x:is>
      </x:c>
      <x:c r="Q205" t="n">
        <x:v>5</x:v>
      </x:c>
      <x:c r="R205" t="inlineStr">
        <x:is>
          <x:t xml:space="preserve">At least quarterly with tracked actions.</x:t>
        </x:is>
      </x:c>
      <x:c r="S205" t="n">
        <x:v>3</x:v>
      </x:c>
      <x:c r="T205" t="inlineStr">
        <x:is>
          <x:t xml:space="preserve">good_practice</x:t>
        </x:is>
      </x:c>
      <x:c r="V205" t="inlineStr">
        <x:is>
          <x:t xml:space="preserve">Request_Evidence</x:t>
        </x:is>
      </x:c>
      <x:c r="W205" t="inlineStr">
        <x:is>
          <x:t xml:space="preserve">Y</x:t>
        </x:is>
      </x:c>
      <x:c r="Y205">
        <x:f>(S205*IF(E205="G",F205,0))+(S205*IF(G205="G",H205,0))</x:f>
      </x:c>
      <x:c r="Z205">
        <x:f>(S205*IF(E205="E",F205,0))+(S205*IF(G205="E",H205,0))</x:f>
      </x:c>
      <x:c r="AA205">
        <x:f>(S205*IF(E205="T",F205,0))+(S205*IF(G205="T",H205,0))</x:f>
      </x:c>
      <x:c r="AB205">
        <x:f>(S205*IF(E205="L",F205,0))+(S205*IF(G205="L",H205,0))</x:f>
      </x:c>
      <x:c r="AC205">
        <x:f>(S205*IF(E205="H",F205,0))+(S205*IF(G205="H",H205,0))</x:f>
      </x:c>
      <x:c r="AD205">
        <x:f>(S205*IF(E205="V",F205,0))+(S205*IF(G205="V",H205,0))</x:f>
      </x:c>
      <x:c r="AE205">
        <x:f>(S205*IF(E205="R",F205,0))+(S205*IF(G205="R",H205,0))</x:f>
      </x:c>
      <x:c r="AF205">
        <x:f>(S205*IF(E205="F",F205,0))+(S205*IF(G205="F",H205,0))</x:f>
      </x:c>
      <x:c r="AG205">
        <x:f>(S205*IF(E205="W",F205,0))+(S205*IF(G205="W",H205,0))</x:f>
      </x:c>
      <x:c r="AH205" t="inlineStr">
        <x:is>
          <x:t xml:space="preserve">1. Strategy &amp; Governance</x:t>
        </x:is>
      </x:c>
      <x:c r="AI205" t="inlineStr">
        <x:is>
          <x:t xml:space="preserve">Program Management</x:t>
        </x:is>
      </x:c>
      <x:c r="AJ205" t="inlineStr">
        <x:is>
          <x:t xml:space="preserve">Executive sponsorship &amp; oversight cadence</x:t>
        </x:is>
      </x:c>
    </x:row>
    <x:row r="206">
      <x:c r="A206" t="inlineStr">
        <x:is>
          <x:t xml:space="preserve">Executive</x:t>
        </x:is>
      </x:c>
      <x:c r="B206" t="inlineStr">
        <x:is>
          <x:t xml:space="preserve">EXCO-D8-Q03</x:t>
        </x:is>
      </x:c>
      <x:c r="C206" t="inlineStr">
        <x:is>
          <x:t xml:space="preserve">T2</x:t>
        </x:is>
      </x:c>
      <x:c r="D206" t="inlineStr">
        <x:is>
          <x:t xml:space="preserve">8. Performance &amp; Assurance</x:t>
        </x:is>
      </x:c>
      <x:c r="E206" t="inlineStr">
        <x:is>
          <x:t xml:space="preserve">G</x:t>
        </x:is>
      </x:c>
      <x:c r="F206" t="n">
        <x:v>0.5</x:v>
      </x:c>
      <x:c r="G206" t="inlineStr">
        <x:is>
          <x:t xml:space="preserve">R</x:t>
        </x:is>
      </x:c>
      <x:c r="H206" t="n">
        <x:v>0.5</x:v>
      </x:c>
      <x:c r="I206" t="inlineStr">
        <x:is>
          <x:t xml:space="preserve">How often is insider risk reviewed at executive/board level with clear decisions or actions?</x:t>
        </x:is>
      </x:c>
      <x:c r="J206" t="inlineStr">
        <x:is>
          <x:t xml:space="preserve">This is about cadence and accountability, not just presentations.</x:t>
        </x:is>
      </x:c>
      <x:c r="L206" t="inlineStr">
        <x:is>
          <x:t xml:space="preserve">GOV_STD</x:t>
        </x:is>
      </x:c>
      <x:c r="M206" t="n">
        <x:v>1</x:v>
      </x:c>
      <x:c r="P206" t="inlineStr">
        <x:is>
          <x:t xml:space="preserve">EXCO-D8-Q03-A5</x:t>
        </x:is>
      </x:c>
      <x:c r="Q206" t="n">
        <x:v>6</x:v>
      </x:c>
      <x:c r="R206" t="inlineStr">
        <x:is>
          <x:t xml:space="preserve">Frequent review tied to risk appetite; actions and outcomes are continuously monitored.</x:t>
        </x:is>
      </x:c>
      <x:c r="S206" t="n">
        <x:v>4</x:v>
      </x:c>
      <x:c r="T206" t="inlineStr">
        <x:is>
          <x:t xml:space="preserve">optimized</x:t>
        </x:is>
      </x:c>
      <x:c r="V206" t="inlineStr">
        <x:is>
          <x:t xml:space="preserve">Request_Evidence</x:t>
        </x:is>
      </x:c>
      <x:c r="W206" t="inlineStr">
        <x:is>
          <x:t xml:space="preserve">Y</x:t>
        </x:is>
      </x:c>
      <x:c r="Y206">
        <x:f>(S206*IF(E206="G",F206,0))+(S206*IF(G206="G",H206,0))</x:f>
      </x:c>
      <x:c r="Z206">
        <x:f>(S206*IF(E206="E",F206,0))+(S206*IF(G206="E",H206,0))</x:f>
      </x:c>
      <x:c r="AA206">
        <x:f>(S206*IF(E206="T",F206,0))+(S206*IF(G206="T",H206,0))</x:f>
      </x:c>
      <x:c r="AB206">
        <x:f>(S206*IF(E206="L",F206,0))+(S206*IF(G206="L",H206,0))</x:f>
      </x:c>
      <x:c r="AC206">
        <x:f>(S206*IF(E206="H",F206,0))+(S206*IF(G206="H",H206,0))</x:f>
      </x:c>
      <x:c r="AD206">
        <x:f>(S206*IF(E206="V",F206,0))+(S206*IF(G206="V",H206,0))</x:f>
      </x:c>
      <x:c r="AE206">
        <x:f>(S206*IF(E206="R",F206,0))+(S206*IF(G206="R",H206,0))</x:f>
      </x:c>
      <x:c r="AF206">
        <x:f>(S206*IF(E206="F",F206,0))+(S206*IF(G206="F",H206,0))</x:f>
      </x:c>
      <x:c r="AG206">
        <x:f>(S206*IF(E206="W",F206,0))+(S206*IF(G206="W",H206,0))</x:f>
      </x:c>
      <x:c r="AH206" t="inlineStr">
        <x:is>
          <x:t xml:space="preserve">1. Strategy &amp; Governance</x:t>
        </x:is>
      </x:c>
      <x:c r="AI206" t="inlineStr">
        <x:is>
          <x:t xml:space="preserve">Program Management</x:t>
        </x:is>
      </x:c>
      <x:c r="AJ206" t="inlineStr">
        <x:is>
          <x:t xml:space="preserve">Executive sponsorship &amp; oversight cadence</x:t>
        </x:is>
      </x:c>
    </x:row>
    <x:row r="207">
      <x:c r="A207" t="inlineStr">
        <x:is>
          <x:t xml:space="preserve">Executive</x:t>
        </x:is>
      </x:c>
      <x:c r="B207" t="inlineStr">
        <x:is>
          <x:t xml:space="preserve">EXCO-D8-Q04</x:t>
        </x:is>
      </x:c>
      <x:c r="C207" t="inlineStr">
        <x:is>
          <x:t xml:space="preserve">T3</x:t>
        </x:is>
      </x:c>
      <x:c r="D207" t="inlineStr">
        <x:is>
          <x:t xml:space="preserve">8. Performance &amp; Assurance</x:t>
        </x:is>
      </x:c>
      <x:c r="E207" t="inlineStr">
        <x:is>
          <x:t xml:space="preserve">G</x:t>
        </x:is>
      </x:c>
      <x:c r="F207" t="n">
        <x:v>0.5</x:v>
      </x:c>
      <x:c r="G207" t="inlineStr">
        <x:is>
          <x:t xml:space="preserve">R</x:t>
        </x:is>
      </x:c>
      <x:c r="H207" t="n">
        <x:v>0.5</x:v>
      </x:c>
      <x:c r="I207" t="inlineStr">
        <x:is>
          <x:t xml:space="preserve">Is there any independent assurance (internal audit, external review) that confirms reality matches what we report?</x:t>
        </x:is>
      </x:c>
      <x:c r="J207" t="inlineStr">
        <x:is>
          <x:t xml:space="preserve">This directly supports the Structural Integrity goal (avoid ‘paper dragon’).</x:t>
        </x:is>
      </x:c>
      <x:c r="L207" t="inlineStr">
        <x:is>
          <x:t xml:space="preserve">GOV_STD</x:t>
        </x:is>
      </x:c>
      <x:c r="M207" t="n">
        <x:v>1</x:v>
      </x:c>
      <x:c r="P207" t="inlineStr">
        <x:is>
          <x:t xml:space="preserve">EXCO-D8-Q04-A0</x:t>
        </x:is>
      </x:c>
      <x:c r="Q207" t="n">
        <x:v>1</x:v>
      </x:c>
      <x:c r="R207" t="inlineStr">
        <x:is>
          <x:t xml:space="preserve">I don’t know / not sure.</x:t>
        </x:is>
      </x:c>
      <x:c r="S207" t="n">
        <x:v>0</x:v>
      </x:c>
      <x:c r="T207" t="inlineStr">
        <x:is>
          <x:t xml:space="preserve">unknown</x:t>
        </x:is>
      </x:c>
      <x:c r="U207" t="inlineStr">
        <x:is>
          <x:t xml:space="preserve">Unknown</x:t>
        </x:is>
      </x:c>
      <x:c r="V207" t="inlineStr">
        <x:is>
          <x:t xml:space="preserve">Plan_Assurance</x:t>
        </x:is>
      </x:c>
      <x:c r="W207" t="inlineStr">
        <x:is>
          <x:t xml:space="preserve">N</x:t>
        </x:is>
      </x:c>
      <x:c r="Y207">
        <x:f>(S207*IF(E207="G",F207,0))+(S207*IF(G207="G",H207,0))</x:f>
      </x:c>
      <x:c r="Z207">
        <x:f>(S207*IF(E207="E",F207,0))+(S207*IF(G207="E",H207,0))</x:f>
      </x:c>
      <x:c r="AA207">
        <x:f>(S207*IF(E207="T",F207,0))+(S207*IF(G207="T",H207,0))</x:f>
      </x:c>
      <x:c r="AB207">
        <x:f>(S207*IF(E207="L",F207,0))+(S207*IF(G207="L",H207,0))</x:f>
      </x:c>
      <x:c r="AC207">
        <x:f>(S207*IF(E207="H",F207,0))+(S207*IF(G207="H",H207,0))</x:f>
      </x:c>
      <x:c r="AD207">
        <x:f>(S207*IF(E207="V",F207,0))+(S207*IF(G207="V",H207,0))</x:f>
      </x:c>
      <x:c r="AE207">
        <x:f>(S207*IF(E207="R",F207,0))+(S207*IF(G207="R",H207,0))</x:f>
      </x:c>
      <x:c r="AF207">
        <x:f>(S207*IF(E207="F",F207,0))+(S207*IF(G207="F",H207,0))</x:f>
      </x:c>
      <x:c r="AG207">
        <x:f>(S207*IF(E207="W",F207,0))+(S207*IF(G207="W",H207,0))</x:f>
      </x:c>
      <x:c r="AH207" t="inlineStr">
        <x:is>
          <x:t xml:space="preserve">4. Legal, Privacy &amp; Ethics</x:t>
        </x:is>
      </x:c>
      <x:c r="AI207" t="inlineStr">
        <x:is>
          <x:t xml:space="preserve">Oversight &amp; Safeguards</x:t>
        </x:is>
      </x:c>
      <x:c r="AJ207" t="inlineStr">
        <x:is>
          <x:t xml:space="preserve">Review, Redress &amp; Assurance</x:t>
        </x:is>
      </x:c>
    </x:row>
    <x:row r="208">
      <x:c r="A208" t="inlineStr">
        <x:is>
          <x:t xml:space="preserve">Executive</x:t>
        </x:is>
      </x:c>
      <x:c r="B208" t="inlineStr">
        <x:is>
          <x:t xml:space="preserve">EXCO-D8-Q04</x:t>
        </x:is>
      </x:c>
      <x:c r="C208" t="inlineStr">
        <x:is>
          <x:t xml:space="preserve">T3</x:t>
        </x:is>
      </x:c>
      <x:c r="D208" t="inlineStr">
        <x:is>
          <x:t xml:space="preserve">8. Performance &amp; Assurance</x:t>
        </x:is>
      </x:c>
      <x:c r="E208" t="inlineStr">
        <x:is>
          <x:t xml:space="preserve">G</x:t>
        </x:is>
      </x:c>
      <x:c r="F208" t="n">
        <x:v>0.5</x:v>
      </x:c>
      <x:c r="G208" t="inlineStr">
        <x:is>
          <x:t xml:space="preserve">R</x:t>
        </x:is>
      </x:c>
      <x:c r="H208" t="n">
        <x:v>0.5</x:v>
      </x:c>
      <x:c r="I208" t="inlineStr">
        <x:is>
          <x:t xml:space="preserve">Is there any independent assurance (internal audit, external review) that confirms reality matches what we report?</x:t>
        </x:is>
      </x:c>
      <x:c r="J208" t="inlineStr">
        <x:is>
          <x:t xml:space="preserve">This directly supports the Structural Integrity goal (avoid ‘paper dragon’).</x:t>
        </x:is>
      </x:c>
      <x:c r="L208" t="inlineStr">
        <x:is>
          <x:t xml:space="preserve">GOV_STD</x:t>
        </x:is>
      </x:c>
      <x:c r="M208" t="n">
        <x:v>1</x:v>
      </x:c>
      <x:c r="P208" t="inlineStr">
        <x:is>
          <x:t xml:space="preserve">EXCO-D8-Q04-A1</x:t>
        </x:is>
      </x:c>
      <x:c r="Q208" t="n">
        <x:v>2</x:v>
      </x:c>
      <x:c r="R208" t="inlineStr">
        <x:is>
          <x:t xml:space="preserve">No—there is no independent review.</x:t>
        </x:is>
      </x:c>
      <x:c r="S208" t="n">
        <x:v>0</x:v>
      </x:c>
      <x:c r="T208" t="inlineStr">
        <x:is>
          <x:t xml:space="preserve">foundational_gap</x:t>
        </x:is>
      </x:c>
      <x:c r="U208" t="inlineStr">
        <x:is>
          <x:t xml:space="preserve">Paper Dragon</x:t>
        </x:is>
      </x:c>
      <x:c r="V208" t="inlineStr">
        <x:is>
          <x:t xml:space="preserve">Plan_Assurance</x:t>
        </x:is>
      </x:c>
      <x:c r="W208" t="inlineStr">
        <x:is>
          <x:t xml:space="preserve">N</x:t>
        </x:is>
      </x:c>
      <x:c r="Y208">
        <x:f>(S208*IF(E208="G",F208,0))+(S208*IF(G208="G",H208,0))</x:f>
      </x:c>
      <x:c r="Z208">
        <x:f>(S208*IF(E208="E",F208,0))+(S208*IF(G208="E",H208,0))</x:f>
      </x:c>
      <x:c r="AA208">
        <x:f>(S208*IF(E208="T",F208,0))+(S208*IF(G208="T",H208,0))</x:f>
      </x:c>
      <x:c r="AB208">
        <x:f>(S208*IF(E208="L",F208,0))+(S208*IF(G208="L",H208,0))</x:f>
      </x:c>
      <x:c r="AC208">
        <x:f>(S208*IF(E208="H",F208,0))+(S208*IF(G208="H",H208,0))</x:f>
      </x:c>
      <x:c r="AD208">
        <x:f>(S208*IF(E208="V",F208,0))+(S208*IF(G208="V",H208,0))</x:f>
      </x:c>
      <x:c r="AE208">
        <x:f>(S208*IF(E208="R",F208,0))+(S208*IF(G208="R",H208,0))</x:f>
      </x:c>
      <x:c r="AF208">
        <x:f>(S208*IF(E208="F",F208,0))+(S208*IF(G208="F",H208,0))</x:f>
      </x:c>
      <x:c r="AG208">
        <x:f>(S208*IF(E208="W",F208,0))+(S208*IF(G208="W",H208,0))</x:f>
      </x:c>
      <x:c r="AH208" t="inlineStr">
        <x:is>
          <x:t xml:space="preserve">4. Legal, Privacy &amp; Ethics</x:t>
        </x:is>
      </x:c>
      <x:c r="AI208" t="inlineStr">
        <x:is>
          <x:t xml:space="preserve">Oversight &amp; Safeguards</x:t>
        </x:is>
      </x:c>
      <x:c r="AJ208" t="inlineStr">
        <x:is>
          <x:t xml:space="preserve">Review, Redress &amp; Assurance</x:t>
        </x:is>
      </x:c>
    </x:row>
    <x:row r="209">
      <x:c r="A209" t="inlineStr">
        <x:is>
          <x:t xml:space="preserve">Executive</x:t>
        </x:is>
      </x:c>
      <x:c r="B209" t="inlineStr">
        <x:is>
          <x:t xml:space="preserve">EXCO-D8-Q04</x:t>
        </x:is>
      </x:c>
      <x:c r="C209" t="inlineStr">
        <x:is>
          <x:t xml:space="preserve">T3</x:t>
        </x:is>
      </x:c>
      <x:c r="D209" t="inlineStr">
        <x:is>
          <x:t xml:space="preserve">8. Performance &amp; Assurance</x:t>
        </x:is>
      </x:c>
      <x:c r="E209" t="inlineStr">
        <x:is>
          <x:t xml:space="preserve">G</x:t>
        </x:is>
      </x:c>
      <x:c r="F209" t="n">
        <x:v>0.5</x:v>
      </x:c>
      <x:c r="G209" t="inlineStr">
        <x:is>
          <x:t xml:space="preserve">R</x:t>
        </x:is>
      </x:c>
      <x:c r="H209" t="n">
        <x:v>0.5</x:v>
      </x:c>
      <x:c r="I209" t="inlineStr">
        <x:is>
          <x:t xml:space="preserve">Is there any independent assurance (internal audit, external review) that confirms reality matches what we report?</x:t>
        </x:is>
      </x:c>
      <x:c r="J209" t="inlineStr">
        <x:is>
          <x:t xml:space="preserve">This directly supports the Structural Integrity goal (avoid ‘paper dragon’).</x:t>
        </x:is>
      </x:c>
      <x:c r="L209" t="inlineStr">
        <x:is>
          <x:t xml:space="preserve">GOV_STD</x:t>
        </x:is>
      </x:c>
      <x:c r="M209" t="n">
        <x:v>1</x:v>
      </x:c>
      <x:c r="P209" t="inlineStr">
        <x:is>
          <x:t xml:space="preserve">EXCO-D8-Q04-A2</x:t>
        </x:is>
      </x:c>
      <x:c r="Q209" t="n">
        <x:v>3</x:v>
      </x:c>
      <x:c r="R209" t="inlineStr">
        <x:is>
          <x:t xml:space="preserve">Ad-hoc reviews happen after incidents only.</x:t>
        </x:is>
      </x:c>
      <x:c r="S209" t="n">
        <x:v>1</x:v>
      </x:c>
      <x:c r="T209" t="inlineStr">
        <x:is>
          <x:t xml:space="preserve">reactive</x:t>
        </x:is>
      </x:c>
      <x:c r="U209" t="inlineStr">
        <x:is>
          <x:t xml:space="preserve">Paper Dragon</x:t>
        </x:is>
      </x:c>
      <x:c r="V209" t="inlineStr">
        <x:is>
          <x:t xml:space="preserve">Plan_Assurance</x:t>
        </x:is>
      </x:c>
      <x:c r="W209" t="inlineStr">
        <x:is>
          <x:t xml:space="preserve">N</x:t>
        </x:is>
      </x:c>
      <x:c r="Y209">
        <x:f>(S209*IF(E209="G",F209,0))+(S209*IF(G209="G",H209,0))</x:f>
      </x:c>
      <x:c r="Z209">
        <x:f>(S209*IF(E209="E",F209,0))+(S209*IF(G209="E",H209,0))</x:f>
      </x:c>
      <x:c r="AA209">
        <x:f>(S209*IF(E209="T",F209,0))+(S209*IF(G209="T",H209,0))</x:f>
      </x:c>
      <x:c r="AB209">
        <x:f>(S209*IF(E209="L",F209,0))+(S209*IF(G209="L",H209,0))</x:f>
      </x:c>
      <x:c r="AC209">
        <x:f>(S209*IF(E209="H",F209,0))+(S209*IF(G209="H",H209,0))</x:f>
      </x:c>
      <x:c r="AD209">
        <x:f>(S209*IF(E209="V",F209,0))+(S209*IF(G209="V",H209,0))</x:f>
      </x:c>
      <x:c r="AE209">
        <x:f>(S209*IF(E209="R",F209,0))+(S209*IF(G209="R",H209,0))</x:f>
      </x:c>
      <x:c r="AF209">
        <x:f>(S209*IF(E209="F",F209,0))+(S209*IF(G209="F",H209,0))</x:f>
      </x:c>
      <x:c r="AG209">
        <x:f>(S209*IF(E209="W",F209,0))+(S209*IF(G209="W",H209,0))</x:f>
      </x:c>
      <x:c r="AH209" t="inlineStr">
        <x:is>
          <x:t xml:space="preserve">4. Legal, Privacy &amp; Ethics</x:t>
        </x:is>
      </x:c>
      <x:c r="AI209" t="inlineStr">
        <x:is>
          <x:t xml:space="preserve">Oversight &amp; Safeguards</x:t>
        </x:is>
      </x:c>
      <x:c r="AJ209" t="inlineStr">
        <x:is>
          <x:t xml:space="preserve">Review, Redress &amp; Assurance</x:t>
        </x:is>
      </x:c>
    </x:row>
    <x:row r="210">
      <x:c r="A210" t="inlineStr">
        <x:is>
          <x:t xml:space="preserve">Executive</x:t>
        </x:is>
      </x:c>
      <x:c r="B210" t="inlineStr">
        <x:is>
          <x:t xml:space="preserve">EXCO-D8-Q04</x:t>
        </x:is>
      </x:c>
      <x:c r="C210" t="inlineStr">
        <x:is>
          <x:t xml:space="preserve">T3</x:t>
        </x:is>
      </x:c>
      <x:c r="D210" t="inlineStr">
        <x:is>
          <x:t xml:space="preserve">8. Performance &amp; Assurance</x:t>
        </x:is>
      </x:c>
      <x:c r="E210" t="inlineStr">
        <x:is>
          <x:t xml:space="preserve">G</x:t>
        </x:is>
      </x:c>
      <x:c r="F210" t="n">
        <x:v>0.5</x:v>
      </x:c>
      <x:c r="G210" t="inlineStr">
        <x:is>
          <x:t xml:space="preserve">R</x:t>
        </x:is>
      </x:c>
      <x:c r="H210" t="n">
        <x:v>0.5</x:v>
      </x:c>
      <x:c r="I210" t="inlineStr">
        <x:is>
          <x:t xml:space="preserve">Is there any independent assurance (internal audit, external review) that confirms reality matches what we report?</x:t>
        </x:is>
      </x:c>
      <x:c r="J210" t="inlineStr">
        <x:is>
          <x:t xml:space="preserve">This directly supports the Structural Integrity goal (avoid ‘paper dragon’).</x:t>
        </x:is>
      </x:c>
      <x:c r="L210" t="inlineStr">
        <x:is>
          <x:t xml:space="preserve">GOV_STD</x:t>
        </x:is>
      </x:c>
      <x:c r="M210" t="n">
        <x:v>1</x:v>
      </x:c>
      <x:c r="P210" t="inlineStr">
        <x:is>
          <x:t xml:space="preserve">EXCO-D8-Q04-A3</x:t>
        </x:is>
      </x:c>
      <x:c r="Q210" t="n">
        <x:v>4</x:v>
      </x:c>
      <x:c r="R210" t="inlineStr">
        <x:is>
          <x:t xml:space="preserve">Internal audit reviews exist but focus mainly on policy compliance.</x:t>
        </x:is>
      </x:c>
      <x:c r="S210" t="n">
        <x:v>2</x:v>
      </x:c>
      <x:c r="T210" t="inlineStr">
        <x:is>
          <x:t xml:space="preserve">paper_process</x:t>
        </x:is>
      </x:c>
      <x:c r="U210" t="inlineStr">
        <x:is>
          <x:t xml:space="preserve">Paper Dragon</x:t>
        </x:is>
      </x:c>
      <x:c r="V210" t="inlineStr">
        <x:is>
          <x:t xml:space="preserve">Assurance_On_Reality</x:t>
        </x:is>
      </x:c>
      <x:c r="W210" t="inlineStr">
        <x:is>
          <x:t xml:space="preserve">N</x:t>
        </x:is>
      </x:c>
      <x:c r="Y210">
        <x:f>(S210*IF(E210="G",F210,0))+(S210*IF(G210="G",H210,0))</x:f>
      </x:c>
      <x:c r="Z210">
        <x:f>(S210*IF(E210="E",F210,0))+(S210*IF(G210="E",H210,0))</x:f>
      </x:c>
      <x:c r="AA210">
        <x:f>(S210*IF(E210="T",F210,0))+(S210*IF(G210="T",H210,0))</x:f>
      </x:c>
      <x:c r="AB210">
        <x:f>(S210*IF(E210="L",F210,0))+(S210*IF(G210="L",H210,0))</x:f>
      </x:c>
      <x:c r="AC210">
        <x:f>(S210*IF(E210="H",F210,0))+(S210*IF(G210="H",H210,0))</x:f>
      </x:c>
      <x:c r="AD210">
        <x:f>(S210*IF(E210="V",F210,0))+(S210*IF(G210="V",H210,0))</x:f>
      </x:c>
      <x:c r="AE210">
        <x:f>(S210*IF(E210="R",F210,0))+(S210*IF(G210="R",H210,0))</x:f>
      </x:c>
      <x:c r="AF210">
        <x:f>(S210*IF(E210="F",F210,0))+(S210*IF(G210="F",H210,0))</x:f>
      </x:c>
      <x:c r="AG210">
        <x:f>(S210*IF(E210="W",F210,0))+(S210*IF(G210="W",H210,0))</x:f>
      </x:c>
      <x:c r="AH210" t="inlineStr">
        <x:is>
          <x:t xml:space="preserve">4. Legal, Privacy &amp; Ethics</x:t>
        </x:is>
      </x:c>
      <x:c r="AI210" t="inlineStr">
        <x:is>
          <x:t xml:space="preserve">Oversight &amp; Safeguards</x:t>
        </x:is>
      </x:c>
      <x:c r="AJ210" t="inlineStr">
        <x:is>
          <x:t xml:space="preserve">Review, Redress &amp; Assurance</x:t>
        </x:is>
      </x:c>
    </x:row>
    <x:row r="211">
      <x:c r="A211" t="inlineStr">
        <x:is>
          <x:t xml:space="preserve">Executive</x:t>
        </x:is>
      </x:c>
      <x:c r="B211" t="inlineStr">
        <x:is>
          <x:t xml:space="preserve">EXCO-D8-Q04</x:t>
        </x:is>
      </x:c>
      <x:c r="C211" t="inlineStr">
        <x:is>
          <x:t xml:space="preserve">T3</x:t>
        </x:is>
      </x:c>
      <x:c r="D211" t="inlineStr">
        <x:is>
          <x:t xml:space="preserve">8. Performance &amp; Assurance</x:t>
        </x:is>
      </x:c>
      <x:c r="E211" t="inlineStr">
        <x:is>
          <x:t xml:space="preserve">G</x:t>
        </x:is>
      </x:c>
      <x:c r="F211" t="n">
        <x:v>0.5</x:v>
      </x:c>
      <x:c r="G211" t="inlineStr">
        <x:is>
          <x:t xml:space="preserve">R</x:t>
        </x:is>
      </x:c>
      <x:c r="H211" t="n">
        <x:v>0.5</x:v>
      </x:c>
      <x:c r="I211" t="inlineStr">
        <x:is>
          <x:t xml:space="preserve">Is there any independent assurance (internal audit, external review) that confirms reality matches what we report?</x:t>
        </x:is>
      </x:c>
      <x:c r="J211" t="inlineStr">
        <x:is>
          <x:t xml:space="preserve">This directly supports the Structural Integrity goal (avoid ‘paper dragon’).</x:t>
        </x:is>
      </x:c>
      <x:c r="L211" t="inlineStr">
        <x:is>
          <x:t xml:space="preserve">GOV_STD</x:t>
        </x:is>
      </x:c>
      <x:c r="M211" t="n">
        <x:v>1</x:v>
      </x:c>
      <x:c r="P211" t="inlineStr">
        <x:is>
          <x:t xml:space="preserve">EXCO-D8-Q04-A4</x:t>
        </x:is>
      </x:c>
      <x:c r="Q211" t="n">
        <x:v>5</x:v>
      </x:c>
      <x:c r="R211" t="inlineStr">
        <x:is>
          <x:t xml:space="preserve">Independent review confirms operational reality (sampling of cases/logs/process usage).</x:t>
        </x:is>
      </x:c>
      <x:c r="S211" t="n">
        <x:v>3</x:v>
      </x:c>
      <x:c r="T211" t="inlineStr">
        <x:is>
          <x:t xml:space="preserve">good_practice</x:t>
        </x:is>
      </x:c>
      <x:c r="V211" t="inlineStr">
        <x:is>
          <x:t xml:space="preserve">Request_Evidence</x:t>
        </x:is>
      </x:c>
      <x:c r="W211" t="inlineStr">
        <x:is>
          <x:t xml:space="preserve">Y</x:t>
        </x:is>
      </x:c>
      <x:c r="Y211">
        <x:f>(S211*IF(E211="G",F211,0))+(S211*IF(G211="G",H211,0))</x:f>
      </x:c>
      <x:c r="Z211">
        <x:f>(S211*IF(E211="E",F211,0))+(S211*IF(G211="E",H211,0))</x:f>
      </x:c>
      <x:c r="AA211">
        <x:f>(S211*IF(E211="T",F211,0))+(S211*IF(G211="T",H211,0))</x:f>
      </x:c>
      <x:c r="AB211">
        <x:f>(S211*IF(E211="L",F211,0))+(S211*IF(G211="L",H211,0))</x:f>
      </x:c>
      <x:c r="AC211">
        <x:f>(S211*IF(E211="H",F211,0))+(S211*IF(G211="H",H211,0))</x:f>
      </x:c>
      <x:c r="AD211">
        <x:f>(S211*IF(E211="V",F211,0))+(S211*IF(G211="V",H211,0))</x:f>
      </x:c>
      <x:c r="AE211">
        <x:f>(S211*IF(E211="R",F211,0))+(S211*IF(G211="R",H211,0))</x:f>
      </x:c>
      <x:c r="AF211">
        <x:f>(S211*IF(E211="F",F211,0))+(S211*IF(G211="F",H211,0))</x:f>
      </x:c>
      <x:c r="AG211">
        <x:f>(S211*IF(E211="W",F211,0))+(S211*IF(G211="W",H211,0))</x:f>
      </x:c>
      <x:c r="AH211" t="inlineStr">
        <x:is>
          <x:t xml:space="preserve">4. Legal, Privacy &amp; Ethics</x:t>
        </x:is>
      </x:c>
      <x:c r="AI211" t="inlineStr">
        <x:is>
          <x:t xml:space="preserve">Oversight &amp; Safeguards</x:t>
        </x:is>
      </x:c>
      <x:c r="AJ211" t="inlineStr">
        <x:is>
          <x:t xml:space="preserve">Review, Redress &amp; Assurance</x:t>
        </x:is>
      </x:c>
    </x:row>
    <x:row r="212">
      <x:c r="A212" t="inlineStr">
        <x:is>
          <x:t xml:space="preserve">Executive</x:t>
        </x:is>
      </x:c>
      <x:c r="B212" t="inlineStr">
        <x:is>
          <x:t xml:space="preserve">EXCO-D8-Q04</x:t>
        </x:is>
      </x:c>
      <x:c r="C212" t="inlineStr">
        <x:is>
          <x:t xml:space="preserve">T3</x:t>
        </x:is>
      </x:c>
      <x:c r="D212" t="inlineStr">
        <x:is>
          <x:t xml:space="preserve">8. Performance &amp; Assurance</x:t>
        </x:is>
      </x:c>
      <x:c r="E212" t="inlineStr">
        <x:is>
          <x:t xml:space="preserve">G</x:t>
        </x:is>
      </x:c>
      <x:c r="F212" t="n">
        <x:v>0.5</x:v>
      </x:c>
      <x:c r="G212" t="inlineStr">
        <x:is>
          <x:t xml:space="preserve">R</x:t>
        </x:is>
      </x:c>
      <x:c r="H212" t="n">
        <x:v>0.5</x:v>
      </x:c>
      <x:c r="I212" t="inlineStr">
        <x:is>
          <x:t xml:space="preserve">Is there any independent assurance (internal audit, external review) that confirms reality matches what we report?</x:t>
        </x:is>
      </x:c>
      <x:c r="J212" t="inlineStr">
        <x:is>
          <x:t xml:space="preserve">This directly supports the Structural Integrity goal (avoid ‘paper dragon’).</x:t>
        </x:is>
      </x:c>
      <x:c r="L212" t="inlineStr">
        <x:is>
          <x:t xml:space="preserve">GOV_STD</x:t>
        </x:is>
      </x:c>
      <x:c r="M212" t="n">
        <x:v>1</x:v>
      </x:c>
      <x:c r="P212" t="inlineStr">
        <x:is>
          <x:t xml:space="preserve">EXCO-D8-Q04-A5</x:t>
        </x:is>
      </x:c>
      <x:c r="Q212" t="n">
        <x:v>6</x:v>
      </x:c>
      <x:c r="R212" t="inlineStr">
        <x:is>
          <x:t xml:space="preserve">Regular independent assurance with sampling and remediation tracking; results inform investment.</x:t>
        </x:is>
      </x:c>
      <x:c r="S212" t="n">
        <x:v>4</x:v>
      </x:c>
      <x:c r="T212" t="inlineStr">
        <x:is>
          <x:t xml:space="preserve">optimized</x:t>
        </x:is>
      </x:c>
      <x:c r="V212" t="inlineStr">
        <x:is>
          <x:t xml:space="preserve">Request_Evidence</x:t>
        </x:is>
      </x:c>
      <x:c r="W212" t="inlineStr">
        <x:is>
          <x:t xml:space="preserve">Y</x:t>
        </x:is>
      </x:c>
      <x:c r="Y212">
        <x:f>(S212*IF(E212="G",F212,0))+(S212*IF(G212="G",H212,0))</x:f>
      </x:c>
      <x:c r="Z212">
        <x:f>(S212*IF(E212="E",F212,0))+(S212*IF(G212="E",H212,0))</x:f>
      </x:c>
      <x:c r="AA212">
        <x:f>(S212*IF(E212="T",F212,0))+(S212*IF(G212="T",H212,0))</x:f>
      </x:c>
      <x:c r="AB212">
        <x:f>(S212*IF(E212="L",F212,0))+(S212*IF(G212="L",H212,0))</x:f>
      </x:c>
      <x:c r="AC212">
        <x:f>(S212*IF(E212="H",F212,0))+(S212*IF(G212="H",H212,0))</x:f>
      </x:c>
      <x:c r="AD212">
        <x:f>(S212*IF(E212="V",F212,0))+(S212*IF(G212="V",H212,0))</x:f>
      </x:c>
      <x:c r="AE212">
        <x:f>(S212*IF(E212="R",F212,0))+(S212*IF(G212="R",H212,0))</x:f>
      </x:c>
      <x:c r="AF212">
        <x:f>(S212*IF(E212="F",F212,0))+(S212*IF(G212="F",H212,0))</x:f>
      </x:c>
      <x:c r="AG212">
        <x:f>(S212*IF(E212="W",F212,0))+(S212*IF(G212="W",H212,0))</x:f>
      </x:c>
      <x:c r="AH212" t="inlineStr">
        <x:is>
          <x:t xml:space="preserve">4. Legal, Privacy &amp; Ethics</x:t>
        </x:is>
      </x:c>
      <x:c r="AI212" t="inlineStr">
        <x:is>
          <x:t xml:space="preserve">Oversight &amp; Safeguards</x:t>
        </x:is>
      </x:c>
      <x:c r="AJ212" t="inlineStr">
        <x:is>
          <x:t xml:space="preserve">Review, Redress &amp; Assurance</x:t>
        </x:is>
      </x:c>
    </x:row>
    <x:row r="213">
      <x:c r="A213" t="inlineStr">
        <x:is>
          <x:t xml:space="preserve">HR</x:t>
        </x:is>
      </x:c>
      <x:c r="B213" t="inlineStr">
        <x:is>
          <x:t xml:space="preserve">HR-D1-Q01</x:t>
        </x:is>
      </x:c>
      <x:c r="C213" t="inlineStr">
        <x:is>
          <x:t xml:space="preserve">T1</x:t>
        </x:is>
      </x:c>
      <x:c r="D213" t="inlineStr">
        <x:is>
          <x:t xml:space="preserve">1. HR Operating Model</x:t>
        </x:is>
      </x:c>
      <x:c r="E213" t="inlineStr">
        <x:is>
          <x:t xml:space="preserve">G</x:t>
        </x:is>
      </x:c>
      <x:c r="F213" t="n">
        <x:v>0.5</x:v>
      </x:c>
      <x:c r="G213" t="inlineStr">
        <x:is>
          <x:t xml:space="preserve">E</x:t>
        </x:is>
      </x:c>
      <x:c r="H213" t="n">
        <x:v>0.5</x:v>
      </x:c>
      <x:c r="I213" t="inlineStr">
        <x:is>
          <x:t xml:space="preserve">Is there a clear HR-facing mandate for insider risk (misuse, data theft, sabotage) and coordination with Security and Legal?</x:t>
        </x:is>
      </x:c>
      <x:c r="J213" t="inlineStr">
        <x:is>
          <x:t xml:space="preserve">Insider risk includes intentional or negligent harm by employees/contractors (e.g., data leakage, sabotage, fraud).</x:t>
        </x:is>
      </x:c>
      <x:c r="L213" t="inlineStr">
        <x:is>
          <x:t xml:space="preserve">GOV_STD</x:t>
        </x:is>
      </x:c>
      <x:c r="M213" t="n">
        <x:v>1</x:v>
      </x:c>
      <x:c r="P213" t="inlineStr">
        <x:is>
          <x:t xml:space="preserve">HR-D1-Q01-A0</x:t>
        </x:is>
      </x:c>
      <x:c r="Q213" t="n">
        <x:v>1</x:v>
      </x:c>
      <x:c r="R213" t="inlineStr">
        <x:is>
          <x:t xml:space="preserve">I don't know / Not sure.</x:t>
        </x:is>
      </x:c>
      <x:c r="S213" t="n">
        <x:v>0</x:v>
      </x:c>
      <x:c r="T213" t="inlineStr">
        <x:is>
          <x:t xml:space="preserve">low-confidence</x:t>
        </x:is>
      </x:c>
      <x:c r="U213" t="inlineStr">
        <x:is>
          <x:t xml:space="preserve">Operating Model Gap</x:t>
        </x:is>
      </x:c>
      <x:c r="V213" t="inlineStr">
        <x:is>
          <x:t xml:space="preserve">Clarify roles</x:t>
        </x:is>
      </x:c>
      <x:c r="W213" t="inlineStr">
        <x:is>
          <x:t xml:space="preserve">N</x:t>
        </x:is>
      </x:c>
      <x:c r="Y213">
        <x:f>(S213*IF(E213="G",F213,0))+(S213*IF(G213="G",H213,0))</x:f>
      </x:c>
      <x:c r="Z213">
        <x:f>(S213*IF(E213="E",F213,0))+(S213*IF(G213="E",H213,0))</x:f>
      </x:c>
      <x:c r="AA213">
        <x:f>(S213*IF(E213="T",F213,0))+(S213*IF(G213="T",H213,0))</x:f>
      </x:c>
      <x:c r="AB213">
        <x:f>(S213*IF(E213="L",F213,0))+(S213*IF(G213="L",H213,0))</x:f>
      </x:c>
      <x:c r="AC213">
        <x:f>(S213*IF(E213="H",F213,0))+(S213*IF(G213="H",H213,0))</x:f>
      </x:c>
      <x:c r="AD213">
        <x:f>(S213*IF(E213="V",F213,0))+(S213*IF(G213="V",H213,0))</x:f>
      </x:c>
      <x:c r="AE213">
        <x:f>(S213*IF(E213="R",F213,0))+(S213*IF(G213="R",H213,0))</x:f>
      </x:c>
      <x:c r="AF213">
        <x:f>(S213*IF(E213="F",F213,0))+(S213*IF(G213="F",H213,0))</x:f>
      </x:c>
      <x:c r="AG213">
        <x:f>(S213*IF(E213="W",F213,0))+(S213*IF(G213="W",H213,0))</x:f>
      </x:c>
      <x:c r="AH213" t="inlineStr">
        <x:is>
          <x:t xml:space="preserve">1. Strategy &amp; Governance</x:t>
        </x:is>
      </x:c>
      <x:c r="AI213" t="inlineStr">
        <x:is>
          <x:t xml:space="preserve">Program Management</x:t>
        </x:is>
      </x:c>
      <x:c r="AJ213" t="inlineStr">
        <x:is>
          <x:t xml:space="preserve">Charter &amp; authority model</x:t>
        </x:is>
      </x:c>
    </x:row>
    <x:row r="214">
      <x:c r="A214" t="inlineStr">
        <x:is>
          <x:t xml:space="preserve">HR</x:t>
        </x:is>
      </x:c>
      <x:c r="B214" t="inlineStr">
        <x:is>
          <x:t xml:space="preserve">HR-D1-Q01</x:t>
        </x:is>
      </x:c>
      <x:c r="C214" t="inlineStr">
        <x:is>
          <x:t xml:space="preserve">T1</x:t>
        </x:is>
      </x:c>
      <x:c r="D214" t="inlineStr">
        <x:is>
          <x:t xml:space="preserve">1. HR Operating Model</x:t>
        </x:is>
      </x:c>
      <x:c r="E214" t="inlineStr">
        <x:is>
          <x:t xml:space="preserve">G</x:t>
        </x:is>
      </x:c>
      <x:c r="F214" t="n">
        <x:v>0.5</x:v>
      </x:c>
      <x:c r="G214" t="inlineStr">
        <x:is>
          <x:t xml:space="preserve">E</x:t>
        </x:is>
      </x:c>
      <x:c r="H214" t="n">
        <x:v>0.5</x:v>
      </x:c>
      <x:c r="I214" t="inlineStr">
        <x:is>
          <x:t xml:space="preserve">Is there a clear HR-facing mandate for insider risk (misuse, data theft, sabotage) and coordination with Security and Legal?</x:t>
        </x:is>
      </x:c>
      <x:c r="J214" t="inlineStr">
        <x:is>
          <x:t xml:space="preserve">Insider risk includes intentional or negligent harm by employees/contractors (e.g., data leakage, sabotage, fraud).</x:t>
        </x:is>
      </x:c>
      <x:c r="L214" t="inlineStr">
        <x:is>
          <x:t xml:space="preserve">GOV_STD</x:t>
        </x:is>
      </x:c>
      <x:c r="M214" t="n">
        <x:v>1</x:v>
      </x:c>
      <x:c r="P214" t="inlineStr">
        <x:is>
          <x:t xml:space="preserve">HR-D1-Q01-A1</x:t>
        </x:is>
      </x:c>
      <x:c r="Q214" t="n">
        <x:v>2</x:v>
      </x:c>
      <x:c r="R214" t="inlineStr">
        <x:is>
          <x:t xml:space="preserve">None: HR treats these as 'IT problems' unless there is a major incident.</x:t>
        </x:is>
      </x:c>
      <x:c r="S214" t="n">
        <x:v>0</x:v>
      </x:c>
      <x:c r="T214" t="inlineStr">
        <x:is>
          <x:t xml:space="preserve">paper_dragon_signal</x:t>
        </x:is>
      </x:c>
      <x:c r="U214" t="inlineStr">
        <x:is>
          <x:t xml:space="preserve">Operating Model Gap</x:t>
        </x:is>
      </x:c>
      <x:c r="V214" t="inlineStr">
        <x:is>
          <x:t xml:space="preserve">Define operating model</x:t>
        </x:is>
      </x:c>
      <x:c r="W214" t="inlineStr">
        <x:is>
          <x:t xml:space="preserve">N</x:t>
        </x:is>
      </x:c>
      <x:c r="Y214">
        <x:f>(S214*IF(E214="G",F214,0))+(S214*IF(G214="G",H214,0))</x:f>
      </x:c>
      <x:c r="Z214">
        <x:f>(S214*IF(E214="E",F214,0))+(S214*IF(G214="E",H214,0))</x:f>
      </x:c>
      <x:c r="AA214">
        <x:f>(S214*IF(E214="T",F214,0))+(S214*IF(G214="T",H214,0))</x:f>
      </x:c>
      <x:c r="AB214">
        <x:f>(S214*IF(E214="L",F214,0))+(S214*IF(G214="L",H214,0))</x:f>
      </x:c>
      <x:c r="AC214">
        <x:f>(S214*IF(E214="H",F214,0))+(S214*IF(G214="H",H214,0))</x:f>
      </x:c>
      <x:c r="AD214">
        <x:f>(S214*IF(E214="V",F214,0))+(S214*IF(G214="V",H214,0))</x:f>
      </x:c>
      <x:c r="AE214">
        <x:f>(S214*IF(E214="R",F214,0))+(S214*IF(G214="R",H214,0))</x:f>
      </x:c>
      <x:c r="AF214">
        <x:f>(S214*IF(E214="F",F214,0))+(S214*IF(G214="F",H214,0))</x:f>
      </x:c>
      <x:c r="AG214">
        <x:f>(S214*IF(E214="W",F214,0))+(S214*IF(G214="W",H214,0))</x:f>
      </x:c>
      <x:c r="AH214" t="inlineStr">
        <x:is>
          <x:t xml:space="preserve">1. Strategy &amp; Governance</x:t>
        </x:is>
      </x:c>
      <x:c r="AI214" t="inlineStr">
        <x:is>
          <x:t xml:space="preserve">Program Management</x:t>
        </x:is>
      </x:c>
      <x:c r="AJ214" t="inlineStr">
        <x:is>
          <x:t xml:space="preserve">Charter &amp; authority model</x:t>
        </x:is>
      </x:c>
    </x:row>
    <x:row r="215">
      <x:c r="A215" t="inlineStr">
        <x:is>
          <x:t xml:space="preserve">HR</x:t>
        </x:is>
      </x:c>
      <x:c r="B215" t="inlineStr">
        <x:is>
          <x:t xml:space="preserve">HR-D1-Q01</x:t>
        </x:is>
      </x:c>
      <x:c r="C215" t="inlineStr">
        <x:is>
          <x:t xml:space="preserve">T1</x:t>
        </x:is>
      </x:c>
      <x:c r="D215" t="inlineStr">
        <x:is>
          <x:t xml:space="preserve">1. HR Operating Model</x:t>
        </x:is>
      </x:c>
      <x:c r="E215" t="inlineStr">
        <x:is>
          <x:t xml:space="preserve">G</x:t>
        </x:is>
      </x:c>
      <x:c r="F215" t="n">
        <x:v>0.5</x:v>
      </x:c>
      <x:c r="G215" t="inlineStr">
        <x:is>
          <x:t xml:space="preserve">E</x:t>
        </x:is>
      </x:c>
      <x:c r="H215" t="n">
        <x:v>0.5</x:v>
      </x:c>
      <x:c r="I215" t="inlineStr">
        <x:is>
          <x:t xml:space="preserve">Is there a clear HR-facing mandate for insider risk (misuse, data theft, sabotage) and coordination with Security and Legal?</x:t>
        </x:is>
      </x:c>
      <x:c r="J215" t="inlineStr">
        <x:is>
          <x:t xml:space="preserve">Insider risk includes intentional or negligent harm by employees/contractors (e.g., data leakage, sabotage, fraud).</x:t>
        </x:is>
      </x:c>
      <x:c r="L215" t="inlineStr">
        <x:is>
          <x:t xml:space="preserve">GOV_STD</x:t>
        </x:is>
      </x:c>
      <x:c r="M215" t="n">
        <x:v>1</x:v>
      </x:c>
      <x:c r="P215" t="inlineStr">
        <x:is>
          <x:t xml:space="preserve">HR-D1-Q01-A2</x:t>
        </x:is>
      </x:c>
      <x:c r="Q215" t="n">
        <x:v>3</x:v>
      </x:c>
      <x:c r="R215" t="inlineStr">
        <x:is>
          <x:t xml:space="preserve">Ad-hoc: HR coordinates only when Security/Legal asks (case-by-case).</x:t>
        </x:is>
      </x:c>
      <x:c r="S215" t="n">
        <x:v>1</x:v>
      </x:c>
      <x:c r="T215" t="inlineStr">
        <x:is>
          <x:t xml:space="preserve">shadow_mature_signal</x:t>
        </x:is>
      </x:c>
      <x:c r="U215" t="inlineStr">
        <x:is>
          <x:t xml:space="preserve">Operating Model Gap</x:t>
        </x:is>
      </x:c>
      <x:c r="V215" t="inlineStr">
        <x:is>
          <x:t xml:space="preserve">Define coordination cadence</x:t>
        </x:is>
      </x:c>
      <x:c r="W215" t="inlineStr">
        <x:is>
          <x:t xml:space="preserve">N</x:t>
        </x:is>
      </x:c>
      <x:c r="X215" t="inlineStr">
        <x:is>
          <x:t xml:space="preserve">Example: last case HR was involved in.</x:t>
        </x:is>
      </x:c>
      <x:c r="Y215">
        <x:f>(S215*IF(E215="G",F215,0))+(S215*IF(G215="G",H215,0))</x:f>
      </x:c>
      <x:c r="Z215">
        <x:f>(S215*IF(E215="E",F215,0))+(S215*IF(G215="E",H215,0))</x:f>
      </x:c>
      <x:c r="AA215">
        <x:f>(S215*IF(E215="T",F215,0))+(S215*IF(G215="T",H215,0))</x:f>
      </x:c>
      <x:c r="AB215">
        <x:f>(S215*IF(E215="L",F215,0))+(S215*IF(G215="L",H215,0))</x:f>
      </x:c>
      <x:c r="AC215">
        <x:f>(S215*IF(E215="H",F215,0))+(S215*IF(G215="H",H215,0))</x:f>
      </x:c>
      <x:c r="AD215">
        <x:f>(S215*IF(E215="V",F215,0))+(S215*IF(G215="V",H215,0))</x:f>
      </x:c>
      <x:c r="AE215">
        <x:f>(S215*IF(E215="R",F215,0))+(S215*IF(G215="R",H215,0))</x:f>
      </x:c>
      <x:c r="AF215">
        <x:f>(S215*IF(E215="F",F215,0))+(S215*IF(G215="F",H215,0))</x:f>
      </x:c>
      <x:c r="AG215">
        <x:f>(S215*IF(E215="W",F215,0))+(S215*IF(G215="W",H215,0))</x:f>
      </x:c>
      <x:c r="AH215" t="inlineStr">
        <x:is>
          <x:t xml:space="preserve">1. Strategy &amp; Governance</x:t>
        </x:is>
      </x:c>
      <x:c r="AI215" t="inlineStr">
        <x:is>
          <x:t xml:space="preserve">Program Management</x:t>
        </x:is>
      </x:c>
      <x:c r="AJ215" t="inlineStr">
        <x:is>
          <x:t xml:space="preserve">Charter &amp; authority model</x:t>
        </x:is>
      </x:c>
    </x:row>
    <x:row r="216">
      <x:c r="A216" t="inlineStr">
        <x:is>
          <x:t xml:space="preserve">HR</x:t>
        </x:is>
      </x:c>
      <x:c r="B216" t="inlineStr">
        <x:is>
          <x:t xml:space="preserve">HR-D1-Q01</x:t>
        </x:is>
      </x:c>
      <x:c r="C216" t="inlineStr">
        <x:is>
          <x:t xml:space="preserve">T1</x:t>
        </x:is>
      </x:c>
      <x:c r="D216" t="inlineStr">
        <x:is>
          <x:t xml:space="preserve">1. HR Operating Model</x:t>
        </x:is>
      </x:c>
      <x:c r="E216" t="inlineStr">
        <x:is>
          <x:t xml:space="preserve">G</x:t>
        </x:is>
      </x:c>
      <x:c r="F216" t="n">
        <x:v>0.5</x:v>
      </x:c>
      <x:c r="G216" t="inlineStr">
        <x:is>
          <x:t xml:space="preserve">E</x:t>
        </x:is>
      </x:c>
      <x:c r="H216" t="n">
        <x:v>0.5</x:v>
      </x:c>
      <x:c r="I216" t="inlineStr">
        <x:is>
          <x:t xml:space="preserve">Is there a clear HR-facing mandate for insider risk (misuse, data theft, sabotage) and coordination with Security and Legal?</x:t>
        </x:is>
      </x:c>
      <x:c r="J216" t="inlineStr">
        <x:is>
          <x:t xml:space="preserve">Insider risk includes intentional or negligent harm by employees/contractors (e.g., data leakage, sabotage, fraud).</x:t>
        </x:is>
      </x:c>
      <x:c r="L216" t="inlineStr">
        <x:is>
          <x:t xml:space="preserve">GOV_STD</x:t>
        </x:is>
      </x:c>
      <x:c r="M216" t="n">
        <x:v>1</x:v>
      </x:c>
      <x:c r="P216" t="inlineStr">
        <x:is>
          <x:t xml:space="preserve">HR-D1-Q01-A3</x:t>
        </x:is>
      </x:c>
      <x:c r="Q216" t="n">
        <x:v>4</x:v>
      </x:c>
      <x:c r="R216" t="inlineStr">
        <x:is>
          <x:t xml:space="preserve">Defined: HR has a named contact and standard steps to coordinate with Security/Legal.</x:t>
        </x:is>
      </x:c>
      <x:c r="S216" t="n">
        <x:v>2</x:v>
      </x:c>
      <x:c r="U216" t="inlineStr">
        <x:is>
          <x:t xml:space="preserve">Operating Model Gap</x:t>
        </x:is>
      </x:c>
      <x:c r="V216" t="inlineStr">
        <x:is>
          <x:t xml:space="preserve">Standardize workflow</x:t>
        </x:is>
      </x:c>
      <x:c r="W216" t="inlineStr">
        <x:is>
          <x:t xml:space="preserve">N</x:t>
        </x:is>
      </x:c>
      <x:c r="X216" t="inlineStr">
        <x:is>
          <x:t xml:space="preserve">Share the role name/title and a short process description.</x:t>
        </x:is>
      </x:c>
      <x:c r="Y216">
        <x:f>(S216*IF(E216="G",F216,0))+(S216*IF(G216="G",H216,0))</x:f>
      </x:c>
      <x:c r="Z216">
        <x:f>(S216*IF(E216="E",F216,0))+(S216*IF(G216="E",H216,0))</x:f>
      </x:c>
      <x:c r="AA216">
        <x:f>(S216*IF(E216="T",F216,0))+(S216*IF(G216="T",H216,0))</x:f>
      </x:c>
      <x:c r="AB216">
        <x:f>(S216*IF(E216="L",F216,0))+(S216*IF(G216="L",H216,0))</x:f>
      </x:c>
      <x:c r="AC216">
        <x:f>(S216*IF(E216="H",F216,0))+(S216*IF(G216="H",H216,0))</x:f>
      </x:c>
      <x:c r="AD216">
        <x:f>(S216*IF(E216="V",F216,0))+(S216*IF(G216="V",H216,0))</x:f>
      </x:c>
      <x:c r="AE216">
        <x:f>(S216*IF(E216="R",F216,0))+(S216*IF(G216="R",H216,0))</x:f>
      </x:c>
      <x:c r="AF216">
        <x:f>(S216*IF(E216="F",F216,0))+(S216*IF(G216="F",H216,0))</x:f>
      </x:c>
      <x:c r="AG216">
        <x:f>(S216*IF(E216="W",F216,0))+(S216*IF(G216="W",H216,0))</x:f>
      </x:c>
      <x:c r="AH216" t="inlineStr">
        <x:is>
          <x:t xml:space="preserve">1. Strategy &amp; Governance</x:t>
        </x:is>
      </x:c>
      <x:c r="AI216" t="inlineStr">
        <x:is>
          <x:t xml:space="preserve">Program Management</x:t>
        </x:is>
      </x:c>
      <x:c r="AJ216" t="inlineStr">
        <x:is>
          <x:t xml:space="preserve">Charter &amp; authority model</x:t>
        </x:is>
      </x:c>
    </x:row>
    <x:row r="217">
      <x:c r="A217" t="inlineStr">
        <x:is>
          <x:t xml:space="preserve">HR</x:t>
        </x:is>
      </x:c>
      <x:c r="B217" t="inlineStr">
        <x:is>
          <x:t xml:space="preserve">HR-D1-Q01</x:t>
        </x:is>
      </x:c>
      <x:c r="C217" t="inlineStr">
        <x:is>
          <x:t xml:space="preserve">T1</x:t>
        </x:is>
      </x:c>
      <x:c r="D217" t="inlineStr">
        <x:is>
          <x:t xml:space="preserve">1. HR Operating Model</x:t>
        </x:is>
      </x:c>
      <x:c r="E217" t="inlineStr">
        <x:is>
          <x:t xml:space="preserve">G</x:t>
        </x:is>
      </x:c>
      <x:c r="F217" t="n">
        <x:v>0.5</x:v>
      </x:c>
      <x:c r="G217" t="inlineStr">
        <x:is>
          <x:t xml:space="preserve">E</x:t>
        </x:is>
      </x:c>
      <x:c r="H217" t="n">
        <x:v>0.5</x:v>
      </x:c>
      <x:c r="I217" t="inlineStr">
        <x:is>
          <x:t xml:space="preserve">Is there a clear HR-facing mandate for insider risk (misuse, data theft, sabotage) and coordination with Security and Legal?</x:t>
        </x:is>
      </x:c>
      <x:c r="J217" t="inlineStr">
        <x:is>
          <x:t xml:space="preserve">Insider risk includes intentional or negligent harm by employees/contractors (e.g., data leakage, sabotage, fraud).</x:t>
        </x:is>
      </x:c>
      <x:c r="L217" t="inlineStr">
        <x:is>
          <x:t xml:space="preserve">GOV_STD</x:t>
        </x:is>
      </x:c>
      <x:c r="M217" t="n">
        <x:v>1</x:v>
      </x:c>
      <x:c r="P217" t="inlineStr">
        <x:is>
          <x:t xml:space="preserve">HR-D1-Q01-A4</x:t>
        </x:is>
      </x:c>
      <x:c r="Q217" t="n">
        <x:v>5</x:v>
      </x:c>
      <x:c r="R217" t="inlineStr">
        <x:is>
          <x:t xml:space="preserve">Managed: Regular cross-functional check-ins and agreed decision rights for people-risk cases.</x:t>
        </x:is>
      </x:c>
      <x:c r="S217" t="n">
        <x:v>3</x:v>
      </x:c>
      <x:c r="U217" t="inlineStr">
        <x:is>
          <x:t xml:space="preserve">Operating Model Gap</x:t>
        </x:is>
      </x:c>
      <x:c r="V217" t="inlineStr">
        <x:is>
          <x:t xml:space="preserve">Formalize governance</x:t>
        </x:is>
      </x:c>
      <x:c r="W217" t="inlineStr">
        <x:is>
          <x:t xml:space="preserve">N</x:t>
        </x:is>
      </x:c>
      <x:c r="X217" t="inlineStr">
        <x:is>
          <x:t xml:space="preserve">Evidence: meeting cadence, terms of reference.</x:t>
        </x:is>
      </x:c>
      <x:c r="Y217">
        <x:f>(S217*IF(E217="G",F217,0))+(S217*IF(G217="G",H217,0))</x:f>
      </x:c>
      <x:c r="Z217">
        <x:f>(S217*IF(E217="E",F217,0))+(S217*IF(G217="E",H217,0))</x:f>
      </x:c>
      <x:c r="AA217">
        <x:f>(S217*IF(E217="T",F217,0))+(S217*IF(G217="T",H217,0))</x:f>
      </x:c>
      <x:c r="AB217">
        <x:f>(S217*IF(E217="L",F217,0))+(S217*IF(G217="L",H217,0))</x:f>
      </x:c>
      <x:c r="AC217">
        <x:f>(S217*IF(E217="H",F217,0))+(S217*IF(G217="H",H217,0))</x:f>
      </x:c>
      <x:c r="AD217">
        <x:f>(S217*IF(E217="V",F217,0))+(S217*IF(G217="V",H217,0))</x:f>
      </x:c>
      <x:c r="AE217">
        <x:f>(S217*IF(E217="R",F217,0))+(S217*IF(G217="R",H217,0))</x:f>
      </x:c>
      <x:c r="AF217">
        <x:f>(S217*IF(E217="F",F217,0))+(S217*IF(G217="F",H217,0))</x:f>
      </x:c>
      <x:c r="AG217">
        <x:f>(S217*IF(E217="W",F217,0))+(S217*IF(G217="W",H217,0))</x:f>
      </x:c>
      <x:c r="AH217" t="inlineStr">
        <x:is>
          <x:t xml:space="preserve">1. Strategy &amp; Governance</x:t>
        </x:is>
      </x:c>
      <x:c r="AI217" t="inlineStr">
        <x:is>
          <x:t xml:space="preserve">Program Management</x:t>
        </x:is>
      </x:c>
      <x:c r="AJ217" t="inlineStr">
        <x:is>
          <x:t xml:space="preserve">Charter &amp; authority model</x:t>
        </x:is>
      </x:c>
    </x:row>
    <x:row r="218">
      <x:c r="A218" t="inlineStr">
        <x:is>
          <x:t xml:space="preserve">HR</x:t>
        </x:is>
      </x:c>
      <x:c r="B218" t="inlineStr">
        <x:is>
          <x:t xml:space="preserve">HR-D1-Q01</x:t>
        </x:is>
      </x:c>
      <x:c r="C218" t="inlineStr">
        <x:is>
          <x:t xml:space="preserve">T1</x:t>
        </x:is>
      </x:c>
      <x:c r="D218" t="inlineStr">
        <x:is>
          <x:t xml:space="preserve">1. HR Operating Model</x:t>
        </x:is>
      </x:c>
      <x:c r="E218" t="inlineStr">
        <x:is>
          <x:t xml:space="preserve">G</x:t>
        </x:is>
      </x:c>
      <x:c r="F218" t="n">
        <x:v>0.5</x:v>
      </x:c>
      <x:c r="G218" t="inlineStr">
        <x:is>
          <x:t xml:space="preserve">E</x:t>
        </x:is>
      </x:c>
      <x:c r="H218" t="n">
        <x:v>0.5</x:v>
      </x:c>
      <x:c r="I218" t="inlineStr">
        <x:is>
          <x:t xml:space="preserve">Is there a clear HR-facing mandate for insider risk (misuse, data theft, sabotage) and coordination with Security and Legal?</x:t>
        </x:is>
      </x:c>
      <x:c r="J218" t="inlineStr">
        <x:is>
          <x:t xml:space="preserve">Insider risk includes intentional or negligent harm by employees/contractors (e.g., data leakage, sabotage, fraud).</x:t>
        </x:is>
      </x:c>
      <x:c r="L218" t="inlineStr">
        <x:is>
          <x:t xml:space="preserve">GOV_STD</x:t>
        </x:is>
      </x:c>
      <x:c r="M218" t="n">
        <x:v>1</x:v>
      </x:c>
      <x:c r="P218" t="inlineStr">
        <x:is>
          <x:t xml:space="preserve">HR-D1-Q01-A5</x:t>
        </x:is>
      </x:c>
      <x:c r="Q218" t="n">
        <x:v>6</x:v>
      </x:c>
      <x:c r="R218" t="inlineStr">
        <x:is>
          <x:t xml:space="preserve">Optimized: Exec sponsor expects HR/Security/Legal collaboration with KPIs and routine reporting.</x:t>
        </x:is>
      </x:c>
      <x:c r="S218" t="n">
        <x:v>4</x:v>
      </x:c>
      <x:c r="U218" t="inlineStr">
        <x:is>
          <x:t xml:space="preserve">Operating Model Gap</x:t>
        </x:is>
      </x:c>
      <x:c r="V218" t="inlineStr">
        <x:is>
          <x:t xml:space="preserve">Maintain governance</x:t>
        </x:is>
      </x:c>
      <x:c r="W218" t="inlineStr">
        <x:is>
          <x:t xml:space="preserve">N</x:t>
        </x:is>
      </x:c>
      <x:c r="X218" t="inlineStr">
        <x:is>
          <x:t xml:space="preserve">Evidence: KPI pack, steering charter.</x:t>
        </x:is>
      </x:c>
      <x:c r="Y218">
        <x:f>(S218*IF(E218="G",F218,0))+(S218*IF(G218="G",H218,0))</x:f>
      </x:c>
      <x:c r="Z218">
        <x:f>(S218*IF(E218="E",F218,0))+(S218*IF(G218="E",H218,0))</x:f>
      </x:c>
      <x:c r="AA218">
        <x:f>(S218*IF(E218="T",F218,0))+(S218*IF(G218="T",H218,0))</x:f>
      </x:c>
      <x:c r="AB218">
        <x:f>(S218*IF(E218="L",F218,0))+(S218*IF(G218="L",H218,0))</x:f>
      </x:c>
      <x:c r="AC218">
        <x:f>(S218*IF(E218="H",F218,0))+(S218*IF(G218="H",H218,0))</x:f>
      </x:c>
      <x:c r="AD218">
        <x:f>(S218*IF(E218="V",F218,0))+(S218*IF(G218="V",H218,0))</x:f>
      </x:c>
      <x:c r="AE218">
        <x:f>(S218*IF(E218="R",F218,0))+(S218*IF(G218="R",H218,0))</x:f>
      </x:c>
      <x:c r="AF218">
        <x:f>(S218*IF(E218="F",F218,0))+(S218*IF(G218="F",H218,0))</x:f>
      </x:c>
      <x:c r="AG218">
        <x:f>(S218*IF(E218="W",F218,0))+(S218*IF(G218="W",H218,0))</x:f>
      </x:c>
      <x:c r="AH218" t="inlineStr">
        <x:is>
          <x:t xml:space="preserve">1. Strategy &amp; Governance</x:t>
        </x:is>
      </x:c>
      <x:c r="AI218" t="inlineStr">
        <x:is>
          <x:t xml:space="preserve">Program Management</x:t>
        </x:is>
      </x:c>
      <x:c r="AJ218" t="inlineStr">
        <x:is>
          <x:t xml:space="preserve">Charter &amp; authority model</x:t>
        </x:is>
      </x:c>
    </x:row>
    <x:row r="219">
      <x:c r="A219" t="inlineStr">
        <x:is>
          <x:t xml:space="preserve">HR</x:t>
        </x:is>
      </x:c>
      <x:c r="B219" t="inlineStr">
        <x:is>
          <x:t xml:space="preserve">HR-D1-Q02</x:t>
        </x:is>
      </x:c>
      <x:c r="C219" t="inlineStr">
        <x:is>
          <x:t xml:space="preserve">T2</x:t>
        </x:is>
      </x:c>
      <x:c r="D219" t="inlineStr">
        <x:is>
          <x:t xml:space="preserve">1. HR Operating Model</x:t>
        </x:is>
      </x:c>
      <x:c r="E219" t="inlineStr">
        <x:is>
          <x:t xml:space="preserve">E</x:t>
        </x:is>
      </x:c>
      <x:c r="F219" t="n">
        <x:v>1</x:v>
      </x:c>
      <x:c r="G219" t="inlineStr">
        <x:is>
          <x:t xml:space="preserve">-</x:t>
        </x:is>
      </x:c>
      <x:c r="I219" t="inlineStr">
        <x:is>
          <x:t xml:space="preserve">(Shadow probe) Even without formal governance, do HR and Security coordinate quickly when a concern is raised?</x:t>
        </x:is>
      </x:c>
      <x:c r="J219" t="inlineStr">
        <x:is>
          <x:t xml:space="preserve">Checks real habits vs formal structure.</x:t>
        </x:is>
      </x:c>
      <x:c r="L219" t="inlineStr">
        <x:is>
          <x:t xml:space="preserve">OPS_STD</x:t>
        </x:is>
      </x:c>
      <x:c r="M219" t="n">
        <x:v>1</x:v>
      </x:c>
      <x:c r="P219" t="inlineStr">
        <x:is>
          <x:t xml:space="preserve">HR-D1-Q02-A1</x:t>
        </x:is>
      </x:c>
      <x:c r="Q219" t="n">
        <x:v>1</x:v>
      </x:c>
      <x:c r="R219" t="inlineStr">
        <x:is>
          <x:t xml:space="preserve">No: HR and Security operate separately; coordination is slow or rare.</x:t>
        </x:is>
      </x:c>
      <x:c r="S219" t="n">
        <x:v>0</x:v>
      </x:c>
      <x:c r="T219" t="inlineStr">
        <x:is>
          <x:t xml:space="preserve">paper_dragon_signal</x:t>
        </x:is>
      </x:c>
      <x:c r="U219" t="inlineStr">
        <x:is>
          <x:t xml:space="preserve">Operating Model Gap</x:t>
        </x:is>
      </x:c>
      <x:c r="V219" t="inlineStr">
        <x:is>
          <x:t xml:space="preserve">Set coordination trigger</x:t>
        </x:is>
      </x:c>
      <x:c r="W219" t="inlineStr">
        <x:is>
          <x:t xml:space="preserve">N</x:t>
        </x:is>
      </x:c>
      <x:c r="Y219">
        <x:f>(S219*IF(E219="G",F219,0))+(S219*IF(G219="G",H219,0))</x:f>
      </x:c>
      <x:c r="Z219">
        <x:f>(S219*IF(E219="E",F219,0))+(S219*IF(G219="E",H219,0))</x:f>
      </x:c>
      <x:c r="AA219">
        <x:f>(S219*IF(E219="T",F219,0))+(S219*IF(G219="T",H219,0))</x:f>
      </x:c>
      <x:c r="AB219">
        <x:f>(S219*IF(E219="L",F219,0))+(S219*IF(G219="L",H219,0))</x:f>
      </x:c>
      <x:c r="AC219">
        <x:f>(S219*IF(E219="H",F219,0))+(S219*IF(G219="H",H219,0))</x:f>
      </x:c>
      <x:c r="AD219">
        <x:f>(S219*IF(E219="V",F219,0))+(S219*IF(G219="V",H219,0))</x:f>
      </x:c>
      <x:c r="AE219">
        <x:f>(S219*IF(E219="R",F219,0))+(S219*IF(G219="R",H219,0))</x:f>
      </x:c>
      <x:c r="AF219">
        <x:f>(S219*IF(E219="F",F219,0))+(S219*IF(G219="F",H219,0))</x:f>
      </x:c>
      <x:c r="AG219">
        <x:f>(S219*IF(E219="W",F219,0))+(S219*IF(G219="W",H219,0))</x:f>
      </x:c>
      <x:c r="AH219" t="inlineStr">
        <x:is>
          <x:t xml:space="preserve">5. Human-Centric Culture</x:t>
        </x:is>
      </x:c>
      <x:c r="AI219" t="inlineStr">
        <x:is>
          <x:t xml:space="preserve">Personnel Security</x:t>
        </x:is>
      </x:c>
      <x:c r="AJ219" t="inlineStr">
        <x:is>
          <x:t xml:space="preserve">People-Signal Governance</x:t>
        </x:is>
      </x:c>
    </x:row>
    <x:row r="220">
      <x:c r="A220" t="inlineStr">
        <x:is>
          <x:t xml:space="preserve">HR</x:t>
        </x:is>
      </x:c>
      <x:c r="B220" t="inlineStr">
        <x:is>
          <x:t xml:space="preserve">HR-D1-Q02</x:t>
        </x:is>
      </x:c>
      <x:c r="C220" t="inlineStr">
        <x:is>
          <x:t xml:space="preserve">T2</x:t>
        </x:is>
      </x:c>
      <x:c r="D220" t="inlineStr">
        <x:is>
          <x:t xml:space="preserve">1. HR Operating Model</x:t>
        </x:is>
      </x:c>
      <x:c r="E220" t="inlineStr">
        <x:is>
          <x:t xml:space="preserve">E</x:t>
        </x:is>
      </x:c>
      <x:c r="F220" t="n">
        <x:v>1</x:v>
      </x:c>
      <x:c r="G220" t="inlineStr">
        <x:is>
          <x:t xml:space="preserve">-</x:t>
        </x:is>
      </x:c>
      <x:c r="I220" t="inlineStr">
        <x:is>
          <x:t xml:space="preserve">(Shadow probe) Even without formal governance, do HR and Security coordinate quickly when a concern is raised?</x:t>
        </x:is>
      </x:c>
      <x:c r="J220" t="inlineStr">
        <x:is>
          <x:t xml:space="preserve">Checks real habits vs formal structure.</x:t>
        </x:is>
      </x:c>
      <x:c r="L220" t="inlineStr">
        <x:is>
          <x:t xml:space="preserve">OPS_STD</x:t>
        </x:is>
      </x:c>
      <x:c r="M220" t="n">
        <x:v>1</x:v>
      </x:c>
      <x:c r="P220" t="inlineStr">
        <x:is>
          <x:t xml:space="preserve">HR-D1-Q02-A2</x:t>
        </x:is>
      </x:c>
      <x:c r="Q220" t="n">
        <x:v>2</x:v>
      </x:c>
      <x:c r="R220" t="inlineStr">
        <x:is>
          <x:t xml:space="preserve">Sometimes: depends on personal relationships; not consistent.</x:t>
        </x:is>
      </x:c>
      <x:c r="S220" t="n">
        <x:v>1</x:v>
      </x:c>
      <x:c r="T220" t="inlineStr">
        <x:is>
          <x:t xml:space="preserve">key_person_dependency,shadow_mature_signal</x:t>
        </x:is>
      </x:c>
      <x:c r="U220" t="inlineStr">
        <x:is>
          <x:t xml:space="preserve">Operating Model Gap</x:t>
        </x:is>
      </x:c>
      <x:c r="V220" t="inlineStr">
        <x:is>
          <x:t xml:space="preserve">Create standard escalation path</x:t>
        </x:is>
      </x:c>
      <x:c r="W220" t="inlineStr">
        <x:is>
          <x:t xml:space="preserve">N</x:t>
        </x:is>
      </x:c>
      <x:c r="Y220">
        <x:f>(S220*IF(E220="G",F220,0))+(S220*IF(G220="G",H220,0))</x:f>
      </x:c>
      <x:c r="Z220">
        <x:f>(S220*IF(E220="E",F220,0))+(S220*IF(G220="E",H220,0))</x:f>
      </x:c>
      <x:c r="AA220">
        <x:f>(S220*IF(E220="T",F220,0))+(S220*IF(G220="T",H220,0))</x:f>
      </x:c>
      <x:c r="AB220">
        <x:f>(S220*IF(E220="L",F220,0))+(S220*IF(G220="L",H220,0))</x:f>
      </x:c>
      <x:c r="AC220">
        <x:f>(S220*IF(E220="H",F220,0))+(S220*IF(G220="H",H220,0))</x:f>
      </x:c>
      <x:c r="AD220">
        <x:f>(S220*IF(E220="V",F220,0))+(S220*IF(G220="V",H220,0))</x:f>
      </x:c>
      <x:c r="AE220">
        <x:f>(S220*IF(E220="R",F220,0))+(S220*IF(G220="R",H220,0))</x:f>
      </x:c>
      <x:c r="AF220">
        <x:f>(S220*IF(E220="F",F220,0))+(S220*IF(G220="F",H220,0))</x:f>
      </x:c>
      <x:c r="AG220">
        <x:f>(S220*IF(E220="W",F220,0))+(S220*IF(G220="W",H220,0))</x:f>
      </x:c>
      <x:c r="AH220" t="inlineStr">
        <x:is>
          <x:t xml:space="preserve">5. Human-Centric Culture</x:t>
        </x:is>
      </x:c>
      <x:c r="AI220" t="inlineStr">
        <x:is>
          <x:t xml:space="preserve">Personnel Security</x:t>
        </x:is>
      </x:c>
      <x:c r="AJ220" t="inlineStr">
        <x:is>
          <x:t xml:space="preserve">People-Signal Governance</x:t>
        </x:is>
      </x:c>
    </x:row>
    <x:row r="221">
      <x:c r="A221" t="inlineStr">
        <x:is>
          <x:t xml:space="preserve">HR</x:t>
        </x:is>
      </x:c>
      <x:c r="B221" t="inlineStr">
        <x:is>
          <x:t xml:space="preserve">HR-D1-Q02</x:t>
        </x:is>
      </x:c>
      <x:c r="C221" t="inlineStr">
        <x:is>
          <x:t xml:space="preserve">T2</x:t>
        </x:is>
      </x:c>
      <x:c r="D221" t="inlineStr">
        <x:is>
          <x:t xml:space="preserve">1. HR Operating Model</x:t>
        </x:is>
      </x:c>
      <x:c r="E221" t="inlineStr">
        <x:is>
          <x:t xml:space="preserve">E</x:t>
        </x:is>
      </x:c>
      <x:c r="F221" t="n">
        <x:v>1</x:v>
      </x:c>
      <x:c r="G221" t="inlineStr">
        <x:is>
          <x:t xml:space="preserve">-</x:t>
        </x:is>
      </x:c>
      <x:c r="I221" t="inlineStr">
        <x:is>
          <x:t xml:space="preserve">(Shadow probe) Even without formal governance, do HR and Security coordinate quickly when a concern is raised?</x:t>
        </x:is>
      </x:c>
      <x:c r="J221" t="inlineStr">
        <x:is>
          <x:t xml:space="preserve">Checks real habits vs formal structure.</x:t>
        </x:is>
      </x:c>
      <x:c r="L221" t="inlineStr">
        <x:is>
          <x:t xml:space="preserve">OPS_STD</x:t>
        </x:is>
      </x:c>
      <x:c r="M221" t="n">
        <x:v>1</x:v>
      </x:c>
      <x:c r="P221" t="inlineStr">
        <x:is>
          <x:t xml:space="preserve">HR-D1-Q02-A3</x:t>
        </x:is>
      </x:c>
      <x:c r="Q221" t="n">
        <x:v>3</x:v>
      </x:c>
      <x:c r="R221" t="inlineStr">
        <x:is>
          <x:t xml:space="preserve">Usually: HR and Security have an agreed way to connect within days.</x:t>
        </x:is>
      </x:c>
      <x:c r="S221" t="n">
        <x:v>2</x:v>
      </x:c>
      <x:c r="U221" t="inlineStr">
        <x:is>
          <x:t xml:space="preserve">Operating Model Gap</x:t>
        </x:is>
      </x:c>
      <x:c r="V221" t="inlineStr">
        <x:is>
          <x:t xml:space="preserve">Document escalation</x:t>
        </x:is>
      </x:c>
      <x:c r="W221" t="inlineStr">
        <x:is>
          <x:t xml:space="preserve">N</x:t>
        </x:is>
      </x:c>
      <x:c r="X221" t="inlineStr">
        <x:is>
          <x:t xml:space="preserve">Example: typical response time.</x:t>
        </x:is>
      </x:c>
      <x:c r="Y221">
        <x:f>(S221*IF(E221="G",F221,0))+(S221*IF(G221="G",H221,0))</x:f>
      </x:c>
      <x:c r="Z221">
        <x:f>(S221*IF(E221="E",F221,0))+(S221*IF(G221="E",H221,0))</x:f>
      </x:c>
      <x:c r="AA221">
        <x:f>(S221*IF(E221="T",F221,0))+(S221*IF(G221="T",H221,0))</x:f>
      </x:c>
      <x:c r="AB221">
        <x:f>(S221*IF(E221="L",F221,0))+(S221*IF(G221="L",H221,0))</x:f>
      </x:c>
      <x:c r="AC221">
        <x:f>(S221*IF(E221="H",F221,0))+(S221*IF(G221="H",H221,0))</x:f>
      </x:c>
      <x:c r="AD221">
        <x:f>(S221*IF(E221="V",F221,0))+(S221*IF(G221="V",H221,0))</x:f>
      </x:c>
      <x:c r="AE221">
        <x:f>(S221*IF(E221="R",F221,0))+(S221*IF(G221="R",H221,0))</x:f>
      </x:c>
      <x:c r="AF221">
        <x:f>(S221*IF(E221="F",F221,0))+(S221*IF(G221="F",H221,0))</x:f>
      </x:c>
      <x:c r="AG221">
        <x:f>(S221*IF(E221="W",F221,0))+(S221*IF(G221="W",H221,0))</x:f>
      </x:c>
      <x:c r="AH221" t="inlineStr">
        <x:is>
          <x:t xml:space="preserve">5. Human-Centric Culture</x:t>
        </x:is>
      </x:c>
      <x:c r="AI221" t="inlineStr">
        <x:is>
          <x:t xml:space="preserve">Personnel Security</x:t>
        </x:is>
      </x:c>
      <x:c r="AJ221" t="inlineStr">
        <x:is>
          <x:t xml:space="preserve">People-Signal Governance</x:t>
        </x:is>
      </x:c>
    </x:row>
    <x:row r="222">
      <x:c r="A222" t="inlineStr">
        <x:is>
          <x:t xml:space="preserve">HR</x:t>
        </x:is>
      </x:c>
      <x:c r="B222" t="inlineStr">
        <x:is>
          <x:t xml:space="preserve">HR-D1-Q02</x:t>
        </x:is>
      </x:c>
      <x:c r="C222" t="inlineStr">
        <x:is>
          <x:t xml:space="preserve">T2</x:t>
        </x:is>
      </x:c>
      <x:c r="D222" t="inlineStr">
        <x:is>
          <x:t xml:space="preserve">1. HR Operating Model</x:t>
        </x:is>
      </x:c>
      <x:c r="E222" t="inlineStr">
        <x:is>
          <x:t xml:space="preserve">E</x:t>
        </x:is>
      </x:c>
      <x:c r="F222" t="n">
        <x:v>1</x:v>
      </x:c>
      <x:c r="G222" t="inlineStr">
        <x:is>
          <x:t xml:space="preserve">-</x:t>
        </x:is>
      </x:c>
      <x:c r="I222" t="inlineStr">
        <x:is>
          <x:t xml:space="preserve">(Shadow probe) Even without formal governance, do HR and Security coordinate quickly when a concern is raised?</x:t>
        </x:is>
      </x:c>
      <x:c r="J222" t="inlineStr">
        <x:is>
          <x:t xml:space="preserve">Checks real habits vs formal structure.</x:t>
        </x:is>
      </x:c>
      <x:c r="L222" t="inlineStr">
        <x:is>
          <x:t xml:space="preserve">OPS_STD</x:t>
        </x:is>
      </x:c>
      <x:c r="M222" t="n">
        <x:v>1</x:v>
      </x:c>
      <x:c r="P222" t="inlineStr">
        <x:is>
          <x:t xml:space="preserve">HR-D1-Q02-A4</x:t>
        </x:is>
      </x:c>
      <x:c r="Q222" t="n">
        <x:v>4</x:v>
      </x:c>
      <x:c r="R222" t="inlineStr">
        <x:is>
          <x:t xml:space="preserve">Yes: HR and Security coordinate within 24–48 hours for relevant concerns.</x:t>
        </x:is>
      </x:c>
      <x:c r="S222" t="n">
        <x:v>3</x:v>
      </x:c>
      <x:c r="U222" t="inlineStr">
        <x:is>
          <x:t xml:space="preserve">Operating Model Gap</x:t>
        </x:is>
      </x:c>
      <x:c r="V222" t="inlineStr">
        <x:is>
          <x:t xml:space="preserve">Maintain and test workflow</x:t>
        </x:is>
      </x:c>
      <x:c r="W222" t="inlineStr">
        <x:is>
          <x:t xml:space="preserve">N</x:t>
        </x:is>
      </x:c>
      <x:c r="X222" t="inlineStr">
        <x:is>
          <x:t xml:space="preserve">Evidence: redacted case timeline or process.</x:t>
        </x:is>
      </x:c>
      <x:c r="Y222">
        <x:f>(S222*IF(E222="G",F222,0))+(S222*IF(G222="G",H222,0))</x:f>
      </x:c>
      <x:c r="Z222">
        <x:f>(S222*IF(E222="E",F222,0))+(S222*IF(G222="E",H222,0))</x:f>
      </x:c>
      <x:c r="AA222">
        <x:f>(S222*IF(E222="T",F222,0))+(S222*IF(G222="T",H222,0))</x:f>
      </x:c>
      <x:c r="AB222">
        <x:f>(S222*IF(E222="L",F222,0))+(S222*IF(G222="L",H222,0))</x:f>
      </x:c>
      <x:c r="AC222">
        <x:f>(S222*IF(E222="H",F222,0))+(S222*IF(G222="H",H222,0))</x:f>
      </x:c>
      <x:c r="AD222">
        <x:f>(S222*IF(E222="V",F222,0))+(S222*IF(G222="V",H222,0))</x:f>
      </x:c>
      <x:c r="AE222">
        <x:f>(S222*IF(E222="R",F222,0))+(S222*IF(G222="R",H222,0))</x:f>
      </x:c>
      <x:c r="AF222">
        <x:f>(S222*IF(E222="F",F222,0))+(S222*IF(G222="F",H222,0))</x:f>
      </x:c>
      <x:c r="AG222">
        <x:f>(S222*IF(E222="W",F222,0))+(S222*IF(G222="W",H222,0))</x:f>
      </x:c>
      <x:c r="AH222" t="inlineStr">
        <x:is>
          <x:t xml:space="preserve">5. Human-Centric Culture</x:t>
        </x:is>
      </x:c>
      <x:c r="AI222" t="inlineStr">
        <x:is>
          <x:t xml:space="preserve">Personnel Security</x:t>
        </x:is>
      </x:c>
      <x:c r="AJ222" t="inlineStr">
        <x:is>
          <x:t xml:space="preserve">People-Signal Governance</x:t>
        </x:is>
      </x:c>
    </x:row>
    <x:row r="223">
      <x:c r="A223" t="inlineStr">
        <x:is>
          <x:t xml:space="preserve">HR</x:t>
        </x:is>
      </x:c>
      <x:c r="B223" t="inlineStr">
        <x:is>
          <x:t xml:space="preserve">HR-D1-Q03</x:t>
        </x:is>
      </x:c>
      <x:c r="C223" t="inlineStr">
        <x:is>
          <x:t xml:space="preserve">T2</x:t>
        </x:is>
      </x:c>
      <x:c r="D223" t="inlineStr">
        <x:is>
          <x:t xml:space="preserve">1. HR Operating Model</x:t>
        </x:is>
      </x:c>
      <x:c r="E223" t="inlineStr">
        <x:is>
          <x:t xml:space="preserve">G</x:t>
        </x:is>
      </x:c>
      <x:c r="F223" t="n">
        <x:v>1</x:v>
      </x:c>
      <x:c r="G223" t="inlineStr">
        <x:is>
          <x:t xml:space="preserve">-</x:t>
        </x:is>
      </x:c>
      <x:c r="I223" t="inlineStr">
        <x:is>
          <x:t xml:space="preserve">Who in HR is accountable for coordinating insider-risk prevention and people-side investigations?</x:t>
        </x:is>
      </x:c>
      <x:c r="J223" t="inlineStr">
        <x:is>
          <x:t xml:space="preserve">Accountable = ultimately responsible for ensuring the process happens.</x:t>
        </x:is>
      </x:c>
      <x:c r="L223" t="inlineStr">
        <x:is>
          <x:t xml:space="preserve">GOV_STD</x:t>
        </x:is>
      </x:c>
      <x:c r="M223" t="n">
        <x:v>1</x:v>
      </x:c>
      <x:c r="P223" t="inlineStr">
        <x:is>
          <x:t xml:space="preserve">HR-D1-Q03-A1</x:t>
        </x:is>
      </x:c>
      <x:c r="Q223" t="n">
        <x:v>1</x:v>
      </x:c>
      <x:c r="R223" t="inlineStr">
        <x:is>
          <x:t xml:space="preserve">No one: responsibilities are split and unclear.</x:t>
        </x:is>
      </x:c>
      <x:c r="S223" t="n">
        <x:v>0</x:v>
      </x:c>
      <x:c r="T223" t="inlineStr">
        <x:is>
          <x:t xml:space="preserve">paper_dragon_signal</x:t>
        </x:is>
      </x:c>
      <x:c r="U223" t="inlineStr">
        <x:is>
          <x:t xml:space="preserve">Operating Model Gap</x:t>
        </x:is>
      </x:c>
      <x:c r="V223" t="inlineStr">
        <x:is>
          <x:t xml:space="preserve">Assign accountable owner</x:t>
        </x:is>
      </x:c>
      <x:c r="W223" t="inlineStr">
        <x:is>
          <x:t xml:space="preserve">N</x:t>
        </x:is>
      </x:c>
      <x:c r="Y223">
        <x:f>(S223*IF(E223="G",F223,0))+(S223*IF(G223="G",H223,0))</x:f>
      </x:c>
      <x:c r="Z223">
        <x:f>(S223*IF(E223="E",F223,0))+(S223*IF(G223="E",H223,0))</x:f>
      </x:c>
      <x:c r="AA223">
        <x:f>(S223*IF(E223="T",F223,0))+(S223*IF(G223="T",H223,0))</x:f>
      </x:c>
      <x:c r="AB223">
        <x:f>(S223*IF(E223="L",F223,0))+(S223*IF(G223="L",H223,0))</x:f>
      </x:c>
      <x:c r="AC223">
        <x:f>(S223*IF(E223="H",F223,0))+(S223*IF(G223="H",H223,0))</x:f>
      </x:c>
      <x:c r="AD223">
        <x:f>(S223*IF(E223="V",F223,0))+(S223*IF(G223="V",H223,0))</x:f>
      </x:c>
      <x:c r="AE223">
        <x:f>(S223*IF(E223="R",F223,0))+(S223*IF(G223="R",H223,0))</x:f>
      </x:c>
      <x:c r="AF223">
        <x:f>(S223*IF(E223="F",F223,0))+(S223*IF(G223="F",H223,0))</x:f>
      </x:c>
      <x:c r="AG223">
        <x:f>(S223*IF(E223="W",F223,0))+(S223*IF(G223="W",H223,0))</x:f>
      </x:c>
      <x:c r="AH223" t="inlineStr">
        <x:is>
          <x:t xml:space="preserve">1. Strategy &amp; Governance</x:t>
        </x:is>
      </x:c>
      <x:c r="AI223" t="inlineStr">
        <x:is>
          <x:t xml:space="preserve">Organization &amp; RACI</x:t>
        </x:is>
      </x:c>
      <x:c r="AJ223" t="inlineStr">
        <x:is>
          <x:t xml:space="preserve">RACI &amp; decision rights</x:t>
        </x:is>
      </x:c>
    </x:row>
    <x:row r="224">
      <x:c r="A224" t="inlineStr">
        <x:is>
          <x:t xml:space="preserve">HR</x:t>
        </x:is>
      </x:c>
      <x:c r="B224" t="inlineStr">
        <x:is>
          <x:t xml:space="preserve">HR-D1-Q03</x:t>
        </x:is>
      </x:c>
      <x:c r="C224" t="inlineStr">
        <x:is>
          <x:t xml:space="preserve">T2</x:t>
        </x:is>
      </x:c>
      <x:c r="D224" t="inlineStr">
        <x:is>
          <x:t xml:space="preserve">1. HR Operating Model</x:t>
        </x:is>
      </x:c>
      <x:c r="E224" t="inlineStr">
        <x:is>
          <x:t xml:space="preserve">G</x:t>
        </x:is>
      </x:c>
      <x:c r="F224" t="n">
        <x:v>1</x:v>
      </x:c>
      <x:c r="G224" t="inlineStr">
        <x:is>
          <x:t xml:space="preserve">-</x:t>
        </x:is>
      </x:c>
      <x:c r="I224" t="inlineStr">
        <x:is>
          <x:t xml:space="preserve">Who in HR is accountable for coordinating insider-risk prevention and people-side investigations?</x:t>
        </x:is>
      </x:c>
      <x:c r="J224" t="inlineStr">
        <x:is>
          <x:t xml:space="preserve">Accountable = ultimately responsible for ensuring the process happens.</x:t>
        </x:is>
      </x:c>
      <x:c r="L224" t="inlineStr">
        <x:is>
          <x:t xml:space="preserve">GOV_STD</x:t>
        </x:is>
      </x:c>
      <x:c r="M224" t="n">
        <x:v>1</x:v>
      </x:c>
      <x:c r="P224" t="inlineStr">
        <x:is>
          <x:t xml:space="preserve">HR-D1-Q03-A2</x:t>
        </x:is>
      </x:c>
      <x:c r="Q224" t="n">
        <x:v>2</x:v>
      </x:c>
      <x:c r="R224" t="inlineStr">
        <x:is>
          <x:t xml:space="preserve">Informal: a senior HR person handles it when needed, but it’s not in their role/KPIs.</x:t>
        </x:is>
      </x:c>
      <x:c r="S224" t="n">
        <x:v>1</x:v>
      </x:c>
      <x:c r="T224" t="inlineStr">
        <x:is>
          <x:t xml:space="preserve">key_person_dependency</x:t>
        </x:is>
      </x:c>
      <x:c r="U224" t="inlineStr">
        <x:is>
          <x:t xml:space="preserve">Operating Model Gap</x:t>
        </x:is>
      </x:c>
      <x:c r="V224" t="inlineStr">
        <x:is>
          <x:t xml:space="preserve">Formalize accountability</x:t>
        </x:is>
      </x:c>
      <x:c r="W224" t="inlineStr">
        <x:is>
          <x:t xml:space="preserve">N</x:t>
        </x:is>
      </x:c>
      <x:c r="Y224">
        <x:f>(S224*IF(E224="G",F224,0))+(S224*IF(G224="G",H224,0))</x:f>
      </x:c>
      <x:c r="Z224">
        <x:f>(S224*IF(E224="E",F224,0))+(S224*IF(G224="E",H224,0))</x:f>
      </x:c>
      <x:c r="AA224">
        <x:f>(S224*IF(E224="T",F224,0))+(S224*IF(G224="T",H224,0))</x:f>
      </x:c>
      <x:c r="AB224">
        <x:f>(S224*IF(E224="L",F224,0))+(S224*IF(G224="L",H224,0))</x:f>
      </x:c>
      <x:c r="AC224">
        <x:f>(S224*IF(E224="H",F224,0))+(S224*IF(G224="H",H224,0))</x:f>
      </x:c>
      <x:c r="AD224">
        <x:f>(S224*IF(E224="V",F224,0))+(S224*IF(G224="V",H224,0))</x:f>
      </x:c>
      <x:c r="AE224">
        <x:f>(S224*IF(E224="R",F224,0))+(S224*IF(G224="R",H224,0))</x:f>
      </x:c>
      <x:c r="AF224">
        <x:f>(S224*IF(E224="F",F224,0))+(S224*IF(G224="F",H224,0))</x:f>
      </x:c>
      <x:c r="AG224">
        <x:f>(S224*IF(E224="W",F224,0))+(S224*IF(G224="W",H224,0))</x:f>
      </x:c>
      <x:c r="AH224" t="inlineStr">
        <x:is>
          <x:t xml:space="preserve">1. Strategy &amp; Governance</x:t>
        </x:is>
      </x:c>
      <x:c r="AI224" t="inlineStr">
        <x:is>
          <x:t xml:space="preserve">Organization &amp; RACI</x:t>
        </x:is>
      </x:c>
      <x:c r="AJ224" t="inlineStr">
        <x:is>
          <x:t xml:space="preserve">RACI &amp; decision rights</x:t>
        </x:is>
      </x:c>
    </x:row>
    <x:row r="225">
      <x:c r="A225" t="inlineStr">
        <x:is>
          <x:t xml:space="preserve">HR</x:t>
        </x:is>
      </x:c>
      <x:c r="B225" t="inlineStr">
        <x:is>
          <x:t xml:space="preserve">HR-D1-Q03</x:t>
        </x:is>
      </x:c>
      <x:c r="C225" t="inlineStr">
        <x:is>
          <x:t xml:space="preserve">T2</x:t>
        </x:is>
      </x:c>
      <x:c r="D225" t="inlineStr">
        <x:is>
          <x:t xml:space="preserve">1. HR Operating Model</x:t>
        </x:is>
      </x:c>
      <x:c r="E225" t="inlineStr">
        <x:is>
          <x:t xml:space="preserve">G</x:t>
        </x:is>
      </x:c>
      <x:c r="F225" t="n">
        <x:v>1</x:v>
      </x:c>
      <x:c r="G225" t="inlineStr">
        <x:is>
          <x:t xml:space="preserve">-</x:t>
        </x:is>
      </x:c>
      <x:c r="I225" t="inlineStr">
        <x:is>
          <x:t xml:space="preserve">Who in HR is accountable for coordinating insider-risk prevention and people-side investigations?</x:t>
        </x:is>
      </x:c>
      <x:c r="J225" t="inlineStr">
        <x:is>
          <x:t xml:space="preserve">Accountable = ultimately responsible for ensuring the process happens.</x:t>
        </x:is>
      </x:c>
      <x:c r="L225" t="inlineStr">
        <x:is>
          <x:t xml:space="preserve">GOV_STD</x:t>
        </x:is>
      </x:c>
      <x:c r="M225" t="n">
        <x:v>1</x:v>
      </x:c>
      <x:c r="P225" t="inlineStr">
        <x:is>
          <x:t xml:space="preserve">HR-D1-Q03-A3</x:t>
        </x:is>
      </x:c>
      <x:c r="Q225" t="n">
        <x:v>3</x:v>
      </x:c>
      <x:c r="R225" t="inlineStr">
        <x:is>
          <x:t xml:space="preserve">Named: a role is responsible, with documented remit.</x:t>
        </x:is>
      </x:c>
      <x:c r="S225" t="n">
        <x:v>2</x:v>
      </x:c>
      <x:c r="U225" t="inlineStr">
        <x:is>
          <x:t xml:space="preserve">Operating Model Gap</x:t>
        </x:is>
      </x:c>
      <x:c r="V225" t="inlineStr">
        <x:is>
          <x:t xml:space="preserve">Define KPIs</x:t>
        </x:is>
      </x:c>
      <x:c r="W225" t="inlineStr">
        <x:is>
          <x:t xml:space="preserve">N</x:t>
        </x:is>
      </x:c>
      <x:c r="X225" t="inlineStr">
        <x:is>
          <x:t xml:space="preserve">Evidence: role description or RACI.</x:t>
        </x:is>
      </x:c>
      <x:c r="Y225">
        <x:f>(S225*IF(E225="G",F225,0))+(S225*IF(G225="G",H225,0))</x:f>
      </x:c>
      <x:c r="Z225">
        <x:f>(S225*IF(E225="E",F225,0))+(S225*IF(G225="E",H225,0))</x:f>
      </x:c>
      <x:c r="AA225">
        <x:f>(S225*IF(E225="T",F225,0))+(S225*IF(G225="T",H225,0))</x:f>
      </x:c>
      <x:c r="AB225">
        <x:f>(S225*IF(E225="L",F225,0))+(S225*IF(G225="L",H225,0))</x:f>
      </x:c>
      <x:c r="AC225">
        <x:f>(S225*IF(E225="H",F225,0))+(S225*IF(G225="H",H225,0))</x:f>
      </x:c>
      <x:c r="AD225">
        <x:f>(S225*IF(E225="V",F225,0))+(S225*IF(G225="V",H225,0))</x:f>
      </x:c>
      <x:c r="AE225">
        <x:f>(S225*IF(E225="R",F225,0))+(S225*IF(G225="R",H225,0))</x:f>
      </x:c>
      <x:c r="AF225">
        <x:f>(S225*IF(E225="F",F225,0))+(S225*IF(G225="F",H225,0))</x:f>
      </x:c>
      <x:c r="AG225">
        <x:f>(S225*IF(E225="W",F225,0))+(S225*IF(G225="W",H225,0))</x:f>
      </x:c>
      <x:c r="AH225" t="inlineStr">
        <x:is>
          <x:t xml:space="preserve">1. Strategy &amp; Governance</x:t>
        </x:is>
      </x:c>
      <x:c r="AI225" t="inlineStr">
        <x:is>
          <x:t xml:space="preserve">Organization &amp; RACI</x:t>
        </x:is>
      </x:c>
      <x:c r="AJ225" t="inlineStr">
        <x:is>
          <x:t xml:space="preserve">RACI &amp; decision rights</x:t>
        </x:is>
      </x:c>
    </x:row>
    <x:row r="226">
      <x:c r="A226" t="inlineStr">
        <x:is>
          <x:t xml:space="preserve">HR</x:t>
        </x:is>
      </x:c>
      <x:c r="B226" t="inlineStr">
        <x:is>
          <x:t xml:space="preserve">HR-D1-Q03</x:t>
        </x:is>
      </x:c>
      <x:c r="C226" t="inlineStr">
        <x:is>
          <x:t xml:space="preserve">T2</x:t>
        </x:is>
      </x:c>
      <x:c r="D226" t="inlineStr">
        <x:is>
          <x:t xml:space="preserve">1. HR Operating Model</x:t>
        </x:is>
      </x:c>
      <x:c r="E226" t="inlineStr">
        <x:is>
          <x:t xml:space="preserve">G</x:t>
        </x:is>
      </x:c>
      <x:c r="F226" t="n">
        <x:v>1</x:v>
      </x:c>
      <x:c r="G226" t="inlineStr">
        <x:is>
          <x:t xml:space="preserve">-</x:t>
        </x:is>
      </x:c>
      <x:c r="I226" t="inlineStr">
        <x:is>
          <x:t xml:space="preserve">Who in HR is accountable for coordinating insider-risk prevention and people-side investigations?</x:t>
        </x:is>
      </x:c>
      <x:c r="J226" t="inlineStr">
        <x:is>
          <x:t xml:space="preserve">Accountable = ultimately responsible for ensuring the process happens.</x:t>
        </x:is>
      </x:c>
      <x:c r="L226" t="inlineStr">
        <x:is>
          <x:t xml:space="preserve">GOV_STD</x:t>
        </x:is>
      </x:c>
      <x:c r="M226" t="n">
        <x:v>1</x:v>
      </x:c>
      <x:c r="P226" t="inlineStr">
        <x:is>
          <x:t xml:space="preserve">HR-D1-Q03-A4</x:t>
        </x:is>
      </x:c>
      <x:c r="Q226" t="n">
        <x:v>4</x:v>
      </x:c>
      <x:c r="R226" t="inlineStr">
        <x:is>
          <x:t xml:space="preserve">Named + empowered: role has decision rights and access to Legal/Security support.</x:t>
        </x:is>
      </x:c>
      <x:c r="S226" t="n">
        <x:v>3</x:v>
      </x:c>
      <x:c r="U226" t="inlineStr">
        <x:is>
          <x:t xml:space="preserve">Operating Model Gap</x:t>
        </x:is>
      </x:c>
      <x:c r="V226" t="inlineStr">
        <x:is>
          <x:t xml:space="preserve">Maintain operating model</x:t>
        </x:is>
      </x:c>
      <x:c r="W226" t="inlineStr">
        <x:is>
          <x:t xml:space="preserve">N</x:t>
        </x:is>
      </x:c>
      <x:c r="X226" t="inlineStr">
        <x:is>
          <x:t xml:space="preserve">Evidence: RACI + escalation path.</x:t>
        </x:is>
      </x:c>
      <x:c r="Y226">
        <x:f>(S226*IF(E226="G",F226,0))+(S226*IF(G226="G",H226,0))</x:f>
      </x:c>
      <x:c r="Z226">
        <x:f>(S226*IF(E226="E",F226,0))+(S226*IF(G226="E",H226,0))</x:f>
      </x:c>
      <x:c r="AA226">
        <x:f>(S226*IF(E226="T",F226,0))+(S226*IF(G226="T",H226,0))</x:f>
      </x:c>
      <x:c r="AB226">
        <x:f>(S226*IF(E226="L",F226,0))+(S226*IF(G226="L",H226,0))</x:f>
      </x:c>
      <x:c r="AC226">
        <x:f>(S226*IF(E226="H",F226,0))+(S226*IF(G226="H",H226,0))</x:f>
      </x:c>
      <x:c r="AD226">
        <x:f>(S226*IF(E226="V",F226,0))+(S226*IF(G226="V",H226,0))</x:f>
      </x:c>
      <x:c r="AE226">
        <x:f>(S226*IF(E226="R",F226,0))+(S226*IF(G226="R",H226,0))</x:f>
      </x:c>
      <x:c r="AF226">
        <x:f>(S226*IF(E226="F",F226,0))+(S226*IF(G226="F",H226,0))</x:f>
      </x:c>
      <x:c r="AG226">
        <x:f>(S226*IF(E226="W",F226,0))+(S226*IF(G226="W",H226,0))</x:f>
      </x:c>
      <x:c r="AH226" t="inlineStr">
        <x:is>
          <x:t xml:space="preserve">1. Strategy &amp; Governance</x:t>
        </x:is>
      </x:c>
      <x:c r="AI226" t="inlineStr">
        <x:is>
          <x:t xml:space="preserve">Organization &amp; RACI</x:t>
        </x:is>
      </x:c>
      <x:c r="AJ226" t="inlineStr">
        <x:is>
          <x:t xml:space="preserve">RACI &amp; decision rights</x:t>
        </x:is>
      </x:c>
    </x:row>
    <x:row r="227">
      <x:c r="A227" t="inlineStr">
        <x:is>
          <x:t xml:space="preserve">HR</x:t>
        </x:is>
      </x:c>
      <x:c r="B227" t="inlineStr">
        <x:is>
          <x:t xml:space="preserve">HR-D1-Q03</x:t>
        </x:is>
      </x:c>
      <x:c r="C227" t="inlineStr">
        <x:is>
          <x:t xml:space="preserve">T2</x:t>
        </x:is>
      </x:c>
      <x:c r="D227" t="inlineStr">
        <x:is>
          <x:t xml:space="preserve">1. HR Operating Model</x:t>
        </x:is>
      </x:c>
      <x:c r="E227" t="inlineStr">
        <x:is>
          <x:t xml:space="preserve">G</x:t>
        </x:is>
      </x:c>
      <x:c r="F227" t="n">
        <x:v>1</x:v>
      </x:c>
      <x:c r="G227" t="inlineStr">
        <x:is>
          <x:t xml:space="preserve">-</x:t>
        </x:is>
      </x:c>
      <x:c r="I227" t="inlineStr">
        <x:is>
          <x:t xml:space="preserve">Who in HR is accountable for coordinating insider-risk prevention and people-side investigations?</x:t>
        </x:is>
      </x:c>
      <x:c r="J227" t="inlineStr">
        <x:is>
          <x:t xml:space="preserve">Accountable = ultimately responsible for ensuring the process happens.</x:t>
        </x:is>
      </x:c>
      <x:c r="L227" t="inlineStr">
        <x:is>
          <x:t xml:space="preserve">GOV_STD</x:t>
        </x:is>
      </x:c>
      <x:c r="M227" t="n">
        <x:v>1</x:v>
      </x:c>
      <x:c r="P227" t="inlineStr">
        <x:is>
          <x:t xml:space="preserve">HR-D1-Q03-A5</x:t>
        </x:is>
      </x:c>
      <x:c r="Q227" t="n">
        <x:v>5</x:v>
      </x:c>
      <x:c r="R227" t="inlineStr">
        <x:is>
          <x:t xml:space="preserve">Governed: accountability embedded in HR KPIs and reviewed with exec sponsor.</x:t>
        </x:is>
      </x:c>
      <x:c r="S227" t="n">
        <x:v>4</x:v>
      </x:c>
      <x:c r="U227" t="inlineStr">
        <x:is>
          <x:t xml:space="preserve">Operating Model Gap</x:t>
        </x:is>
      </x:c>
      <x:c r="V227" t="inlineStr">
        <x:is>
          <x:t xml:space="preserve">Maintain governance cadence</x:t>
        </x:is>
      </x:c>
      <x:c r="W227" t="inlineStr">
        <x:is>
          <x:t xml:space="preserve">N</x:t>
        </x:is>
      </x:c>
      <x:c r="X227" t="inlineStr">
        <x:is>
          <x:t xml:space="preserve">Evidence: KPI pack / steering minutes.</x:t>
        </x:is>
      </x:c>
      <x:c r="Y227">
        <x:f>(S227*IF(E227="G",F227,0))+(S227*IF(G227="G",H227,0))</x:f>
      </x:c>
      <x:c r="Z227">
        <x:f>(S227*IF(E227="E",F227,0))+(S227*IF(G227="E",H227,0))</x:f>
      </x:c>
      <x:c r="AA227">
        <x:f>(S227*IF(E227="T",F227,0))+(S227*IF(G227="T",H227,0))</x:f>
      </x:c>
      <x:c r="AB227">
        <x:f>(S227*IF(E227="L",F227,0))+(S227*IF(G227="L",H227,0))</x:f>
      </x:c>
      <x:c r="AC227">
        <x:f>(S227*IF(E227="H",F227,0))+(S227*IF(G227="H",H227,0))</x:f>
      </x:c>
      <x:c r="AD227">
        <x:f>(S227*IF(E227="V",F227,0))+(S227*IF(G227="V",H227,0))</x:f>
      </x:c>
      <x:c r="AE227">
        <x:f>(S227*IF(E227="R",F227,0))+(S227*IF(G227="R",H227,0))</x:f>
      </x:c>
      <x:c r="AF227">
        <x:f>(S227*IF(E227="F",F227,0))+(S227*IF(G227="F",H227,0))</x:f>
      </x:c>
      <x:c r="AG227">
        <x:f>(S227*IF(E227="W",F227,0))+(S227*IF(G227="W",H227,0))</x:f>
      </x:c>
      <x:c r="AH227" t="inlineStr">
        <x:is>
          <x:t xml:space="preserve">1. Strategy &amp; Governance</x:t>
        </x:is>
      </x:c>
      <x:c r="AI227" t="inlineStr">
        <x:is>
          <x:t xml:space="preserve">Organization &amp; RACI</x:t>
        </x:is>
      </x:c>
      <x:c r="AJ227" t="inlineStr">
        <x:is>
          <x:t xml:space="preserve">RACI &amp; decision rights</x:t>
        </x:is>
      </x:c>
    </x:row>
    <x:row r="228">
      <x:c r="A228" t="inlineStr">
        <x:is>
          <x:t xml:space="preserve">HR</x:t>
        </x:is>
      </x:c>
      <x:c r="B228" t="inlineStr">
        <x:is>
          <x:t xml:space="preserve">HR-D1-Q04</x:t>
        </x:is>
      </x:c>
      <x:c r="C228" t="inlineStr">
        <x:is>
          <x:t xml:space="preserve">T3</x:t>
        </x:is>
      </x:c>
      <x:c r="D228" t="inlineStr">
        <x:is>
          <x:t xml:space="preserve">1. HR Operating Model</x:t>
        </x:is>
      </x:c>
      <x:c r="E228" t="inlineStr">
        <x:is>
          <x:t xml:space="preserve">R</x:t>
        </x:is>
      </x:c>
      <x:c r="F228" t="n">
        <x:v>0.5</x:v>
      </x:c>
      <x:c r="G228" t="inlineStr">
        <x:is>
          <x:t xml:space="preserve">L</x:t>
        </x:is>
      </x:c>
      <x:c r="H228" t="n">
        <x:v>0.5</x:v>
      </x:c>
      <x:c r="I228" t="inlineStr">
        <x:is>
          <x:t xml:space="preserve">Is there a documented, fair cross-functional case workflow (HR + Legal/Privacy + Security) with clear decision rights and timelines?</x:t>
        </x:is>
      </x:c>
      <x:c r="J228" t="inlineStr">
        <x:is>
          <x:t xml:space="preserve">Focus on fairness, confidentiality, proportionality, and approvals for sensitive data use.</x:t>
        </x:is>
      </x:c>
      <x:c r="L228" t="inlineStr">
        <x:is>
          <x:t xml:space="preserve">LEG_STRICT</x:t>
        </x:is>
      </x:c>
      <x:c r="M228" t="n">
        <x:v>1</x:v>
      </x:c>
      <x:c r="P228" t="inlineStr">
        <x:is>
          <x:t xml:space="preserve">HR-D1-Q04-A1</x:t>
        </x:is>
      </x:c>
      <x:c r="Q228" t="n">
        <x:v>1</x:v>
      </x:c>
      <x:c r="R228" t="inlineStr">
        <x:is>
          <x:t xml:space="preserve">None: every case is handled differently.</x:t>
        </x:is>
      </x:c>
      <x:c r="S228" t="n">
        <x:v>0</x:v>
      </x:c>
      <x:c r="T228" t="inlineStr">
        <x:is>
          <x:t xml:space="preserve">paper_dragon_signal</x:t>
        </x:is>
      </x:c>
      <x:c r="U228" t="inlineStr">
        <x:is>
          <x:t xml:space="preserve">Operating Model Gap</x:t>
        </x:is>
      </x:c>
      <x:c r="V228" t="inlineStr">
        <x:is>
          <x:t xml:space="preserve">Create case workflow</x:t>
        </x:is>
      </x:c>
      <x:c r="W228" t="inlineStr">
        <x:is>
          <x:t xml:space="preserve">N</x:t>
        </x:is>
      </x:c>
      <x:c r="Y228">
        <x:f>(S228*IF(E228="G",F228,0))+(S228*IF(G228="G",H228,0))</x:f>
      </x:c>
      <x:c r="Z228">
        <x:f>(S228*IF(E228="E",F228,0))+(S228*IF(G228="E",H228,0))</x:f>
      </x:c>
      <x:c r="AA228">
        <x:f>(S228*IF(E228="T",F228,0))+(S228*IF(G228="T",H228,0))</x:f>
      </x:c>
      <x:c r="AB228">
        <x:f>(S228*IF(E228="L",F228,0))+(S228*IF(G228="L",H228,0))</x:f>
      </x:c>
      <x:c r="AC228">
        <x:f>(S228*IF(E228="H",F228,0))+(S228*IF(G228="H",H228,0))</x:f>
      </x:c>
      <x:c r="AD228">
        <x:f>(S228*IF(E228="V",F228,0))+(S228*IF(G228="V",H228,0))</x:f>
      </x:c>
      <x:c r="AE228">
        <x:f>(S228*IF(E228="R",F228,0))+(S228*IF(G228="R",H228,0))</x:f>
      </x:c>
      <x:c r="AF228">
        <x:f>(S228*IF(E228="F",F228,0))+(S228*IF(G228="F",H228,0))</x:f>
      </x:c>
      <x:c r="AG228">
        <x:f>(S228*IF(E228="W",F228,0))+(S228*IF(G228="W",H228,0))</x:f>
      </x:c>
      <x:c r="AH228" t="inlineStr">
        <x:is>
          <x:t xml:space="preserve">1. Strategy &amp; Governance</x:t>
        </x:is>
      </x:c>
      <x:c r="AI228" t="inlineStr">
        <x:is>
          <x:t xml:space="preserve">Organization &amp; RACI</x:t>
        </x:is>
      </x:c>
      <x:c r="AJ228" t="inlineStr">
        <x:is>
          <x:t xml:space="preserve">RACI &amp; decision rights</x:t>
        </x:is>
      </x:c>
    </x:row>
    <x:row r="229">
      <x:c r="A229" t="inlineStr">
        <x:is>
          <x:t xml:space="preserve">HR</x:t>
        </x:is>
      </x:c>
      <x:c r="B229" t="inlineStr">
        <x:is>
          <x:t xml:space="preserve">HR-D1-Q04</x:t>
        </x:is>
      </x:c>
      <x:c r="C229" t="inlineStr">
        <x:is>
          <x:t xml:space="preserve">T3</x:t>
        </x:is>
      </x:c>
      <x:c r="D229" t="inlineStr">
        <x:is>
          <x:t xml:space="preserve">1. HR Operating Model</x:t>
        </x:is>
      </x:c>
      <x:c r="E229" t="inlineStr">
        <x:is>
          <x:t xml:space="preserve">R</x:t>
        </x:is>
      </x:c>
      <x:c r="F229" t="n">
        <x:v>0.5</x:v>
      </x:c>
      <x:c r="G229" t="inlineStr">
        <x:is>
          <x:t xml:space="preserve">L</x:t>
        </x:is>
      </x:c>
      <x:c r="H229" t="n">
        <x:v>0.5</x:v>
      </x:c>
      <x:c r="I229" t="inlineStr">
        <x:is>
          <x:t xml:space="preserve">Is there a documented, fair cross-functional case workflow (HR + Legal/Privacy + Security) with clear decision rights and timelines?</x:t>
        </x:is>
      </x:c>
      <x:c r="J229" t="inlineStr">
        <x:is>
          <x:t xml:space="preserve">Focus on fairness, confidentiality, proportionality, and approvals for sensitive data use.</x:t>
        </x:is>
      </x:c>
      <x:c r="L229" t="inlineStr">
        <x:is>
          <x:t xml:space="preserve">LEG_STRICT</x:t>
        </x:is>
      </x:c>
      <x:c r="M229" t="n">
        <x:v>1</x:v>
      </x:c>
      <x:c r="P229" t="inlineStr">
        <x:is>
          <x:t xml:space="preserve">HR-D1-Q04-A2</x:t>
        </x:is>
      </x:c>
      <x:c r="Q229" t="n">
        <x:v>2</x:v>
      </x:c>
      <x:c r="R229" t="inlineStr">
        <x:is>
          <x:t xml:space="preserve">Ad-hoc: teams collaborate via email/chats; decisions are unclear.</x:t>
        </x:is>
      </x:c>
      <x:c r="S229" t="n">
        <x:v>1</x:v>
      </x:c>
      <x:c r="T229" t="inlineStr">
        <x:is>
          <x:t xml:space="preserve">shadow_mature_signal</x:t>
        </x:is>
      </x:c>
      <x:c r="U229" t="inlineStr">
        <x:is>
          <x:t xml:space="preserve">Operating Model Gap</x:t>
        </x:is>
      </x:c>
      <x:c r="V229" t="inlineStr">
        <x:is>
          <x:t xml:space="preserve">Define roles &amp; steps</x:t>
        </x:is>
      </x:c>
      <x:c r="W229" t="inlineStr">
        <x:is>
          <x:t xml:space="preserve">N</x:t>
        </x:is>
      </x:c>
      <x:c r="X229" t="inlineStr">
        <x:is>
          <x:t xml:space="preserve">Example: last case workflow.</x:t>
        </x:is>
      </x:c>
      <x:c r="Y229">
        <x:f>(S229*IF(E229="G",F229,0))+(S229*IF(G229="G",H229,0))</x:f>
      </x:c>
      <x:c r="Z229">
        <x:f>(S229*IF(E229="E",F229,0))+(S229*IF(G229="E",H229,0))</x:f>
      </x:c>
      <x:c r="AA229">
        <x:f>(S229*IF(E229="T",F229,0))+(S229*IF(G229="T",H229,0))</x:f>
      </x:c>
      <x:c r="AB229">
        <x:f>(S229*IF(E229="L",F229,0))+(S229*IF(G229="L",H229,0))</x:f>
      </x:c>
      <x:c r="AC229">
        <x:f>(S229*IF(E229="H",F229,0))+(S229*IF(G229="H",H229,0))</x:f>
      </x:c>
      <x:c r="AD229">
        <x:f>(S229*IF(E229="V",F229,0))+(S229*IF(G229="V",H229,0))</x:f>
      </x:c>
      <x:c r="AE229">
        <x:f>(S229*IF(E229="R",F229,0))+(S229*IF(G229="R",H229,0))</x:f>
      </x:c>
      <x:c r="AF229">
        <x:f>(S229*IF(E229="F",F229,0))+(S229*IF(G229="F",H229,0))</x:f>
      </x:c>
      <x:c r="AG229">
        <x:f>(S229*IF(E229="W",F229,0))+(S229*IF(G229="W",H229,0))</x:f>
      </x:c>
      <x:c r="AH229" t="inlineStr">
        <x:is>
          <x:t xml:space="preserve">1. Strategy &amp; Governance</x:t>
        </x:is>
      </x:c>
      <x:c r="AI229" t="inlineStr">
        <x:is>
          <x:t xml:space="preserve">Organization &amp; RACI</x:t>
        </x:is>
      </x:c>
      <x:c r="AJ229" t="inlineStr">
        <x:is>
          <x:t xml:space="preserve">RACI &amp; decision rights</x:t>
        </x:is>
      </x:c>
    </x:row>
    <x:row r="230">
      <x:c r="A230" t="inlineStr">
        <x:is>
          <x:t xml:space="preserve">HR</x:t>
        </x:is>
      </x:c>
      <x:c r="B230" t="inlineStr">
        <x:is>
          <x:t xml:space="preserve">HR-D1-Q04</x:t>
        </x:is>
      </x:c>
      <x:c r="C230" t="inlineStr">
        <x:is>
          <x:t xml:space="preserve">T3</x:t>
        </x:is>
      </x:c>
      <x:c r="D230" t="inlineStr">
        <x:is>
          <x:t xml:space="preserve">1. HR Operating Model</x:t>
        </x:is>
      </x:c>
      <x:c r="E230" t="inlineStr">
        <x:is>
          <x:t xml:space="preserve">R</x:t>
        </x:is>
      </x:c>
      <x:c r="F230" t="n">
        <x:v>0.5</x:v>
      </x:c>
      <x:c r="G230" t="inlineStr">
        <x:is>
          <x:t xml:space="preserve">L</x:t>
        </x:is>
      </x:c>
      <x:c r="H230" t="n">
        <x:v>0.5</x:v>
      </x:c>
      <x:c r="I230" t="inlineStr">
        <x:is>
          <x:t xml:space="preserve">Is there a documented, fair cross-functional case workflow (HR + Legal/Privacy + Security) with clear decision rights and timelines?</x:t>
        </x:is>
      </x:c>
      <x:c r="J230" t="inlineStr">
        <x:is>
          <x:t xml:space="preserve">Focus on fairness, confidentiality, proportionality, and approvals for sensitive data use.</x:t>
        </x:is>
      </x:c>
      <x:c r="L230" t="inlineStr">
        <x:is>
          <x:t xml:space="preserve">LEG_STRICT</x:t>
        </x:is>
      </x:c>
      <x:c r="M230" t="n">
        <x:v>1</x:v>
      </x:c>
      <x:c r="P230" t="inlineStr">
        <x:is>
          <x:t xml:space="preserve">HR-D1-Q04-A3</x:t>
        </x:is>
      </x:c>
      <x:c r="Q230" t="n">
        <x:v>3</x:v>
      </x:c>
      <x:c r="R230" t="inlineStr">
        <x:is>
          <x:t xml:space="preserve">Documented: workflow exists but not always followed.</x:t>
        </x:is>
      </x:c>
      <x:c r="S230" t="n">
        <x:v>2</x:v>
      </x:c>
      <x:c r="U230" t="inlineStr">
        <x:is>
          <x:t xml:space="preserve">Operating Model Gap</x:t>
        </x:is>
      </x:c>
      <x:c r="V230" t="inlineStr">
        <x:is>
          <x:t xml:space="preserve">Improve adherence</x:t>
        </x:is>
      </x:c>
      <x:c r="W230" t="inlineStr">
        <x:is>
          <x:t xml:space="preserve">N</x:t>
        </x:is>
      </x:c>
      <x:c r="X230" t="inlineStr">
        <x:is>
          <x:t xml:space="preserve">Evidence: workflow doc, training.</x:t>
        </x:is>
      </x:c>
      <x:c r="Y230">
        <x:f>(S230*IF(E230="G",F230,0))+(S230*IF(G230="G",H230,0))</x:f>
      </x:c>
      <x:c r="Z230">
        <x:f>(S230*IF(E230="E",F230,0))+(S230*IF(G230="E",H230,0))</x:f>
      </x:c>
      <x:c r="AA230">
        <x:f>(S230*IF(E230="T",F230,0))+(S230*IF(G230="T",H230,0))</x:f>
      </x:c>
      <x:c r="AB230">
        <x:f>(S230*IF(E230="L",F230,0))+(S230*IF(G230="L",H230,0))</x:f>
      </x:c>
      <x:c r="AC230">
        <x:f>(S230*IF(E230="H",F230,0))+(S230*IF(G230="H",H230,0))</x:f>
      </x:c>
      <x:c r="AD230">
        <x:f>(S230*IF(E230="V",F230,0))+(S230*IF(G230="V",H230,0))</x:f>
      </x:c>
      <x:c r="AE230">
        <x:f>(S230*IF(E230="R",F230,0))+(S230*IF(G230="R",H230,0))</x:f>
      </x:c>
      <x:c r="AF230">
        <x:f>(S230*IF(E230="F",F230,0))+(S230*IF(G230="F",H230,0))</x:f>
      </x:c>
      <x:c r="AG230">
        <x:f>(S230*IF(E230="W",F230,0))+(S230*IF(G230="W",H230,0))</x:f>
      </x:c>
      <x:c r="AH230" t="inlineStr">
        <x:is>
          <x:t xml:space="preserve">1. Strategy &amp; Governance</x:t>
        </x:is>
      </x:c>
      <x:c r="AI230" t="inlineStr">
        <x:is>
          <x:t xml:space="preserve">Organization &amp; RACI</x:t>
        </x:is>
      </x:c>
      <x:c r="AJ230" t="inlineStr">
        <x:is>
          <x:t xml:space="preserve">RACI &amp; decision rights</x:t>
        </x:is>
      </x:c>
    </x:row>
    <x:row r="231">
      <x:c r="A231" t="inlineStr">
        <x:is>
          <x:t xml:space="preserve">HR</x:t>
        </x:is>
      </x:c>
      <x:c r="B231" t="inlineStr">
        <x:is>
          <x:t xml:space="preserve">HR-D1-Q04</x:t>
        </x:is>
      </x:c>
      <x:c r="C231" t="inlineStr">
        <x:is>
          <x:t xml:space="preserve">T3</x:t>
        </x:is>
      </x:c>
      <x:c r="D231" t="inlineStr">
        <x:is>
          <x:t xml:space="preserve">1. HR Operating Model</x:t>
        </x:is>
      </x:c>
      <x:c r="E231" t="inlineStr">
        <x:is>
          <x:t xml:space="preserve">R</x:t>
        </x:is>
      </x:c>
      <x:c r="F231" t="n">
        <x:v>0.5</x:v>
      </x:c>
      <x:c r="G231" t="inlineStr">
        <x:is>
          <x:t xml:space="preserve">L</x:t>
        </x:is>
      </x:c>
      <x:c r="H231" t="n">
        <x:v>0.5</x:v>
      </x:c>
      <x:c r="I231" t="inlineStr">
        <x:is>
          <x:t xml:space="preserve">Is there a documented, fair cross-functional case workflow (HR + Legal/Privacy + Security) with clear decision rights and timelines?</x:t>
        </x:is>
      </x:c>
      <x:c r="J231" t="inlineStr">
        <x:is>
          <x:t xml:space="preserve">Focus on fairness, confidentiality, proportionality, and approvals for sensitive data use.</x:t>
        </x:is>
      </x:c>
      <x:c r="L231" t="inlineStr">
        <x:is>
          <x:t xml:space="preserve">LEG_STRICT</x:t>
        </x:is>
      </x:c>
      <x:c r="M231" t="n">
        <x:v>1</x:v>
      </x:c>
      <x:c r="P231" t="inlineStr">
        <x:is>
          <x:t xml:space="preserve">HR-D1-Q04-A4</x:t>
        </x:is>
      </x:c>
      <x:c r="Q231" t="n">
        <x:v>4</x:v>
      </x:c>
      <x:c r="R231" t="inlineStr">
        <x:is>
          <x:t xml:space="preserve">Used: consistently followed with privacy/legal checkpoints.</x:t>
        </x:is>
      </x:c>
      <x:c r="S231" t="n">
        <x:v>3</x:v>
      </x:c>
      <x:c r="U231" t="inlineStr">
        <x:is>
          <x:t xml:space="preserve">Legal Exposure</x:t>
        </x:is>
      </x:c>
      <x:c r="V231" t="inlineStr">
        <x:is>
          <x:t xml:space="preserve">Maintain and audit workflow</x:t>
        </x:is>
      </x:c>
      <x:c r="W231" t="inlineStr">
        <x:is>
          <x:t xml:space="preserve">N</x:t>
        </x:is>
      </x:c>
      <x:c r="X231" t="inlineStr">
        <x:is>
          <x:t xml:space="preserve">Evidence: redacted case checklist.</x:t>
        </x:is>
      </x:c>
      <x:c r="Y231">
        <x:f>(S231*IF(E231="G",F231,0))+(S231*IF(G231="G",H231,0))</x:f>
      </x:c>
      <x:c r="Z231">
        <x:f>(S231*IF(E231="E",F231,0))+(S231*IF(G231="E",H231,0))</x:f>
      </x:c>
      <x:c r="AA231">
        <x:f>(S231*IF(E231="T",F231,0))+(S231*IF(G231="T",H231,0))</x:f>
      </x:c>
      <x:c r="AB231">
        <x:f>(S231*IF(E231="L",F231,0))+(S231*IF(G231="L",H231,0))</x:f>
      </x:c>
      <x:c r="AC231">
        <x:f>(S231*IF(E231="H",F231,0))+(S231*IF(G231="H",H231,0))</x:f>
      </x:c>
      <x:c r="AD231">
        <x:f>(S231*IF(E231="V",F231,0))+(S231*IF(G231="V",H231,0))</x:f>
      </x:c>
      <x:c r="AE231">
        <x:f>(S231*IF(E231="R",F231,0))+(S231*IF(G231="R",H231,0))</x:f>
      </x:c>
      <x:c r="AF231">
        <x:f>(S231*IF(E231="F",F231,0))+(S231*IF(G231="F",H231,0))</x:f>
      </x:c>
      <x:c r="AG231">
        <x:f>(S231*IF(E231="W",F231,0))+(S231*IF(G231="W",H231,0))</x:f>
      </x:c>
      <x:c r="AH231" t="inlineStr">
        <x:is>
          <x:t xml:space="preserve">1. Strategy &amp; Governance</x:t>
        </x:is>
      </x:c>
      <x:c r="AI231" t="inlineStr">
        <x:is>
          <x:t xml:space="preserve">Organization &amp; RACI</x:t>
        </x:is>
      </x:c>
      <x:c r="AJ231" t="inlineStr">
        <x:is>
          <x:t xml:space="preserve">RACI &amp; decision rights</x:t>
        </x:is>
      </x:c>
    </x:row>
    <x:row r="232">
      <x:c r="A232" t="inlineStr">
        <x:is>
          <x:t xml:space="preserve">HR</x:t>
        </x:is>
      </x:c>
      <x:c r="B232" t="inlineStr">
        <x:is>
          <x:t xml:space="preserve">HR-D1-Q04</x:t>
        </x:is>
      </x:c>
      <x:c r="C232" t="inlineStr">
        <x:is>
          <x:t xml:space="preserve">T3</x:t>
        </x:is>
      </x:c>
      <x:c r="D232" t="inlineStr">
        <x:is>
          <x:t xml:space="preserve">1. HR Operating Model</x:t>
        </x:is>
      </x:c>
      <x:c r="E232" t="inlineStr">
        <x:is>
          <x:t xml:space="preserve">R</x:t>
        </x:is>
      </x:c>
      <x:c r="F232" t="n">
        <x:v>0.5</x:v>
      </x:c>
      <x:c r="G232" t="inlineStr">
        <x:is>
          <x:t xml:space="preserve">L</x:t>
        </x:is>
      </x:c>
      <x:c r="H232" t="n">
        <x:v>0.5</x:v>
      </x:c>
      <x:c r="I232" t="inlineStr">
        <x:is>
          <x:t xml:space="preserve">Is there a documented, fair cross-functional case workflow (HR + Legal/Privacy + Security) with clear decision rights and timelines?</x:t>
        </x:is>
      </x:c>
      <x:c r="J232" t="inlineStr">
        <x:is>
          <x:t xml:space="preserve">Focus on fairness, confidentiality, proportionality, and approvals for sensitive data use.</x:t>
        </x:is>
      </x:c>
      <x:c r="L232" t="inlineStr">
        <x:is>
          <x:t xml:space="preserve">LEG_STRICT</x:t>
        </x:is>
      </x:c>
      <x:c r="M232" t="n">
        <x:v>1</x:v>
      </x:c>
      <x:c r="P232" t="inlineStr">
        <x:is>
          <x:t xml:space="preserve">HR-D1-Q04-A5</x:t>
        </x:is>
      </x:c>
      <x:c r="Q232" t="n">
        <x:v>5</x:v>
      </x:c>
      <x:c r="R232" t="inlineStr">
        <x:is>
          <x:t xml:space="preserve">Audited: tested/audited and improved after cases or exercises.</x:t>
        </x:is>
      </x:c>
      <x:c r="S232" t="n">
        <x:v>4</x:v>
      </x:c>
      <x:c r="U232" t="inlineStr">
        <x:is>
          <x:t xml:space="preserve">Legal Exposure</x:t>
        </x:is>
      </x:c>
      <x:c r="V232" t="inlineStr">
        <x:is>
          <x:t xml:space="preserve">Continue assurance</x:t>
        </x:is>
      </x:c>
      <x:c r="W232" t="inlineStr">
        <x:is>
          <x:t xml:space="preserve">N</x:t>
        </x:is>
      </x:c>
      <x:c r="X232" t="inlineStr">
        <x:is>
          <x:t xml:space="preserve">Evidence: audit/exercise notes.</x:t>
        </x:is>
      </x:c>
      <x:c r="Y232">
        <x:f>(S232*IF(E232="G",F232,0))+(S232*IF(G232="G",H232,0))</x:f>
      </x:c>
      <x:c r="Z232">
        <x:f>(S232*IF(E232="E",F232,0))+(S232*IF(G232="E",H232,0))</x:f>
      </x:c>
      <x:c r="AA232">
        <x:f>(S232*IF(E232="T",F232,0))+(S232*IF(G232="T",H232,0))</x:f>
      </x:c>
      <x:c r="AB232">
        <x:f>(S232*IF(E232="L",F232,0))+(S232*IF(G232="L",H232,0))</x:f>
      </x:c>
      <x:c r="AC232">
        <x:f>(S232*IF(E232="H",F232,0))+(S232*IF(G232="H",H232,0))</x:f>
      </x:c>
      <x:c r="AD232">
        <x:f>(S232*IF(E232="V",F232,0))+(S232*IF(G232="V",H232,0))</x:f>
      </x:c>
      <x:c r="AE232">
        <x:f>(S232*IF(E232="R",F232,0))+(S232*IF(G232="R",H232,0))</x:f>
      </x:c>
      <x:c r="AF232">
        <x:f>(S232*IF(E232="F",F232,0))+(S232*IF(G232="F",H232,0))</x:f>
      </x:c>
      <x:c r="AG232">
        <x:f>(S232*IF(E232="W",F232,0))+(S232*IF(G232="W",H232,0))</x:f>
      </x:c>
      <x:c r="AH232" t="inlineStr">
        <x:is>
          <x:t xml:space="preserve">1. Strategy &amp; Governance</x:t>
        </x:is>
      </x:c>
      <x:c r="AI232" t="inlineStr">
        <x:is>
          <x:t xml:space="preserve">Organization &amp; RACI</x:t>
        </x:is>
      </x:c>
      <x:c r="AJ232" t="inlineStr">
        <x:is>
          <x:t xml:space="preserve">RACI &amp; decision rights</x:t>
        </x:is>
      </x:c>
    </x:row>
    <x:row r="233">
      <x:c r="A233" t="inlineStr">
        <x:is>
          <x:t xml:space="preserve">HR</x:t>
        </x:is>
      </x:c>
      <x:c r="B233" t="inlineStr">
        <x:is>
          <x:t xml:space="preserve">HR-D2-Q05</x:t>
        </x:is>
      </x:c>
      <x:c r="C233" t="inlineStr">
        <x:is>
          <x:t xml:space="preserve">T1</x:t>
        </x:is>
      </x:c>
      <x:c r="D233" t="inlineStr">
        <x:is>
          <x:t xml:space="preserve">2. Protected Reporting</x:t>
        </x:is>
      </x:c>
      <x:c r="E233" t="inlineStr">
        <x:is>
          <x:t xml:space="preserve">H</x:t>
        </x:is>
      </x:c>
      <x:c r="F233" t="n">
        <x:v>0.6</x:v>
      </x:c>
      <x:c r="G233" t="inlineStr">
        <x:is>
          <x:t xml:space="preserve">L</x:t>
        </x:is>
      </x:c>
      <x:c r="H233" t="n">
        <x:v>0.4</x:v>
      </x:c>
      <x:c r="I233" t="inlineStr">
        <x:is>
          <x:t xml:space="preserve">Do employees and contractors have safe ways to raise concerns (including about peers or managers) and are they protected from retaliation?</x:t>
        </x:is>
      </x:c>
      <x:c r="J233" t="inlineStr">
        <x:is>
          <x:t xml:space="preserve">Include hotline/ombuds/HR channels. Protected = non-retaliation rules + process.</x:t>
        </x:is>
      </x:c>
      <x:c r="L233" t="inlineStr">
        <x:is>
          <x:t xml:space="preserve">LEG_STRICT</x:t>
        </x:is>
      </x:c>
      <x:c r="M233" t="n">
        <x:v>1</x:v>
      </x:c>
      <x:c r="P233" t="inlineStr">
        <x:is>
          <x:t xml:space="preserve">HR-D2-Q05-A0</x:t>
        </x:is>
      </x:c>
      <x:c r="Q233" t="n">
        <x:v>1</x:v>
      </x:c>
      <x:c r="R233" t="inlineStr">
        <x:is>
          <x:t xml:space="preserve">I don't know / Not sure.</x:t>
        </x:is>
      </x:c>
      <x:c r="S233" t="n">
        <x:v>0</x:v>
      </x:c>
      <x:c r="T233" t="inlineStr">
        <x:is>
          <x:t xml:space="preserve">low-confidence</x:t>
        </x:is>
      </x:c>
      <x:c r="U233" t="inlineStr">
        <x:is>
          <x:t xml:space="preserve">Culture Risk</x:t>
        </x:is>
      </x:c>
      <x:c r="V233" t="inlineStr">
        <x:is>
          <x:t xml:space="preserve">Clarify channels</x:t>
        </x:is>
      </x:c>
      <x:c r="W233" t="inlineStr">
        <x:is>
          <x:t xml:space="preserve">N</x:t>
        </x:is>
      </x:c>
      <x:c r="Y233">
        <x:f>(S233*IF(E233="G",F233,0))+(S233*IF(G233="G",H233,0))</x:f>
      </x:c>
      <x:c r="Z233">
        <x:f>(S233*IF(E233="E",F233,0))+(S233*IF(G233="E",H233,0))</x:f>
      </x:c>
      <x:c r="AA233">
        <x:f>(S233*IF(E233="T",F233,0))+(S233*IF(G233="T",H233,0))</x:f>
      </x:c>
      <x:c r="AB233">
        <x:f>(S233*IF(E233="L",F233,0))+(S233*IF(G233="L",H233,0))</x:f>
      </x:c>
      <x:c r="AC233">
        <x:f>(S233*IF(E233="H",F233,0))+(S233*IF(G233="H",H233,0))</x:f>
      </x:c>
      <x:c r="AD233">
        <x:f>(S233*IF(E233="V",F233,0))+(S233*IF(G233="V",H233,0))</x:f>
      </x:c>
      <x:c r="AE233">
        <x:f>(S233*IF(E233="R",F233,0))+(S233*IF(G233="R",H233,0))</x:f>
      </x:c>
      <x:c r="AF233">
        <x:f>(S233*IF(E233="F",F233,0))+(S233*IF(G233="F",H233,0))</x:f>
      </x:c>
      <x:c r="AG233">
        <x:f>(S233*IF(E233="W",F233,0))+(S233*IF(G233="W",H233,0))</x:f>
      </x:c>
      <x:c r="AH233" t="inlineStr">
        <x:is>
          <x:t xml:space="preserve">4. Legal, Privacy &amp; Ethics</x:t>
        </x:is>
      </x:c>
      <x:c r="AI233" t="inlineStr">
        <x:is>
          <x:t xml:space="preserve">Oversight &amp; Safeguards</x:t>
        </x:is>
      </x:c>
      <x:c r="AJ233" t="inlineStr">
        <x:is>
          <x:t xml:space="preserve">Review, Redress &amp; Assurance</x:t>
        </x:is>
      </x:c>
    </x:row>
    <x:row r="234">
      <x:c r="A234" t="inlineStr">
        <x:is>
          <x:t xml:space="preserve">HR</x:t>
        </x:is>
      </x:c>
      <x:c r="B234" t="inlineStr">
        <x:is>
          <x:t xml:space="preserve">HR-D2-Q05</x:t>
        </x:is>
      </x:c>
      <x:c r="C234" t="inlineStr">
        <x:is>
          <x:t xml:space="preserve">T1</x:t>
        </x:is>
      </x:c>
      <x:c r="D234" t="inlineStr">
        <x:is>
          <x:t xml:space="preserve">2. Protected Reporting</x:t>
        </x:is>
      </x:c>
      <x:c r="E234" t="inlineStr">
        <x:is>
          <x:t xml:space="preserve">H</x:t>
        </x:is>
      </x:c>
      <x:c r="F234" t="n">
        <x:v>0.6</x:v>
      </x:c>
      <x:c r="G234" t="inlineStr">
        <x:is>
          <x:t xml:space="preserve">L</x:t>
        </x:is>
      </x:c>
      <x:c r="H234" t="n">
        <x:v>0.4</x:v>
      </x:c>
      <x:c r="I234" t="inlineStr">
        <x:is>
          <x:t xml:space="preserve">Do employees and contractors have safe ways to raise concerns (including about peers or managers) and are they protected from retaliation?</x:t>
        </x:is>
      </x:c>
      <x:c r="J234" t="inlineStr">
        <x:is>
          <x:t xml:space="preserve">Include hotline/ombuds/HR channels. Protected = non-retaliation rules + process.</x:t>
        </x:is>
      </x:c>
      <x:c r="L234" t="inlineStr">
        <x:is>
          <x:t xml:space="preserve">LEG_STRICT</x:t>
        </x:is>
      </x:c>
      <x:c r="M234" t="n">
        <x:v>1</x:v>
      </x:c>
      <x:c r="P234" t="inlineStr">
        <x:is>
          <x:t xml:space="preserve">HR-D2-Q05-A1</x:t>
        </x:is>
      </x:c>
      <x:c r="Q234" t="n">
        <x:v>2</x:v>
      </x:c>
      <x:c r="R234" t="inlineStr">
        <x:is>
          <x:t xml:space="preserve">No: people mostly stay silent or only talk informally.</x:t>
        </x:is>
      </x:c>
      <x:c r="S234" t="n">
        <x:v>0</x:v>
      </x:c>
      <x:c r="T234" t="inlineStr">
        <x:is>
          <x:t xml:space="preserve">culture_risk,toxic_enforcer_signal</x:t>
        </x:is>
      </x:c>
      <x:c r="U234" t="inlineStr">
        <x:is>
          <x:t xml:space="preserve">Culture Risk</x:t>
        </x:is>
      </x:c>
      <x:c r="V234" t="inlineStr">
        <x:is>
          <x:t xml:space="preserve">Design protected reporting</x:t>
        </x:is>
      </x:c>
      <x:c r="W234" t="inlineStr">
        <x:is>
          <x:t xml:space="preserve">N</x:t>
        </x:is>
      </x:c>
      <x:c r="Y234">
        <x:f>(S234*IF(E234="G",F234,0))+(S234*IF(G234="G",H234,0))</x:f>
      </x:c>
      <x:c r="Z234">
        <x:f>(S234*IF(E234="E",F234,0))+(S234*IF(G234="E",H234,0))</x:f>
      </x:c>
      <x:c r="AA234">
        <x:f>(S234*IF(E234="T",F234,0))+(S234*IF(G234="T",H234,0))</x:f>
      </x:c>
      <x:c r="AB234">
        <x:f>(S234*IF(E234="L",F234,0))+(S234*IF(G234="L",H234,0))</x:f>
      </x:c>
      <x:c r="AC234">
        <x:f>(S234*IF(E234="H",F234,0))+(S234*IF(G234="H",H234,0))</x:f>
      </x:c>
      <x:c r="AD234">
        <x:f>(S234*IF(E234="V",F234,0))+(S234*IF(G234="V",H234,0))</x:f>
      </x:c>
      <x:c r="AE234">
        <x:f>(S234*IF(E234="R",F234,0))+(S234*IF(G234="R",H234,0))</x:f>
      </x:c>
      <x:c r="AF234">
        <x:f>(S234*IF(E234="F",F234,0))+(S234*IF(G234="F",H234,0))</x:f>
      </x:c>
      <x:c r="AG234">
        <x:f>(S234*IF(E234="W",F234,0))+(S234*IF(G234="W",H234,0))</x:f>
      </x:c>
      <x:c r="AH234" t="inlineStr">
        <x:is>
          <x:t xml:space="preserve">4. Legal, Privacy &amp; Ethics</x:t>
        </x:is>
      </x:c>
      <x:c r="AI234" t="inlineStr">
        <x:is>
          <x:t xml:space="preserve">Oversight &amp; Safeguards</x:t>
        </x:is>
      </x:c>
      <x:c r="AJ234" t="inlineStr">
        <x:is>
          <x:t xml:space="preserve">Review, Redress &amp; Assurance</x:t>
        </x:is>
      </x:c>
    </x:row>
    <x:row r="235">
      <x:c r="A235" t="inlineStr">
        <x:is>
          <x:t xml:space="preserve">HR</x:t>
        </x:is>
      </x:c>
      <x:c r="B235" t="inlineStr">
        <x:is>
          <x:t xml:space="preserve">HR-D2-Q05</x:t>
        </x:is>
      </x:c>
      <x:c r="C235" t="inlineStr">
        <x:is>
          <x:t xml:space="preserve">T1</x:t>
        </x:is>
      </x:c>
      <x:c r="D235" t="inlineStr">
        <x:is>
          <x:t xml:space="preserve">2. Protected Reporting</x:t>
        </x:is>
      </x:c>
      <x:c r="E235" t="inlineStr">
        <x:is>
          <x:t xml:space="preserve">H</x:t>
        </x:is>
      </x:c>
      <x:c r="F235" t="n">
        <x:v>0.6</x:v>
      </x:c>
      <x:c r="G235" t="inlineStr">
        <x:is>
          <x:t xml:space="preserve">L</x:t>
        </x:is>
      </x:c>
      <x:c r="H235" t="n">
        <x:v>0.4</x:v>
      </x:c>
      <x:c r="I235" t="inlineStr">
        <x:is>
          <x:t xml:space="preserve">Do employees and contractors have safe ways to raise concerns (including about peers or managers) and are they protected from retaliation?</x:t>
        </x:is>
      </x:c>
      <x:c r="J235" t="inlineStr">
        <x:is>
          <x:t xml:space="preserve">Include hotline/ombuds/HR channels. Protected = non-retaliation rules + process.</x:t>
        </x:is>
      </x:c>
      <x:c r="L235" t="inlineStr">
        <x:is>
          <x:t xml:space="preserve">LEG_STRICT</x:t>
        </x:is>
      </x:c>
      <x:c r="M235" t="n">
        <x:v>1</x:v>
      </x:c>
      <x:c r="P235" t="inlineStr">
        <x:is>
          <x:t xml:space="preserve">HR-D2-Q05-A2</x:t>
        </x:is>
      </x:c>
      <x:c r="Q235" t="n">
        <x:v>3</x:v>
      </x:c>
      <x:c r="R235" t="inlineStr">
        <x:is>
          <x:t xml:space="preserve">Basic: a channel exists, but people fear consequences or don't trust it.</x:t>
        </x:is>
      </x:c>
      <x:c r="S235" t="n">
        <x:v>1</x:v>
      </x:c>
      <x:c r="T235" t="inlineStr">
        <x:is>
          <x:t xml:space="preserve">culture_risk</x:t>
        </x:is>
      </x:c>
      <x:c r="U235" t="inlineStr">
        <x:is>
          <x:t xml:space="preserve">Culture Risk</x:t>
        </x:is>
      </x:c>
      <x:c r="V235" t="inlineStr">
        <x:is>
          <x:t xml:space="preserve">Improve trust &amp; protections</x:t>
        </x:is>
      </x:c>
      <x:c r="W235" t="inlineStr">
        <x:is>
          <x:t xml:space="preserve">N</x:t>
        </x:is>
      </x:c>
      <x:c r="X235" t="inlineStr">
        <x:is>
          <x:t xml:space="preserve">Evidence: channel description, communications.</x:t>
        </x:is>
      </x:c>
      <x:c r="Y235">
        <x:f>(S235*IF(E235="G",F235,0))+(S235*IF(G235="G",H235,0))</x:f>
      </x:c>
      <x:c r="Z235">
        <x:f>(S235*IF(E235="E",F235,0))+(S235*IF(G235="E",H235,0))</x:f>
      </x:c>
      <x:c r="AA235">
        <x:f>(S235*IF(E235="T",F235,0))+(S235*IF(G235="T",H235,0))</x:f>
      </x:c>
      <x:c r="AB235">
        <x:f>(S235*IF(E235="L",F235,0))+(S235*IF(G235="L",H235,0))</x:f>
      </x:c>
      <x:c r="AC235">
        <x:f>(S235*IF(E235="H",F235,0))+(S235*IF(G235="H",H235,0))</x:f>
      </x:c>
      <x:c r="AD235">
        <x:f>(S235*IF(E235="V",F235,0))+(S235*IF(G235="V",H235,0))</x:f>
      </x:c>
      <x:c r="AE235">
        <x:f>(S235*IF(E235="R",F235,0))+(S235*IF(G235="R",H235,0))</x:f>
      </x:c>
      <x:c r="AF235">
        <x:f>(S235*IF(E235="F",F235,0))+(S235*IF(G235="F",H235,0))</x:f>
      </x:c>
      <x:c r="AG235">
        <x:f>(S235*IF(E235="W",F235,0))+(S235*IF(G235="W",H235,0))</x:f>
      </x:c>
      <x:c r="AH235" t="inlineStr">
        <x:is>
          <x:t xml:space="preserve">4. Legal, Privacy &amp; Ethics</x:t>
        </x:is>
      </x:c>
      <x:c r="AI235" t="inlineStr">
        <x:is>
          <x:t xml:space="preserve">Oversight &amp; Safeguards</x:t>
        </x:is>
      </x:c>
      <x:c r="AJ235" t="inlineStr">
        <x:is>
          <x:t xml:space="preserve">Review, Redress &amp; Assurance</x:t>
        </x:is>
      </x:c>
    </x:row>
    <x:row r="236">
      <x:c r="A236" t="inlineStr">
        <x:is>
          <x:t xml:space="preserve">HR</x:t>
        </x:is>
      </x:c>
      <x:c r="B236" t="inlineStr">
        <x:is>
          <x:t xml:space="preserve">HR-D2-Q05</x:t>
        </x:is>
      </x:c>
      <x:c r="C236" t="inlineStr">
        <x:is>
          <x:t xml:space="preserve">T1</x:t>
        </x:is>
      </x:c>
      <x:c r="D236" t="inlineStr">
        <x:is>
          <x:t xml:space="preserve">2. Protected Reporting</x:t>
        </x:is>
      </x:c>
      <x:c r="E236" t="inlineStr">
        <x:is>
          <x:t xml:space="preserve">H</x:t>
        </x:is>
      </x:c>
      <x:c r="F236" t="n">
        <x:v>0.6</x:v>
      </x:c>
      <x:c r="G236" t="inlineStr">
        <x:is>
          <x:t xml:space="preserve">L</x:t>
        </x:is>
      </x:c>
      <x:c r="H236" t="n">
        <x:v>0.4</x:v>
      </x:c>
      <x:c r="I236" t="inlineStr">
        <x:is>
          <x:t xml:space="preserve">Do employees and contractors have safe ways to raise concerns (including about peers or managers) and are they protected from retaliation?</x:t>
        </x:is>
      </x:c>
      <x:c r="J236" t="inlineStr">
        <x:is>
          <x:t xml:space="preserve">Include hotline/ombuds/HR channels. Protected = non-retaliation rules + process.</x:t>
        </x:is>
      </x:c>
      <x:c r="L236" t="inlineStr">
        <x:is>
          <x:t xml:space="preserve">LEG_STRICT</x:t>
        </x:is>
      </x:c>
      <x:c r="M236" t="n">
        <x:v>1</x:v>
      </x:c>
      <x:c r="P236" t="inlineStr">
        <x:is>
          <x:t xml:space="preserve">HR-D2-Q05-A3</x:t>
        </x:is>
      </x:c>
      <x:c r="Q236" t="n">
        <x:v>4</x:v>
      </x:c>
      <x:c r="R236" t="inlineStr">
        <x:is>
          <x:t xml:space="preserve">Defined: multiple channels exist and non-retaliation is communicated, but quality varies.</x:t>
        </x:is>
      </x:c>
      <x:c r="S236" t="n">
        <x:v>2</x:v>
      </x:c>
      <x:c r="U236" t="inlineStr">
        <x:is>
          <x:t xml:space="preserve">Culture Risk</x:t>
        </x:is>
      </x:c>
      <x:c r="V236" t="inlineStr">
        <x:is>
          <x:t xml:space="preserve">Strengthen triage &amp; feedback</x:t>
        </x:is>
      </x:c>
      <x:c r="W236" t="inlineStr">
        <x:is>
          <x:t xml:space="preserve">N</x:t>
        </x:is>
      </x:c>
      <x:c r="X236" t="inlineStr">
        <x:is>
          <x:t xml:space="preserve">Evidence: policy + comms.</x:t>
        </x:is>
      </x:c>
      <x:c r="Y236">
        <x:f>(S236*IF(E236="G",F236,0))+(S236*IF(G236="G",H236,0))</x:f>
      </x:c>
      <x:c r="Z236">
        <x:f>(S236*IF(E236="E",F236,0))+(S236*IF(G236="E",H236,0))</x:f>
      </x:c>
      <x:c r="AA236">
        <x:f>(S236*IF(E236="T",F236,0))+(S236*IF(G236="T",H236,0))</x:f>
      </x:c>
      <x:c r="AB236">
        <x:f>(S236*IF(E236="L",F236,0))+(S236*IF(G236="L",H236,0))</x:f>
      </x:c>
      <x:c r="AC236">
        <x:f>(S236*IF(E236="H",F236,0))+(S236*IF(G236="H",H236,0))</x:f>
      </x:c>
      <x:c r="AD236">
        <x:f>(S236*IF(E236="V",F236,0))+(S236*IF(G236="V",H236,0))</x:f>
      </x:c>
      <x:c r="AE236">
        <x:f>(S236*IF(E236="R",F236,0))+(S236*IF(G236="R",H236,0))</x:f>
      </x:c>
      <x:c r="AF236">
        <x:f>(S236*IF(E236="F",F236,0))+(S236*IF(G236="F",H236,0))</x:f>
      </x:c>
      <x:c r="AG236">
        <x:f>(S236*IF(E236="W",F236,0))+(S236*IF(G236="W",H236,0))</x:f>
      </x:c>
      <x:c r="AH236" t="inlineStr">
        <x:is>
          <x:t xml:space="preserve">4. Legal, Privacy &amp; Ethics</x:t>
        </x:is>
      </x:c>
      <x:c r="AI236" t="inlineStr">
        <x:is>
          <x:t xml:space="preserve">Oversight &amp; Safeguards</x:t>
        </x:is>
      </x:c>
      <x:c r="AJ236" t="inlineStr">
        <x:is>
          <x:t xml:space="preserve">Review, Redress &amp; Assurance</x:t>
        </x:is>
      </x:c>
    </x:row>
    <x:row r="237">
      <x:c r="A237" t="inlineStr">
        <x:is>
          <x:t xml:space="preserve">HR</x:t>
        </x:is>
      </x:c>
      <x:c r="B237" t="inlineStr">
        <x:is>
          <x:t xml:space="preserve">HR-D2-Q05</x:t>
        </x:is>
      </x:c>
      <x:c r="C237" t="inlineStr">
        <x:is>
          <x:t xml:space="preserve">T1</x:t>
        </x:is>
      </x:c>
      <x:c r="D237" t="inlineStr">
        <x:is>
          <x:t xml:space="preserve">2. Protected Reporting</x:t>
        </x:is>
      </x:c>
      <x:c r="E237" t="inlineStr">
        <x:is>
          <x:t xml:space="preserve">H</x:t>
        </x:is>
      </x:c>
      <x:c r="F237" t="n">
        <x:v>0.6</x:v>
      </x:c>
      <x:c r="G237" t="inlineStr">
        <x:is>
          <x:t xml:space="preserve">L</x:t>
        </x:is>
      </x:c>
      <x:c r="H237" t="n">
        <x:v>0.4</x:v>
      </x:c>
      <x:c r="I237" t="inlineStr">
        <x:is>
          <x:t xml:space="preserve">Do employees and contractors have safe ways to raise concerns (including about peers or managers) and are they protected from retaliation?</x:t>
        </x:is>
      </x:c>
      <x:c r="J237" t="inlineStr">
        <x:is>
          <x:t xml:space="preserve">Include hotline/ombuds/HR channels. Protected = non-retaliation rules + process.</x:t>
        </x:is>
      </x:c>
      <x:c r="L237" t="inlineStr">
        <x:is>
          <x:t xml:space="preserve">LEG_STRICT</x:t>
        </x:is>
      </x:c>
      <x:c r="M237" t="n">
        <x:v>1</x:v>
      </x:c>
      <x:c r="P237" t="inlineStr">
        <x:is>
          <x:t xml:space="preserve">HR-D2-Q05-A4</x:t>
        </x:is>
      </x:c>
      <x:c r="Q237" t="n">
        <x:v>5</x:v>
      </x:c>
      <x:c r="R237" t="inlineStr">
        <x:is>
          <x:t xml:space="preserve">Trusted: channels are used; confidentiality respected; retaliation investigated.</x:t>
        </x:is>
      </x:c>
      <x:c r="S237" t="n">
        <x:v>3</x:v>
      </x:c>
      <x:c r="U237" t="inlineStr">
        <x:is>
          <x:t xml:space="preserve">Culture Risk</x:t>
        </x:is>
      </x:c>
      <x:c r="V237" t="inlineStr">
        <x:is>
          <x:t xml:space="preserve">Maintain and measure trust</x:t>
        </x:is>
      </x:c>
      <x:c r="W237" t="inlineStr">
        <x:is>
          <x:t xml:space="preserve">N</x:t>
        </x:is>
      </x:c>
      <x:c r="X237" t="inlineStr">
        <x:is>
          <x:t xml:space="preserve">Evidence: anonymized metrics on reports/retaliation.</x:t>
        </x:is>
      </x:c>
      <x:c r="Y237">
        <x:f>(S237*IF(E237="G",F237,0))+(S237*IF(G237="G",H237,0))</x:f>
      </x:c>
      <x:c r="Z237">
        <x:f>(S237*IF(E237="E",F237,0))+(S237*IF(G237="E",H237,0))</x:f>
      </x:c>
      <x:c r="AA237">
        <x:f>(S237*IF(E237="T",F237,0))+(S237*IF(G237="T",H237,0))</x:f>
      </x:c>
      <x:c r="AB237">
        <x:f>(S237*IF(E237="L",F237,0))+(S237*IF(G237="L",H237,0))</x:f>
      </x:c>
      <x:c r="AC237">
        <x:f>(S237*IF(E237="H",F237,0))+(S237*IF(G237="H",H237,0))</x:f>
      </x:c>
      <x:c r="AD237">
        <x:f>(S237*IF(E237="V",F237,0))+(S237*IF(G237="V",H237,0))</x:f>
      </x:c>
      <x:c r="AE237">
        <x:f>(S237*IF(E237="R",F237,0))+(S237*IF(G237="R",H237,0))</x:f>
      </x:c>
      <x:c r="AF237">
        <x:f>(S237*IF(E237="F",F237,0))+(S237*IF(G237="F",H237,0))</x:f>
      </x:c>
      <x:c r="AG237">
        <x:f>(S237*IF(E237="W",F237,0))+(S237*IF(G237="W",H237,0))</x:f>
      </x:c>
      <x:c r="AH237" t="inlineStr">
        <x:is>
          <x:t xml:space="preserve">4. Legal, Privacy &amp; Ethics</x:t>
        </x:is>
      </x:c>
      <x:c r="AI237" t="inlineStr">
        <x:is>
          <x:t xml:space="preserve">Oversight &amp; Safeguards</x:t>
        </x:is>
      </x:c>
      <x:c r="AJ237" t="inlineStr">
        <x:is>
          <x:t xml:space="preserve">Review, Redress &amp; Assurance</x:t>
        </x:is>
      </x:c>
    </x:row>
    <x:row r="238">
      <x:c r="A238" t="inlineStr">
        <x:is>
          <x:t xml:space="preserve">HR</x:t>
        </x:is>
      </x:c>
      <x:c r="B238" t="inlineStr">
        <x:is>
          <x:t xml:space="preserve">HR-D2-Q05</x:t>
        </x:is>
      </x:c>
      <x:c r="C238" t="inlineStr">
        <x:is>
          <x:t xml:space="preserve">T1</x:t>
        </x:is>
      </x:c>
      <x:c r="D238" t="inlineStr">
        <x:is>
          <x:t xml:space="preserve">2. Protected Reporting</x:t>
        </x:is>
      </x:c>
      <x:c r="E238" t="inlineStr">
        <x:is>
          <x:t xml:space="preserve">H</x:t>
        </x:is>
      </x:c>
      <x:c r="F238" t="n">
        <x:v>0.6</x:v>
      </x:c>
      <x:c r="G238" t="inlineStr">
        <x:is>
          <x:t xml:space="preserve">L</x:t>
        </x:is>
      </x:c>
      <x:c r="H238" t="n">
        <x:v>0.4</x:v>
      </x:c>
      <x:c r="I238" t="inlineStr">
        <x:is>
          <x:t xml:space="preserve">Do employees and contractors have safe ways to raise concerns (including about peers or managers) and are they protected from retaliation?</x:t>
        </x:is>
      </x:c>
      <x:c r="J238" t="inlineStr">
        <x:is>
          <x:t xml:space="preserve">Include hotline/ombuds/HR channels. Protected = non-retaliation rules + process.</x:t>
        </x:is>
      </x:c>
      <x:c r="L238" t="inlineStr">
        <x:is>
          <x:t xml:space="preserve">LEG_STRICT</x:t>
        </x:is>
      </x:c>
      <x:c r="M238" t="n">
        <x:v>1</x:v>
      </x:c>
      <x:c r="P238" t="inlineStr">
        <x:is>
          <x:t xml:space="preserve">HR-D2-Q05-A5</x:t>
        </x:is>
      </x:c>
      <x:c r="Q238" t="n">
        <x:v>6</x:v>
      </x:c>
      <x:c r="R238" t="inlineStr">
        <x:is>
          <x:t xml:space="preserve">High trust: people report early; outcomes drive improvements; trust is measured.</x:t>
        </x:is>
      </x:c>
      <x:c r="S238" t="n">
        <x:v>4</x:v>
      </x:c>
      <x:c r="U238" t="inlineStr">
        <x:is>
          <x:t xml:space="preserve">Culture Risk</x:t>
        </x:is>
      </x:c>
      <x:c r="V238" t="inlineStr">
        <x:is>
          <x:t xml:space="preserve">Maintain maturity</x:t>
        </x:is>
      </x:c>
      <x:c r="W238" t="inlineStr">
        <x:is>
          <x:t xml:space="preserve">N</x:t>
        </x:is>
      </x:c>
      <x:c r="X238" t="inlineStr">
        <x:is>
          <x:t xml:space="preserve">Evidence: trends + action plans.</x:t>
        </x:is>
      </x:c>
      <x:c r="Y238">
        <x:f>(S238*IF(E238="G",F238,0))+(S238*IF(G238="G",H238,0))</x:f>
      </x:c>
      <x:c r="Z238">
        <x:f>(S238*IF(E238="E",F238,0))+(S238*IF(G238="E",H238,0))</x:f>
      </x:c>
      <x:c r="AA238">
        <x:f>(S238*IF(E238="T",F238,0))+(S238*IF(G238="T",H238,0))</x:f>
      </x:c>
      <x:c r="AB238">
        <x:f>(S238*IF(E238="L",F238,0))+(S238*IF(G238="L",H238,0))</x:f>
      </x:c>
      <x:c r="AC238">
        <x:f>(S238*IF(E238="H",F238,0))+(S238*IF(G238="H",H238,0))</x:f>
      </x:c>
      <x:c r="AD238">
        <x:f>(S238*IF(E238="V",F238,0))+(S238*IF(G238="V",H238,0))</x:f>
      </x:c>
      <x:c r="AE238">
        <x:f>(S238*IF(E238="R",F238,0))+(S238*IF(G238="R",H238,0))</x:f>
      </x:c>
      <x:c r="AF238">
        <x:f>(S238*IF(E238="F",F238,0))+(S238*IF(G238="F",H238,0))</x:f>
      </x:c>
      <x:c r="AG238">
        <x:f>(S238*IF(E238="W",F238,0))+(S238*IF(G238="W",H238,0))</x:f>
      </x:c>
      <x:c r="AH238" t="inlineStr">
        <x:is>
          <x:t xml:space="preserve">4. Legal, Privacy &amp; Ethics</x:t>
        </x:is>
      </x:c>
      <x:c r="AI238" t="inlineStr">
        <x:is>
          <x:t xml:space="preserve">Oversight &amp; Safeguards</x:t>
        </x:is>
      </x:c>
      <x:c r="AJ238" t="inlineStr">
        <x:is>
          <x:t xml:space="preserve">Review, Redress &amp; Assurance</x:t>
        </x:is>
      </x:c>
    </x:row>
    <x:row r="239">
      <x:c r="A239" t="inlineStr">
        <x:is>
          <x:t xml:space="preserve">HR</x:t>
        </x:is>
      </x:c>
      <x:c r="B239" t="inlineStr">
        <x:is>
          <x:t xml:space="preserve">HR-D2-Q06</x:t>
        </x:is>
      </x:c>
      <x:c r="C239" t="inlineStr">
        <x:is>
          <x:t xml:space="preserve">T2</x:t>
        </x:is>
      </x:c>
      <x:c r="D239" t="inlineStr">
        <x:is>
          <x:t xml:space="preserve">2. Protected Reporting</x:t>
        </x:is>
      </x:c>
      <x:c r="E239" t="inlineStr">
        <x:is>
          <x:t xml:space="preserve">H</x:t>
        </x:is>
      </x:c>
      <x:c r="F239" t="n">
        <x:v>1</x:v>
      </x:c>
      <x:c r="G239" t="inlineStr">
        <x:is>
          <x:t xml:space="preserve">-</x:t>
        </x:is>
      </x:c>
      <x:c r="I239" t="inlineStr">
        <x:is>
          <x:t xml:space="preserve">(Shadow probe) If there is no formal channel, how do concerns actually get raised today?</x:t>
        </x:is>
      </x:c>
      <x:c r="J239" t="inlineStr">
        <x:is>
          <x:t xml:space="preserve">Captures practical reality in low-maturity settings.</x:t>
        </x:is>
      </x:c>
      <x:c r="L239" t="inlineStr">
        <x:is>
          <x:t xml:space="preserve">CULT_SOFT</x:t>
        </x:is>
      </x:c>
      <x:c r="M239" t="n">
        <x:v>1.5</x:v>
      </x:c>
      <x:c r="N239" t="n">
        <x:v>0.5</x:v>
      </x:c>
      <x:c r="P239" t="inlineStr">
        <x:is>
          <x:t xml:space="preserve">HR-D2-Q06-A1</x:t>
        </x:is>
      </x:c>
      <x:c r="Q239" t="n">
        <x:v>1</x:v>
      </x:c>
      <x:c r="R239" t="inlineStr">
        <x:is>
          <x:t xml:space="preserve">They usually aren’t raised; people avoid speaking up.</x:t>
        </x:is>
      </x:c>
      <x:c r="S239" t="n">
        <x:v>0</x:v>
      </x:c>
      <x:c r="T239" t="inlineStr">
        <x:is>
          <x:t xml:space="preserve">culture_risk</x:t>
        </x:is>
      </x:c>
      <x:c r="U239" t="inlineStr">
        <x:is>
          <x:t xml:space="preserve">Culture Risk</x:t>
        </x:is>
      </x:c>
      <x:c r="V239" t="inlineStr">
        <x:is>
          <x:t xml:space="preserve">Implement channels</x:t>
        </x:is>
      </x:c>
      <x:c r="W239" t="inlineStr">
        <x:is>
          <x:t xml:space="preserve">N</x:t>
        </x:is>
      </x:c>
      <x:c r="Y239">
        <x:f>(S239*IF(E239="G",F239,0))+(S239*IF(G239="G",H239,0))</x:f>
      </x:c>
      <x:c r="Z239">
        <x:f>(S239*IF(E239="E",F239,0))+(S239*IF(G239="E",H239,0))</x:f>
      </x:c>
      <x:c r="AA239">
        <x:f>(S239*IF(E239="T",F239,0))+(S239*IF(G239="T",H239,0))</x:f>
      </x:c>
      <x:c r="AB239">
        <x:f>(S239*IF(E239="L",F239,0))+(S239*IF(G239="L",H239,0))</x:f>
      </x:c>
      <x:c r="AC239">
        <x:f>(S239*IF(E239="H",F239,0))+(S239*IF(G239="H",H239,0))</x:f>
      </x:c>
      <x:c r="AD239">
        <x:f>(S239*IF(E239="V",F239,0))+(S239*IF(G239="V",H239,0))</x:f>
      </x:c>
      <x:c r="AE239">
        <x:f>(S239*IF(E239="R",F239,0))+(S239*IF(G239="R",H239,0))</x:f>
      </x:c>
      <x:c r="AF239">
        <x:f>(S239*IF(E239="F",F239,0))+(S239*IF(G239="F",H239,0))</x:f>
      </x:c>
      <x:c r="AG239">
        <x:f>(S239*IF(E239="W",F239,0))+(S239*IF(G239="W",H239,0))</x:f>
      </x:c>
      <x:c r="AH239" t="inlineStr">
        <x:is>
          <x:t xml:space="preserve">9. Performance &amp; Resilience</x:t>
        </x:is>
      </x:c>
      <x:c r="AI239" t="inlineStr">
        <x:is>
          <x:t xml:space="preserve">Assurance &amp; Metrics</x:t>
        </x:is>
      </x:c>
      <x:c r="AJ239" t="inlineStr">
        <x:is>
          <x:t xml:space="preserve">Maturity benchmarking &amp; audit readiness</x:t>
        </x:is>
      </x:c>
    </x:row>
    <x:row r="240">
      <x:c r="A240" t="inlineStr">
        <x:is>
          <x:t xml:space="preserve">HR</x:t>
        </x:is>
      </x:c>
      <x:c r="B240" t="inlineStr">
        <x:is>
          <x:t xml:space="preserve">HR-D2-Q06</x:t>
        </x:is>
      </x:c>
      <x:c r="C240" t="inlineStr">
        <x:is>
          <x:t xml:space="preserve">T2</x:t>
        </x:is>
      </x:c>
      <x:c r="D240" t="inlineStr">
        <x:is>
          <x:t xml:space="preserve">2. Protected Reporting</x:t>
        </x:is>
      </x:c>
      <x:c r="E240" t="inlineStr">
        <x:is>
          <x:t xml:space="preserve">H</x:t>
        </x:is>
      </x:c>
      <x:c r="F240" t="n">
        <x:v>1</x:v>
      </x:c>
      <x:c r="G240" t="inlineStr">
        <x:is>
          <x:t xml:space="preserve">-</x:t>
        </x:is>
      </x:c>
      <x:c r="I240" t="inlineStr">
        <x:is>
          <x:t xml:space="preserve">(Shadow probe) If there is no formal channel, how do concerns actually get raised today?</x:t>
        </x:is>
      </x:c>
      <x:c r="J240" t="inlineStr">
        <x:is>
          <x:t xml:space="preserve">Captures practical reality in low-maturity settings.</x:t>
        </x:is>
      </x:c>
      <x:c r="L240" t="inlineStr">
        <x:is>
          <x:t xml:space="preserve">CULT_SOFT</x:t>
        </x:is>
      </x:c>
      <x:c r="M240" t="n">
        <x:v>1.5</x:v>
      </x:c>
      <x:c r="N240" t="n">
        <x:v>0.5</x:v>
      </x:c>
      <x:c r="P240" t="inlineStr">
        <x:is>
          <x:t xml:space="preserve">HR-D2-Q06-A2</x:t>
        </x:is>
      </x:c>
      <x:c r="Q240" t="n">
        <x:v>2</x:v>
      </x:c>
      <x:c r="R240" t="inlineStr">
        <x:is>
          <x:t xml:space="preserve">Only to a trusted manager/HR contact; depends on relationships.</x:t>
        </x:is>
      </x:c>
      <x:c r="S240" t="n">
        <x:v>1</x:v>
      </x:c>
      <x:c r="T240" t="inlineStr">
        <x:is>
          <x:t xml:space="preserve">key_person_dependency</x:t>
        </x:is>
      </x:c>
      <x:c r="U240" t="inlineStr">
        <x:is>
          <x:t xml:space="preserve">Culture Risk</x:t>
        </x:is>
      </x:c>
      <x:c r="V240" t="inlineStr">
        <x:is>
          <x:t xml:space="preserve">Create consistent process</x:t>
        </x:is>
      </x:c>
      <x:c r="W240" t="inlineStr">
        <x:is>
          <x:t xml:space="preserve">N</x:t>
        </x:is>
      </x:c>
      <x:c r="Y240">
        <x:f>(S240*IF(E240="G",F240,0))+(S240*IF(G240="G",H240,0))</x:f>
      </x:c>
      <x:c r="Z240">
        <x:f>(S240*IF(E240="E",F240,0))+(S240*IF(G240="E",H240,0))</x:f>
      </x:c>
      <x:c r="AA240">
        <x:f>(S240*IF(E240="T",F240,0))+(S240*IF(G240="T",H240,0))</x:f>
      </x:c>
      <x:c r="AB240">
        <x:f>(S240*IF(E240="L",F240,0))+(S240*IF(G240="L",H240,0))</x:f>
      </x:c>
      <x:c r="AC240">
        <x:f>(S240*IF(E240="H",F240,0))+(S240*IF(G240="H",H240,0))</x:f>
      </x:c>
      <x:c r="AD240">
        <x:f>(S240*IF(E240="V",F240,0))+(S240*IF(G240="V",H240,0))</x:f>
      </x:c>
      <x:c r="AE240">
        <x:f>(S240*IF(E240="R",F240,0))+(S240*IF(G240="R",H240,0))</x:f>
      </x:c>
      <x:c r="AF240">
        <x:f>(S240*IF(E240="F",F240,0))+(S240*IF(G240="F",H240,0))</x:f>
      </x:c>
      <x:c r="AG240">
        <x:f>(S240*IF(E240="W",F240,0))+(S240*IF(G240="W",H240,0))</x:f>
      </x:c>
      <x:c r="AH240" t="inlineStr">
        <x:is>
          <x:t xml:space="preserve">9. Performance &amp; Resilience</x:t>
        </x:is>
      </x:c>
      <x:c r="AI240" t="inlineStr">
        <x:is>
          <x:t xml:space="preserve">Assurance &amp; Metrics</x:t>
        </x:is>
      </x:c>
      <x:c r="AJ240" t="inlineStr">
        <x:is>
          <x:t xml:space="preserve">Maturity benchmarking &amp; audit readiness</x:t>
        </x:is>
      </x:c>
    </x:row>
    <x:row r="241">
      <x:c r="A241" t="inlineStr">
        <x:is>
          <x:t xml:space="preserve">HR</x:t>
        </x:is>
      </x:c>
      <x:c r="B241" t="inlineStr">
        <x:is>
          <x:t xml:space="preserve">HR-D2-Q06</x:t>
        </x:is>
      </x:c>
      <x:c r="C241" t="inlineStr">
        <x:is>
          <x:t xml:space="preserve">T2</x:t>
        </x:is>
      </x:c>
      <x:c r="D241" t="inlineStr">
        <x:is>
          <x:t xml:space="preserve">2. Protected Reporting</x:t>
        </x:is>
      </x:c>
      <x:c r="E241" t="inlineStr">
        <x:is>
          <x:t xml:space="preserve">H</x:t>
        </x:is>
      </x:c>
      <x:c r="F241" t="n">
        <x:v>1</x:v>
      </x:c>
      <x:c r="G241" t="inlineStr">
        <x:is>
          <x:t xml:space="preserve">-</x:t>
        </x:is>
      </x:c>
      <x:c r="I241" t="inlineStr">
        <x:is>
          <x:t xml:space="preserve">(Shadow probe) If there is no formal channel, how do concerns actually get raised today?</x:t>
        </x:is>
      </x:c>
      <x:c r="J241" t="inlineStr">
        <x:is>
          <x:t xml:space="preserve">Captures practical reality in low-maturity settings.</x:t>
        </x:is>
      </x:c>
      <x:c r="L241" t="inlineStr">
        <x:is>
          <x:t xml:space="preserve">CULT_SOFT</x:t>
        </x:is>
      </x:c>
      <x:c r="M241" t="n">
        <x:v>1.5</x:v>
      </x:c>
      <x:c r="N241" t="n">
        <x:v>0.5</x:v>
      </x:c>
      <x:c r="P241" t="inlineStr">
        <x:is>
          <x:t xml:space="preserve">HR-D2-Q06-A3</x:t>
        </x:is>
      </x:c>
      <x:c r="Q241" t="n">
        <x:v>3</x:v>
      </x:c>
      <x:c r="R241" t="inlineStr">
        <x:is>
          <x:t xml:space="preserve">Sometimes reported, but follow-up is inconsistent and not documented.</x:t>
        </x:is>
      </x:c>
      <x:c r="S241" t="n">
        <x:v>2</x:v>
      </x:c>
      <x:c r="T241" t="inlineStr">
        <x:is>
          <x:t xml:space="preserve">shadow_mature_signal</x:t>
        </x:is>
      </x:c>
      <x:c r="U241" t="inlineStr">
        <x:is>
          <x:t xml:space="preserve">Operating Model Gap</x:t>
        </x:is>
      </x:c>
      <x:c r="V241" t="inlineStr">
        <x:is>
          <x:t xml:space="preserve">Standardize triage</x:t>
        </x:is>
      </x:c>
      <x:c r="W241" t="inlineStr">
        <x:is>
          <x:t xml:space="preserve">N</x:t>
        </x:is>
      </x:c>
      <x:c r="Y241">
        <x:f>(S241*IF(E241="G",F241,0))+(S241*IF(G241="G",H241,0))</x:f>
      </x:c>
      <x:c r="Z241">
        <x:f>(S241*IF(E241="E",F241,0))+(S241*IF(G241="E",H241,0))</x:f>
      </x:c>
      <x:c r="AA241">
        <x:f>(S241*IF(E241="T",F241,0))+(S241*IF(G241="T",H241,0))</x:f>
      </x:c>
      <x:c r="AB241">
        <x:f>(S241*IF(E241="L",F241,0))+(S241*IF(G241="L",H241,0))</x:f>
      </x:c>
      <x:c r="AC241">
        <x:f>(S241*IF(E241="H",F241,0))+(S241*IF(G241="H",H241,0))</x:f>
      </x:c>
      <x:c r="AD241">
        <x:f>(S241*IF(E241="V",F241,0))+(S241*IF(G241="V",H241,0))</x:f>
      </x:c>
      <x:c r="AE241">
        <x:f>(S241*IF(E241="R",F241,0))+(S241*IF(G241="R",H241,0))</x:f>
      </x:c>
      <x:c r="AF241">
        <x:f>(S241*IF(E241="F",F241,0))+(S241*IF(G241="F",H241,0))</x:f>
      </x:c>
      <x:c r="AG241">
        <x:f>(S241*IF(E241="W",F241,0))+(S241*IF(G241="W",H241,0))</x:f>
      </x:c>
      <x:c r="AH241" t="inlineStr">
        <x:is>
          <x:t xml:space="preserve">9. Performance &amp; Resilience</x:t>
        </x:is>
      </x:c>
      <x:c r="AI241" t="inlineStr">
        <x:is>
          <x:t xml:space="preserve">Assurance &amp; Metrics</x:t>
        </x:is>
      </x:c>
      <x:c r="AJ241" t="inlineStr">
        <x:is>
          <x:t xml:space="preserve">Maturity benchmarking &amp; audit readiness</x:t>
        </x:is>
      </x:c>
    </x:row>
    <x:row r="242">
      <x:c r="A242" t="inlineStr">
        <x:is>
          <x:t xml:space="preserve">HR</x:t>
        </x:is>
      </x:c>
      <x:c r="B242" t="inlineStr">
        <x:is>
          <x:t xml:space="preserve">HR-D2-Q06</x:t>
        </x:is>
      </x:c>
      <x:c r="C242" t="inlineStr">
        <x:is>
          <x:t xml:space="preserve">T2</x:t>
        </x:is>
      </x:c>
      <x:c r="D242" t="inlineStr">
        <x:is>
          <x:t xml:space="preserve">2. Protected Reporting</x:t>
        </x:is>
      </x:c>
      <x:c r="E242" t="inlineStr">
        <x:is>
          <x:t xml:space="preserve">H</x:t>
        </x:is>
      </x:c>
      <x:c r="F242" t="n">
        <x:v>1</x:v>
      </x:c>
      <x:c r="G242" t="inlineStr">
        <x:is>
          <x:t xml:space="preserve">-</x:t>
        </x:is>
      </x:c>
      <x:c r="I242" t="inlineStr">
        <x:is>
          <x:t xml:space="preserve">(Shadow probe) If there is no formal channel, how do concerns actually get raised today?</x:t>
        </x:is>
      </x:c>
      <x:c r="J242" t="inlineStr">
        <x:is>
          <x:t xml:space="preserve">Captures practical reality in low-maturity settings.</x:t>
        </x:is>
      </x:c>
      <x:c r="L242" t="inlineStr">
        <x:is>
          <x:t xml:space="preserve">CULT_SOFT</x:t>
        </x:is>
      </x:c>
      <x:c r="M242" t="n">
        <x:v>1.5</x:v>
      </x:c>
      <x:c r="N242" t="n">
        <x:v>0.5</x:v>
      </x:c>
      <x:c r="P242" t="inlineStr">
        <x:is>
          <x:t xml:space="preserve">HR-D2-Q06-A4</x:t>
        </x:is>
      </x:c>
      <x:c r="Q242" t="n">
        <x:v>4</x:v>
      </x:c>
      <x:c r="R242" t="inlineStr">
        <x:is>
          <x:t xml:space="preserve">Raised and acted on quickly even if informal; patterns discussed.</x:t>
        </x:is>
      </x:c>
      <x:c r="S242" t="n">
        <x:v>3</x:v>
      </x:c>
      <x:c r="T242" t="inlineStr">
        <x:is>
          <x:t xml:space="preserve">shadow_mature_signal</x:t>
        </x:is>
      </x:c>
      <x:c r="U242" t="inlineStr">
        <x:is>
          <x:t xml:space="preserve">Culture Risk</x:t>
        </x:is>
      </x:c>
      <x:c r="V242" t="inlineStr">
        <x:is>
          <x:t xml:space="preserve">Formalize without harming trust</x:t>
        </x:is>
      </x:c>
      <x:c r="W242" t="inlineStr">
        <x:is>
          <x:t xml:space="preserve">N</x:t>
        </x:is>
      </x:c>
      <x:c r="X242" t="inlineStr">
        <x:is>
          <x:t xml:space="preserve">Example: concerns per quarter.</x:t>
        </x:is>
      </x:c>
      <x:c r="Y242">
        <x:f>(S242*IF(E242="G",F242,0))+(S242*IF(G242="G",H242,0))</x:f>
      </x:c>
      <x:c r="Z242">
        <x:f>(S242*IF(E242="E",F242,0))+(S242*IF(G242="E",H242,0))</x:f>
      </x:c>
      <x:c r="AA242">
        <x:f>(S242*IF(E242="T",F242,0))+(S242*IF(G242="T",H242,0))</x:f>
      </x:c>
      <x:c r="AB242">
        <x:f>(S242*IF(E242="L",F242,0))+(S242*IF(G242="L",H242,0))</x:f>
      </x:c>
      <x:c r="AC242">
        <x:f>(S242*IF(E242="H",F242,0))+(S242*IF(G242="H",H242,0))</x:f>
      </x:c>
      <x:c r="AD242">
        <x:f>(S242*IF(E242="V",F242,0))+(S242*IF(G242="V",H242,0))</x:f>
      </x:c>
      <x:c r="AE242">
        <x:f>(S242*IF(E242="R",F242,0))+(S242*IF(G242="R",H242,0))</x:f>
      </x:c>
      <x:c r="AF242">
        <x:f>(S242*IF(E242="F",F242,0))+(S242*IF(G242="F",H242,0))</x:f>
      </x:c>
      <x:c r="AG242">
        <x:f>(S242*IF(E242="W",F242,0))+(S242*IF(G242="W",H242,0))</x:f>
      </x:c>
      <x:c r="AH242" t="inlineStr">
        <x:is>
          <x:t xml:space="preserve">9. Performance &amp; Resilience</x:t>
        </x:is>
      </x:c>
      <x:c r="AI242" t="inlineStr">
        <x:is>
          <x:t xml:space="preserve">Assurance &amp; Metrics</x:t>
        </x:is>
      </x:c>
      <x:c r="AJ242" t="inlineStr">
        <x:is>
          <x:t xml:space="preserve">Maturity benchmarking &amp; audit readiness</x:t>
        </x:is>
      </x:c>
    </x:row>
    <x:row r="243">
      <x:c r="A243" t="inlineStr">
        <x:is>
          <x:t xml:space="preserve">HR</x:t>
        </x:is>
      </x:c>
      <x:c r="B243" t="inlineStr">
        <x:is>
          <x:t xml:space="preserve">HR-D2-Q07</x:t>
        </x:is>
      </x:c>
      <x:c r="C243" t="inlineStr">
        <x:is>
          <x:t xml:space="preserve">T2</x:t>
        </x:is>
      </x:c>
      <x:c r="D243" t="inlineStr">
        <x:is>
          <x:t xml:space="preserve">2. Protected Reporting</x:t>
        </x:is>
      </x:c>
      <x:c r="E243" t="inlineStr">
        <x:is>
          <x:t xml:space="preserve">L</x:t>
        </x:is>
      </x:c>
      <x:c r="F243" t="n">
        <x:v>0.5</x:v>
      </x:c>
      <x:c r="G243" t="inlineStr">
        <x:is>
          <x:t xml:space="preserve">H</x:t>
        </x:is>
      </x:c>
      <x:c r="H243" t="n">
        <x:v>0.5</x:v>
      </x:c>
      <x:c r="I243" t="inlineStr">
        <x:is>
          <x:t xml:space="preserve">How do you prevent and respond to retaliation against reporters (or witnesses)?</x:t>
        </x:is>
      </x:c>
      <x:c r="J243" t="inlineStr">
        <x:is>
          <x:t xml:space="preserve">Include policy, manager training, investigation steps, and consequences.</x:t>
        </x:is>
      </x:c>
      <x:c r="L243" t="inlineStr">
        <x:is>
          <x:t xml:space="preserve">LEG_STRICT</x:t>
        </x:is>
      </x:c>
      <x:c r="M243" t="n">
        <x:v>1.5</x:v>
      </x:c>
      <x:c r="N243" t="n">
        <x:v>0.5</x:v>
      </x:c>
      <x:c r="P243" t="inlineStr">
        <x:is>
          <x:t xml:space="preserve">HR-D2-Q07-A1</x:t>
        </x:is>
      </x:c>
      <x:c r="Q243" t="n">
        <x:v>1</x:v>
      </x:c>
      <x:c r="R243" t="inlineStr">
        <x:is>
          <x:t xml:space="preserve">No explicit protection; handled like any other conflict.</x:t>
        </x:is>
      </x:c>
      <x:c r="S243" t="n">
        <x:v>0</x:v>
      </x:c>
      <x:c r="T243" t="inlineStr">
        <x:is>
          <x:t xml:space="preserve">legal_exposure,culture_risk</x:t>
        </x:is>
      </x:c>
      <x:c r="U243" t="inlineStr">
        <x:is>
          <x:t xml:space="preserve">Legal Exposure</x:t>
        </x:is>
      </x:c>
      <x:c r="V243" t="inlineStr">
        <x:is>
          <x:t xml:space="preserve">Define non-retaliation policy</x:t>
        </x:is>
      </x:c>
      <x:c r="W243" t="inlineStr">
        <x:is>
          <x:t xml:space="preserve">N</x:t>
        </x:is>
      </x:c>
      <x:c r="Y243">
        <x:f>(S243*IF(E243="G",F243,0))+(S243*IF(G243="G",H243,0))</x:f>
      </x:c>
      <x:c r="Z243">
        <x:f>(S243*IF(E243="E",F243,0))+(S243*IF(G243="E",H243,0))</x:f>
      </x:c>
      <x:c r="AA243">
        <x:f>(S243*IF(E243="T",F243,0))+(S243*IF(G243="T",H243,0))</x:f>
      </x:c>
      <x:c r="AB243">
        <x:f>(S243*IF(E243="L",F243,0))+(S243*IF(G243="L",H243,0))</x:f>
      </x:c>
      <x:c r="AC243">
        <x:f>(S243*IF(E243="H",F243,0))+(S243*IF(G243="H",H243,0))</x:f>
      </x:c>
      <x:c r="AD243">
        <x:f>(S243*IF(E243="V",F243,0))+(S243*IF(G243="V",H243,0))</x:f>
      </x:c>
      <x:c r="AE243">
        <x:f>(S243*IF(E243="R",F243,0))+(S243*IF(G243="R",H243,0))</x:f>
      </x:c>
      <x:c r="AF243">
        <x:f>(S243*IF(E243="F",F243,0))+(S243*IF(G243="F",H243,0))</x:f>
      </x:c>
      <x:c r="AG243">
        <x:f>(S243*IF(E243="W",F243,0))+(S243*IF(G243="W",H243,0))</x:f>
      </x:c>
      <x:c r="AH243" t="inlineStr">
        <x:is>
          <x:t xml:space="preserve">5. Human-Centric Culture</x:t>
        </x:is>
      </x:c>
      <x:c r="AI243" t="inlineStr">
        <x:is>
          <x:t xml:space="preserve">Awareness &amp; Wellbeing</x:t>
        </x:is>
      </x:c>
      <x:c r="AJ243" t="inlineStr">
        <x:is>
          <x:t xml:space="preserve">Manager Behavioral Signal Training</x:t>
        </x:is>
      </x:c>
    </x:row>
    <x:row r="244">
      <x:c r="A244" t="inlineStr">
        <x:is>
          <x:t xml:space="preserve">HR</x:t>
        </x:is>
      </x:c>
      <x:c r="B244" t="inlineStr">
        <x:is>
          <x:t xml:space="preserve">HR-D2-Q07</x:t>
        </x:is>
      </x:c>
      <x:c r="C244" t="inlineStr">
        <x:is>
          <x:t xml:space="preserve">T2</x:t>
        </x:is>
      </x:c>
      <x:c r="D244" t="inlineStr">
        <x:is>
          <x:t xml:space="preserve">2. Protected Reporting</x:t>
        </x:is>
      </x:c>
      <x:c r="E244" t="inlineStr">
        <x:is>
          <x:t xml:space="preserve">L</x:t>
        </x:is>
      </x:c>
      <x:c r="F244" t="n">
        <x:v>0.5</x:v>
      </x:c>
      <x:c r="G244" t="inlineStr">
        <x:is>
          <x:t xml:space="preserve">H</x:t>
        </x:is>
      </x:c>
      <x:c r="H244" t="n">
        <x:v>0.5</x:v>
      </x:c>
      <x:c r="I244" t="inlineStr">
        <x:is>
          <x:t xml:space="preserve">How do you prevent and respond to retaliation against reporters (or witnesses)?</x:t>
        </x:is>
      </x:c>
      <x:c r="J244" t="inlineStr">
        <x:is>
          <x:t xml:space="preserve">Include policy, manager training, investigation steps, and consequences.</x:t>
        </x:is>
      </x:c>
      <x:c r="L244" t="inlineStr">
        <x:is>
          <x:t xml:space="preserve">LEG_STRICT</x:t>
        </x:is>
      </x:c>
      <x:c r="M244" t="n">
        <x:v>1.5</x:v>
      </x:c>
      <x:c r="N244" t="n">
        <x:v>0.5</x:v>
      </x:c>
      <x:c r="P244" t="inlineStr">
        <x:is>
          <x:t xml:space="preserve">HR-D2-Q07-A2</x:t>
        </x:is>
      </x:c>
      <x:c r="Q244" t="n">
        <x:v>2</x:v>
      </x:c>
      <x:c r="R244" t="inlineStr">
        <x:is>
          <x:t xml:space="preserve">Policy exists but not well-known; enforcement inconsistent.</x:t>
        </x:is>
      </x:c>
      <x:c r="S244" t="n">
        <x:v>1</x:v>
      </x:c>
      <x:c r="T244" t="inlineStr">
        <x:is>
          <x:t xml:space="preserve">paper_dragon_signal</x:t>
        </x:is>
      </x:c>
      <x:c r="U244" t="inlineStr">
        <x:is>
          <x:t xml:space="preserve">Paper Dragon</x:t>
        </x:is>
      </x:c>
      <x:c r="V244" t="inlineStr">
        <x:is>
          <x:t xml:space="preserve">Improve training &amp; enforcement</x:t>
        </x:is>
      </x:c>
      <x:c r="W244" t="inlineStr">
        <x:is>
          <x:t xml:space="preserve">N</x:t>
        </x:is>
      </x:c>
      <x:c r="X244" t="inlineStr">
        <x:is>
          <x:t xml:space="preserve">Evidence: policy and comms.</x:t>
        </x:is>
      </x:c>
      <x:c r="Y244">
        <x:f>(S244*IF(E244="G",F244,0))+(S244*IF(G244="G",H244,0))</x:f>
      </x:c>
      <x:c r="Z244">
        <x:f>(S244*IF(E244="E",F244,0))+(S244*IF(G244="E",H244,0))</x:f>
      </x:c>
      <x:c r="AA244">
        <x:f>(S244*IF(E244="T",F244,0))+(S244*IF(G244="T",H244,0))</x:f>
      </x:c>
      <x:c r="AB244">
        <x:f>(S244*IF(E244="L",F244,0))+(S244*IF(G244="L",H244,0))</x:f>
      </x:c>
      <x:c r="AC244">
        <x:f>(S244*IF(E244="H",F244,0))+(S244*IF(G244="H",H244,0))</x:f>
      </x:c>
      <x:c r="AD244">
        <x:f>(S244*IF(E244="V",F244,0))+(S244*IF(G244="V",H244,0))</x:f>
      </x:c>
      <x:c r="AE244">
        <x:f>(S244*IF(E244="R",F244,0))+(S244*IF(G244="R",H244,0))</x:f>
      </x:c>
      <x:c r="AF244">
        <x:f>(S244*IF(E244="F",F244,0))+(S244*IF(G244="F",H244,0))</x:f>
      </x:c>
      <x:c r="AG244">
        <x:f>(S244*IF(E244="W",F244,0))+(S244*IF(G244="W",H244,0))</x:f>
      </x:c>
      <x:c r="AH244" t="inlineStr">
        <x:is>
          <x:t xml:space="preserve">5. Human-Centric Culture</x:t>
        </x:is>
      </x:c>
      <x:c r="AI244" t="inlineStr">
        <x:is>
          <x:t xml:space="preserve">Awareness &amp; Wellbeing</x:t>
        </x:is>
      </x:c>
      <x:c r="AJ244" t="inlineStr">
        <x:is>
          <x:t xml:space="preserve">Manager Behavioral Signal Training</x:t>
        </x:is>
      </x:c>
    </x:row>
    <x:row r="245">
      <x:c r="A245" t="inlineStr">
        <x:is>
          <x:t xml:space="preserve">HR</x:t>
        </x:is>
      </x:c>
      <x:c r="B245" t="inlineStr">
        <x:is>
          <x:t xml:space="preserve">HR-D2-Q07</x:t>
        </x:is>
      </x:c>
      <x:c r="C245" t="inlineStr">
        <x:is>
          <x:t xml:space="preserve">T2</x:t>
        </x:is>
      </x:c>
      <x:c r="D245" t="inlineStr">
        <x:is>
          <x:t xml:space="preserve">2. Protected Reporting</x:t>
        </x:is>
      </x:c>
      <x:c r="E245" t="inlineStr">
        <x:is>
          <x:t xml:space="preserve">L</x:t>
        </x:is>
      </x:c>
      <x:c r="F245" t="n">
        <x:v>0.5</x:v>
      </x:c>
      <x:c r="G245" t="inlineStr">
        <x:is>
          <x:t xml:space="preserve">H</x:t>
        </x:is>
      </x:c>
      <x:c r="H245" t="n">
        <x:v>0.5</x:v>
      </x:c>
      <x:c r="I245" t="inlineStr">
        <x:is>
          <x:t xml:space="preserve">How do you prevent and respond to retaliation against reporters (or witnesses)?</x:t>
        </x:is>
      </x:c>
      <x:c r="J245" t="inlineStr">
        <x:is>
          <x:t xml:space="preserve">Include policy, manager training, investigation steps, and consequences.</x:t>
        </x:is>
      </x:c>
      <x:c r="L245" t="inlineStr">
        <x:is>
          <x:t xml:space="preserve">LEG_STRICT</x:t>
        </x:is>
      </x:c>
      <x:c r="M245" t="n">
        <x:v>1.5</x:v>
      </x:c>
      <x:c r="N245" t="n">
        <x:v>0.5</x:v>
      </x:c>
      <x:c r="P245" t="inlineStr">
        <x:is>
          <x:t xml:space="preserve">HR-D2-Q07-A3</x:t>
        </x:is>
      </x:c>
      <x:c r="Q245" t="n">
        <x:v>3</x:v>
      </x:c>
      <x:c r="R245" t="inlineStr">
        <x:is>
          <x:t xml:space="preserve">Managers trained; retaliation checks part of investigations.</x:t>
        </x:is>
      </x:c>
      <x:c r="S245" t="n">
        <x:v>2</x:v>
      </x:c>
      <x:c r="U245" t="inlineStr">
        <x:is>
          <x:t xml:space="preserve">Culture Risk</x:t>
        </x:is>
      </x:c>
      <x:c r="V245" t="inlineStr">
        <x:is>
          <x:t xml:space="preserve">Improve monitoring &amp; metrics</x:t>
        </x:is>
      </x:c>
      <x:c r="W245" t="inlineStr">
        <x:is>
          <x:t xml:space="preserve">N</x:t>
        </x:is>
      </x:c>
      <x:c r="X245" t="inlineStr">
        <x:is>
          <x:t xml:space="preserve">Evidence: training completion.</x:t>
        </x:is>
      </x:c>
      <x:c r="Y245">
        <x:f>(S245*IF(E245="G",F245,0))+(S245*IF(G245="G",H245,0))</x:f>
      </x:c>
      <x:c r="Z245">
        <x:f>(S245*IF(E245="E",F245,0))+(S245*IF(G245="E",H245,0))</x:f>
      </x:c>
      <x:c r="AA245">
        <x:f>(S245*IF(E245="T",F245,0))+(S245*IF(G245="T",H245,0))</x:f>
      </x:c>
      <x:c r="AB245">
        <x:f>(S245*IF(E245="L",F245,0))+(S245*IF(G245="L",H245,0))</x:f>
      </x:c>
      <x:c r="AC245">
        <x:f>(S245*IF(E245="H",F245,0))+(S245*IF(G245="H",H245,0))</x:f>
      </x:c>
      <x:c r="AD245">
        <x:f>(S245*IF(E245="V",F245,0))+(S245*IF(G245="V",H245,0))</x:f>
      </x:c>
      <x:c r="AE245">
        <x:f>(S245*IF(E245="R",F245,0))+(S245*IF(G245="R",H245,0))</x:f>
      </x:c>
      <x:c r="AF245">
        <x:f>(S245*IF(E245="F",F245,0))+(S245*IF(G245="F",H245,0))</x:f>
      </x:c>
      <x:c r="AG245">
        <x:f>(S245*IF(E245="W",F245,0))+(S245*IF(G245="W",H245,0))</x:f>
      </x:c>
      <x:c r="AH245" t="inlineStr">
        <x:is>
          <x:t xml:space="preserve">5. Human-Centric Culture</x:t>
        </x:is>
      </x:c>
      <x:c r="AI245" t="inlineStr">
        <x:is>
          <x:t xml:space="preserve">Awareness &amp; Wellbeing</x:t>
        </x:is>
      </x:c>
      <x:c r="AJ245" t="inlineStr">
        <x:is>
          <x:t xml:space="preserve">Manager Behavioral Signal Training</x:t>
        </x:is>
      </x:c>
    </x:row>
    <x:row r="246">
      <x:c r="A246" t="inlineStr">
        <x:is>
          <x:t xml:space="preserve">HR</x:t>
        </x:is>
      </x:c>
      <x:c r="B246" t="inlineStr">
        <x:is>
          <x:t xml:space="preserve">HR-D2-Q07</x:t>
        </x:is>
      </x:c>
      <x:c r="C246" t="inlineStr">
        <x:is>
          <x:t xml:space="preserve">T2</x:t>
        </x:is>
      </x:c>
      <x:c r="D246" t="inlineStr">
        <x:is>
          <x:t xml:space="preserve">2. Protected Reporting</x:t>
        </x:is>
      </x:c>
      <x:c r="E246" t="inlineStr">
        <x:is>
          <x:t xml:space="preserve">L</x:t>
        </x:is>
      </x:c>
      <x:c r="F246" t="n">
        <x:v>0.5</x:v>
      </x:c>
      <x:c r="G246" t="inlineStr">
        <x:is>
          <x:t xml:space="preserve">H</x:t>
        </x:is>
      </x:c>
      <x:c r="H246" t="n">
        <x:v>0.5</x:v>
      </x:c>
      <x:c r="I246" t="inlineStr">
        <x:is>
          <x:t xml:space="preserve">How do you prevent and respond to retaliation against reporters (or witnesses)?</x:t>
        </x:is>
      </x:c>
      <x:c r="J246" t="inlineStr">
        <x:is>
          <x:t xml:space="preserve">Include policy, manager training, investigation steps, and consequences.</x:t>
        </x:is>
      </x:c>
      <x:c r="L246" t="inlineStr">
        <x:is>
          <x:t xml:space="preserve">LEG_STRICT</x:t>
        </x:is>
      </x:c>
      <x:c r="M246" t="n">
        <x:v>1.5</x:v>
      </x:c>
      <x:c r="N246" t="n">
        <x:v>0.5</x:v>
      </x:c>
      <x:c r="P246" t="inlineStr">
        <x:is>
          <x:t xml:space="preserve">HR-D2-Q07-A4</x:t>
        </x:is>
      </x:c>
      <x:c r="Q246" t="n">
        <x:v>4</x:v>
      </x:c>
      <x:c r="R246" t="inlineStr">
        <x:is>
          <x:t xml:space="preserve">Active monitoring: retaliation claims tracked and escalated; outcomes documented.</x:t>
        </x:is>
      </x:c>
      <x:c r="S246" t="n">
        <x:v>3</x:v>
      </x:c>
      <x:c r="U246" t="inlineStr">
        <x:is>
          <x:t xml:space="preserve">Culture Risk</x:t>
        </x:is>
      </x:c>
      <x:c r="V246" t="inlineStr">
        <x:is>
          <x:t xml:space="preserve">Maintain assurance</x:t>
        </x:is>
      </x:c>
      <x:c r="W246" t="inlineStr">
        <x:is>
          <x:t xml:space="preserve">N</x:t>
        </x:is>
      </x:c>
      <x:c r="X246" t="inlineStr">
        <x:is>
          <x:t xml:space="preserve">Evidence: anonymized retaliation metrics.</x:t>
        </x:is>
      </x:c>
      <x:c r="Y246">
        <x:f>(S246*IF(E246="G",F246,0))+(S246*IF(G246="G",H246,0))</x:f>
      </x:c>
      <x:c r="Z246">
        <x:f>(S246*IF(E246="E",F246,0))+(S246*IF(G246="E",H246,0))</x:f>
      </x:c>
      <x:c r="AA246">
        <x:f>(S246*IF(E246="T",F246,0))+(S246*IF(G246="T",H246,0))</x:f>
      </x:c>
      <x:c r="AB246">
        <x:f>(S246*IF(E246="L",F246,0))+(S246*IF(G246="L",H246,0))</x:f>
      </x:c>
      <x:c r="AC246">
        <x:f>(S246*IF(E246="H",F246,0))+(S246*IF(G246="H",H246,0))</x:f>
      </x:c>
      <x:c r="AD246">
        <x:f>(S246*IF(E246="V",F246,0))+(S246*IF(G246="V",H246,0))</x:f>
      </x:c>
      <x:c r="AE246">
        <x:f>(S246*IF(E246="R",F246,0))+(S246*IF(G246="R",H246,0))</x:f>
      </x:c>
      <x:c r="AF246">
        <x:f>(S246*IF(E246="F",F246,0))+(S246*IF(G246="F",H246,0))</x:f>
      </x:c>
      <x:c r="AG246">
        <x:f>(S246*IF(E246="W",F246,0))+(S246*IF(G246="W",H246,0))</x:f>
      </x:c>
      <x:c r="AH246" t="inlineStr">
        <x:is>
          <x:t xml:space="preserve">5. Human-Centric Culture</x:t>
        </x:is>
      </x:c>
      <x:c r="AI246" t="inlineStr">
        <x:is>
          <x:t xml:space="preserve">Awareness &amp; Wellbeing</x:t>
        </x:is>
      </x:c>
      <x:c r="AJ246" t="inlineStr">
        <x:is>
          <x:t xml:space="preserve">Manager Behavioral Signal Training</x:t>
        </x:is>
      </x:c>
    </x:row>
    <x:row r="247">
      <x:c r="A247" t="inlineStr">
        <x:is>
          <x:t xml:space="preserve">HR</x:t>
        </x:is>
      </x:c>
      <x:c r="B247" t="inlineStr">
        <x:is>
          <x:t xml:space="preserve">HR-D2-Q07</x:t>
        </x:is>
      </x:c>
      <x:c r="C247" t="inlineStr">
        <x:is>
          <x:t xml:space="preserve">T2</x:t>
        </x:is>
      </x:c>
      <x:c r="D247" t="inlineStr">
        <x:is>
          <x:t xml:space="preserve">2. Protected Reporting</x:t>
        </x:is>
      </x:c>
      <x:c r="E247" t="inlineStr">
        <x:is>
          <x:t xml:space="preserve">L</x:t>
        </x:is>
      </x:c>
      <x:c r="F247" t="n">
        <x:v>0.5</x:v>
      </x:c>
      <x:c r="G247" t="inlineStr">
        <x:is>
          <x:t xml:space="preserve">H</x:t>
        </x:is>
      </x:c>
      <x:c r="H247" t="n">
        <x:v>0.5</x:v>
      </x:c>
      <x:c r="I247" t="inlineStr">
        <x:is>
          <x:t xml:space="preserve">How do you prevent and respond to retaliation against reporters (or witnesses)?</x:t>
        </x:is>
      </x:c>
      <x:c r="J247" t="inlineStr">
        <x:is>
          <x:t xml:space="preserve">Include policy, manager training, investigation steps, and consequences.</x:t>
        </x:is>
      </x:c>
      <x:c r="L247" t="inlineStr">
        <x:is>
          <x:t xml:space="preserve">LEG_STRICT</x:t>
        </x:is>
      </x:c>
      <x:c r="M247" t="n">
        <x:v>1.5</x:v>
      </x:c>
      <x:c r="N247" t="n">
        <x:v>0.5</x:v>
      </x:c>
      <x:c r="P247" t="inlineStr">
        <x:is>
          <x:t xml:space="preserve">HR-D2-Q07-A5</x:t>
        </x:is>
      </x:c>
      <x:c r="Q247" t="n">
        <x:v>5</x:v>
      </x:c>
      <x:c r="R247" t="inlineStr">
        <x:is>
          <x:t xml:space="preserve">Independent oversight reviews retaliation handling.</x:t>
        </x:is>
      </x:c>
      <x:c r="S247" t="n">
        <x:v>4</x:v>
      </x:c>
      <x:c r="U247" t="inlineStr">
        <x:is>
          <x:t xml:space="preserve">Culture Risk</x:t>
        </x:is>
      </x:c>
      <x:c r="V247" t="inlineStr">
        <x:is>
          <x:t xml:space="preserve">Maintain oversight</x:t>
        </x:is>
      </x:c>
      <x:c r="W247" t="inlineStr">
        <x:is>
          <x:t xml:space="preserve">N</x:t>
        </x:is>
      </x:c>
      <x:c r="X247" t="inlineStr">
        <x:is>
          <x:t xml:space="preserve">Evidence: oversight process.</x:t>
        </x:is>
      </x:c>
      <x:c r="Y247">
        <x:f>(S247*IF(E247="G",F247,0))+(S247*IF(G247="G",H247,0))</x:f>
      </x:c>
      <x:c r="Z247">
        <x:f>(S247*IF(E247="E",F247,0))+(S247*IF(G247="E",H247,0))</x:f>
      </x:c>
      <x:c r="AA247">
        <x:f>(S247*IF(E247="T",F247,0))+(S247*IF(G247="T",H247,0))</x:f>
      </x:c>
      <x:c r="AB247">
        <x:f>(S247*IF(E247="L",F247,0))+(S247*IF(G247="L",H247,0))</x:f>
      </x:c>
      <x:c r="AC247">
        <x:f>(S247*IF(E247="H",F247,0))+(S247*IF(G247="H",H247,0))</x:f>
      </x:c>
      <x:c r="AD247">
        <x:f>(S247*IF(E247="V",F247,0))+(S247*IF(G247="V",H247,0))</x:f>
      </x:c>
      <x:c r="AE247">
        <x:f>(S247*IF(E247="R",F247,0))+(S247*IF(G247="R",H247,0))</x:f>
      </x:c>
      <x:c r="AF247">
        <x:f>(S247*IF(E247="F",F247,0))+(S247*IF(G247="F",H247,0))</x:f>
      </x:c>
      <x:c r="AG247">
        <x:f>(S247*IF(E247="W",F247,0))+(S247*IF(G247="W",H247,0))</x:f>
      </x:c>
      <x:c r="AH247" t="inlineStr">
        <x:is>
          <x:t xml:space="preserve">5. Human-Centric Culture</x:t>
        </x:is>
      </x:c>
      <x:c r="AI247" t="inlineStr">
        <x:is>
          <x:t xml:space="preserve">Awareness &amp; Wellbeing</x:t>
        </x:is>
      </x:c>
      <x:c r="AJ247" t="inlineStr">
        <x:is>
          <x:t xml:space="preserve">Manager Behavioral Signal Training</x:t>
        </x:is>
      </x:c>
    </x:row>
    <x:row r="248">
      <x:c r="A248" t="inlineStr">
        <x:is>
          <x:t xml:space="preserve">HR</x:t>
        </x:is>
      </x:c>
      <x:c r="B248" t="inlineStr">
        <x:is>
          <x:t xml:space="preserve">HR-D2-Q08</x:t>
        </x:is>
      </x:c>
      <x:c r="C248" t="inlineStr">
        <x:is>
          <x:t xml:space="preserve">T3</x:t>
        </x:is>
      </x:c>
      <x:c r="D248" t="inlineStr">
        <x:is>
          <x:t xml:space="preserve">2. Protected Reporting</x:t>
        </x:is>
      </x:c>
      <x:c r="E248" t="inlineStr">
        <x:is>
          <x:t xml:space="preserve">E</x:t>
        </x:is>
      </x:c>
      <x:c r="F248" t="n">
        <x:v>1</x:v>
      </x:c>
      <x:c r="G248" t="inlineStr">
        <x:is>
          <x:t xml:space="preserve">-</x:t>
        </x:is>
      </x:c>
      <x:c r="I248" t="inlineStr">
        <x:is>
          <x:t xml:space="preserve">When a report is made, how quickly is it acknowledged, triaged, and progressed (with appropriate confidentiality)?</x:t>
        </x:is>
      </x:c>
      <x:c r="J248" t="inlineStr">
        <x:is>
          <x:t xml:space="preserve">Focus on typical timelines; aggregated evidence is sufficient.</x:t>
        </x:is>
      </x:c>
      <x:c r="L248" t="inlineStr">
        <x:is>
          <x:t xml:space="preserve">OPS_STD</x:t>
        </x:is>
      </x:c>
      <x:c r="M248" t="n">
        <x:v>1</x:v>
      </x:c>
      <x:c r="P248" t="inlineStr">
        <x:is>
          <x:t xml:space="preserve">HR-D2-Q08-A1</x:t>
        </x:is>
      </x:c>
      <x:c r="Q248" t="n">
        <x:v>1</x:v>
      </x:c>
      <x:c r="R248" t="inlineStr">
        <x:is>
          <x:t xml:space="preserve">Unclear: reporters often hear nothing back.</x:t>
        </x:is>
      </x:c>
      <x:c r="S248" t="n">
        <x:v>0</x:v>
      </x:c>
      <x:c r="T248" t="inlineStr">
        <x:is>
          <x:t xml:space="preserve">culture_risk</x:t>
        </x:is>
      </x:c>
      <x:c r="U248" t="inlineStr">
        <x:is>
          <x:t xml:space="preserve">Culture Risk</x:t>
        </x:is>
      </x:c>
      <x:c r="V248" t="inlineStr">
        <x:is>
          <x:t xml:space="preserve">Define SLAs and tracking</x:t>
        </x:is>
      </x:c>
      <x:c r="W248" t="inlineStr">
        <x:is>
          <x:t xml:space="preserve">N</x:t>
        </x:is>
      </x:c>
      <x:c r="Y248">
        <x:f>(S248*IF(E248="G",F248,0))+(S248*IF(G248="G",H248,0))</x:f>
      </x:c>
      <x:c r="Z248">
        <x:f>(S248*IF(E248="E",F248,0))+(S248*IF(G248="E",H248,0))</x:f>
      </x:c>
      <x:c r="AA248">
        <x:f>(S248*IF(E248="T",F248,0))+(S248*IF(G248="T",H248,0))</x:f>
      </x:c>
      <x:c r="AB248">
        <x:f>(S248*IF(E248="L",F248,0))+(S248*IF(G248="L",H248,0))</x:f>
      </x:c>
      <x:c r="AC248">
        <x:f>(S248*IF(E248="H",F248,0))+(S248*IF(G248="H",H248,0))</x:f>
      </x:c>
      <x:c r="AD248">
        <x:f>(S248*IF(E248="V",F248,0))+(S248*IF(G248="V",H248,0))</x:f>
      </x:c>
      <x:c r="AE248">
        <x:f>(S248*IF(E248="R",F248,0))+(S248*IF(G248="R",H248,0))</x:f>
      </x:c>
      <x:c r="AF248">
        <x:f>(S248*IF(E248="F",F248,0))+(S248*IF(G248="F",H248,0))</x:f>
      </x:c>
      <x:c r="AG248">
        <x:f>(S248*IF(E248="W",F248,0))+(S248*IF(G248="W",H248,0))</x:f>
      </x:c>
      <x:c r="AH248" t="inlineStr">
        <x:is>
          <x:t xml:space="preserve">8. Investigation &amp; Response</x:t>
        </x:is>
      </x:c>
      <x:c r="AI248" t="inlineStr">
        <x:is>
          <x:t xml:space="preserve">Operational Readiness</x:t>
        </x:is>
      </x:c>
      <x:c r="AJ248" t="inlineStr">
        <x:is>
          <x:t xml:space="preserve">Forensic readiness &amp; evidence preservation</x:t>
        </x:is>
      </x:c>
    </x:row>
    <x:row r="249">
      <x:c r="A249" t="inlineStr">
        <x:is>
          <x:t xml:space="preserve">HR</x:t>
        </x:is>
      </x:c>
      <x:c r="B249" t="inlineStr">
        <x:is>
          <x:t xml:space="preserve">HR-D2-Q08</x:t>
        </x:is>
      </x:c>
      <x:c r="C249" t="inlineStr">
        <x:is>
          <x:t xml:space="preserve">T3</x:t>
        </x:is>
      </x:c>
      <x:c r="D249" t="inlineStr">
        <x:is>
          <x:t xml:space="preserve">2. Protected Reporting</x:t>
        </x:is>
      </x:c>
      <x:c r="E249" t="inlineStr">
        <x:is>
          <x:t xml:space="preserve">E</x:t>
        </x:is>
      </x:c>
      <x:c r="F249" t="n">
        <x:v>1</x:v>
      </x:c>
      <x:c r="G249" t="inlineStr">
        <x:is>
          <x:t xml:space="preserve">-</x:t>
        </x:is>
      </x:c>
      <x:c r="I249" t="inlineStr">
        <x:is>
          <x:t xml:space="preserve">When a report is made, how quickly is it acknowledged, triaged, and progressed (with appropriate confidentiality)?</x:t>
        </x:is>
      </x:c>
      <x:c r="J249" t="inlineStr">
        <x:is>
          <x:t xml:space="preserve">Focus on typical timelines; aggregated evidence is sufficient.</x:t>
        </x:is>
      </x:c>
      <x:c r="L249" t="inlineStr">
        <x:is>
          <x:t xml:space="preserve">OPS_STD</x:t>
        </x:is>
      </x:c>
      <x:c r="M249" t="n">
        <x:v>1</x:v>
      </x:c>
      <x:c r="P249" t="inlineStr">
        <x:is>
          <x:t xml:space="preserve">HR-D2-Q08-A2</x:t>
        </x:is>
      </x:c>
      <x:c r="Q249" t="n">
        <x:v>2</x:v>
      </x:c>
      <x:c r="R249" t="inlineStr">
        <x:is>
          <x:t xml:space="preserve">Slow: depends on workload; no tracking.</x:t>
        </x:is>
      </x:c>
      <x:c r="S249" t="n">
        <x:v>1</x:v>
      </x:c>
      <x:c r="T249" t="inlineStr">
        <x:is>
          <x:t xml:space="preserve">operating_model_gap</x:t>
        </x:is>
      </x:c>
      <x:c r="U249" t="inlineStr">
        <x:is>
          <x:t xml:space="preserve">Operating Model Gap</x:t>
        </x:is>
      </x:c>
      <x:c r="V249" t="inlineStr">
        <x:is>
          <x:t xml:space="preserve">Introduce case tracking</x:t>
        </x:is>
      </x:c>
      <x:c r="W249" t="inlineStr">
        <x:is>
          <x:t xml:space="preserve">N</x:t>
        </x:is>
      </x:c>
      <x:c r="Y249">
        <x:f>(S249*IF(E249="G",F249,0))+(S249*IF(G249="G",H249,0))</x:f>
      </x:c>
      <x:c r="Z249">
        <x:f>(S249*IF(E249="E",F249,0))+(S249*IF(G249="E",H249,0))</x:f>
      </x:c>
      <x:c r="AA249">
        <x:f>(S249*IF(E249="T",F249,0))+(S249*IF(G249="T",H249,0))</x:f>
      </x:c>
      <x:c r="AB249">
        <x:f>(S249*IF(E249="L",F249,0))+(S249*IF(G249="L",H249,0))</x:f>
      </x:c>
      <x:c r="AC249">
        <x:f>(S249*IF(E249="H",F249,0))+(S249*IF(G249="H",H249,0))</x:f>
      </x:c>
      <x:c r="AD249">
        <x:f>(S249*IF(E249="V",F249,0))+(S249*IF(G249="V",H249,0))</x:f>
      </x:c>
      <x:c r="AE249">
        <x:f>(S249*IF(E249="R",F249,0))+(S249*IF(G249="R",H249,0))</x:f>
      </x:c>
      <x:c r="AF249">
        <x:f>(S249*IF(E249="F",F249,0))+(S249*IF(G249="F",H249,0))</x:f>
      </x:c>
      <x:c r="AG249">
        <x:f>(S249*IF(E249="W",F249,0))+(S249*IF(G249="W",H249,0))</x:f>
      </x:c>
      <x:c r="AH249" t="inlineStr">
        <x:is>
          <x:t xml:space="preserve">8. Investigation &amp; Response</x:t>
        </x:is>
      </x:c>
      <x:c r="AI249" t="inlineStr">
        <x:is>
          <x:t xml:space="preserve">Operational Readiness</x:t>
        </x:is>
      </x:c>
      <x:c r="AJ249" t="inlineStr">
        <x:is>
          <x:t xml:space="preserve">Forensic readiness &amp; evidence preservation</x:t>
        </x:is>
      </x:c>
    </x:row>
    <x:row r="250">
      <x:c r="A250" t="inlineStr">
        <x:is>
          <x:t xml:space="preserve">HR</x:t>
        </x:is>
      </x:c>
      <x:c r="B250" t="inlineStr">
        <x:is>
          <x:t xml:space="preserve">HR-D2-Q08</x:t>
        </x:is>
      </x:c>
      <x:c r="C250" t="inlineStr">
        <x:is>
          <x:t xml:space="preserve">T3</x:t>
        </x:is>
      </x:c>
      <x:c r="D250" t="inlineStr">
        <x:is>
          <x:t xml:space="preserve">2. Protected Reporting</x:t>
        </x:is>
      </x:c>
      <x:c r="E250" t="inlineStr">
        <x:is>
          <x:t xml:space="preserve">E</x:t>
        </x:is>
      </x:c>
      <x:c r="F250" t="n">
        <x:v>1</x:v>
      </x:c>
      <x:c r="G250" t="inlineStr">
        <x:is>
          <x:t xml:space="preserve">-</x:t>
        </x:is>
      </x:c>
      <x:c r="I250" t="inlineStr">
        <x:is>
          <x:t xml:space="preserve">When a report is made, how quickly is it acknowledged, triaged, and progressed (with appropriate confidentiality)?</x:t>
        </x:is>
      </x:c>
      <x:c r="J250" t="inlineStr">
        <x:is>
          <x:t xml:space="preserve">Focus on typical timelines; aggregated evidence is sufficient.</x:t>
        </x:is>
      </x:c>
      <x:c r="L250" t="inlineStr">
        <x:is>
          <x:t xml:space="preserve">OPS_STD</x:t>
        </x:is>
      </x:c>
      <x:c r="M250" t="n">
        <x:v>1</x:v>
      </x:c>
      <x:c r="P250" t="inlineStr">
        <x:is>
          <x:t xml:space="preserve">HR-D2-Q08-A3</x:t>
        </x:is>
      </x:c>
      <x:c r="Q250" t="n">
        <x:v>3</x:v>
      </x:c>
      <x:c r="R250" t="inlineStr">
        <x:is>
          <x:t xml:space="preserve">Basic: acknowledgement within ~1–2 weeks; tracking not consistent.</x:t>
        </x:is>
      </x:c>
      <x:c r="S250" t="n">
        <x:v>2</x:v>
      </x:c>
      <x:c r="U250" t="inlineStr">
        <x:is>
          <x:t xml:space="preserve">Operating Model Gap</x:t>
        </x:is>
      </x:c>
      <x:c r="V250" t="inlineStr">
        <x:is>
          <x:t xml:space="preserve">Improve SLAs</x:t>
        </x:is>
      </x:c>
      <x:c r="W250" t="inlineStr">
        <x:is>
          <x:t xml:space="preserve">N</x:t>
        </x:is>
      </x:c>
      <x:c r="X250" t="inlineStr">
        <x:is>
          <x:t xml:space="preserve">Evidence: redacted timestamps.</x:t>
        </x:is>
      </x:c>
      <x:c r="Y250">
        <x:f>(S250*IF(E250="G",F250,0))+(S250*IF(G250="G",H250,0))</x:f>
      </x:c>
      <x:c r="Z250">
        <x:f>(S250*IF(E250="E",F250,0))+(S250*IF(G250="E",H250,0))</x:f>
      </x:c>
      <x:c r="AA250">
        <x:f>(S250*IF(E250="T",F250,0))+(S250*IF(G250="T",H250,0))</x:f>
      </x:c>
      <x:c r="AB250">
        <x:f>(S250*IF(E250="L",F250,0))+(S250*IF(G250="L",H250,0))</x:f>
      </x:c>
      <x:c r="AC250">
        <x:f>(S250*IF(E250="H",F250,0))+(S250*IF(G250="H",H250,0))</x:f>
      </x:c>
      <x:c r="AD250">
        <x:f>(S250*IF(E250="V",F250,0))+(S250*IF(G250="V",H250,0))</x:f>
      </x:c>
      <x:c r="AE250">
        <x:f>(S250*IF(E250="R",F250,0))+(S250*IF(G250="R",H250,0))</x:f>
      </x:c>
      <x:c r="AF250">
        <x:f>(S250*IF(E250="F",F250,0))+(S250*IF(G250="F",H250,0))</x:f>
      </x:c>
      <x:c r="AG250">
        <x:f>(S250*IF(E250="W",F250,0))+(S250*IF(G250="W",H250,0))</x:f>
      </x:c>
      <x:c r="AH250" t="inlineStr">
        <x:is>
          <x:t xml:space="preserve">8. Investigation &amp; Response</x:t>
        </x:is>
      </x:c>
      <x:c r="AI250" t="inlineStr">
        <x:is>
          <x:t xml:space="preserve">Operational Readiness</x:t>
        </x:is>
      </x:c>
      <x:c r="AJ250" t="inlineStr">
        <x:is>
          <x:t xml:space="preserve">Forensic readiness &amp; evidence preservation</x:t>
        </x:is>
      </x:c>
    </x:row>
    <x:row r="251">
      <x:c r="A251" t="inlineStr">
        <x:is>
          <x:t xml:space="preserve">HR</x:t>
        </x:is>
      </x:c>
      <x:c r="B251" t="inlineStr">
        <x:is>
          <x:t xml:space="preserve">HR-D2-Q08</x:t>
        </x:is>
      </x:c>
      <x:c r="C251" t="inlineStr">
        <x:is>
          <x:t xml:space="preserve">T3</x:t>
        </x:is>
      </x:c>
      <x:c r="D251" t="inlineStr">
        <x:is>
          <x:t xml:space="preserve">2. Protected Reporting</x:t>
        </x:is>
      </x:c>
      <x:c r="E251" t="inlineStr">
        <x:is>
          <x:t xml:space="preserve">E</x:t>
        </x:is>
      </x:c>
      <x:c r="F251" t="n">
        <x:v>1</x:v>
      </x:c>
      <x:c r="G251" t="inlineStr">
        <x:is>
          <x:t xml:space="preserve">-</x:t>
        </x:is>
      </x:c>
      <x:c r="I251" t="inlineStr">
        <x:is>
          <x:t xml:space="preserve">When a report is made, how quickly is it acknowledged, triaged, and progressed (with appropriate confidentiality)?</x:t>
        </x:is>
      </x:c>
      <x:c r="J251" t="inlineStr">
        <x:is>
          <x:t xml:space="preserve">Focus on typical timelines; aggregated evidence is sufficient.</x:t>
        </x:is>
      </x:c>
      <x:c r="L251" t="inlineStr">
        <x:is>
          <x:t xml:space="preserve">OPS_STD</x:t>
        </x:is>
      </x:c>
      <x:c r="M251" t="n">
        <x:v>1</x:v>
      </x:c>
      <x:c r="P251" t="inlineStr">
        <x:is>
          <x:t xml:space="preserve">HR-D2-Q08-A4</x:t>
        </x:is>
      </x:c>
      <x:c r="Q251" t="n">
        <x:v>4</x:v>
      </x:c>
      <x:c r="R251" t="inlineStr">
        <x:is>
          <x:t xml:space="preserve">Managed: acknowledgement within 2–3 days; triage within a week; documented routing.</x:t>
        </x:is>
      </x:c>
      <x:c r="S251" t="n">
        <x:v>3</x:v>
      </x:c>
      <x:c r="U251" t="inlineStr">
        <x:is>
          <x:t xml:space="preserve">Operating Model Gap</x:t>
        </x:is>
      </x:c>
      <x:c r="V251" t="inlineStr">
        <x:is>
          <x:t xml:space="preserve">Maintain and monitor</x:t>
        </x:is>
      </x:c>
      <x:c r="W251" t="inlineStr">
        <x:is>
          <x:t xml:space="preserve">N</x:t>
        </x:is>
      </x:c>
      <x:c r="X251" t="inlineStr">
        <x:is>
          <x:t xml:space="preserve">Evidence: workflow metrics.</x:t>
        </x:is>
      </x:c>
      <x:c r="Y251">
        <x:f>(S251*IF(E251="G",F251,0))+(S251*IF(G251="G",H251,0))</x:f>
      </x:c>
      <x:c r="Z251">
        <x:f>(S251*IF(E251="E",F251,0))+(S251*IF(G251="E",H251,0))</x:f>
      </x:c>
      <x:c r="AA251">
        <x:f>(S251*IF(E251="T",F251,0))+(S251*IF(G251="T",H251,0))</x:f>
      </x:c>
      <x:c r="AB251">
        <x:f>(S251*IF(E251="L",F251,0))+(S251*IF(G251="L",H251,0))</x:f>
      </x:c>
      <x:c r="AC251">
        <x:f>(S251*IF(E251="H",F251,0))+(S251*IF(G251="H",H251,0))</x:f>
      </x:c>
      <x:c r="AD251">
        <x:f>(S251*IF(E251="V",F251,0))+(S251*IF(G251="V",H251,0))</x:f>
      </x:c>
      <x:c r="AE251">
        <x:f>(S251*IF(E251="R",F251,0))+(S251*IF(G251="R",H251,0))</x:f>
      </x:c>
      <x:c r="AF251">
        <x:f>(S251*IF(E251="F",F251,0))+(S251*IF(G251="F",H251,0))</x:f>
      </x:c>
      <x:c r="AG251">
        <x:f>(S251*IF(E251="W",F251,0))+(S251*IF(G251="W",H251,0))</x:f>
      </x:c>
      <x:c r="AH251" t="inlineStr">
        <x:is>
          <x:t xml:space="preserve">8. Investigation &amp; Response</x:t>
        </x:is>
      </x:c>
      <x:c r="AI251" t="inlineStr">
        <x:is>
          <x:t xml:space="preserve">Operational Readiness</x:t>
        </x:is>
      </x:c>
      <x:c r="AJ251" t="inlineStr">
        <x:is>
          <x:t xml:space="preserve">Forensic readiness &amp; evidence preservation</x:t>
        </x:is>
      </x:c>
    </x:row>
    <x:row r="252">
      <x:c r="A252" t="inlineStr">
        <x:is>
          <x:t xml:space="preserve">HR</x:t>
        </x:is>
      </x:c>
      <x:c r="B252" t="inlineStr">
        <x:is>
          <x:t xml:space="preserve">HR-D2-Q08</x:t>
        </x:is>
      </x:c>
      <x:c r="C252" t="inlineStr">
        <x:is>
          <x:t xml:space="preserve">T3</x:t>
        </x:is>
      </x:c>
      <x:c r="D252" t="inlineStr">
        <x:is>
          <x:t xml:space="preserve">2. Protected Reporting</x:t>
        </x:is>
      </x:c>
      <x:c r="E252" t="inlineStr">
        <x:is>
          <x:t xml:space="preserve">E</x:t>
        </x:is>
      </x:c>
      <x:c r="F252" t="n">
        <x:v>1</x:v>
      </x:c>
      <x:c r="G252" t="inlineStr">
        <x:is>
          <x:t xml:space="preserve">-</x:t>
        </x:is>
      </x:c>
      <x:c r="I252" t="inlineStr">
        <x:is>
          <x:t xml:space="preserve">When a report is made, how quickly is it acknowledged, triaged, and progressed (with appropriate confidentiality)?</x:t>
        </x:is>
      </x:c>
      <x:c r="J252" t="inlineStr">
        <x:is>
          <x:t xml:space="preserve">Focus on typical timelines; aggregated evidence is sufficient.</x:t>
        </x:is>
      </x:c>
      <x:c r="L252" t="inlineStr">
        <x:is>
          <x:t xml:space="preserve">OPS_STD</x:t>
        </x:is>
      </x:c>
      <x:c r="M252" t="n">
        <x:v>1</x:v>
      </x:c>
      <x:c r="P252" t="inlineStr">
        <x:is>
          <x:t xml:space="preserve">HR-D2-Q08-A5</x:t>
        </x:is>
      </x:c>
      <x:c r="Q252" t="n">
        <x:v>5</x:v>
      </x:c>
      <x:c r="R252" t="inlineStr">
        <x:is>
          <x:t xml:space="preserve">Optimized: SLAs monitored; backlog managed; appropriate status updates provided.</x:t>
        </x:is>
      </x:c>
      <x:c r="S252" t="n">
        <x:v>4</x:v>
      </x:c>
      <x:c r="U252" t="inlineStr">
        <x:is>
          <x:t xml:space="preserve">Operating Model Gap</x:t>
        </x:is>
      </x:c>
      <x:c r="V252" t="inlineStr">
        <x:is>
          <x:t xml:space="preserve">Continuous improvement</x:t>
        </x:is>
      </x:c>
      <x:c r="W252" t="inlineStr">
        <x:is>
          <x:t xml:space="preserve">N</x:t>
        </x:is>
      </x:c>
      <x:c r="X252" t="inlineStr">
        <x:is>
          <x:t xml:space="preserve">Evidence: anonymized KPI dashboard.</x:t>
        </x:is>
      </x:c>
      <x:c r="Y252">
        <x:f>(S252*IF(E252="G",F252,0))+(S252*IF(G252="G",H252,0))</x:f>
      </x:c>
      <x:c r="Z252">
        <x:f>(S252*IF(E252="E",F252,0))+(S252*IF(G252="E",H252,0))</x:f>
      </x:c>
      <x:c r="AA252">
        <x:f>(S252*IF(E252="T",F252,0))+(S252*IF(G252="T",H252,0))</x:f>
      </x:c>
      <x:c r="AB252">
        <x:f>(S252*IF(E252="L",F252,0))+(S252*IF(G252="L",H252,0))</x:f>
      </x:c>
      <x:c r="AC252">
        <x:f>(S252*IF(E252="H",F252,0))+(S252*IF(G252="H",H252,0))</x:f>
      </x:c>
      <x:c r="AD252">
        <x:f>(S252*IF(E252="V",F252,0))+(S252*IF(G252="V",H252,0))</x:f>
      </x:c>
      <x:c r="AE252">
        <x:f>(S252*IF(E252="R",F252,0))+(S252*IF(G252="R",H252,0))</x:f>
      </x:c>
      <x:c r="AF252">
        <x:f>(S252*IF(E252="F",F252,0))+(S252*IF(G252="F",H252,0))</x:f>
      </x:c>
      <x:c r="AG252">
        <x:f>(S252*IF(E252="W",F252,0))+(S252*IF(G252="W",H252,0))</x:f>
      </x:c>
      <x:c r="AH252" t="inlineStr">
        <x:is>
          <x:t xml:space="preserve">8. Investigation &amp; Response</x:t>
        </x:is>
      </x:c>
      <x:c r="AI252" t="inlineStr">
        <x:is>
          <x:t xml:space="preserve">Operational Readiness</x:t>
        </x:is>
      </x:c>
      <x:c r="AJ252" t="inlineStr">
        <x:is>
          <x:t xml:space="preserve">Forensic readiness &amp; evidence preservation</x:t>
        </x:is>
      </x:c>
    </x:row>
    <x:row r="253">
      <x:c r="A253" t="inlineStr">
        <x:is>
          <x:t xml:space="preserve">HR</x:t>
        </x:is>
      </x:c>
      <x:c r="B253" t="inlineStr">
        <x:is>
          <x:t xml:space="preserve">HR-D3-Q09</x:t>
        </x:is>
      </x:c>
      <x:c r="C253" t="inlineStr">
        <x:is>
          <x:t xml:space="preserve">T1</x:t>
        </x:is>
      </x:c>
      <x:c r="D253" t="inlineStr">
        <x:is>
          <x:t xml:space="preserve">3. Manager Capability &amp; Culture</x:t>
        </x:is>
      </x:c>
      <x:c r="E253" t="inlineStr">
        <x:is>
          <x:t xml:space="preserve">H</x:t>
        </x:is>
      </x:c>
      <x:c r="F253" t="n">
        <x:v>0.5</x:v>
      </x:c>
      <x:c r="G253" t="inlineStr">
        <x:is>
          <x:t xml:space="preserve">E</x:t>
        </x:is>
      </x:c>
      <x:c r="H253" t="n">
        <x:v>0.5</x:v>
      </x:c>
      <x:c r="I253" t="inlineStr">
        <x:is>
          <x:t xml:space="preserve">Are managers trained and expected to escalate people-related risk signals (conflict, distress, policy breaches) in a consistent way?</x:t>
        </x:is>
      </x:c>
      <x:c r="J253" t="inlineStr">
        <x:is>
          <x:t xml:space="preserve">Early intervention + knowing who to contact; avoid clinical labels.</x:t>
        </x:is>
      </x:c>
      <x:c r="L253" t="inlineStr">
        <x:is>
          <x:t xml:space="preserve">CULT_SOFT</x:t>
        </x:is>
      </x:c>
      <x:c r="M253" t="n">
        <x:v>1</x:v>
      </x:c>
      <x:c r="P253" t="inlineStr">
        <x:is>
          <x:t xml:space="preserve">HR-D3-Q09-A0</x:t>
        </x:is>
      </x:c>
      <x:c r="Q253" t="n">
        <x:v>1</x:v>
      </x:c>
      <x:c r="R253" t="inlineStr">
        <x:is>
          <x:t xml:space="preserve">I don't know / Not sure.</x:t>
        </x:is>
      </x:c>
      <x:c r="S253" t="n">
        <x:v>0</x:v>
      </x:c>
      <x:c r="T253" t="inlineStr">
        <x:is>
          <x:t xml:space="preserve">low-confidence</x:t>
        </x:is>
      </x:c>
      <x:c r="U253" t="inlineStr">
        <x:is>
          <x:t xml:space="preserve">Culture Risk</x:t>
        </x:is>
      </x:c>
      <x:c r="V253" t="inlineStr">
        <x:is>
          <x:t xml:space="preserve">Clarify manager support</x:t>
        </x:is>
      </x:c>
      <x:c r="W253" t="inlineStr">
        <x:is>
          <x:t xml:space="preserve">N</x:t>
        </x:is>
      </x:c>
      <x:c r="Y253">
        <x:f>(S253*IF(E253="G",F253,0))+(S253*IF(G253="G",H253,0))</x:f>
      </x:c>
      <x:c r="Z253">
        <x:f>(S253*IF(E253="E",F253,0))+(S253*IF(G253="E",H253,0))</x:f>
      </x:c>
      <x:c r="AA253">
        <x:f>(S253*IF(E253="T",F253,0))+(S253*IF(G253="T",H253,0))</x:f>
      </x:c>
      <x:c r="AB253">
        <x:f>(S253*IF(E253="L",F253,0))+(S253*IF(G253="L",H253,0))</x:f>
      </x:c>
      <x:c r="AC253">
        <x:f>(S253*IF(E253="H",F253,0))+(S253*IF(G253="H",H253,0))</x:f>
      </x:c>
      <x:c r="AD253">
        <x:f>(S253*IF(E253="V",F253,0))+(S253*IF(G253="V",H253,0))</x:f>
      </x:c>
      <x:c r="AE253">
        <x:f>(S253*IF(E253="R",F253,0))+(S253*IF(G253="R",H253,0))</x:f>
      </x:c>
      <x:c r="AF253">
        <x:f>(S253*IF(E253="F",F253,0))+(S253*IF(G253="F",H253,0))</x:f>
      </x:c>
      <x:c r="AG253">
        <x:f>(S253*IF(E253="W",F253,0))+(S253*IF(G253="W",H253,0))</x:f>
      </x:c>
      <x:c r="AH253" t="inlineStr">
        <x:is>
          <x:t xml:space="preserve">3. Risk Management</x:t>
        </x:is>
      </x:c>
      <x:c r="AI253" t="inlineStr">
        <x:is>
          <x:t xml:space="preserve">Assessment &amp; Analysis</x:t>
        </x:is>
      </x:c>
      <x:c r="AJ253" t="inlineStr">
        <x:is>
          <x:t xml:space="preserve">Risk appetite &amp; tolerance</x:t>
        </x:is>
      </x:c>
    </x:row>
    <x:row r="254">
      <x:c r="A254" t="inlineStr">
        <x:is>
          <x:t xml:space="preserve">HR</x:t>
        </x:is>
      </x:c>
      <x:c r="B254" t="inlineStr">
        <x:is>
          <x:t xml:space="preserve">HR-D3-Q09</x:t>
        </x:is>
      </x:c>
      <x:c r="C254" t="inlineStr">
        <x:is>
          <x:t xml:space="preserve">T1</x:t>
        </x:is>
      </x:c>
      <x:c r="D254" t="inlineStr">
        <x:is>
          <x:t xml:space="preserve">3. Manager Capability &amp; Culture</x:t>
        </x:is>
      </x:c>
      <x:c r="E254" t="inlineStr">
        <x:is>
          <x:t xml:space="preserve">H</x:t>
        </x:is>
      </x:c>
      <x:c r="F254" t="n">
        <x:v>0.5</x:v>
      </x:c>
      <x:c r="G254" t="inlineStr">
        <x:is>
          <x:t xml:space="preserve">E</x:t>
        </x:is>
      </x:c>
      <x:c r="H254" t="n">
        <x:v>0.5</x:v>
      </x:c>
      <x:c r="I254" t="inlineStr">
        <x:is>
          <x:t xml:space="preserve">Are managers trained and expected to escalate people-related risk signals (conflict, distress, policy breaches) in a consistent way?</x:t>
        </x:is>
      </x:c>
      <x:c r="J254" t="inlineStr">
        <x:is>
          <x:t xml:space="preserve">Early intervention + knowing who to contact; avoid clinical labels.</x:t>
        </x:is>
      </x:c>
      <x:c r="L254" t="inlineStr">
        <x:is>
          <x:t xml:space="preserve">CULT_SOFT</x:t>
        </x:is>
      </x:c>
      <x:c r="M254" t="n">
        <x:v>1</x:v>
      </x:c>
      <x:c r="P254" t="inlineStr">
        <x:is>
          <x:t xml:space="preserve">HR-D3-Q09-A1</x:t>
        </x:is>
      </x:c>
      <x:c r="Q254" t="n">
        <x:v>2</x:v>
      </x:c>
      <x:c r="R254" t="inlineStr">
        <x:is>
          <x:t xml:space="preserve">No: managers handle issues individually; escalation is rare or avoided.</x:t>
        </x:is>
      </x:c>
      <x:c r="S254" t="n">
        <x:v>0</x:v>
      </x:c>
      <x:c r="T254" t="inlineStr">
        <x:is>
          <x:t xml:space="preserve">culture_risk</x:t>
        </x:is>
      </x:c>
      <x:c r="U254" t="inlineStr">
        <x:is>
          <x:t xml:space="preserve">Culture Risk</x:t>
        </x:is>
      </x:c>
      <x:c r="V254" t="inlineStr">
        <x:is>
          <x:t xml:space="preserve">Design escalation pathways</x:t>
        </x:is>
      </x:c>
      <x:c r="W254" t="inlineStr">
        <x:is>
          <x:t xml:space="preserve">N</x:t>
        </x:is>
      </x:c>
      <x:c r="Y254">
        <x:f>(S254*IF(E254="G",F254,0))+(S254*IF(G254="G",H254,0))</x:f>
      </x:c>
      <x:c r="Z254">
        <x:f>(S254*IF(E254="E",F254,0))+(S254*IF(G254="E",H254,0))</x:f>
      </x:c>
      <x:c r="AA254">
        <x:f>(S254*IF(E254="T",F254,0))+(S254*IF(G254="T",H254,0))</x:f>
      </x:c>
      <x:c r="AB254">
        <x:f>(S254*IF(E254="L",F254,0))+(S254*IF(G254="L",H254,0))</x:f>
      </x:c>
      <x:c r="AC254">
        <x:f>(S254*IF(E254="H",F254,0))+(S254*IF(G254="H",H254,0))</x:f>
      </x:c>
      <x:c r="AD254">
        <x:f>(S254*IF(E254="V",F254,0))+(S254*IF(G254="V",H254,0))</x:f>
      </x:c>
      <x:c r="AE254">
        <x:f>(S254*IF(E254="R",F254,0))+(S254*IF(G254="R",H254,0))</x:f>
      </x:c>
      <x:c r="AF254">
        <x:f>(S254*IF(E254="F",F254,0))+(S254*IF(G254="F",H254,0))</x:f>
      </x:c>
      <x:c r="AG254">
        <x:f>(S254*IF(E254="W",F254,0))+(S254*IF(G254="W",H254,0))</x:f>
      </x:c>
      <x:c r="AH254" t="inlineStr">
        <x:is>
          <x:t xml:space="preserve">3. Risk Management</x:t>
        </x:is>
      </x:c>
      <x:c r="AI254" t="inlineStr">
        <x:is>
          <x:t xml:space="preserve">Assessment &amp; Analysis</x:t>
        </x:is>
      </x:c>
      <x:c r="AJ254" t="inlineStr">
        <x:is>
          <x:t xml:space="preserve">Risk appetite &amp; tolerance</x:t>
        </x:is>
      </x:c>
    </x:row>
    <x:row r="255">
      <x:c r="A255" t="inlineStr">
        <x:is>
          <x:t xml:space="preserve">HR</x:t>
        </x:is>
      </x:c>
      <x:c r="B255" t="inlineStr">
        <x:is>
          <x:t xml:space="preserve">HR-D3-Q09</x:t>
        </x:is>
      </x:c>
      <x:c r="C255" t="inlineStr">
        <x:is>
          <x:t xml:space="preserve">T1</x:t>
        </x:is>
      </x:c>
      <x:c r="D255" t="inlineStr">
        <x:is>
          <x:t xml:space="preserve">3. Manager Capability &amp; Culture</x:t>
        </x:is>
      </x:c>
      <x:c r="E255" t="inlineStr">
        <x:is>
          <x:t xml:space="preserve">H</x:t>
        </x:is>
      </x:c>
      <x:c r="F255" t="n">
        <x:v>0.5</x:v>
      </x:c>
      <x:c r="G255" t="inlineStr">
        <x:is>
          <x:t xml:space="preserve">E</x:t>
        </x:is>
      </x:c>
      <x:c r="H255" t="n">
        <x:v>0.5</x:v>
      </x:c>
      <x:c r="I255" t="inlineStr">
        <x:is>
          <x:t xml:space="preserve">Are managers trained and expected to escalate people-related risk signals (conflict, distress, policy breaches) in a consistent way?</x:t>
        </x:is>
      </x:c>
      <x:c r="J255" t="inlineStr">
        <x:is>
          <x:t xml:space="preserve">Early intervention + knowing who to contact; avoid clinical labels.</x:t>
        </x:is>
      </x:c>
      <x:c r="L255" t="inlineStr">
        <x:is>
          <x:t xml:space="preserve">CULT_SOFT</x:t>
        </x:is>
      </x:c>
      <x:c r="M255" t="n">
        <x:v>1</x:v>
      </x:c>
      <x:c r="P255" t="inlineStr">
        <x:is>
          <x:t xml:space="preserve">HR-D3-Q09-A2</x:t>
        </x:is>
      </x:c>
      <x:c r="Q255" t="n">
        <x:v>3</x:v>
      </x:c>
      <x:c r="R255" t="inlineStr">
        <x:is>
          <x:t xml:space="preserve">Ad-hoc: some escalate, others don’t; no shared guidance.</x:t>
        </x:is>
      </x:c>
      <x:c r="S255" t="n">
        <x:v>1</x:v>
      </x:c>
      <x:c r="T255" t="inlineStr">
        <x:is>
          <x:t xml:space="preserve">key_person_dependency</x:t>
        </x:is>
      </x:c>
      <x:c r="U255" t="inlineStr">
        <x:is>
          <x:t xml:space="preserve">Operating Model Gap</x:t>
        </x:is>
      </x:c>
      <x:c r="V255" t="inlineStr">
        <x:is>
          <x:t xml:space="preserve">Standardize guidance</x:t>
        </x:is>
      </x:c>
      <x:c r="W255" t="inlineStr">
        <x:is>
          <x:t xml:space="preserve">N</x:t>
        </x:is>
      </x:c>
      <x:c r="Y255">
        <x:f>(S255*IF(E255="G",F255,0))+(S255*IF(G255="G",H255,0))</x:f>
      </x:c>
      <x:c r="Z255">
        <x:f>(S255*IF(E255="E",F255,0))+(S255*IF(G255="E",H255,0))</x:f>
      </x:c>
      <x:c r="AA255">
        <x:f>(S255*IF(E255="T",F255,0))+(S255*IF(G255="T",H255,0))</x:f>
      </x:c>
      <x:c r="AB255">
        <x:f>(S255*IF(E255="L",F255,0))+(S255*IF(G255="L",H255,0))</x:f>
      </x:c>
      <x:c r="AC255">
        <x:f>(S255*IF(E255="H",F255,0))+(S255*IF(G255="H",H255,0))</x:f>
      </x:c>
      <x:c r="AD255">
        <x:f>(S255*IF(E255="V",F255,0))+(S255*IF(G255="V",H255,0))</x:f>
      </x:c>
      <x:c r="AE255">
        <x:f>(S255*IF(E255="R",F255,0))+(S255*IF(G255="R",H255,0))</x:f>
      </x:c>
      <x:c r="AF255">
        <x:f>(S255*IF(E255="F",F255,0))+(S255*IF(G255="F",H255,0))</x:f>
      </x:c>
      <x:c r="AG255">
        <x:f>(S255*IF(E255="W",F255,0))+(S255*IF(G255="W",H255,0))</x:f>
      </x:c>
      <x:c r="AH255" t="inlineStr">
        <x:is>
          <x:t xml:space="preserve">3. Risk Management</x:t>
        </x:is>
      </x:c>
      <x:c r="AI255" t="inlineStr">
        <x:is>
          <x:t xml:space="preserve">Assessment &amp; Analysis</x:t>
        </x:is>
      </x:c>
      <x:c r="AJ255" t="inlineStr">
        <x:is>
          <x:t xml:space="preserve">Risk appetite &amp; tolerance</x:t>
        </x:is>
      </x:c>
    </x:row>
    <x:row r="256">
      <x:c r="A256" t="inlineStr">
        <x:is>
          <x:t xml:space="preserve">HR</x:t>
        </x:is>
      </x:c>
      <x:c r="B256" t="inlineStr">
        <x:is>
          <x:t xml:space="preserve">HR-D3-Q09</x:t>
        </x:is>
      </x:c>
      <x:c r="C256" t="inlineStr">
        <x:is>
          <x:t xml:space="preserve">T1</x:t>
        </x:is>
      </x:c>
      <x:c r="D256" t="inlineStr">
        <x:is>
          <x:t xml:space="preserve">3. Manager Capability &amp; Culture</x:t>
        </x:is>
      </x:c>
      <x:c r="E256" t="inlineStr">
        <x:is>
          <x:t xml:space="preserve">H</x:t>
        </x:is>
      </x:c>
      <x:c r="F256" t="n">
        <x:v>0.5</x:v>
      </x:c>
      <x:c r="G256" t="inlineStr">
        <x:is>
          <x:t xml:space="preserve">E</x:t>
        </x:is>
      </x:c>
      <x:c r="H256" t="n">
        <x:v>0.5</x:v>
      </x:c>
      <x:c r="I256" t="inlineStr">
        <x:is>
          <x:t xml:space="preserve">Are managers trained and expected to escalate people-related risk signals (conflict, distress, policy breaches) in a consistent way?</x:t>
        </x:is>
      </x:c>
      <x:c r="J256" t="inlineStr">
        <x:is>
          <x:t xml:space="preserve">Early intervention + knowing who to contact; avoid clinical labels.</x:t>
        </x:is>
      </x:c>
      <x:c r="L256" t="inlineStr">
        <x:is>
          <x:t xml:space="preserve">CULT_SOFT</x:t>
        </x:is>
      </x:c>
      <x:c r="M256" t="n">
        <x:v>1</x:v>
      </x:c>
      <x:c r="P256" t="inlineStr">
        <x:is>
          <x:t xml:space="preserve">HR-D3-Q09-A3</x:t>
        </x:is>
      </x:c>
      <x:c r="Q256" t="n">
        <x:v>4</x:v>
      </x:c>
      <x:c r="R256" t="inlineStr">
        <x:is>
          <x:t xml:space="preserve">Defined: guidance exists but training is limited.</x:t>
        </x:is>
      </x:c>
      <x:c r="S256" t="n">
        <x:v>2</x:v>
      </x:c>
      <x:c r="T256" t="inlineStr">
        <x:is>
          <x:t xml:space="preserve">paper_dragon_signal</x:t>
        </x:is>
      </x:c>
      <x:c r="U256" t="inlineStr">
        <x:is>
          <x:t xml:space="preserve">Paper Dragon</x:t>
        </x:is>
      </x:c>
      <x:c r="V256" t="inlineStr">
        <x:is>
          <x:t xml:space="preserve">Expand training</x:t>
        </x:is>
      </x:c>
      <x:c r="W256" t="inlineStr">
        <x:is>
          <x:t xml:space="preserve">N</x:t>
        </x:is>
      </x:c>
      <x:c r="X256" t="inlineStr">
        <x:is>
          <x:t xml:space="preserve">Evidence: guidance doc.</x:t>
        </x:is>
      </x:c>
      <x:c r="Y256">
        <x:f>(S256*IF(E256="G",F256,0))+(S256*IF(G256="G",H256,0))</x:f>
      </x:c>
      <x:c r="Z256">
        <x:f>(S256*IF(E256="E",F256,0))+(S256*IF(G256="E",H256,0))</x:f>
      </x:c>
      <x:c r="AA256">
        <x:f>(S256*IF(E256="T",F256,0))+(S256*IF(G256="T",H256,0))</x:f>
      </x:c>
      <x:c r="AB256">
        <x:f>(S256*IF(E256="L",F256,0))+(S256*IF(G256="L",H256,0))</x:f>
      </x:c>
      <x:c r="AC256">
        <x:f>(S256*IF(E256="H",F256,0))+(S256*IF(G256="H",H256,0))</x:f>
      </x:c>
      <x:c r="AD256">
        <x:f>(S256*IF(E256="V",F256,0))+(S256*IF(G256="V",H256,0))</x:f>
      </x:c>
      <x:c r="AE256">
        <x:f>(S256*IF(E256="R",F256,0))+(S256*IF(G256="R",H256,0))</x:f>
      </x:c>
      <x:c r="AF256">
        <x:f>(S256*IF(E256="F",F256,0))+(S256*IF(G256="F",H256,0))</x:f>
      </x:c>
      <x:c r="AG256">
        <x:f>(S256*IF(E256="W",F256,0))+(S256*IF(G256="W",H256,0))</x:f>
      </x:c>
      <x:c r="AH256" t="inlineStr">
        <x:is>
          <x:t xml:space="preserve">3. Risk Management</x:t>
        </x:is>
      </x:c>
      <x:c r="AI256" t="inlineStr">
        <x:is>
          <x:t xml:space="preserve">Assessment &amp; Analysis</x:t>
        </x:is>
      </x:c>
      <x:c r="AJ256" t="inlineStr">
        <x:is>
          <x:t xml:space="preserve">Risk appetite &amp; tolerance</x:t>
        </x:is>
      </x:c>
    </x:row>
    <x:row r="257">
      <x:c r="A257" t="inlineStr">
        <x:is>
          <x:t xml:space="preserve">HR</x:t>
        </x:is>
      </x:c>
      <x:c r="B257" t="inlineStr">
        <x:is>
          <x:t xml:space="preserve">HR-D3-Q09</x:t>
        </x:is>
      </x:c>
      <x:c r="C257" t="inlineStr">
        <x:is>
          <x:t xml:space="preserve">T1</x:t>
        </x:is>
      </x:c>
      <x:c r="D257" t="inlineStr">
        <x:is>
          <x:t xml:space="preserve">3. Manager Capability &amp; Culture</x:t>
        </x:is>
      </x:c>
      <x:c r="E257" t="inlineStr">
        <x:is>
          <x:t xml:space="preserve">H</x:t>
        </x:is>
      </x:c>
      <x:c r="F257" t="n">
        <x:v>0.5</x:v>
      </x:c>
      <x:c r="G257" t="inlineStr">
        <x:is>
          <x:t xml:space="preserve">E</x:t>
        </x:is>
      </x:c>
      <x:c r="H257" t="n">
        <x:v>0.5</x:v>
      </x:c>
      <x:c r="I257" t="inlineStr">
        <x:is>
          <x:t xml:space="preserve">Are managers trained and expected to escalate people-related risk signals (conflict, distress, policy breaches) in a consistent way?</x:t>
        </x:is>
      </x:c>
      <x:c r="J257" t="inlineStr">
        <x:is>
          <x:t xml:space="preserve">Early intervention + knowing who to contact; avoid clinical labels.</x:t>
        </x:is>
      </x:c>
      <x:c r="L257" t="inlineStr">
        <x:is>
          <x:t xml:space="preserve">CULT_SOFT</x:t>
        </x:is>
      </x:c>
      <x:c r="M257" t="n">
        <x:v>1</x:v>
      </x:c>
      <x:c r="P257" t="inlineStr">
        <x:is>
          <x:t xml:space="preserve">HR-D3-Q09-A4</x:t>
        </x:is>
      </x:c>
      <x:c r="Q257" t="n">
        <x:v>5</x:v>
      </x:c>
      <x:c r="R257" t="inlineStr">
        <x:is>
          <x:t xml:space="preserve">Trained: managers receive training and use a clear escalation path.</x:t>
        </x:is>
      </x:c>
      <x:c r="S257" t="n">
        <x:v>3</x:v>
      </x:c>
      <x:c r="U257" t="inlineStr">
        <x:is>
          <x:t xml:space="preserve">Culture Risk</x:t>
        </x:is>
      </x:c>
      <x:c r="V257" t="inlineStr">
        <x:is>
          <x:t xml:space="preserve">Maintain training cadence</x:t>
        </x:is>
      </x:c>
      <x:c r="W257" t="inlineStr">
        <x:is>
          <x:t xml:space="preserve">N</x:t>
        </x:is>
      </x:c>
      <x:c r="X257" t="inlineStr">
        <x:is>
          <x:t xml:space="preserve">Evidence: training completion.</x:t>
        </x:is>
      </x:c>
      <x:c r="Y257">
        <x:f>(S257*IF(E257="G",F257,0))+(S257*IF(G257="G",H257,0))</x:f>
      </x:c>
      <x:c r="Z257">
        <x:f>(S257*IF(E257="E",F257,0))+(S257*IF(G257="E",H257,0))</x:f>
      </x:c>
      <x:c r="AA257">
        <x:f>(S257*IF(E257="T",F257,0))+(S257*IF(G257="T",H257,0))</x:f>
      </x:c>
      <x:c r="AB257">
        <x:f>(S257*IF(E257="L",F257,0))+(S257*IF(G257="L",H257,0))</x:f>
      </x:c>
      <x:c r="AC257">
        <x:f>(S257*IF(E257="H",F257,0))+(S257*IF(G257="H",H257,0))</x:f>
      </x:c>
      <x:c r="AD257">
        <x:f>(S257*IF(E257="V",F257,0))+(S257*IF(G257="V",H257,0))</x:f>
      </x:c>
      <x:c r="AE257">
        <x:f>(S257*IF(E257="R",F257,0))+(S257*IF(G257="R",H257,0))</x:f>
      </x:c>
      <x:c r="AF257">
        <x:f>(S257*IF(E257="F",F257,0))+(S257*IF(G257="F",H257,0))</x:f>
      </x:c>
      <x:c r="AG257">
        <x:f>(S257*IF(E257="W",F257,0))+(S257*IF(G257="W",H257,0))</x:f>
      </x:c>
      <x:c r="AH257" t="inlineStr">
        <x:is>
          <x:t xml:space="preserve">3. Risk Management</x:t>
        </x:is>
      </x:c>
      <x:c r="AI257" t="inlineStr">
        <x:is>
          <x:t xml:space="preserve">Assessment &amp; Analysis</x:t>
        </x:is>
      </x:c>
      <x:c r="AJ257" t="inlineStr">
        <x:is>
          <x:t xml:space="preserve">Risk appetite &amp; tolerance</x:t>
        </x:is>
      </x:c>
    </x:row>
    <x:row r="258">
      <x:c r="A258" t="inlineStr">
        <x:is>
          <x:t xml:space="preserve">HR</x:t>
        </x:is>
      </x:c>
      <x:c r="B258" t="inlineStr">
        <x:is>
          <x:t xml:space="preserve">HR-D3-Q09</x:t>
        </x:is>
      </x:c>
      <x:c r="C258" t="inlineStr">
        <x:is>
          <x:t xml:space="preserve">T1</x:t>
        </x:is>
      </x:c>
      <x:c r="D258" t="inlineStr">
        <x:is>
          <x:t xml:space="preserve">3. Manager Capability &amp; Culture</x:t>
        </x:is>
      </x:c>
      <x:c r="E258" t="inlineStr">
        <x:is>
          <x:t xml:space="preserve">H</x:t>
        </x:is>
      </x:c>
      <x:c r="F258" t="n">
        <x:v>0.5</x:v>
      </x:c>
      <x:c r="G258" t="inlineStr">
        <x:is>
          <x:t xml:space="preserve">E</x:t>
        </x:is>
      </x:c>
      <x:c r="H258" t="n">
        <x:v>0.5</x:v>
      </x:c>
      <x:c r="I258" t="inlineStr">
        <x:is>
          <x:t xml:space="preserve">Are managers trained and expected to escalate people-related risk signals (conflict, distress, policy breaches) in a consistent way?</x:t>
        </x:is>
      </x:c>
      <x:c r="J258" t="inlineStr">
        <x:is>
          <x:t xml:space="preserve">Early intervention + knowing who to contact; avoid clinical labels.</x:t>
        </x:is>
      </x:c>
      <x:c r="L258" t="inlineStr">
        <x:is>
          <x:t xml:space="preserve">CULT_SOFT</x:t>
        </x:is>
      </x:c>
      <x:c r="M258" t="n">
        <x:v>1</x:v>
      </x:c>
      <x:c r="P258" t="inlineStr">
        <x:is>
          <x:t xml:space="preserve">HR-D3-Q09-A5</x:t>
        </x:is>
      </x:c>
      <x:c r="Q258" t="n">
        <x:v>6</x:v>
      </x:c>
      <x:c r="R258" t="inlineStr">
        <x:is>
          <x:t xml:space="preserve">Embedded: escalation expectations in manager KPIs; audited for consistency.</x:t>
        </x:is>
      </x:c>
      <x:c r="S258" t="n">
        <x:v>4</x:v>
      </x:c>
      <x:c r="U258" t="inlineStr">
        <x:is>
          <x:t xml:space="preserve">Culture Risk</x:t>
        </x:is>
      </x:c>
      <x:c r="V258" t="inlineStr">
        <x:is>
          <x:t xml:space="preserve">Maintain assurance</x:t>
        </x:is>
      </x:c>
      <x:c r="W258" t="inlineStr">
        <x:is>
          <x:t xml:space="preserve">N</x:t>
        </x:is>
      </x:c>
      <x:c r="X258" t="inlineStr">
        <x:is>
          <x:t xml:space="preserve">Evidence: KPI or audit outputs.</x:t>
        </x:is>
      </x:c>
      <x:c r="Y258">
        <x:f>(S258*IF(E258="G",F258,0))+(S258*IF(G258="G",H258,0))</x:f>
      </x:c>
      <x:c r="Z258">
        <x:f>(S258*IF(E258="E",F258,0))+(S258*IF(G258="E",H258,0))</x:f>
      </x:c>
      <x:c r="AA258">
        <x:f>(S258*IF(E258="T",F258,0))+(S258*IF(G258="T",H258,0))</x:f>
      </x:c>
      <x:c r="AB258">
        <x:f>(S258*IF(E258="L",F258,0))+(S258*IF(G258="L",H258,0))</x:f>
      </x:c>
      <x:c r="AC258">
        <x:f>(S258*IF(E258="H",F258,0))+(S258*IF(G258="H",H258,0))</x:f>
      </x:c>
      <x:c r="AD258">
        <x:f>(S258*IF(E258="V",F258,0))+(S258*IF(G258="V",H258,0))</x:f>
      </x:c>
      <x:c r="AE258">
        <x:f>(S258*IF(E258="R",F258,0))+(S258*IF(G258="R",H258,0))</x:f>
      </x:c>
      <x:c r="AF258">
        <x:f>(S258*IF(E258="F",F258,0))+(S258*IF(G258="F",H258,0))</x:f>
      </x:c>
      <x:c r="AG258">
        <x:f>(S258*IF(E258="W",F258,0))+(S258*IF(G258="W",H258,0))</x:f>
      </x:c>
      <x:c r="AH258" t="inlineStr">
        <x:is>
          <x:t xml:space="preserve">3. Risk Management</x:t>
        </x:is>
      </x:c>
      <x:c r="AI258" t="inlineStr">
        <x:is>
          <x:t xml:space="preserve">Assessment &amp; Analysis</x:t>
        </x:is>
      </x:c>
      <x:c r="AJ258" t="inlineStr">
        <x:is>
          <x:t xml:space="preserve">Risk appetite &amp; tolerance</x:t>
        </x:is>
      </x:c>
    </x:row>
    <x:row r="259">
      <x:c r="A259" t="inlineStr">
        <x:is>
          <x:t xml:space="preserve">HR</x:t>
        </x:is>
      </x:c>
      <x:c r="B259" t="inlineStr">
        <x:is>
          <x:t xml:space="preserve">HR-D3-Q10</x:t>
        </x:is>
      </x:c>
      <x:c r="C259" t="inlineStr">
        <x:is>
          <x:t xml:space="preserve">T2</x:t>
        </x:is>
      </x:c>
      <x:c r="D259" t="inlineStr">
        <x:is>
          <x:t xml:space="preserve">3. Manager Capability &amp; Culture</x:t>
        </x:is>
      </x:c>
      <x:c r="E259" t="inlineStr">
        <x:is>
          <x:t xml:space="preserve">E</x:t>
        </x:is>
      </x:c>
      <x:c r="F259" t="n">
        <x:v>1</x:v>
      </x:c>
      <x:c r="G259" t="inlineStr">
        <x:is>
          <x:t xml:space="preserve">-</x:t>
        </x:is>
      </x:c>
      <x:c r="I259" t="inlineStr">
        <x:is>
          <x:t xml:space="preserve">(Shadow probe) In practice, do managers know who to contact and do they use that path when something is 'off'?</x:t>
        </x:is>
      </x:c>
      <x:c r="J259" t="inlineStr">
        <x:is>
          <x:t xml:space="preserve">Checks whether escalation works in real life.</x:t>
        </x:is>
      </x:c>
      <x:c r="L259" t="inlineStr">
        <x:is>
          <x:t xml:space="preserve">OPS_STD</x:t>
        </x:is>
      </x:c>
      <x:c r="M259" t="n">
        <x:v>1</x:v>
      </x:c>
      <x:c r="P259" t="inlineStr">
        <x:is>
          <x:t xml:space="preserve">HR-D3-Q10-A1</x:t>
        </x:is>
      </x:c>
      <x:c r="Q259" t="n">
        <x:v>1</x:v>
      </x:c>
      <x:c r="R259" t="inlineStr">
        <x:is>
          <x:t xml:space="preserve">No: escalation unclear; handled locally or ignored.</x:t>
        </x:is>
      </x:c>
      <x:c r="S259" t="n">
        <x:v>0</x:v>
      </x:c>
      <x:c r="T259" t="inlineStr">
        <x:is>
          <x:t xml:space="preserve">culture_risk</x:t>
        </x:is>
      </x:c>
      <x:c r="U259" t="inlineStr">
        <x:is>
          <x:t xml:space="preserve">Operating Model Gap</x:t>
        </x:is>
      </x:c>
      <x:c r="V259" t="inlineStr">
        <x:is>
          <x:t xml:space="preserve">Define escalation route</x:t>
        </x:is>
      </x:c>
      <x:c r="W259" t="inlineStr">
        <x:is>
          <x:t xml:space="preserve">N</x:t>
        </x:is>
      </x:c>
      <x:c r="Y259">
        <x:f>(S259*IF(E259="G",F259,0))+(S259*IF(G259="G",H259,0))</x:f>
      </x:c>
      <x:c r="Z259">
        <x:f>(S259*IF(E259="E",F259,0))+(S259*IF(G259="E",H259,0))</x:f>
      </x:c>
      <x:c r="AA259">
        <x:f>(S259*IF(E259="T",F259,0))+(S259*IF(G259="T",H259,0))</x:f>
      </x:c>
      <x:c r="AB259">
        <x:f>(S259*IF(E259="L",F259,0))+(S259*IF(G259="L",H259,0))</x:f>
      </x:c>
      <x:c r="AC259">
        <x:f>(S259*IF(E259="H",F259,0))+(S259*IF(G259="H",H259,0))</x:f>
      </x:c>
      <x:c r="AD259">
        <x:f>(S259*IF(E259="V",F259,0))+(S259*IF(G259="V",H259,0))</x:f>
      </x:c>
      <x:c r="AE259">
        <x:f>(S259*IF(E259="R",F259,0))+(S259*IF(G259="R",H259,0))</x:f>
      </x:c>
      <x:c r="AF259">
        <x:f>(S259*IF(E259="F",F259,0))+(S259*IF(G259="F",H259,0))</x:f>
      </x:c>
      <x:c r="AG259">
        <x:f>(S259*IF(E259="W",F259,0))+(S259*IF(G259="W",H259,0))</x:f>
      </x:c>
      <x:c r="AH259" t="inlineStr">
        <x:is>
          <x:t xml:space="preserve">4. Legal, Privacy &amp; Ethics</x:t>
        </x:is>
      </x:c>
      <x:c r="AI259" t="inlineStr">
        <x:is>
          <x:t xml:space="preserve">Compliance &amp; Policy</x:t>
        </x:is>
      </x:c>
      <x:c r="AJ259" t="inlineStr">
        <x:is>
          <x:t xml:space="preserve">Works Council / Labor Alignment</x:t>
        </x:is>
      </x:c>
    </x:row>
    <x:row r="260">
      <x:c r="A260" t="inlineStr">
        <x:is>
          <x:t xml:space="preserve">HR</x:t>
        </x:is>
      </x:c>
      <x:c r="B260" t="inlineStr">
        <x:is>
          <x:t xml:space="preserve">HR-D3-Q10</x:t>
        </x:is>
      </x:c>
      <x:c r="C260" t="inlineStr">
        <x:is>
          <x:t xml:space="preserve">T2</x:t>
        </x:is>
      </x:c>
      <x:c r="D260" t="inlineStr">
        <x:is>
          <x:t xml:space="preserve">3. Manager Capability &amp; Culture</x:t>
        </x:is>
      </x:c>
      <x:c r="E260" t="inlineStr">
        <x:is>
          <x:t xml:space="preserve">E</x:t>
        </x:is>
      </x:c>
      <x:c r="F260" t="n">
        <x:v>1</x:v>
      </x:c>
      <x:c r="G260" t="inlineStr">
        <x:is>
          <x:t xml:space="preserve">-</x:t>
        </x:is>
      </x:c>
      <x:c r="I260" t="inlineStr">
        <x:is>
          <x:t xml:space="preserve">(Shadow probe) In practice, do managers know who to contact and do they use that path when something is 'off'?</x:t>
        </x:is>
      </x:c>
      <x:c r="J260" t="inlineStr">
        <x:is>
          <x:t xml:space="preserve">Checks whether escalation works in real life.</x:t>
        </x:is>
      </x:c>
      <x:c r="L260" t="inlineStr">
        <x:is>
          <x:t xml:space="preserve">OPS_STD</x:t>
        </x:is>
      </x:c>
      <x:c r="M260" t="n">
        <x:v>1</x:v>
      </x:c>
      <x:c r="P260" t="inlineStr">
        <x:is>
          <x:t xml:space="preserve">HR-D3-Q10-A2</x:t>
        </x:is>
      </x:c>
      <x:c r="Q260" t="n">
        <x:v>2</x:v>
      </x:c>
      <x:c r="R260" t="inlineStr">
        <x:is>
          <x:t xml:space="preserve">Sometimes: depends on networks; not documented.</x:t>
        </x:is>
      </x:c>
      <x:c r="S260" t="n">
        <x:v>1</x:v>
      </x:c>
      <x:c r="T260" t="inlineStr">
        <x:is>
          <x:t xml:space="preserve">key_person_dependency,shadow_mature_signal</x:t>
        </x:is>
      </x:c>
      <x:c r="U260" t="inlineStr">
        <x:is>
          <x:t xml:space="preserve">Operating Model Gap</x:t>
        </x:is>
      </x:c>
      <x:c r="V260" t="inlineStr">
        <x:is>
          <x:t xml:space="preserve">Document and socialize path</x:t>
        </x:is>
      </x:c>
      <x:c r="W260" t="inlineStr">
        <x:is>
          <x:t xml:space="preserve">N</x:t>
        </x:is>
      </x:c>
      <x:c r="Y260">
        <x:f>(S260*IF(E260="G",F260,0))+(S260*IF(G260="G",H260,0))</x:f>
      </x:c>
      <x:c r="Z260">
        <x:f>(S260*IF(E260="E",F260,0))+(S260*IF(G260="E",H260,0))</x:f>
      </x:c>
      <x:c r="AA260">
        <x:f>(S260*IF(E260="T",F260,0))+(S260*IF(G260="T",H260,0))</x:f>
      </x:c>
      <x:c r="AB260">
        <x:f>(S260*IF(E260="L",F260,0))+(S260*IF(G260="L",H260,0))</x:f>
      </x:c>
      <x:c r="AC260">
        <x:f>(S260*IF(E260="H",F260,0))+(S260*IF(G260="H",H260,0))</x:f>
      </x:c>
      <x:c r="AD260">
        <x:f>(S260*IF(E260="V",F260,0))+(S260*IF(G260="V",H260,0))</x:f>
      </x:c>
      <x:c r="AE260">
        <x:f>(S260*IF(E260="R",F260,0))+(S260*IF(G260="R",H260,0))</x:f>
      </x:c>
      <x:c r="AF260">
        <x:f>(S260*IF(E260="F",F260,0))+(S260*IF(G260="F",H260,0))</x:f>
      </x:c>
      <x:c r="AG260">
        <x:f>(S260*IF(E260="W",F260,0))+(S260*IF(G260="W",H260,0))</x:f>
      </x:c>
      <x:c r="AH260" t="inlineStr">
        <x:is>
          <x:t xml:space="preserve">4. Legal, Privacy &amp; Ethics</x:t>
        </x:is>
      </x:c>
      <x:c r="AI260" t="inlineStr">
        <x:is>
          <x:t xml:space="preserve">Compliance &amp; Policy</x:t>
        </x:is>
      </x:c>
      <x:c r="AJ260" t="inlineStr">
        <x:is>
          <x:t xml:space="preserve">Works Council / Labor Alignment</x:t>
        </x:is>
      </x:c>
    </x:row>
    <x:row r="261">
      <x:c r="A261" t="inlineStr">
        <x:is>
          <x:t xml:space="preserve">HR</x:t>
        </x:is>
      </x:c>
      <x:c r="B261" t="inlineStr">
        <x:is>
          <x:t xml:space="preserve">HR-D3-Q10</x:t>
        </x:is>
      </x:c>
      <x:c r="C261" t="inlineStr">
        <x:is>
          <x:t xml:space="preserve">T2</x:t>
        </x:is>
      </x:c>
      <x:c r="D261" t="inlineStr">
        <x:is>
          <x:t xml:space="preserve">3. Manager Capability &amp; Culture</x:t>
        </x:is>
      </x:c>
      <x:c r="E261" t="inlineStr">
        <x:is>
          <x:t xml:space="preserve">E</x:t>
        </x:is>
      </x:c>
      <x:c r="F261" t="n">
        <x:v>1</x:v>
      </x:c>
      <x:c r="G261" t="inlineStr">
        <x:is>
          <x:t xml:space="preserve">-</x:t>
        </x:is>
      </x:c>
      <x:c r="I261" t="inlineStr">
        <x:is>
          <x:t xml:space="preserve">(Shadow probe) In practice, do managers know who to contact and do they use that path when something is 'off'?</x:t>
        </x:is>
      </x:c>
      <x:c r="J261" t="inlineStr">
        <x:is>
          <x:t xml:space="preserve">Checks whether escalation works in real life.</x:t>
        </x:is>
      </x:c>
      <x:c r="L261" t="inlineStr">
        <x:is>
          <x:t xml:space="preserve">OPS_STD</x:t>
        </x:is>
      </x:c>
      <x:c r="M261" t="n">
        <x:v>1</x:v>
      </x:c>
      <x:c r="P261" t="inlineStr">
        <x:is>
          <x:t xml:space="preserve">HR-D3-Q10-A3</x:t>
        </x:is>
      </x:c>
      <x:c r="Q261" t="n">
        <x:v>3</x:v>
      </x:c>
      <x:c r="R261" t="inlineStr">
        <x:is>
          <x:t xml:space="preserve">Yes, usually: managers know contacts and escalate within a reasonable time.</x:t>
        </x:is>
      </x:c>
      <x:c r="S261" t="n">
        <x:v>2</x:v>
      </x:c>
      <x:c r="T261" t="inlineStr">
        <x:is>
          <x:t xml:space="preserve">shadow_mature_signal</x:t>
        </x:is>
      </x:c>
      <x:c r="U261" t="inlineStr">
        <x:is>
          <x:t xml:space="preserve">Operating Model Gap</x:t>
        </x:is>
      </x:c>
      <x:c r="V261" t="inlineStr">
        <x:is>
          <x:t xml:space="preserve">Formalize and measure</x:t>
        </x:is>
      </x:c>
      <x:c r="W261" t="inlineStr">
        <x:is>
          <x:t xml:space="preserve">N</x:t>
        </x:is>
      </x:c>
      <x:c r="X261" t="inlineStr">
        <x:is>
          <x:t xml:space="preserve">Typical time to escalate.</x:t>
        </x:is>
      </x:c>
      <x:c r="Y261">
        <x:f>(S261*IF(E261="G",F261,0))+(S261*IF(G261="G",H261,0))</x:f>
      </x:c>
      <x:c r="Z261">
        <x:f>(S261*IF(E261="E",F261,0))+(S261*IF(G261="E",H261,0))</x:f>
      </x:c>
      <x:c r="AA261">
        <x:f>(S261*IF(E261="T",F261,0))+(S261*IF(G261="T",H261,0))</x:f>
      </x:c>
      <x:c r="AB261">
        <x:f>(S261*IF(E261="L",F261,0))+(S261*IF(G261="L",H261,0))</x:f>
      </x:c>
      <x:c r="AC261">
        <x:f>(S261*IF(E261="H",F261,0))+(S261*IF(G261="H",H261,0))</x:f>
      </x:c>
      <x:c r="AD261">
        <x:f>(S261*IF(E261="V",F261,0))+(S261*IF(G261="V",H261,0))</x:f>
      </x:c>
      <x:c r="AE261">
        <x:f>(S261*IF(E261="R",F261,0))+(S261*IF(G261="R",H261,0))</x:f>
      </x:c>
      <x:c r="AF261">
        <x:f>(S261*IF(E261="F",F261,0))+(S261*IF(G261="F",H261,0))</x:f>
      </x:c>
      <x:c r="AG261">
        <x:f>(S261*IF(E261="W",F261,0))+(S261*IF(G261="W",H261,0))</x:f>
      </x:c>
      <x:c r="AH261" t="inlineStr">
        <x:is>
          <x:t xml:space="preserve">4. Legal, Privacy &amp; Ethics</x:t>
        </x:is>
      </x:c>
      <x:c r="AI261" t="inlineStr">
        <x:is>
          <x:t xml:space="preserve">Compliance &amp; Policy</x:t>
        </x:is>
      </x:c>
      <x:c r="AJ261" t="inlineStr">
        <x:is>
          <x:t xml:space="preserve">Works Council / Labor Alignment</x:t>
        </x:is>
      </x:c>
    </x:row>
    <x:row r="262">
      <x:c r="A262" t="inlineStr">
        <x:is>
          <x:t xml:space="preserve">HR</x:t>
        </x:is>
      </x:c>
      <x:c r="B262" t="inlineStr">
        <x:is>
          <x:t xml:space="preserve">HR-D3-Q10</x:t>
        </x:is>
      </x:c>
      <x:c r="C262" t="inlineStr">
        <x:is>
          <x:t xml:space="preserve">T2</x:t>
        </x:is>
      </x:c>
      <x:c r="D262" t="inlineStr">
        <x:is>
          <x:t xml:space="preserve">3. Manager Capability &amp; Culture</x:t>
        </x:is>
      </x:c>
      <x:c r="E262" t="inlineStr">
        <x:is>
          <x:t xml:space="preserve">E</x:t>
        </x:is>
      </x:c>
      <x:c r="F262" t="n">
        <x:v>1</x:v>
      </x:c>
      <x:c r="G262" t="inlineStr">
        <x:is>
          <x:t xml:space="preserve">-</x:t>
        </x:is>
      </x:c>
      <x:c r="I262" t="inlineStr">
        <x:is>
          <x:t xml:space="preserve">(Shadow probe) In practice, do managers know who to contact and do they use that path when something is 'off'?</x:t>
        </x:is>
      </x:c>
      <x:c r="J262" t="inlineStr">
        <x:is>
          <x:t xml:space="preserve">Checks whether escalation works in real life.</x:t>
        </x:is>
      </x:c>
      <x:c r="L262" t="inlineStr">
        <x:is>
          <x:t xml:space="preserve">OPS_STD</x:t>
        </x:is>
      </x:c>
      <x:c r="M262" t="n">
        <x:v>1</x:v>
      </x:c>
      <x:c r="P262" t="inlineStr">
        <x:is>
          <x:t xml:space="preserve">HR-D3-Q10-A4</x:t>
        </x:is>
      </x:c>
      <x:c r="Q262" t="n">
        <x:v>4</x:v>
      </x:c>
      <x:c r="R262" t="inlineStr">
        <x:is>
          <x:t xml:space="preserve">Yes, consistently: escalation is used and tracked (without over-monitoring).</x:t>
        </x:is>
      </x:c>
      <x:c r="S262" t="n">
        <x:v>3</x:v>
      </x:c>
      <x:c r="U262" t="inlineStr">
        <x:is>
          <x:t xml:space="preserve">Operating Model Gap</x:t>
        </x:is>
      </x:c>
      <x:c r="V262" t="inlineStr">
        <x:is>
          <x:t xml:space="preserve">Maintain tracking</x:t>
        </x:is>
      </x:c>
      <x:c r="W262" t="inlineStr">
        <x:is>
          <x:t xml:space="preserve">N</x:t>
        </x:is>
      </x:c>
      <x:c r="X262" t="inlineStr">
        <x:is>
          <x:t xml:space="preserve">Evidence: anonymized escalation metrics.</x:t>
        </x:is>
      </x:c>
      <x:c r="Y262">
        <x:f>(S262*IF(E262="G",F262,0))+(S262*IF(G262="G",H262,0))</x:f>
      </x:c>
      <x:c r="Z262">
        <x:f>(S262*IF(E262="E",F262,0))+(S262*IF(G262="E",H262,0))</x:f>
      </x:c>
      <x:c r="AA262">
        <x:f>(S262*IF(E262="T",F262,0))+(S262*IF(G262="T",H262,0))</x:f>
      </x:c>
      <x:c r="AB262">
        <x:f>(S262*IF(E262="L",F262,0))+(S262*IF(G262="L",H262,0))</x:f>
      </x:c>
      <x:c r="AC262">
        <x:f>(S262*IF(E262="H",F262,0))+(S262*IF(G262="H",H262,0))</x:f>
      </x:c>
      <x:c r="AD262">
        <x:f>(S262*IF(E262="V",F262,0))+(S262*IF(G262="V",H262,0))</x:f>
      </x:c>
      <x:c r="AE262">
        <x:f>(S262*IF(E262="R",F262,0))+(S262*IF(G262="R",H262,0))</x:f>
      </x:c>
      <x:c r="AF262">
        <x:f>(S262*IF(E262="F",F262,0))+(S262*IF(G262="F",H262,0))</x:f>
      </x:c>
      <x:c r="AG262">
        <x:f>(S262*IF(E262="W",F262,0))+(S262*IF(G262="W",H262,0))</x:f>
      </x:c>
      <x:c r="AH262" t="inlineStr">
        <x:is>
          <x:t xml:space="preserve">4. Legal, Privacy &amp; Ethics</x:t>
        </x:is>
      </x:c>
      <x:c r="AI262" t="inlineStr">
        <x:is>
          <x:t xml:space="preserve">Compliance &amp; Policy</x:t>
        </x:is>
      </x:c>
      <x:c r="AJ262" t="inlineStr">
        <x:is>
          <x:t xml:space="preserve">Works Council / Labor Alignment</x:t>
        </x:is>
      </x:c>
    </x:row>
    <x:row r="263">
      <x:c r="A263" t="inlineStr">
        <x:is>
          <x:t xml:space="preserve">HR</x:t>
        </x:is>
      </x:c>
      <x:c r="B263" t="inlineStr">
        <x:is>
          <x:t xml:space="preserve">HR-D3-Q11</x:t>
        </x:is>
      </x:c>
      <x:c r="C263" t="inlineStr">
        <x:is>
          <x:t xml:space="preserve">T2</x:t>
        </x:is>
      </x:c>
      <x:c r="D263" t="inlineStr">
        <x:is>
          <x:t xml:space="preserve">3. Manager Capability &amp; Culture</x:t>
        </x:is>
      </x:c>
      <x:c r="E263" t="inlineStr">
        <x:is>
          <x:t xml:space="preserve">H</x:t>
        </x:is>
      </x:c>
      <x:c r="F263" t="n">
        <x:v>1</x:v>
      </x:c>
      <x:c r="G263" t="inlineStr">
        <x:is>
          <x:t xml:space="preserve">-</x:t>
        </x:is>
      </x:c>
      <x:c r="I263" t="inlineStr">
        <x:is>
          <x:t xml:space="preserve">Do you measure speak-up / trust / psychological safety and act on results?</x:t>
        </x:is>
      </x:c>
      <x:c r="J263" t="inlineStr">
        <x:is>
          <x:t xml:space="preserve">Measurement without action is not mature.</x:t>
        </x:is>
      </x:c>
      <x:c r="L263" t="inlineStr">
        <x:is>
          <x:t xml:space="preserve">CULT_SOFT</x:t>
        </x:is>
      </x:c>
      <x:c r="M263" t="n">
        <x:v>1.5</x:v>
      </x:c>
      <x:c r="N263" t="n">
        <x:v>0.5</x:v>
      </x:c>
      <x:c r="P263" t="inlineStr">
        <x:is>
          <x:t xml:space="preserve">HR-D3-Q11-A1</x:t>
        </x:is>
      </x:c>
      <x:c r="Q263" t="n">
        <x:v>1</x:v>
      </x:c>
      <x:c r="R263" t="inlineStr">
        <x:is>
          <x:t xml:space="preserve">No measurement; leadership relies on anecdotes.</x:t>
        </x:is>
      </x:c>
      <x:c r="S263" t="n">
        <x:v>0</x:v>
      </x:c>
      <x:c r="T263" t="inlineStr">
        <x:is>
          <x:t xml:space="preserve">culture_risk</x:t>
        </x:is>
      </x:c>
      <x:c r="U263" t="inlineStr">
        <x:is>
          <x:t xml:space="preserve">Culture Risk</x:t>
        </x:is>
      </x:c>
      <x:c r="V263" t="inlineStr">
        <x:is>
          <x:t xml:space="preserve">Introduce measurement</x:t>
        </x:is>
      </x:c>
      <x:c r="W263" t="inlineStr">
        <x:is>
          <x:t xml:space="preserve">N</x:t>
        </x:is>
      </x:c>
      <x:c r="Y263">
        <x:f>(S263*IF(E263="G",F263,0))+(S263*IF(G263="G",H263,0))</x:f>
      </x:c>
      <x:c r="Z263">
        <x:f>(S263*IF(E263="E",F263,0))+(S263*IF(G263="E",H263,0))</x:f>
      </x:c>
      <x:c r="AA263">
        <x:f>(S263*IF(E263="T",F263,0))+(S263*IF(G263="T",H263,0))</x:f>
      </x:c>
      <x:c r="AB263">
        <x:f>(S263*IF(E263="L",F263,0))+(S263*IF(G263="L",H263,0))</x:f>
      </x:c>
      <x:c r="AC263">
        <x:f>(S263*IF(E263="H",F263,0))+(S263*IF(G263="H",H263,0))</x:f>
      </x:c>
      <x:c r="AD263">
        <x:f>(S263*IF(E263="V",F263,0))+(S263*IF(G263="V",H263,0))</x:f>
      </x:c>
      <x:c r="AE263">
        <x:f>(S263*IF(E263="R",F263,0))+(S263*IF(G263="R",H263,0))</x:f>
      </x:c>
      <x:c r="AF263">
        <x:f>(S263*IF(E263="F",F263,0))+(S263*IF(G263="F",H263,0))</x:f>
      </x:c>
      <x:c r="AG263">
        <x:f>(S263*IF(E263="W",F263,0))+(S263*IF(G263="W",H263,0))</x:f>
      </x:c>
      <x:c r="AH263" t="inlineStr">
        <x:is>
          <x:t xml:space="preserve">5. Human-Centric Culture</x:t>
        </x:is>
      </x:c>
      <x:c r="AI263" t="inlineStr">
        <x:is>
          <x:t xml:space="preserve">Awareness &amp; Wellbeing</x:t>
        </x:is>
      </x:c>
      <x:c r="AJ263" t="inlineStr">
        <x:is>
          <x:t xml:space="preserve">Speak-Up Culture &amp; Psychological Safety</x:t>
        </x:is>
      </x:c>
    </x:row>
    <x:row r="264">
      <x:c r="A264" t="inlineStr">
        <x:is>
          <x:t xml:space="preserve">HR</x:t>
        </x:is>
      </x:c>
      <x:c r="B264" t="inlineStr">
        <x:is>
          <x:t xml:space="preserve">HR-D3-Q11</x:t>
        </x:is>
      </x:c>
      <x:c r="C264" t="inlineStr">
        <x:is>
          <x:t xml:space="preserve">T2</x:t>
        </x:is>
      </x:c>
      <x:c r="D264" t="inlineStr">
        <x:is>
          <x:t xml:space="preserve">3. Manager Capability &amp; Culture</x:t>
        </x:is>
      </x:c>
      <x:c r="E264" t="inlineStr">
        <x:is>
          <x:t xml:space="preserve">H</x:t>
        </x:is>
      </x:c>
      <x:c r="F264" t="n">
        <x:v>1</x:v>
      </x:c>
      <x:c r="G264" t="inlineStr">
        <x:is>
          <x:t xml:space="preserve">-</x:t>
        </x:is>
      </x:c>
      <x:c r="I264" t="inlineStr">
        <x:is>
          <x:t xml:space="preserve">Do you measure speak-up / trust / psychological safety and act on results?</x:t>
        </x:is>
      </x:c>
      <x:c r="J264" t="inlineStr">
        <x:is>
          <x:t xml:space="preserve">Measurement without action is not mature.</x:t>
        </x:is>
      </x:c>
      <x:c r="L264" t="inlineStr">
        <x:is>
          <x:t xml:space="preserve">CULT_SOFT</x:t>
        </x:is>
      </x:c>
      <x:c r="M264" t="n">
        <x:v>1.5</x:v>
      </x:c>
      <x:c r="N264" t="n">
        <x:v>0.5</x:v>
      </x:c>
      <x:c r="P264" t="inlineStr">
        <x:is>
          <x:t xml:space="preserve">HR-D3-Q11-A2</x:t>
        </x:is>
      </x:c>
      <x:c r="Q264" t="n">
        <x:v>2</x:v>
      </x:c>
      <x:c r="R264" t="inlineStr">
        <x:is>
          <x:t xml:space="preserve">Occasional survey; results not acted on.</x:t>
        </x:is>
      </x:c>
      <x:c r="S264" t="n">
        <x:v>1</x:v>
      </x:c>
      <x:c r="T264" t="inlineStr">
        <x:is>
          <x:t xml:space="preserve">paper_dragon_signal</x:t>
        </x:is>
      </x:c>
      <x:c r="U264" t="inlineStr">
        <x:is>
          <x:t xml:space="preserve">Paper Dragon</x:t>
        </x:is>
      </x:c>
      <x:c r="V264" t="inlineStr">
        <x:is>
          <x:t xml:space="preserve">Create action plan cycle</x:t>
        </x:is>
      </x:c>
      <x:c r="W264" t="inlineStr">
        <x:is>
          <x:t xml:space="preserve">N</x:t>
        </x:is>
      </x:c>
      <x:c r="X264" t="inlineStr">
        <x:is>
          <x:t xml:space="preserve">Evidence: last survey date.</x:t>
        </x:is>
      </x:c>
      <x:c r="Y264">
        <x:f>(S264*IF(E264="G",F264,0))+(S264*IF(G264="G",H264,0))</x:f>
      </x:c>
      <x:c r="Z264">
        <x:f>(S264*IF(E264="E",F264,0))+(S264*IF(G264="E",H264,0))</x:f>
      </x:c>
      <x:c r="AA264">
        <x:f>(S264*IF(E264="T",F264,0))+(S264*IF(G264="T",H264,0))</x:f>
      </x:c>
      <x:c r="AB264">
        <x:f>(S264*IF(E264="L",F264,0))+(S264*IF(G264="L",H264,0))</x:f>
      </x:c>
      <x:c r="AC264">
        <x:f>(S264*IF(E264="H",F264,0))+(S264*IF(G264="H",H264,0))</x:f>
      </x:c>
      <x:c r="AD264">
        <x:f>(S264*IF(E264="V",F264,0))+(S264*IF(G264="V",H264,0))</x:f>
      </x:c>
      <x:c r="AE264">
        <x:f>(S264*IF(E264="R",F264,0))+(S264*IF(G264="R",H264,0))</x:f>
      </x:c>
      <x:c r="AF264">
        <x:f>(S264*IF(E264="F",F264,0))+(S264*IF(G264="F",H264,0))</x:f>
      </x:c>
      <x:c r="AG264">
        <x:f>(S264*IF(E264="W",F264,0))+(S264*IF(G264="W",H264,0))</x:f>
      </x:c>
      <x:c r="AH264" t="inlineStr">
        <x:is>
          <x:t xml:space="preserve">5. Human-Centric Culture</x:t>
        </x:is>
      </x:c>
      <x:c r="AI264" t="inlineStr">
        <x:is>
          <x:t xml:space="preserve">Awareness &amp; Wellbeing</x:t>
        </x:is>
      </x:c>
      <x:c r="AJ264" t="inlineStr">
        <x:is>
          <x:t xml:space="preserve">Speak-Up Culture &amp; Psychological Safety</x:t>
        </x:is>
      </x:c>
    </x:row>
    <x:row r="265">
      <x:c r="A265" t="inlineStr">
        <x:is>
          <x:t xml:space="preserve">HR</x:t>
        </x:is>
      </x:c>
      <x:c r="B265" t="inlineStr">
        <x:is>
          <x:t xml:space="preserve">HR-D3-Q11</x:t>
        </x:is>
      </x:c>
      <x:c r="C265" t="inlineStr">
        <x:is>
          <x:t xml:space="preserve">T2</x:t>
        </x:is>
      </x:c>
      <x:c r="D265" t="inlineStr">
        <x:is>
          <x:t xml:space="preserve">3. Manager Capability &amp; Culture</x:t>
        </x:is>
      </x:c>
      <x:c r="E265" t="inlineStr">
        <x:is>
          <x:t xml:space="preserve">H</x:t>
        </x:is>
      </x:c>
      <x:c r="F265" t="n">
        <x:v>1</x:v>
      </x:c>
      <x:c r="G265" t="inlineStr">
        <x:is>
          <x:t xml:space="preserve">-</x:t>
        </x:is>
      </x:c>
      <x:c r="I265" t="inlineStr">
        <x:is>
          <x:t xml:space="preserve">Do you measure speak-up / trust / psychological safety and act on results?</x:t>
        </x:is>
      </x:c>
      <x:c r="J265" t="inlineStr">
        <x:is>
          <x:t xml:space="preserve">Measurement without action is not mature.</x:t>
        </x:is>
      </x:c>
      <x:c r="L265" t="inlineStr">
        <x:is>
          <x:t xml:space="preserve">CULT_SOFT</x:t>
        </x:is>
      </x:c>
      <x:c r="M265" t="n">
        <x:v>1.5</x:v>
      </x:c>
      <x:c r="N265" t="n">
        <x:v>0.5</x:v>
      </x:c>
      <x:c r="P265" t="inlineStr">
        <x:is>
          <x:t xml:space="preserve">HR-D3-Q11-A3</x:t>
        </x:is>
      </x:c>
      <x:c r="Q265" t="n">
        <x:v>3</x:v>
      </x:c>
      <x:c r="R265" t="inlineStr">
        <x:is>
          <x:t xml:space="preserve">Regular survey; some actions taken; follow-through varies.</x:t>
        </x:is>
      </x:c>
      <x:c r="S265" t="n">
        <x:v>2</x:v>
      </x:c>
      <x:c r="U265" t="inlineStr">
        <x:is>
          <x:t xml:space="preserve">Culture Risk</x:t>
        </x:is>
      </x:c>
      <x:c r="V265" t="inlineStr">
        <x:is>
          <x:t xml:space="preserve">Strengthen action tracking</x:t>
        </x:is>
      </x:c>
      <x:c r="W265" t="inlineStr">
        <x:is>
          <x:t xml:space="preserve">N</x:t>
        </x:is>
      </x:c>
      <x:c r="X265" t="inlineStr">
        <x:is>
          <x:t xml:space="preserve">Evidence: action plan examples.</x:t>
        </x:is>
      </x:c>
      <x:c r="Y265">
        <x:f>(S265*IF(E265="G",F265,0))+(S265*IF(G265="G",H265,0))</x:f>
      </x:c>
      <x:c r="Z265">
        <x:f>(S265*IF(E265="E",F265,0))+(S265*IF(G265="E",H265,0))</x:f>
      </x:c>
      <x:c r="AA265">
        <x:f>(S265*IF(E265="T",F265,0))+(S265*IF(G265="T",H265,0))</x:f>
      </x:c>
      <x:c r="AB265">
        <x:f>(S265*IF(E265="L",F265,0))+(S265*IF(G265="L",H265,0))</x:f>
      </x:c>
      <x:c r="AC265">
        <x:f>(S265*IF(E265="H",F265,0))+(S265*IF(G265="H",H265,0))</x:f>
      </x:c>
      <x:c r="AD265">
        <x:f>(S265*IF(E265="V",F265,0))+(S265*IF(G265="V",H265,0))</x:f>
      </x:c>
      <x:c r="AE265">
        <x:f>(S265*IF(E265="R",F265,0))+(S265*IF(G265="R",H265,0))</x:f>
      </x:c>
      <x:c r="AF265">
        <x:f>(S265*IF(E265="F",F265,0))+(S265*IF(G265="F",H265,0))</x:f>
      </x:c>
      <x:c r="AG265">
        <x:f>(S265*IF(E265="W",F265,0))+(S265*IF(G265="W",H265,0))</x:f>
      </x:c>
      <x:c r="AH265" t="inlineStr">
        <x:is>
          <x:t xml:space="preserve">5. Human-Centric Culture</x:t>
        </x:is>
      </x:c>
      <x:c r="AI265" t="inlineStr">
        <x:is>
          <x:t xml:space="preserve">Awareness &amp; Wellbeing</x:t>
        </x:is>
      </x:c>
      <x:c r="AJ265" t="inlineStr">
        <x:is>
          <x:t xml:space="preserve">Speak-Up Culture &amp; Psychological Safety</x:t>
        </x:is>
      </x:c>
    </x:row>
    <x:row r="266">
      <x:c r="A266" t="inlineStr">
        <x:is>
          <x:t xml:space="preserve">HR</x:t>
        </x:is>
      </x:c>
      <x:c r="B266" t="inlineStr">
        <x:is>
          <x:t xml:space="preserve">HR-D3-Q11</x:t>
        </x:is>
      </x:c>
      <x:c r="C266" t="inlineStr">
        <x:is>
          <x:t xml:space="preserve">T2</x:t>
        </x:is>
      </x:c>
      <x:c r="D266" t="inlineStr">
        <x:is>
          <x:t xml:space="preserve">3. Manager Capability &amp; Culture</x:t>
        </x:is>
      </x:c>
      <x:c r="E266" t="inlineStr">
        <x:is>
          <x:t xml:space="preserve">H</x:t>
        </x:is>
      </x:c>
      <x:c r="F266" t="n">
        <x:v>1</x:v>
      </x:c>
      <x:c r="G266" t="inlineStr">
        <x:is>
          <x:t xml:space="preserve">-</x:t>
        </x:is>
      </x:c>
      <x:c r="I266" t="inlineStr">
        <x:is>
          <x:t xml:space="preserve">Do you measure speak-up / trust / psychological safety and act on results?</x:t>
        </x:is>
      </x:c>
      <x:c r="J266" t="inlineStr">
        <x:is>
          <x:t xml:space="preserve">Measurement without action is not mature.</x:t>
        </x:is>
      </x:c>
      <x:c r="L266" t="inlineStr">
        <x:is>
          <x:t xml:space="preserve">CULT_SOFT</x:t>
        </x:is>
      </x:c>
      <x:c r="M266" t="n">
        <x:v>1.5</x:v>
      </x:c>
      <x:c r="N266" t="n">
        <x:v>0.5</x:v>
      </x:c>
      <x:c r="P266" t="inlineStr">
        <x:is>
          <x:t xml:space="preserve">HR-D3-Q11-A4</x:t>
        </x:is>
      </x:c>
      <x:c r="Q266" t="n">
        <x:v>4</x:v>
      </x:c>
      <x:c r="R266" t="inlineStr">
        <x:is>
          <x:t xml:space="preserve">Measured + managed: results drive actions and progress is communicated.</x:t>
        </x:is>
      </x:c>
      <x:c r="S266" t="n">
        <x:v>3</x:v>
      </x:c>
      <x:c r="U266" t="inlineStr">
        <x:is>
          <x:t xml:space="preserve">Culture Risk</x:t>
        </x:is>
      </x:c>
      <x:c r="V266" t="inlineStr">
        <x:is>
          <x:t xml:space="preserve">Maintain cadence</x:t>
        </x:is>
      </x:c>
      <x:c r="W266" t="inlineStr">
        <x:is>
          <x:t xml:space="preserve">N</x:t>
        </x:is>
      </x:c>
      <x:c r="X266" t="inlineStr">
        <x:is>
          <x:t xml:space="preserve">Evidence: action tracker.</x:t>
        </x:is>
      </x:c>
      <x:c r="Y266">
        <x:f>(S266*IF(E266="G",F266,0))+(S266*IF(G266="G",H266,0))</x:f>
      </x:c>
      <x:c r="Z266">
        <x:f>(S266*IF(E266="E",F266,0))+(S266*IF(G266="E",H266,0))</x:f>
      </x:c>
      <x:c r="AA266">
        <x:f>(S266*IF(E266="T",F266,0))+(S266*IF(G266="T",H266,0))</x:f>
      </x:c>
      <x:c r="AB266">
        <x:f>(S266*IF(E266="L",F266,0))+(S266*IF(G266="L",H266,0))</x:f>
      </x:c>
      <x:c r="AC266">
        <x:f>(S266*IF(E266="H",F266,0))+(S266*IF(G266="H",H266,0))</x:f>
      </x:c>
      <x:c r="AD266">
        <x:f>(S266*IF(E266="V",F266,0))+(S266*IF(G266="V",H266,0))</x:f>
      </x:c>
      <x:c r="AE266">
        <x:f>(S266*IF(E266="R",F266,0))+(S266*IF(G266="R",H266,0))</x:f>
      </x:c>
      <x:c r="AF266">
        <x:f>(S266*IF(E266="F",F266,0))+(S266*IF(G266="F",H266,0))</x:f>
      </x:c>
      <x:c r="AG266">
        <x:f>(S266*IF(E266="W",F266,0))+(S266*IF(G266="W",H266,0))</x:f>
      </x:c>
      <x:c r="AH266" t="inlineStr">
        <x:is>
          <x:t xml:space="preserve">5. Human-Centric Culture</x:t>
        </x:is>
      </x:c>
      <x:c r="AI266" t="inlineStr">
        <x:is>
          <x:t xml:space="preserve">Awareness &amp; Wellbeing</x:t>
        </x:is>
      </x:c>
      <x:c r="AJ266" t="inlineStr">
        <x:is>
          <x:t xml:space="preserve">Speak-Up Culture &amp; Psychological Safety</x:t>
        </x:is>
      </x:c>
    </x:row>
    <x:row r="267">
      <x:c r="A267" t="inlineStr">
        <x:is>
          <x:t xml:space="preserve">HR</x:t>
        </x:is>
      </x:c>
      <x:c r="B267" t="inlineStr">
        <x:is>
          <x:t xml:space="preserve">HR-D3-Q11</x:t>
        </x:is>
      </x:c>
      <x:c r="C267" t="inlineStr">
        <x:is>
          <x:t xml:space="preserve">T2</x:t>
        </x:is>
      </x:c>
      <x:c r="D267" t="inlineStr">
        <x:is>
          <x:t xml:space="preserve">3. Manager Capability &amp; Culture</x:t>
        </x:is>
      </x:c>
      <x:c r="E267" t="inlineStr">
        <x:is>
          <x:t xml:space="preserve">H</x:t>
        </x:is>
      </x:c>
      <x:c r="F267" t="n">
        <x:v>1</x:v>
      </x:c>
      <x:c r="G267" t="inlineStr">
        <x:is>
          <x:t xml:space="preserve">-</x:t>
        </x:is>
      </x:c>
      <x:c r="I267" t="inlineStr">
        <x:is>
          <x:t xml:space="preserve">Do you measure speak-up / trust / psychological safety and act on results?</x:t>
        </x:is>
      </x:c>
      <x:c r="J267" t="inlineStr">
        <x:is>
          <x:t xml:space="preserve">Measurement without action is not mature.</x:t>
        </x:is>
      </x:c>
      <x:c r="L267" t="inlineStr">
        <x:is>
          <x:t xml:space="preserve">CULT_SOFT</x:t>
        </x:is>
      </x:c>
      <x:c r="M267" t="n">
        <x:v>1.5</x:v>
      </x:c>
      <x:c r="N267" t="n">
        <x:v>0.5</x:v>
      </x:c>
      <x:c r="P267" t="inlineStr">
        <x:is>
          <x:t xml:space="preserve">HR-D3-Q11-A5</x:t>
        </x:is>
      </x:c>
      <x:c r="Q267" t="n">
        <x:v>5</x:v>
      </x:c>
      <x:c r="R267" t="inlineStr">
        <x:is>
          <x:t xml:space="preserve">Optimized: metrics tied to leadership objectives and continuous improvement.</x:t>
        </x:is>
      </x:c>
      <x:c r="S267" t="n">
        <x:v>4</x:v>
      </x:c>
      <x:c r="U267" t="inlineStr">
        <x:is>
          <x:t xml:space="preserve">Culture Risk</x:t>
        </x:is>
      </x:c>
      <x:c r="V267" t="inlineStr">
        <x:is>
          <x:t xml:space="preserve">Maintain maturity</x:t>
        </x:is>
      </x:c>
      <x:c r="W267" t="inlineStr">
        <x:is>
          <x:t xml:space="preserve">N</x:t>
        </x:is>
      </x:c>
      <x:c r="X267" t="inlineStr">
        <x:is>
          <x:t xml:space="preserve">Evidence: KPI trends.</x:t>
        </x:is>
      </x:c>
      <x:c r="Y267">
        <x:f>(S267*IF(E267="G",F267,0))+(S267*IF(G267="G",H267,0))</x:f>
      </x:c>
      <x:c r="Z267">
        <x:f>(S267*IF(E267="E",F267,0))+(S267*IF(G267="E",H267,0))</x:f>
      </x:c>
      <x:c r="AA267">
        <x:f>(S267*IF(E267="T",F267,0))+(S267*IF(G267="T",H267,0))</x:f>
      </x:c>
      <x:c r="AB267">
        <x:f>(S267*IF(E267="L",F267,0))+(S267*IF(G267="L",H267,0))</x:f>
      </x:c>
      <x:c r="AC267">
        <x:f>(S267*IF(E267="H",F267,0))+(S267*IF(G267="H",H267,0))</x:f>
      </x:c>
      <x:c r="AD267">
        <x:f>(S267*IF(E267="V",F267,0))+(S267*IF(G267="V",H267,0))</x:f>
      </x:c>
      <x:c r="AE267">
        <x:f>(S267*IF(E267="R",F267,0))+(S267*IF(G267="R",H267,0))</x:f>
      </x:c>
      <x:c r="AF267">
        <x:f>(S267*IF(E267="F",F267,0))+(S267*IF(G267="F",H267,0))</x:f>
      </x:c>
      <x:c r="AG267">
        <x:f>(S267*IF(E267="W",F267,0))+(S267*IF(G267="W",H267,0))</x:f>
      </x:c>
      <x:c r="AH267" t="inlineStr">
        <x:is>
          <x:t xml:space="preserve">5. Human-Centric Culture</x:t>
        </x:is>
      </x:c>
      <x:c r="AI267" t="inlineStr">
        <x:is>
          <x:t xml:space="preserve">Awareness &amp; Wellbeing</x:t>
        </x:is>
      </x:c>
      <x:c r="AJ267" t="inlineStr">
        <x:is>
          <x:t xml:space="preserve">Speak-Up Culture &amp; Psychological Safety</x:t>
        </x:is>
      </x:c>
    </x:row>
    <x:row r="268">
      <x:c r="A268" t="inlineStr">
        <x:is>
          <x:t xml:space="preserve">HR</x:t>
        </x:is>
      </x:c>
      <x:c r="B268" t="inlineStr">
        <x:is>
          <x:t xml:space="preserve">HR-D3-Q12</x:t>
        </x:is>
      </x:c>
      <x:c r="C268" t="inlineStr">
        <x:is>
          <x:t xml:space="preserve">T3</x:t>
        </x:is>
      </x:c>
      <x:c r="D268" t="inlineStr">
        <x:is>
          <x:t xml:space="preserve">3. Manager Capability &amp; Culture</x:t>
        </x:is>
      </x:c>
      <x:c r="E268" t="inlineStr">
        <x:is>
          <x:t xml:space="preserve">H</x:t>
        </x:is>
      </x:c>
      <x:c r="F268" t="n">
        <x:v>0.7</x:v>
      </x:c>
      <x:c r="G268" t="inlineStr">
        <x:is>
          <x:t xml:space="preserve">F</x:t>
        </x:is>
      </x:c>
      <x:c r="H268" t="n">
        <x:v>0.3</x:v>
      </x:c>
      <x:c r="I268" t="inlineStr">
        <x:is>
          <x:t xml:space="preserve">How is positive, risk-reducing behavior reinforced (e.g., reporting near-misses, using approved tools) without creating fear or blame?</x:t>
        </x:is>
      </x:c>
      <x:c r="J268" t="inlineStr">
        <x:is>
          <x:t xml:space="preserve">Recognition + learning loops; avoid name-and-shame.</x:t>
        </x:is>
      </x:c>
      <x:c r="L268" t="inlineStr">
        <x:is>
          <x:t xml:space="preserve">CULT_SOFT</x:t>
        </x:is>
      </x:c>
      <x:c r="M268" t="n">
        <x:v>1</x:v>
      </x:c>
      <x:c r="P268" t="inlineStr">
        <x:is>
          <x:t xml:space="preserve">HR-D3-Q12-A1</x:t>
        </x:is>
      </x:c>
      <x:c r="Q268" t="n">
        <x:v>1</x:v>
      </x:c>
      <x:c r="R268" t="inlineStr">
        <x:is>
          <x:t xml:space="preserve">Punitive: only bad behavior highlighted; people avoid reporting.</x:t>
        </x:is>
      </x:c>
      <x:c r="S268" t="n">
        <x:v>0</x:v>
      </x:c>
      <x:c r="T268" t="inlineStr">
        <x:is>
          <x:t xml:space="preserve">toxic_enforcer_signal,culture_risk</x:t>
        </x:is>
      </x:c>
      <x:c r="U268" t="inlineStr">
        <x:is>
          <x:t xml:space="preserve">Culture Risk</x:t>
        </x:is>
      </x:c>
      <x:c r="V268" t="inlineStr">
        <x:is>
          <x:t xml:space="preserve">Shift to positive reinforcement</x:t>
        </x:is>
      </x:c>
      <x:c r="W268" t="inlineStr">
        <x:is>
          <x:t xml:space="preserve">N</x:t>
        </x:is>
      </x:c>
      <x:c r="Y268">
        <x:f>(S268*IF(E268="G",F268,0))+(S268*IF(G268="G",H268,0))</x:f>
      </x:c>
      <x:c r="Z268">
        <x:f>(S268*IF(E268="E",F268,0))+(S268*IF(G268="E",H268,0))</x:f>
      </x:c>
      <x:c r="AA268">
        <x:f>(S268*IF(E268="T",F268,0))+(S268*IF(G268="T",H268,0))</x:f>
      </x:c>
      <x:c r="AB268">
        <x:f>(S268*IF(E268="L",F268,0))+(S268*IF(G268="L",H268,0))</x:f>
      </x:c>
      <x:c r="AC268">
        <x:f>(S268*IF(E268="H",F268,0))+(S268*IF(G268="H",H268,0))</x:f>
      </x:c>
      <x:c r="AD268">
        <x:f>(S268*IF(E268="V",F268,0))+(S268*IF(G268="V",H268,0))</x:f>
      </x:c>
      <x:c r="AE268">
        <x:f>(S268*IF(E268="R",F268,0))+(S268*IF(G268="R",H268,0))</x:f>
      </x:c>
      <x:c r="AF268">
        <x:f>(S268*IF(E268="F",F268,0))+(S268*IF(G268="F",H268,0))</x:f>
      </x:c>
      <x:c r="AG268">
        <x:f>(S268*IF(E268="W",F268,0))+(S268*IF(G268="W",H268,0))</x:f>
      </x:c>
      <x:c r="AH268" t="inlineStr">
        <x:is>
          <x:t xml:space="preserve">9. Performance &amp; Resilience</x:t>
        </x:is>
      </x:c>
      <x:c r="AI268" t="inlineStr">
        <x:is>
          <x:t xml:space="preserve">Assurance &amp; Metrics</x:t>
        </x:is>
      </x:c>
      <x:c r="AJ268" t="inlineStr">
        <x:is>
          <x:t xml:space="preserve">KPI/KRI framework &amp; dashboards</x:t>
        </x:is>
      </x:c>
    </x:row>
    <x:row r="269">
      <x:c r="A269" t="inlineStr">
        <x:is>
          <x:t xml:space="preserve">HR</x:t>
        </x:is>
      </x:c>
      <x:c r="B269" t="inlineStr">
        <x:is>
          <x:t xml:space="preserve">HR-D3-Q12</x:t>
        </x:is>
      </x:c>
      <x:c r="C269" t="inlineStr">
        <x:is>
          <x:t xml:space="preserve">T3</x:t>
        </x:is>
      </x:c>
      <x:c r="D269" t="inlineStr">
        <x:is>
          <x:t xml:space="preserve">3. Manager Capability &amp; Culture</x:t>
        </x:is>
      </x:c>
      <x:c r="E269" t="inlineStr">
        <x:is>
          <x:t xml:space="preserve">H</x:t>
        </x:is>
      </x:c>
      <x:c r="F269" t="n">
        <x:v>0.7</x:v>
      </x:c>
      <x:c r="G269" t="inlineStr">
        <x:is>
          <x:t xml:space="preserve">F</x:t>
        </x:is>
      </x:c>
      <x:c r="H269" t="n">
        <x:v>0.3</x:v>
      </x:c>
      <x:c r="I269" t="inlineStr">
        <x:is>
          <x:t xml:space="preserve">How is positive, risk-reducing behavior reinforced (e.g., reporting near-misses, using approved tools) without creating fear or blame?</x:t>
        </x:is>
      </x:c>
      <x:c r="J269" t="inlineStr">
        <x:is>
          <x:t xml:space="preserve">Recognition + learning loops; avoid name-and-shame.</x:t>
        </x:is>
      </x:c>
      <x:c r="L269" t="inlineStr">
        <x:is>
          <x:t xml:space="preserve">CULT_SOFT</x:t>
        </x:is>
      </x:c>
      <x:c r="M269" t="n">
        <x:v>1</x:v>
      </x:c>
      <x:c r="P269" t="inlineStr">
        <x:is>
          <x:t xml:space="preserve">HR-D3-Q12-A2</x:t>
        </x:is>
      </x:c>
      <x:c r="Q269" t="n">
        <x:v>2</x:v>
      </x:c>
      <x:c r="R269" t="inlineStr">
        <x:is>
          <x:t xml:space="preserve">Informal thanks by managers; no consistent approach.</x:t>
        </x:is>
      </x:c>
      <x:c r="S269" t="n">
        <x:v>1</x:v>
      </x:c>
      <x:c r="T269" t="inlineStr">
        <x:is>
          <x:t xml:space="preserve">key_person_dependency</x:t>
        </x:is>
      </x:c>
      <x:c r="U269" t="inlineStr">
        <x:is>
          <x:t xml:space="preserve">Culture Risk</x:t>
        </x:is>
      </x:c>
      <x:c r="V269" t="inlineStr">
        <x:is>
          <x:t xml:space="preserve">Create lightweight recognition</x:t>
        </x:is>
      </x:c>
      <x:c r="W269" t="inlineStr">
        <x:is>
          <x:t xml:space="preserve">N</x:t>
        </x:is>
      </x:c>
      <x:c r="Y269">
        <x:f>(S269*IF(E269="G",F269,0))+(S269*IF(G269="G",H269,0))</x:f>
      </x:c>
      <x:c r="Z269">
        <x:f>(S269*IF(E269="E",F269,0))+(S269*IF(G269="E",H269,0))</x:f>
      </x:c>
      <x:c r="AA269">
        <x:f>(S269*IF(E269="T",F269,0))+(S269*IF(G269="T",H269,0))</x:f>
      </x:c>
      <x:c r="AB269">
        <x:f>(S269*IF(E269="L",F269,0))+(S269*IF(G269="L",H269,0))</x:f>
      </x:c>
      <x:c r="AC269">
        <x:f>(S269*IF(E269="H",F269,0))+(S269*IF(G269="H",H269,0))</x:f>
      </x:c>
      <x:c r="AD269">
        <x:f>(S269*IF(E269="V",F269,0))+(S269*IF(G269="V",H269,0))</x:f>
      </x:c>
      <x:c r="AE269">
        <x:f>(S269*IF(E269="R",F269,0))+(S269*IF(G269="R",H269,0))</x:f>
      </x:c>
      <x:c r="AF269">
        <x:f>(S269*IF(E269="F",F269,0))+(S269*IF(G269="F",H269,0))</x:f>
      </x:c>
      <x:c r="AG269">
        <x:f>(S269*IF(E269="W",F269,0))+(S269*IF(G269="W",H269,0))</x:f>
      </x:c>
      <x:c r="AH269" t="inlineStr">
        <x:is>
          <x:t xml:space="preserve">9. Performance &amp; Resilience</x:t>
        </x:is>
      </x:c>
      <x:c r="AI269" t="inlineStr">
        <x:is>
          <x:t xml:space="preserve">Assurance &amp; Metrics</x:t>
        </x:is>
      </x:c>
      <x:c r="AJ269" t="inlineStr">
        <x:is>
          <x:t xml:space="preserve">KPI/KRI framework &amp; dashboards</x:t>
        </x:is>
      </x:c>
    </x:row>
    <x:row r="270">
      <x:c r="A270" t="inlineStr">
        <x:is>
          <x:t xml:space="preserve">HR</x:t>
        </x:is>
      </x:c>
      <x:c r="B270" t="inlineStr">
        <x:is>
          <x:t xml:space="preserve">HR-D3-Q12</x:t>
        </x:is>
      </x:c>
      <x:c r="C270" t="inlineStr">
        <x:is>
          <x:t xml:space="preserve">T3</x:t>
        </x:is>
      </x:c>
      <x:c r="D270" t="inlineStr">
        <x:is>
          <x:t xml:space="preserve">3. Manager Capability &amp; Culture</x:t>
        </x:is>
      </x:c>
      <x:c r="E270" t="inlineStr">
        <x:is>
          <x:t xml:space="preserve">H</x:t>
        </x:is>
      </x:c>
      <x:c r="F270" t="n">
        <x:v>0.7</x:v>
      </x:c>
      <x:c r="G270" t="inlineStr">
        <x:is>
          <x:t xml:space="preserve">F</x:t>
        </x:is>
      </x:c>
      <x:c r="H270" t="n">
        <x:v>0.3</x:v>
      </x:c>
      <x:c r="I270" t="inlineStr">
        <x:is>
          <x:t xml:space="preserve">How is positive, risk-reducing behavior reinforced (e.g., reporting near-misses, using approved tools) without creating fear or blame?</x:t>
        </x:is>
      </x:c>
      <x:c r="J270" t="inlineStr">
        <x:is>
          <x:t xml:space="preserve">Recognition + learning loops; avoid name-and-shame.</x:t>
        </x:is>
      </x:c>
      <x:c r="L270" t="inlineStr">
        <x:is>
          <x:t xml:space="preserve">CULT_SOFT</x:t>
        </x:is>
      </x:c>
      <x:c r="M270" t="n">
        <x:v>1</x:v>
      </x:c>
      <x:c r="P270" t="inlineStr">
        <x:is>
          <x:t xml:space="preserve">HR-D3-Q12-A3</x:t>
        </x:is>
      </x:c>
      <x:c r="Q270" t="n">
        <x:v>3</x:v>
      </x:c>
      <x:c r="R270" t="inlineStr">
        <x:is>
          <x:t xml:space="preserve">Campaigns exist but limited ongoing reinforcement.</x:t>
        </x:is>
      </x:c>
      <x:c r="S270" t="n">
        <x:v>2</x:v>
      </x:c>
      <x:c r="T270" t="inlineStr">
        <x:is>
          <x:t xml:space="preserve">paper_dragon_signal</x:t>
        </x:is>
      </x:c>
      <x:c r="U270" t="inlineStr">
        <x:is>
          <x:t xml:space="preserve">Paper Dragon</x:t>
        </x:is>
      </x:c>
      <x:c r="V270" t="inlineStr">
        <x:is>
          <x:t xml:space="preserve">Build continuous reinforcement</x:t>
        </x:is>
      </x:c>
      <x:c r="W270" t="inlineStr">
        <x:is>
          <x:t xml:space="preserve">N</x:t>
        </x:is>
      </x:c>
      <x:c r="Y270">
        <x:f>(S270*IF(E270="G",F270,0))+(S270*IF(G270="G",H270,0))</x:f>
      </x:c>
      <x:c r="Z270">
        <x:f>(S270*IF(E270="E",F270,0))+(S270*IF(G270="E",H270,0))</x:f>
      </x:c>
      <x:c r="AA270">
        <x:f>(S270*IF(E270="T",F270,0))+(S270*IF(G270="T",H270,0))</x:f>
      </x:c>
      <x:c r="AB270">
        <x:f>(S270*IF(E270="L",F270,0))+(S270*IF(G270="L",H270,0))</x:f>
      </x:c>
      <x:c r="AC270">
        <x:f>(S270*IF(E270="H",F270,0))+(S270*IF(G270="H",H270,0))</x:f>
      </x:c>
      <x:c r="AD270">
        <x:f>(S270*IF(E270="V",F270,0))+(S270*IF(G270="V",H270,0))</x:f>
      </x:c>
      <x:c r="AE270">
        <x:f>(S270*IF(E270="R",F270,0))+(S270*IF(G270="R",H270,0))</x:f>
      </x:c>
      <x:c r="AF270">
        <x:f>(S270*IF(E270="F",F270,0))+(S270*IF(G270="F",H270,0))</x:f>
      </x:c>
      <x:c r="AG270">
        <x:f>(S270*IF(E270="W",F270,0))+(S270*IF(G270="W",H270,0))</x:f>
      </x:c>
      <x:c r="AH270" t="inlineStr">
        <x:is>
          <x:t xml:space="preserve">9. Performance &amp; Resilience</x:t>
        </x:is>
      </x:c>
      <x:c r="AI270" t="inlineStr">
        <x:is>
          <x:t xml:space="preserve">Assurance &amp; Metrics</x:t>
        </x:is>
      </x:c>
      <x:c r="AJ270" t="inlineStr">
        <x:is>
          <x:t xml:space="preserve">KPI/KRI framework &amp; dashboards</x:t>
        </x:is>
      </x:c>
    </x:row>
    <x:row r="271">
      <x:c r="A271" t="inlineStr">
        <x:is>
          <x:t xml:space="preserve">HR</x:t>
        </x:is>
      </x:c>
      <x:c r="B271" t="inlineStr">
        <x:is>
          <x:t xml:space="preserve">HR-D3-Q12</x:t>
        </x:is>
      </x:c>
      <x:c r="C271" t="inlineStr">
        <x:is>
          <x:t xml:space="preserve">T3</x:t>
        </x:is>
      </x:c>
      <x:c r="D271" t="inlineStr">
        <x:is>
          <x:t xml:space="preserve">3. Manager Capability &amp; Culture</x:t>
        </x:is>
      </x:c>
      <x:c r="E271" t="inlineStr">
        <x:is>
          <x:t xml:space="preserve">H</x:t>
        </x:is>
      </x:c>
      <x:c r="F271" t="n">
        <x:v>0.7</x:v>
      </x:c>
      <x:c r="G271" t="inlineStr">
        <x:is>
          <x:t xml:space="preserve">F</x:t>
        </x:is>
      </x:c>
      <x:c r="H271" t="n">
        <x:v>0.3</x:v>
      </x:c>
      <x:c r="I271" t="inlineStr">
        <x:is>
          <x:t xml:space="preserve">How is positive, risk-reducing behavior reinforced (e.g., reporting near-misses, using approved tools) without creating fear or blame?</x:t>
        </x:is>
      </x:c>
      <x:c r="J271" t="inlineStr">
        <x:is>
          <x:t xml:space="preserve">Recognition + learning loops; avoid name-and-shame.</x:t>
        </x:is>
      </x:c>
      <x:c r="L271" t="inlineStr">
        <x:is>
          <x:t xml:space="preserve">CULT_SOFT</x:t>
        </x:is>
      </x:c>
      <x:c r="M271" t="n">
        <x:v>1</x:v>
      </x:c>
      <x:c r="P271" t="inlineStr">
        <x:is>
          <x:t xml:space="preserve">HR-D3-Q12-A4</x:t>
        </x:is>
      </x:c>
      <x:c r="Q271" t="n">
        <x:v>4</x:v>
      </x:c>
      <x:c r="R271" t="inlineStr">
        <x:is>
          <x:t xml:space="preserve">Formal recognition for reporting concerns/near-misses; lessons shared.</x:t>
        </x:is>
      </x:c>
      <x:c r="S271" t="n">
        <x:v>3</x:v>
      </x:c>
      <x:c r="U271" t="inlineStr">
        <x:is>
          <x:t xml:space="preserve">Culture Risk</x:t>
        </x:is>
      </x:c>
      <x:c r="V271" t="inlineStr">
        <x:is>
          <x:t xml:space="preserve">Maintain and measure</x:t>
        </x:is>
      </x:c>
      <x:c r="W271" t="inlineStr">
        <x:is>
          <x:t xml:space="preserve">N</x:t>
        </x:is>
      </x:c>
      <x:c r="X271" t="inlineStr">
        <x:is>
          <x:t xml:space="preserve">Evidence: comms examples.</x:t>
        </x:is>
      </x:c>
      <x:c r="Y271">
        <x:f>(S271*IF(E271="G",F271,0))+(S271*IF(G271="G",H271,0))</x:f>
      </x:c>
      <x:c r="Z271">
        <x:f>(S271*IF(E271="E",F271,0))+(S271*IF(G271="E",H271,0))</x:f>
      </x:c>
      <x:c r="AA271">
        <x:f>(S271*IF(E271="T",F271,0))+(S271*IF(G271="T",H271,0))</x:f>
      </x:c>
      <x:c r="AB271">
        <x:f>(S271*IF(E271="L",F271,0))+(S271*IF(G271="L",H271,0))</x:f>
      </x:c>
      <x:c r="AC271">
        <x:f>(S271*IF(E271="H",F271,0))+(S271*IF(G271="H",H271,0))</x:f>
      </x:c>
      <x:c r="AD271">
        <x:f>(S271*IF(E271="V",F271,0))+(S271*IF(G271="V",H271,0))</x:f>
      </x:c>
      <x:c r="AE271">
        <x:f>(S271*IF(E271="R",F271,0))+(S271*IF(G271="R",H271,0))</x:f>
      </x:c>
      <x:c r="AF271">
        <x:f>(S271*IF(E271="F",F271,0))+(S271*IF(G271="F",H271,0))</x:f>
      </x:c>
      <x:c r="AG271">
        <x:f>(S271*IF(E271="W",F271,0))+(S271*IF(G271="W",H271,0))</x:f>
      </x:c>
      <x:c r="AH271" t="inlineStr">
        <x:is>
          <x:t xml:space="preserve">9. Performance &amp; Resilience</x:t>
        </x:is>
      </x:c>
      <x:c r="AI271" t="inlineStr">
        <x:is>
          <x:t xml:space="preserve">Assurance &amp; Metrics</x:t>
        </x:is>
      </x:c>
      <x:c r="AJ271" t="inlineStr">
        <x:is>
          <x:t xml:space="preserve">KPI/KRI framework &amp; dashboards</x:t>
        </x:is>
      </x:c>
    </x:row>
    <x:row r="272">
      <x:c r="A272" t="inlineStr">
        <x:is>
          <x:t xml:space="preserve">HR</x:t>
        </x:is>
      </x:c>
      <x:c r="B272" t="inlineStr">
        <x:is>
          <x:t xml:space="preserve">HR-D3-Q12</x:t>
        </x:is>
      </x:c>
      <x:c r="C272" t="inlineStr">
        <x:is>
          <x:t xml:space="preserve">T3</x:t>
        </x:is>
      </x:c>
      <x:c r="D272" t="inlineStr">
        <x:is>
          <x:t xml:space="preserve">3. Manager Capability &amp; Culture</x:t>
        </x:is>
      </x:c>
      <x:c r="E272" t="inlineStr">
        <x:is>
          <x:t xml:space="preserve">H</x:t>
        </x:is>
      </x:c>
      <x:c r="F272" t="n">
        <x:v>0.7</x:v>
      </x:c>
      <x:c r="G272" t="inlineStr">
        <x:is>
          <x:t xml:space="preserve">F</x:t>
        </x:is>
      </x:c>
      <x:c r="H272" t="n">
        <x:v>0.3</x:v>
      </x:c>
      <x:c r="I272" t="inlineStr">
        <x:is>
          <x:t xml:space="preserve">How is positive, risk-reducing behavior reinforced (e.g., reporting near-misses, using approved tools) without creating fear or blame?</x:t>
        </x:is>
      </x:c>
      <x:c r="J272" t="inlineStr">
        <x:is>
          <x:t xml:space="preserve">Recognition + learning loops; avoid name-and-shame.</x:t>
        </x:is>
      </x:c>
      <x:c r="L272" t="inlineStr">
        <x:is>
          <x:t xml:space="preserve">CULT_SOFT</x:t>
        </x:is>
      </x:c>
      <x:c r="M272" t="n">
        <x:v>1</x:v>
      </x:c>
      <x:c r="P272" t="inlineStr">
        <x:is>
          <x:t xml:space="preserve">HR-D3-Q12-A5</x:t>
        </x:is>
      </x:c>
      <x:c r="Q272" t="n">
        <x:v>5</x:v>
      </x:c>
      <x:c r="R272" t="inlineStr">
        <x:is>
          <x:t xml:space="preserve">Mutual accountability; reporting is normal and psychologically safe.</x:t>
        </x:is>
      </x:c>
      <x:c r="S272" t="n">
        <x:v>4</x:v>
      </x:c>
      <x:c r="U272" t="inlineStr">
        <x:is>
          <x:t xml:space="preserve">Culture Risk</x:t>
        </x:is>
      </x:c>
      <x:c r="V272" t="inlineStr">
        <x:is>
          <x:t xml:space="preserve">Maintain maturity</x:t>
        </x:is>
      </x:c>
      <x:c r="W272" t="inlineStr">
        <x:is>
          <x:t xml:space="preserve">N</x:t>
        </x:is>
      </x:c>
      <x:c r="X272" t="inlineStr">
        <x:is>
          <x:t xml:space="preserve">Evidence: survey + reporting trends.</x:t>
        </x:is>
      </x:c>
      <x:c r="Y272">
        <x:f>(S272*IF(E272="G",F272,0))+(S272*IF(G272="G",H272,0))</x:f>
      </x:c>
      <x:c r="Z272">
        <x:f>(S272*IF(E272="E",F272,0))+(S272*IF(G272="E",H272,0))</x:f>
      </x:c>
      <x:c r="AA272">
        <x:f>(S272*IF(E272="T",F272,0))+(S272*IF(G272="T",H272,0))</x:f>
      </x:c>
      <x:c r="AB272">
        <x:f>(S272*IF(E272="L",F272,0))+(S272*IF(G272="L",H272,0))</x:f>
      </x:c>
      <x:c r="AC272">
        <x:f>(S272*IF(E272="H",F272,0))+(S272*IF(G272="H",H272,0))</x:f>
      </x:c>
      <x:c r="AD272">
        <x:f>(S272*IF(E272="V",F272,0))+(S272*IF(G272="V",H272,0))</x:f>
      </x:c>
      <x:c r="AE272">
        <x:f>(S272*IF(E272="R",F272,0))+(S272*IF(G272="R",H272,0))</x:f>
      </x:c>
      <x:c r="AF272">
        <x:f>(S272*IF(E272="F",F272,0))+(S272*IF(G272="F",H272,0))</x:f>
      </x:c>
      <x:c r="AG272">
        <x:f>(S272*IF(E272="W",F272,0))+(S272*IF(G272="W",H272,0))</x:f>
      </x:c>
      <x:c r="AH272" t="inlineStr">
        <x:is>
          <x:t xml:space="preserve">9. Performance &amp; Resilience</x:t>
        </x:is>
      </x:c>
      <x:c r="AI272" t="inlineStr">
        <x:is>
          <x:t xml:space="preserve">Assurance &amp; Metrics</x:t>
        </x:is>
      </x:c>
      <x:c r="AJ272" t="inlineStr">
        <x:is>
          <x:t xml:space="preserve">KPI/KRI framework &amp; dashboards</x:t>
        </x:is>
      </x:c>
    </x:row>
    <x:row r="273">
      <x:c r="A273" t="inlineStr">
        <x:is>
          <x:t xml:space="preserve">HR</x:t>
        </x:is>
      </x:c>
      <x:c r="B273" t="inlineStr">
        <x:is>
          <x:t xml:space="preserve">HR-D4-Q13</x:t>
        </x:is>
      </x:c>
      <x:c r="C273" t="inlineStr">
        <x:is>
          <x:t xml:space="preserve">T1</x:t>
        </x:is>
      </x:c>
      <x:c r="D273" t="inlineStr">
        <x:is>
          <x:t xml:space="preserve">4. Joiner-Mover-Leaver</x:t>
        </x:is>
      </x:c>
      <x:c r="E273" t="inlineStr">
        <x:is>
          <x:t xml:space="preserve">E</x:t>
        </x:is>
      </x:c>
      <x:c r="F273" t="n">
        <x:v>0.8</x:v>
      </x:c>
      <x:c r="G273" t="inlineStr">
        <x:is>
          <x:t xml:space="preserve">R</x:t>
        </x:is>
      </x:c>
      <x:c r="H273" t="n">
        <x:v>0.2</x:v>
      </x:c>
      <x:c r="I273" t="inlineStr">
        <x:is>
          <x:t xml:space="preserve">How reliably are joiner/mover/leaver changes coordinated with IT/IAM so access is granted/changed/removed on time?</x:t>
        </x:is>
      </x:c>
      <x:c r="J273" t="inlineStr">
        <x:is>
          <x:t xml:space="preserve">Includes employees and contractors.</x:t>
        </x:is>
      </x:c>
      <x:c r="L273" t="inlineStr">
        <x:is>
          <x:t xml:space="preserve">OPS_STD</x:t>
        </x:is>
      </x:c>
      <x:c r="M273" t="n">
        <x:v>1</x:v>
      </x:c>
      <x:c r="P273" t="inlineStr">
        <x:is>
          <x:t xml:space="preserve">HR-D4-Q13-A0</x:t>
        </x:is>
      </x:c>
      <x:c r="Q273" t="n">
        <x:v>1</x:v>
      </x:c>
      <x:c r="R273" t="inlineStr">
        <x:is>
          <x:t xml:space="preserve">I don't know / Not sure.</x:t>
        </x:is>
      </x:c>
      <x:c r="S273" t="n">
        <x:v>0</x:v>
      </x:c>
      <x:c r="T273" t="inlineStr">
        <x:is>
          <x:t xml:space="preserve">low-confidence</x:t>
        </x:is>
      </x:c>
      <x:c r="U273" t="inlineStr">
        <x:is>
          <x:t xml:space="preserve">Operating Model Gap</x:t>
        </x:is>
      </x:c>
      <x:c r="V273" t="inlineStr">
        <x:is>
          <x:t xml:space="preserve">Clarify JML process</x:t>
        </x:is>
      </x:c>
      <x:c r="W273" t="inlineStr">
        <x:is>
          <x:t xml:space="preserve">N</x:t>
        </x:is>
      </x:c>
      <x:c r="Y273">
        <x:f>(S273*IF(E273="G",F273,0))+(S273*IF(G273="G",H273,0))</x:f>
      </x:c>
      <x:c r="Z273">
        <x:f>(S273*IF(E273="E",F273,0))+(S273*IF(G273="E",H273,0))</x:f>
      </x:c>
      <x:c r="AA273">
        <x:f>(S273*IF(E273="T",F273,0))+(S273*IF(G273="T",H273,0))</x:f>
      </x:c>
      <x:c r="AB273">
        <x:f>(S273*IF(E273="L",F273,0))+(S273*IF(G273="L",H273,0))</x:f>
      </x:c>
      <x:c r="AC273">
        <x:f>(S273*IF(E273="H",F273,0))+(S273*IF(G273="H",H273,0))</x:f>
      </x:c>
      <x:c r="AD273">
        <x:f>(S273*IF(E273="V",F273,0))+(S273*IF(G273="V",H273,0))</x:f>
      </x:c>
      <x:c r="AE273">
        <x:f>(S273*IF(E273="R",F273,0))+(S273*IF(G273="R",H273,0))</x:f>
      </x:c>
      <x:c r="AF273">
        <x:f>(S273*IF(E273="F",F273,0))+(S273*IF(G273="F",H273,0))</x:f>
      </x:c>
      <x:c r="AG273">
        <x:f>(S273*IF(E273="W",F273,0))+(S273*IF(G273="W",H273,0))</x:f>
      </x:c>
      <x:c r="AH273" t="inlineStr">
        <x:is>
          <x:t xml:space="preserve">5. Human-Centric Culture</x:t>
        </x:is>
      </x:c>
      <x:c r="AI273" t="inlineStr">
        <x:is>
          <x:t xml:space="preserve">Human Lifecycle</x:t>
        </x:is>
      </x:c>
      <x:c r="AJ273" t="inlineStr">
        <x:is>
          <x:t xml:space="preserve">Enhanced JML Synchronization</x:t>
        </x:is>
      </x:c>
    </x:row>
    <x:row r="274">
      <x:c r="A274" t="inlineStr">
        <x:is>
          <x:t xml:space="preserve">HR</x:t>
        </x:is>
      </x:c>
      <x:c r="B274" t="inlineStr">
        <x:is>
          <x:t xml:space="preserve">HR-D4-Q13</x:t>
        </x:is>
      </x:c>
      <x:c r="C274" t="inlineStr">
        <x:is>
          <x:t xml:space="preserve">T1</x:t>
        </x:is>
      </x:c>
      <x:c r="D274" t="inlineStr">
        <x:is>
          <x:t xml:space="preserve">4. Joiner-Mover-Leaver</x:t>
        </x:is>
      </x:c>
      <x:c r="E274" t="inlineStr">
        <x:is>
          <x:t xml:space="preserve">E</x:t>
        </x:is>
      </x:c>
      <x:c r="F274" t="n">
        <x:v>0.8</x:v>
      </x:c>
      <x:c r="G274" t="inlineStr">
        <x:is>
          <x:t xml:space="preserve">R</x:t>
        </x:is>
      </x:c>
      <x:c r="H274" t="n">
        <x:v>0.2</x:v>
      </x:c>
      <x:c r="I274" t="inlineStr">
        <x:is>
          <x:t xml:space="preserve">How reliably are joiner/mover/leaver changes coordinated with IT/IAM so access is granted/changed/removed on time?</x:t>
        </x:is>
      </x:c>
      <x:c r="J274" t="inlineStr">
        <x:is>
          <x:t xml:space="preserve">Includes employees and contractors.</x:t>
        </x:is>
      </x:c>
      <x:c r="L274" t="inlineStr">
        <x:is>
          <x:t xml:space="preserve">OPS_STD</x:t>
        </x:is>
      </x:c>
      <x:c r="M274" t="n">
        <x:v>1</x:v>
      </x:c>
      <x:c r="P274" t="inlineStr">
        <x:is>
          <x:t xml:space="preserve">HR-D4-Q13-A1</x:t>
        </x:is>
      </x:c>
      <x:c r="Q274" t="n">
        <x:v>2</x:v>
      </x:c>
      <x:c r="R274" t="inlineStr">
        <x:is>
          <x:t xml:space="preserve">Unreliable: access often stays too long or changes are missed.</x:t>
        </x:is>
      </x:c>
      <x:c r="S274" t="n">
        <x:v>0</x:v>
      </x:c>
      <x:c r="T274" t="inlineStr">
        <x:is>
          <x:t xml:space="preserve">control_lag,bypass_pressure</x:t>
        </x:is>
      </x:c>
      <x:c r="U274" t="inlineStr">
        <x:is>
          <x:t xml:space="preserve">Control Lag</x:t>
        </x:is>
      </x:c>
      <x:c r="V274" t="inlineStr">
        <x:is>
          <x:t xml:space="preserve">Stabilize JML</x:t>
        </x:is>
      </x:c>
      <x:c r="W274" t="inlineStr">
        <x:is>
          <x:t xml:space="preserve">N</x:t>
        </x:is>
      </x:c>
      <x:c r="Y274">
        <x:f>(S274*IF(E274="G",F274,0))+(S274*IF(G274="G",H274,0))</x:f>
      </x:c>
      <x:c r="Z274">
        <x:f>(S274*IF(E274="E",F274,0))+(S274*IF(G274="E",H274,0))</x:f>
      </x:c>
      <x:c r="AA274">
        <x:f>(S274*IF(E274="T",F274,0))+(S274*IF(G274="T",H274,0))</x:f>
      </x:c>
      <x:c r="AB274">
        <x:f>(S274*IF(E274="L",F274,0))+(S274*IF(G274="L",H274,0))</x:f>
      </x:c>
      <x:c r="AC274">
        <x:f>(S274*IF(E274="H",F274,0))+(S274*IF(G274="H",H274,0))</x:f>
      </x:c>
      <x:c r="AD274">
        <x:f>(S274*IF(E274="V",F274,0))+(S274*IF(G274="V",H274,0))</x:f>
      </x:c>
      <x:c r="AE274">
        <x:f>(S274*IF(E274="R",F274,0))+(S274*IF(G274="R",H274,0))</x:f>
      </x:c>
      <x:c r="AF274">
        <x:f>(S274*IF(E274="F",F274,0))+(S274*IF(G274="F",H274,0))</x:f>
      </x:c>
      <x:c r="AG274">
        <x:f>(S274*IF(E274="W",F274,0))+(S274*IF(G274="W",H274,0))</x:f>
      </x:c>
      <x:c r="AH274" t="inlineStr">
        <x:is>
          <x:t xml:space="preserve">5. Human-Centric Culture</x:t>
        </x:is>
      </x:c>
      <x:c r="AI274" t="inlineStr">
        <x:is>
          <x:t xml:space="preserve">Human Lifecycle</x:t>
        </x:is>
      </x:c>
      <x:c r="AJ274" t="inlineStr">
        <x:is>
          <x:t xml:space="preserve">Enhanced JML Synchronization</x:t>
        </x:is>
      </x:c>
    </x:row>
    <x:row r="275">
      <x:c r="A275" t="inlineStr">
        <x:is>
          <x:t xml:space="preserve">HR</x:t>
        </x:is>
      </x:c>
      <x:c r="B275" t="inlineStr">
        <x:is>
          <x:t xml:space="preserve">HR-D4-Q13</x:t>
        </x:is>
      </x:c>
      <x:c r="C275" t="inlineStr">
        <x:is>
          <x:t xml:space="preserve">T1</x:t>
        </x:is>
      </x:c>
      <x:c r="D275" t="inlineStr">
        <x:is>
          <x:t xml:space="preserve">4. Joiner-Mover-Leaver</x:t>
        </x:is>
      </x:c>
      <x:c r="E275" t="inlineStr">
        <x:is>
          <x:t xml:space="preserve">E</x:t>
        </x:is>
      </x:c>
      <x:c r="F275" t="n">
        <x:v>0.8</x:v>
      </x:c>
      <x:c r="G275" t="inlineStr">
        <x:is>
          <x:t xml:space="preserve">R</x:t>
        </x:is>
      </x:c>
      <x:c r="H275" t="n">
        <x:v>0.2</x:v>
      </x:c>
      <x:c r="I275" t="inlineStr">
        <x:is>
          <x:t xml:space="preserve">How reliably are joiner/mover/leaver changes coordinated with IT/IAM so access is granted/changed/removed on time?</x:t>
        </x:is>
      </x:c>
      <x:c r="J275" t="inlineStr">
        <x:is>
          <x:t xml:space="preserve">Includes employees and contractors.</x:t>
        </x:is>
      </x:c>
      <x:c r="L275" t="inlineStr">
        <x:is>
          <x:t xml:space="preserve">OPS_STD</x:t>
        </x:is>
      </x:c>
      <x:c r="M275" t="n">
        <x:v>1</x:v>
      </x:c>
      <x:c r="P275" t="inlineStr">
        <x:is>
          <x:t xml:space="preserve">HR-D4-Q13-A2</x:t>
        </x:is>
      </x:c>
      <x:c r="Q275" t="n">
        <x:v>3</x:v>
      </x:c>
      <x:c r="R275" t="inlineStr">
        <x:is>
          <x:t xml:space="preserve">Basic: HR notifies IT by email/spreadsheet; timeliness varies.</x:t>
        </x:is>
      </x:c>
      <x:c r="S275" t="n">
        <x:v>1</x:v>
      </x:c>
      <x:c r="T275" t="inlineStr">
        <x:is>
          <x:t xml:space="preserve">shadow_mature_signal</x:t>
        </x:is>
      </x:c>
      <x:c r="U275" t="inlineStr">
        <x:is>
          <x:t xml:space="preserve">Operating Model Gap</x:t>
        </x:is>
      </x:c>
      <x:c r="V275" t="inlineStr">
        <x:is>
          <x:t xml:space="preserve">Standardize and track</x:t>
        </x:is>
      </x:c>
      <x:c r="W275" t="inlineStr">
        <x:is>
          <x:t xml:space="preserve">N</x:t>
        </x:is>
      </x:c>
      <x:c r="Y275">
        <x:f>(S275*IF(E275="G",F275,0))+(S275*IF(G275="G",H275,0))</x:f>
      </x:c>
      <x:c r="Z275">
        <x:f>(S275*IF(E275="E",F275,0))+(S275*IF(G275="E",H275,0))</x:f>
      </x:c>
      <x:c r="AA275">
        <x:f>(S275*IF(E275="T",F275,0))+(S275*IF(G275="T",H275,0))</x:f>
      </x:c>
      <x:c r="AB275">
        <x:f>(S275*IF(E275="L",F275,0))+(S275*IF(G275="L",H275,0))</x:f>
      </x:c>
      <x:c r="AC275">
        <x:f>(S275*IF(E275="H",F275,0))+(S275*IF(G275="H",H275,0))</x:f>
      </x:c>
      <x:c r="AD275">
        <x:f>(S275*IF(E275="V",F275,0))+(S275*IF(G275="V",H275,0))</x:f>
      </x:c>
      <x:c r="AE275">
        <x:f>(S275*IF(E275="R",F275,0))+(S275*IF(G275="R",H275,0))</x:f>
      </x:c>
      <x:c r="AF275">
        <x:f>(S275*IF(E275="F",F275,0))+(S275*IF(G275="F",H275,0))</x:f>
      </x:c>
      <x:c r="AG275">
        <x:f>(S275*IF(E275="W",F275,0))+(S275*IF(G275="W",H275,0))</x:f>
      </x:c>
      <x:c r="AH275" t="inlineStr">
        <x:is>
          <x:t xml:space="preserve">5. Human-Centric Culture</x:t>
        </x:is>
      </x:c>
      <x:c r="AI275" t="inlineStr">
        <x:is>
          <x:t xml:space="preserve">Human Lifecycle</x:t>
        </x:is>
      </x:c>
      <x:c r="AJ275" t="inlineStr">
        <x:is>
          <x:t xml:space="preserve">Enhanced JML Synchronization</x:t>
        </x:is>
      </x:c>
    </x:row>
    <x:row r="276">
      <x:c r="A276" t="inlineStr">
        <x:is>
          <x:t xml:space="preserve">HR</x:t>
        </x:is>
      </x:c>
      <x:c r="B276" t="inlineStr">
        <x:is>
          <x:t xml:space="preserve">HR-D4-Q13</x:t>
        </x:is>
      </x:c>
      <x:c r="C276" t="inlineStr">
        <x:is>
          <x:t xml:space="preserve">T1</x:t>
        </x:is>
      </x:c>
      <x:c r="D276" t="inlineStr">
        <x:is>
          <x:t xml:space="preserve">4. Joiner-Mover-Leaver</x:t>
        </x:is>
      </x:c>
      <x:c r="E276" t="inlineStr">
        <x:is>
          <x:t xml:space="preserve">E</x:t>
        </x:is>
      </x:c>
      <x:c r="F276" t="n">
        <x:v>0.8</x:v>
      </x:c>
      <x:c r="G276" t="inlineStr">
        <x:is>
          <x:t xml:space="preserve">R</x:t>
        </x:is>
      </x:c>
      <x:c r="H276" t="n">
        <x:v>0.2</x:v>
      </x:c>
      <x:c r="I276" t="inlineStr">
        <x:is>
          <x:t xml:space="preserve">How reliably are joiner/mover/leaver changes coordinated with IT/IAM so access is granted/changed/removed on time?</x:t>
        </x:is>
      </x:c>
      <x:c r="J276" t="inlineStr">
        <x:is>
          <x:t xml:space="preserve">Includes employees and contractors.</x:t>
        </x:is>
      </x:c>
      <x:c r="L276" t="inlineStr">
        <x:is>
          <x:t xml:space="preserve">OPS_STD</x:t>
        </x:is>
      </x:c>
      <x:c r="M276" t="n">
        <x:v>1</x:v>
      </x:c>
      <x:c r="P276" t="inlineStr">
        <x:is>
          <x:t xml:space="preserve">HR-D4-Q13-A3</x:t>
        </x:is>
      </x:c>
      <x:c r="Q276" t="n">
        <x:v>4</x:v>
      </x:c>
      <x:c r="R276" t="inlineStr">
        <x:is>
          <x:t xml:space="preserve">Defined: standard forms/HRIS triggers; most changes processed within days.</x:t>
        </x:is>
      </x:c>
      <x:c r="S276" t="n">
        <x:v>2</x:v>
      </x:c>
      <x:c r="U276" t="inlineStr">
        <x:is>
          <x:t xml:space="preserve">Operating Model Gap</x:t>
        </x:is>
      </x:c>
      <x:c r="V276" t="inlineStr">
        <x:is>
          <x:t xml:space="preserve">Improve SLAs</x:t>
        </x:is>
      </x:c>
      <x:c r="W276" t="inlineStr">
        <x:is>
          <x:t xml:space="preserve">N</x:t>
        </x:is>
      </x:c>
      <x:c r="X276" t="inlineStr">
        <x:is>
          <x:t xml:space="preserve">Evidence: process or SLA.</x:t>
        </x:is>
      </x:c>
      <x:c r="Y276">
        <x:f>(S276*IF(E276="G",F276,0))+(S276*IF(G276="G",H276,0))</x:f>
      </x:c>
      <x:c r="Z276">
        <x:f>(S276*IF(E276="E",F276,0))+(S276*IF(G276="E",H276,0))</x:f>
      </x:c>
      <x:c r="AA276">
        <x:f>(S276*IF(E276="T",F276,0))+(S276*IF(G276="T",H276,0))</x:f>
      </x:c>
      <x:c r="AB276">
        <x:f>(S276*IF(E276="L",F276,0))+(S276*IF(G276="L",H276,0))</x:f>
      </x:c>
      <x:c r="AC276">
        <x:f>(S276*IF(E276="H",F276,0))+(S276*IF(G276="H",H276,0))</x:f>
      </x:c>
      <x:c r="AD276">
        <x:f>(S276*IF(E276="V",F276,0))+(S276*IF(G276="V",H276,0))</x:f>
      </x:c>
      <x:c r="AE276">
        <x:f>(S276*IF(E276="R",F276,0))+(S276*IF(G276="R",H276,0))</x:f>
      </x:c>
      <x:c r="AF276">
        <x:f>(S276*IF(E276="F",F276,0))+(S276*IF(G276="F",H276,0))</x:f>
      </x:c>
      <x:c r="AG276">
        <x:f>(S276*IF(E276="W",F276,0))+(S276*IF(G276="W",H276,0))</x:f>
      </x:c>
      <x:c r="AH276" t="inlineStr">
        <x:is>
          <x:t xml:space="preserve">5. Human-Centric Culture</x:t>
        </x:is>
      </x:c>
      <x:c r="AI276" t="inlineStr">
        <x:is>
          <x:t xml:space="preserve">Human Lifecycle</x:t>
        </x:is>
      </x:c>
      <x:c r="AJ276" t="inlineStr">
        <x:is>
          <x:t xml:space="preserve">Enhanced JML Synchronization</x:t>
        </x:is>
      </x:c>
    </x:row>
    <x:row r="277">
      <x:c r="A277" t="inlineStr">
        <x:is>
          <x:t xml:space="preserve">HR</x:t>
        </x:is>
      </x:c>
      <x:c r="B277" t="inlineStr">
        <x:is>
          <x:t xml:space="preserve">HR-D4-Q13</x:t>
        </x:is>
      </x:c>
      <x:c r="C277" t="inlineStr">
        <x:is>
          <x:t xml:space="preserve">T1</x:t>
        </x:is>
      </x:c>
      <x:c r="D277" t="inlineStr">
        <x:is>
          <x:t xml:space="preserve">4. Joiner-Mover-Leaver</x:t>
        </x:is>
      </x:c>
      <x:c r="E277" t="inlineStr">
        <x:is>
          <x:t xml:space="preserve">E</x:t>
        </x:is>
      </x:c>
      <x:c r="F277" t="n">
        <x:v>0.8</x:v>
      </x:c>
      <x:c r="G277" t="inlineStr">
        <x:is>
          <x:t xml:space="preserve">R</x:t>
        </x:is>
      </x:c>
      <x:c r="H277" t="n">
        <x:v>0.2</x:v>
      </x:c>
      <x:c r="I277" t="inlineStr">
        <x:is>
          <x:t xml:space="preserve">How reliably are joiner/mover/leaver changes coordinated with IT/IAM so access is granted/changed/removed on time?</x:t>
        </x:is>
      </x:c>
      <x:c r="J277" t="inlineStr">
        <x:is>
          <x:t xml:space="preserve">Includes employees and contractors.</x:t>
        </x:is>
      </x:c>
      <x:c r="L277" t="inlineStr">
        <x:is>
          <x:t xml:space="preserve">OPS_STD</x:t>
        </x:is>
      </x:c>
      <x:c r="M277" t="n">
        <x:v>1</x:v>
      </x:c>
      <x:c r="P277" t="inlineStr">
        <x:is>
          <x:t xml:space="preserve">HR-D4-Q13-A4</x:t>
        </x:is>
      </x:c>
      <x:c r="Q277" t="n">
        <x:v>5</x:v>
      </x:c>
      <x:c r="R277" t="inlineStr">
        <x:is>
          <x:t xml:space="preserve">Managed: SLAs monitored; leaver removal time-bound and audited.</x:t>
        </x:is>
      </x:c>
      <x:c r="S277" t="n">
        <x:v>3</x:v>
      </x:c>
      <x:c r="U277" t="inlineStr">
        <x:is>
          <x:t xml:space="preserve">Operating Model Gap</x:t>
        </x:is>
      </x:c>
      <x:c r="V277" t="inlineStr">
        <x:is>
          <x:t xml:space="preserve">Maintain assurance</x:t>
        </x:is>
      </x:c>
      <x:c r="W277" t="inlineStr">
        <x:is>
          <x:t xml:space="preserve">N</x:t>
        </x:is>
      </x:c>
      <x:c r="X277" t="inlineStr">
        <x:is>
          <x:t xml:space="preserve">Evidence: audit sample.</x:t>
        </x:is>
      </x:c>
      <x:c r="Y277">
        <x:f>(S277*IF(E277="G",F277,0))+(S277*IF(G277="G",H277,0))</x:f>
      </x:c>
      <x:c r="Z277">
        <x:f>(S277*IF(E277="E",F277,0))+(S277*IF(G277="E",H277,0))</x:f>
      </x:c>
      <x:c r="AA277">
        <x:f>(S277*IF(E277="T",F277,0))+(S277*IF(G277="T",H277,0))</x:f>
      </x:c>
      <x:c r="AB277">
        <x:f>(S277*IF(E277="L",F277,0))+(S277*IF(G277="L",H277,0))</x:f>
      </x:c>
      <x:c r="AC277">
        <x:f>(S277*IF(E277="H",F277,0))+(S277*IF(G277="H",H277,0))</x:f>
      </x:c>
      <x:c r="AD277">
        <x:f>(S277*IF(E277="V",F277,0))+(S277*IF(G277="V",H277,0))</x:f>
      </x:c>
      <x:c r="AE277">
        <x:f>(S277*IF(E277="R",F277,0))+(S277*IF(G277="R",H277,0))</x:f>
      </x:c>
      <x:c r="AF277">
        <x:f>(S277*IF(E277="F",F277,0))+(S277*IF(G277="F",H277,0))</x:f>
      </x:c>
      <x:c r="AG277">
        <x:f>(S277*IF(E277="W",F277,0))+(S277*IF(G277="W",H277,0))</x:f>
      </x:c>
      <x:c r="AH277" t="inlineStr">
        <x:is>
          <x:t xml:space="preserve">5. Human-Centric Culture</x:t>
        </x:is>
      </x:c>
      <x:c r="AI277" t="inlineStr">
        <x:is>
          <x:t xml:space="preserve">Human Lifecycle</x:t>
        </x:is>
      </x:c>
      <x:c r="AJ277" t="inlineStr">
        <x:is>
          <x:t xml:space="preserve">Enhanced JML Synchronization</x:t>
        </x:is>
      </x:c>
    </x:row>
    <x:row r="278">
      <x:c r="A278" t="inlineStr">
        <x:is>
          <x:t xml:space="preserve">HR</x:t>
        </x:is>
      </x:c>
      <x:c r="B278" t="inlineStr">
        <x:is>
          <x:t xml:space="preserve">HR-D4-Q13</x:t>
        </x:is>
      </x:c>
      <x:c r="C278" t="inlineStr">
        <x:is>
          <x:t xml:space="preserve">T1</x:t>
        </x:is>
      </x:c>
      <x:c r="D278" t="inlineStr">
        <x:is>
          <x:t xml:space="preserve">4. Joiner-Mover-Leaver</x:t>
        </x:is>
      </x:c>
      <x:c r="E278" t="inlineStr">
        <x:is>
          <x:t xml:space="preserve">E</x:t>
        </x:is>
      </x:c>
      <x:c r="F278" t="n">
        <x:v>0.8</x:v>
      </x:c>
      <x:c r="G278" t="inlineStr">
        <x:is>
          <x:t xml:space="preserve">R</x:t>
        </x:is>
      </x:c>
      <x:c r="H278" t="n">
        <x:v>0.2</x:v>
      </x:c>
      <x:c r="I278" t="inlineStr">
        <x:is>
          <x:t xml:space="preserve">How reliably are joiner/mover/leaver changes coordinated with IT/IAM so access is granted/changed/removed on time?</x:t>
        </x:is>
      </x:c>
      <x:c r="J278" t="inlineStr">
        <x:is>
          <x:t xml:space="preserve">Includes employees and contractors.</x:t>
        </x:is>
      </x:c>
      <x:c r="L278" t="inlineStr">
        <x:is>
          <x:t xml:space="preserve">OPS_STD</x:t>
        </x:is>
      </x:c>
      <x:c r="M278" t="n">
        <x:v>1</x:v>
      </x:c>
      <x:c r="P278" t="inlineStr">
        <x:is>
          <x:t xml:space="preserve">HR-D4-Q13-A5</x:t>
        </x:is>
      </x:c>
      <x:c r="Q278" t="n">
        <x:v>6</x:v>
      </x:c>
      <x:c r="R278" t="inlineStr">
        <x:is>
          <x:t xml:space="preserve">Optimized: near-real-time updates for critical roles; exceptions controlled.</x:t>
        </x:is>
      </x:c>
      <x:c r="S278" t="n">
        <x:v>4</x:v>
      </x:c>
      <x:c r="U278" t="inlineStr">
        <x:is>
          <x:t xml:space="preserve">Operating Model Gap</x:t>
        </x:is>
      </x:c>
      <x:c r="V278" t="inlineStr">
        <x:is>
          <x:t xml:space="preserve">Maintain maturity</x:t>
        </x:is>
      </x:c>
      <x:c r="W278" t="inlineStr">
        <x:is>
          <x:t xml:space="preserve">N</x:t>
        </x:is>
      </x:c>
      <x:c r="X278" t="inlineStr">
        <x:is>
          <x:t xml:space="preserve">Evidence: timeliness metrics.</x:t>
        </x:is>
      </x:c>
      <x:c r="Y278">
        <x:f>(S278*IF(E278="G",F278,0))+(S278*IF(G278="G",H278,0))</x:f>
      </x:c>
      <x:c r="Z278">
        <x:f>(S278*IF(E278="E",F278,0))+(S278*IF(G278="E",H278,0))</x:f>
      </x:c>
      <x:c r="AA278">
        <x:f>(S278*IF(E278="T",F278,0))+(S278*IF(G278="T",H278,0))</x:f>
      </x:c>
      <x:c r="AB278">
        <x:f>(S278*IF(E278="L",F278,0))+(S278*IF(G278="L",H278,0))</x:f>
      </x:c>
      <x:c r="AC278">
        <x:f>(S278*IF(E278="H",F278,0))+(S278*IF(G278="H",H278,0))</x:f>
      </x:c>
      <x:c r="AD278">
        <x:f>(S278*IF(E278="V",F278,0))+(S278*IF(G278="V",H278,0))</x:f>
      </x:c>
      <x:c r="AE278">
        <x:f>(S278*IF(E278="R",F278,0))+(S278*IF(G278="R",H278,0))</x:f>
      </x:c>
      <x:c r="AF278">
        <x:f>(S278*IF(E278="F",F278,0))+(S278*IF(G278="F",H278,0))</x:f>
      </x:c>
      <x:c r="AG278">
        <x:f>(S278*IF(E278="W",F278,0))+(S278*IF(G278="W",H278,0))</x:f>
      </x:c>
      <x:c r="AH278" t="inlineStr">
        <x:is>
          <x:t xml:space="preserve">5. Human-Centric Culture</x:t>
        </x:is>
      </x:c>
      <x:c r="AI278" t="inlineStr">
        <x:is>
          <x:t xml:space="preserve">Human Lifecycle</x:t>
        </x:is>
      </x:c>
      <x:c r="AJ278" t="inlineStr">
        <x:is>
          <x:t xml:space="preserve">Enhanced JML Synchronization</x:t>
        </x:is>
      </x:c>
    </x:row>
    <x:row r="279">
      <x:c r="A279" t="inlineStr">
        <x:is>
          <x:t xml:space="preserve">HR</x:t>
        </x:is>
      </x:c>
      <x:c r="B279" t="inlineStr">
        <x:is>
          <x:t xml:space="preserve">HR-D4-Q14</x:t>
        </x:is>
      </x:c>
      <x:c r="C279" t="inlineStr">
        <x:is>
          <x:t xml:space="preserve">T2</x:t>
        </x:is>
      </x:c>
      <x:c r="D279" t="inlineStr">
        <x:is>
          <x:t xml:space="preserve">4. Joiner-Mover-Leaver</x:t>
        </x:is>
      </x:c>
      <x:c r="E279" t="inlineStr">
        <x:is>
          <x:t xml:space="preserve">E</x:t>
        </x:is>
      </x:c>
      <x:c r="F279" t="n">
        <x:v>1</x:v>
      </x:c>
      <x:c r="G279" t="inlineStr">
        <x:is>
          <x:t xml:space="preserve">-</x:t>
        </x:is>
      </x:c>
      <x:c r="I279" t="inlineStr">
        <x:is>
          <x:t xml:space="preserve">(Shadow probe) If the process is informal, how do you ensure leaver/role-change access is removed quickly in practice?</x:t>
        </x:is>
      </x:c>
      <x:c r="J279" t="inlineStr">
        <x:is>
          <x:t xml:space="preserve">Captures reality: who calls whom and typical time to remove access.</x:t>
        </x:is>
      </x:c>
      <x:c r="L279" t="inlineStr">
        <x:is>
          <x:t xml:space="preserve">OPS_STD</x:t>
        </x:is>
      </x:c>
      <x:c r="M279" t="n">
        <x:v>1</x:v>
      </x:c>
      <x:c r="P279" t="inlineStr">
        <x:is>
          <x:t xml:space="preserve">HR-D4-Q14-A1</x:t>
        </x:is>
      </x:c>
      <x:c r="Q279" t="n">
        <x:v>1</x:v>
      </x:c>
      <x:c r="R279" t="inlineStr">
        <x:is>
          <x:t xml:space="preserve">Not reliable; depends on someone noticing.</x:t>
        </x:is>
      </x:c>
      <x:c r="S279" t="n">
        <x:v>0</x:v>
      </x:c>
      <x:c r="T279" t="inlineStr">
        <x:is>
          <x:t xml:space="preserve">control_lag</x:t>
        </x:is>
      </x:c>
      <x:c r="U279" t="inlineStr">
        <x:is>
          <x:t xml:space="preserve">Control Lag</x:t>
        </x:is>
      </x:c>
      <x:c r="V279" t="inlineStr">
        <x:is>
          <x:t xml:space="preserve">Implement leaver checklist</x:t>
        </x:is>
      </x:c>
      <x:c r="W279" t="inlineStr">
        <x:is>
          <x:t xml:space="preserve">N</x:t>
        </x:is>
      </x:c>
      <x:c r="Y279">
        <x:f>(S279*IF(E279="G",F279,0))+(S279*IF(G279="G",H279,0))</x:f>
      </x:c>
      <x:c r="Z279">
        <x:f>(S279*IF(E279="E",F279,0))+(S279*IF(G279="E",H279,0))</x:f>
      </x:c>
      <x:c r="AA279">
        <x:f>(S279*IF(E279="T",F279,0))+(S279*IF(G279="T",H279,0))</x:f>
      </x:c>
      <x:c r="AB279">
        <x:f>(S279*IF(E279="L",F279,0))+(S279*IF(G279="L",H279,0))</x:f>
      </x:c>
      <x:c r="AC279">
        <x:f>(S279*IF(E279="H",F279,0))+(S279*IF(G279="H",H279,0))</x:f>
      </x:c>
      <x:c r="AD279">
        <x:f>(S279*IF(E279="V",F279,0))+(S279*IF(G279="V",H279,0))</x:f>
      </x:c>
      <x:c r="AE279">
        <x:f>(S279*IF(E279="R",F279,0))+(S279*IF(G279="R",H279,0))</x:f>
      </x:c>
      <x:c r="AF279">
        <x:f>(S279*IF(E279="F",F279,0))+(S279*IF(G279="F",H279,0))</x:f>
      </x:c>
      <x:c r="AG279">
        <x:f>(S279*IF(E279="W",F279,0))+(S279*IF(G279="W",H279,0))</x:f>
      </x:c>
      <x:c r="AH279" t="inlineStr">
        <x:is>
          <x:t xml:space="preserve">5. Human-Centric Culture</x:t>
        </x:is>
      </x:c>
      <x:c r="AI279" t="inlineStr">
        <x:is>
          <x:t xml:space="preserve">Human Lifecycle</x:t>
        </x:is>
      </x:c>
      <x:c r="AJ279" t="inlineStr">
        <x:is>
          <x:t xml:space="preserve">Enhanced JML Synchronization</x:t>
        </x:is>
      </x:c>
    </x:row>
    <x:row r="280">
      <x:c r="A280" t="inlineStr">
        <x:is>
          <x:t xml:space="preserve">HR</x:t>
        </x:is>
      </x:c>
      <x:c r="B280" t="inlineStr">
        <x:is>
          <x:t xml:space="preserve">HR-D4-Q14</x:t>
        </x:is>
      </x:c>
      <x:c r="C280" t="inlineStr">
        <x:is>
          <x:t xml:space="preserve">T2</x:t>
        </x:is>
      </x:c>
      <x:c r="D280" t="inlineStr">
        <x:is>
          <x:t xml:space="preserve">4. Joiner-Mover-Leaver</x:t>
        </x:is>
      </x:c>
      <x:c r="E280" t="inlineStr">
        <x:is>
          <x:t xml:space="preserve">E</x:t>
        </x:is>
      </x:c>
      <x:c r="F280" t="n">
        <x:v>1</x:v>
      </x:c>
      <x:c r="G280" t="inlineStr">
        <x:is>
          <x:t xml:space="preserve">-</x:t>
        </x:is>
      </x:c>
      <x:c r="I280" t="inlineStr">
        <x:is>
          <x:t xml:space="preserve">(Shadow probe) If the process is informal, how do you ensure leaver/role-change access is removed quickly in practice?</x:t>
        </x:is>
      </x:c>
      <x:c r="J280" t="inlineStr">
        <x:is>
          <x:t xml:space="preserve">Captures reality: who calls whom and typical time to remove access.</x:t>
        </x:is>
      </x:c>
      <x:c r="L280" t="inlineStr">
        <x:is>
          <x:t xml:space="preserve">OPS_STD</x:t>
        </x:is>
      </x:c>
      <x:c r="M280" t="n">
        <x:v>1</x:v>
      </x:c>
      <x:c r="P280" t="inlineStr">
        <x:is>
          <x:t xml:space="preserve">HR-D4-Q14-A2</x:t>
        </x:is>
      </x:c>
      <x:c r="Q280" t="n">
        <x:v>2</x:v>
      </x:c>
      <x:c r="R280" t="inlineStr">
        <x:is>
          <x:t xml:space="preserve">Managers/HR call IT when they remember; timing varies widely.</x:t>
        </x:is>
      </x:c>
      <x:c r="S280" t="n">
        <x:v>1</x:v>
      </x:c>
      <x:c r="T280" t="inlineStr">
        <x:is>
          <x:t xml:space="preserve">key_person_dependency,shadow_mature_signal</x:t>
        </x:is>
      </x:c>
      <x:c r="U280" t="inlineStr">
        <x:is>
          <x:t xml:space="preserve">Control Lag</x:t>
        </x:is>
      </x:c>
      <x:c r="V280" t="inlineStr">
        <x:is>
          <x:t xml:space="preserve">Create triggers and SLAs</x:t>
        </x:is>
      </x:c>
      <x:c r="W280" t="inlineStr">
        <x:is>
          <x:t xml:space="preserve">N</x:t>
        </x:is>
      </x:c>
      <x:c r="Y280">
        <x:f>(S280*IF(E280="G",F280,0))+(S280*IF(G280="G",H280,0))</x:f>
      </x:c>
      <x:c r="Z280">
        <x:f>(S280*IF(E280="E",F280,0))+(S280*IF(G280="E",H280,0))</x:f>
      </x:c>
      <x:c r="AA280">
        <x:f>(S280*IF(E280="T",F280,0))+(S280*IF(G280="T",H280,0))</x:f>
      </x:c>
      <x:c r="AB280">
        <x:f>(S280*IF(E280="L",F280,0))+(S280*IF(G280="L",H280,0))</x:f>
      </x:c>
      <x:c r="AC280">
        <x:f>(S280*IF(E280="H",F280,0))+(S280*IF(G280="H",H280,0))</x:f>
      </x:c>
      <x:c r="AD280">
        <x:f>(S280*IF(E280="V",F280,0))+(S280*IF(G280="V",H280,0))</x:f>
      </x:c>
      <x:c r="AE280">
        <x:f>(S280*IF(E280="R",F280,0))+(S280*IF(G280="R",H280,0))</x:f>
      </x:c>
      <x:c r="AF280">
        <x:f>(S280*IF(E280="F",F280,0))+(S280*IF(G280="F",H280,0))</x:f>
      </x:c>
      <x:c r="AG280">
        <x:f>(S280*IF(E280="W",F280,0))+(S280*IF(G280="W",H280,0))</x:f>
      </x:c>
      <x:c r="AH280" t="inlineStr">
        <x:is>
          <x:t xml:space="preserve">5. Human-Centric Culture</x:t>
        </x:is>
      </x:c>
      <x:c r="AI280" t="inlineStr">
        <x:is>
          <x:t xml:space="preserve">Human Lifecycle</x:t>
        </x:is>
      </x:c>
      <x:c r="AJ280" t="inlineStr">
        <x:is>
          <x:t xml:space="preserve">Enhanced JML Synchronization</x:t>
        </x:is>
      </x:c>
    </x:row>
    <x:row r="281">
      <x:c r="A281" t="inlineStr">
        <x:is>
          <x:t xml:space="preserve">HR</x:t>
        </x:is>
      </x:c>
      <x:c r="B281" t="inlineStr">
        <x:is>
          <x:t xml:space="preserve">HR-D4-Q14</x:t>
        </x:is>
      </x:c>
      <x:c r="C281" t="inlineStr">
        <x:is>
          <x:t xml:space="preserve">T2</x:t>
        </x:is>
      </x:c>
      <x:c r="D281" t="inlineStr">
        <x:is>
          <x:t xml:space="preserve">4. Joiner-Mover-Leaver</x:t>
        </x:is>
      </x:c>
      <x:c r="E281" t="inlineStr">
        <x:is>
          <x:t xml:space="preserve">E</x:t>
        </x:is>
      </x:c>
      <x:c r="F281" t="n">
        <x:v>1</x:v>
      </x:c>
      <x:c r="G281" t="inlineStr">
        <x:is>
          <x:t xml:space="preserve">-</x:t>
        </x:is>
      </x:c>
      <x:c r="I281" t="inlineStr">
        <x:is>
          <x:t xml:space="preserve">(Shadow probe) If the process is informal, how do you ensure leaver/role-change access is removed quickly in practice?</x:t>
        </x:is>
      </x:c>
      <x:c r="J281" t="inlineStr">
        <x:is>
          <x:t xml:space="preserve">Captures reality: who calls whom and typical time to remove access.</x:t>
        </x:is>
      </x:c>
      <x:c r="L281" t="inlineStr">
        <x:is>
          <x:t xml:space="preserve">OPS_STD</x:t>
        </x:is>
      </x:c>
      <x:c r="M281" t="n">
        <x:v>1</x:v>
      </x:c>
      <x:c r="P281" t="inlineStr">
        <x:is>
          <x:t xml:space="preserve">HR-D4-Q14-A3</x:t>
        </x:is>
      </x:c>
      <x:c r="Q281" t="n">
        <x:v>3</x:v>
      </x:c>
      <x:c r="R281" t="inlineStr">
        <x:is>
          <x:t xml:space="preserve">HR sends a daily/weekly leaver list; not always complete.</x:t>
        </x:is>
      </x:c>
      <x:c r="S281" t="n">
        <x:v>2</x:v>
      </x:c>
      <x:c r="U281" t="inlineStr">
        <x:is>
          <x:t xml:space="preserve">Operating Model Gap</x:t>
        </x:is>
      </x:c>
      <x:c r="V281" t="inlineStr">
        <x:is>
          <x:t xml:space="preserve">Improve completeness</x:t>
        </x:is>
      </x:c>
      <x:c r="W281" t="inlineStr">
        <x:is>
          <x:t xml:space="preserve">N</x:t>
        </x:is>
      </x:c>
      <x:c r="X281" t="inlineStr">
        <x:is>
          <x:t xml:space="preserve">Evidence: sample leaver list.</x:t>
        </x:is>
      </x:c>
      <x:c r="Y281">
        <x:f>(S281*IF(E281="G",F281,0))+(S281*IF(G281="G",H281,0))</x:f>
      </x:c>
      <x:c r="Z281">
        <x:f>(S281*IF(E281="E",F281,0))+(S281*IF(G281="E",H281,0))</x:f>
      </x:c>
      <x:c r="AA281">
        <x:f>(S281*IF(E281="T",F281,0))+(S281*IF(G281="T",H281,0))</x:f>
      </x:c>
      <x:c r="AB281">
        <x:f>(S281*IF(E281="L",F281,0))+(S281*IF(G281="L",H281,0))</x:f>
      </x:c>
      <x:c r="AC281">
        <x:f>(S281*IF(E281="H",F281,0))+(S281*IF(G281="H",H281,0))</x:f>
      </x:c>
      <x:c r="AD281">
        <x:f>(S281*IF(E281="V",F281,0))+(S281*IF(G281="V",H281,0))</x:f>
      </x:c>
      <x:c r="AE281">
        <x:f>(S281*IF(E281="R",F281,0))+(S281*IF(G281="R",H281,0))</x:f>
      </x:c>
      <x:c r="AF281">
        <x:f>(S281*IF(E281="F",F281,0))+(S281*IF(G281="F",H281,0))</x:f>
      </x:c>
      <x:c r="AG281">
        <x:f>(S281*IF(E281="W",F281,0))+(S281*IF(G281="W",H281,0))</x:f>
      </x:c>
      <x:c r="AH281" t="inlineStr">
        <x:is>
          <x:t xml:space="preserve">5. Human-Centric Culture</x:t>
        </x:is>
      </x:c>
      <x:c r="AI281" t="inlineStr">
        <x:is>
          <x:t xml:space="preserve">Human Lifecycle</x:t>
        </x:is>
      </x:c>
      <x:c r="AJ281" t="inlineStr">
        <x:is>
          <x:t xml:space="preserve">Enhanced JML Synchronization</x:t>
        </x:is>
      </x:c>
    </x:row>
    <x:row r="282">
      <x:c r="A282" t="inlineStr">
        <x:is>
          <x:t xml:space="preserve">HR</x:t>
        </x:is>
      </x:c>
      <x:c r="B282" t="inlineStr">
        <x:is>
          <x:t xml:space="preserve">HR-D4-Q14</x:t>
        </x:is>
      </x:c>
      <x:c r="C282" t="inlineStr">
        <x:is>
          <x:t xml:space="preserve">T2</x:t>
        </x:is>
      </x:c>
      <x:c r="D282" t="inlineStr">
        <x:is>
          <x:t xml:space="preserve">4. Joiner-Mover-Leaver</x:t>
        </x:is>
      </x:c>
      <x:c r="E282" t="inlineStr">
        <x:is>
          <x:t xml:space="preserve">E</x:t>
        </x:is>
      </x:c>
      <x:c r="F282" t="n">
        <x:v>1</x:v>
      </x:c>
      <x:c r="G282" t="inlineStr">
        <x:is>
          <x:t xml:space="preserve">-</x:t>
        </x:is>
      </x:c>
      <x:c r="I282" t="inlineStr">
        <x:is>
          <x:t xml:space="preserve">(Shadow probe) If the process is informal, how do you ensure leaver/role-change access is removed quickly in practice?</x:t>
        </x:is>
      </x:c>
      <x:c r="J282" t="inlineStr">
        <x:is>
          <x:t xml:space="preserve">Captures reality: who calls whom and typical time to remove access.</x:t>
        </x:is>
      </x:c>
      <x:c r="L282" t="inlineStr">
        <x:is>
          <x:t xml:space="preserve">OPS_STD</x:t>
        </x:is>
      </x:c>
      <x:c r="M282" t="n">
        <x:v>1</x:v>
      </x:c>
      <x:c r="P282" t="inlineStr">
        <x:is>
          <x:t xml:space="preserve">HR-D4-Q14-A4</x:t>
        </x:is>
      </x:c>
      <x:c r="Q282" t="n">
        <x:v>4</x:v>
      </x:c>
      <x:c r="R282" t="inlineStr">
        <x:is>
          <x:t xml:space="preserve">Consistent same-day/next-day removal for most cases.</x:t>
        </x:is>
      </x:c>
      <x:c r="S282" t="n">
        <x:v>3</x:v>
      </x:c>
      <x:c r="U282" t="inlineStr">
        <x:is>
          <x:t xml:space="preserve">Operating Model Gap</x:t>
        </x:is>
      </x:c>
      <x:c r="V282" t="inlineStr">
        <x:is>
          <x:t xml:space="preserve">Formalize and audit</x:t>
        </x:is>
      </x:c>
      <x:c r="W282" t="inlineStr">
        <x:is>
          <x:t xml:space="preserve">N</x:t>
        </x:is>
      </x:c>
      <x:c r="X282" t="inlineStr">
        <x:is>
          <x:t xml:space="preserve">Evidence: ticket timestamps (redacted).</x:t>
        </x:is>
      </x:c>
      <x:c r="Y282">
        <x:f>(S282*IF(E282="G",F282,0))+(S282*IF(G282="G",H282,0))</x:f>
      </x:c>
      <x:c r="Z282">
        <x:f>(S282*IF(E282="E",F282,0))+(S282*IF(G282="E",H282,0))</x:f>
      </x:c>
      <x:c r="AA282">
        <x:f>(S282*IF(E282="T",F282,0))+(S282*IF(G282="T",H282,0))</x:f>
      </x:c>
      <x:c r="AB282">
        <x:f>(S282*IF(E282="L",F282,0))+(S282*IF(G282="L",H282,0))</x:f>
      </x:c>
      <x:c r="AC282">
        <x:f>(S282*IF(E282="H",F282,0))+(S282*IF(G282="H",H282,0))</x:f>
      </x:c>
      <x:c r="AD282">
        <x:f>(S282*IF(E282="V",F282,0))+(S282*IF(G282="V",H282,0))</x:f>
      </x:c>
      <x:c r="AE282">
        <x:f>(S282*IF(E282="R",F282,0))+(S282*IF(G282="R",H282,0))</x:f>
      </x:c>
      <x:c r="AF282">
        <x:f>(S282*IF(E282="F",F282,0))+(S282*IF(G282="F",H282,0))</x:f>
      </x:c>
      <x:c r="AG282">
        <x:f>(S282*IF(E282="W",F282,0))+(S282*IF(G282="W",H282,0))</x:f>
      </x:c>
      <x:c r="AH282" t="inlineStr">
        <x:is>
          <x:t xml:space="preserve">5. Human-Centric Culture</x:t>
        </x:is>
      </x:c>
      <x:c r="AI282" t="inlineStr">
        <x:is>
          <x:t xml:space="preserve">Human Lifecycle</x:t>
        </x:is>
      </x:c>
      <x:c r="AJ282" t="inlineStr">
        <x:is>
          <x:t xml:space="preserve">Enhanced JML Synchronization</x:t>
        </x:is>
      </x:c>
    </x:row>
    <x:row r="283">
      <x:c r="A283" t="inlineStr">
        <x:is>
          <x:t xml:space="preserve">HR</x:t>
        </x:is>
      </x:c>
      <x:c r="B283" t="inlineStr">
        <x:is>
          <x:t xml:space="preserve">HR-D4-Q15</x:t>
        </x:is>
      </x:c>
      <x:c r="C283" t="inlineStr">
        <x:is>
          <x:t xml:space="preserve">T2</x:t>
        </x:is>
      </x:c>
      <x:c r="D283" t="inlineStr">
        <x:is>
          <x:t xml:space="preserve">4. Joiner-Mover-Leaver</x:t>
        </x:is>
      </x:c>
      <x:c r="E283" t="inlineStr">
        <x:is>
          <x:t xml:space="preserve">W</x:t>
        </x:is>
      </x:c>
      <x:c r="F283" t="n">
        <x:v>0.6</x:v>
      </x:c>
      <x:c r="G283" t="inlineStr">
        <x:is>
          <x:t xml:space="preserve">L</x:t>
        </x:is>
      </x:c>
      <x:c r="H283" t="n">
        <x:v>0.4</x:v>
      </x:c>
      <x:c r="I283" t="inlineStr">
        <x:is>
          <x:t xml:space="preserve">Do you have a defined process for higher-risk departures or role changes (e.g., privileged users, finance, R&amp;D, disputes)?</x:t>
        </x:is>
      </x:c>
      <x:c r="J283" t="inlineStr">
        <x:is>
          <x:t xml:space="preserve">Higher-risk = access to sensitive systems/data or elevated conflict. Keep proportionality and fairness.</x:t>
        </x:is>
      </x:c>
      <x:c r="L283" t="inlineStr">
        <x:is>
          <x:t xml:space="preserve">RISK_STD</x:t>
        </x:is>
      </x:c>
      <x:c r="M283" t="n">
        <x:v>1.5</x:v>
      </x:c>
      <x:c r="N283" t="n">
        <x:v>0.5</x:v>
      </x:c>
      <x:c r="P283" t="inlineStr">
        <x:is>
          <x:t xml:space="preserve">HR-D4-Q15-A1</x:t>
        </x:is>
      </x:c>
      <x:c r="Q283" t="n">
        <x:v>1</x:v>
      </x:c>
      <x:c r="R283" t="inlineStr">
        <x:is>
          <x:t xml:space="preserve">No: all departures treated the same.</x:t>
        </x:is>
      </x:c>
      <x:c r="S283" t="n">
        <x:v>0</x:v>
      </x:c>
      <x:c r="T283" t="inlineStr">
        <x:is>
          <x:t xml:space="preserve">control_lag</x:t>
        </x:is>
      </x:c>
      <x:c r="U283" t="inlineStr">
        <x:is>
          <x:t xml:space="preserve">Control Lag</x:t>
        </x:is>
      </x:c>
      <x:c r="V283" t="inlineStr">
        <x:is>
          <x:t xml:space="preserve">Define risk-based leaver process</x:t>
        </x:is>
      </x:c>
      <x:c r="W283" t="inlineStr">
        <x:is>
          <x:t xml:space="preserve">N</x:t>
        </x:is>
      </x:c>
      <x:c r="Y283">
        <x:f>(S283*IF(E283="G",F283,0))+(S283*IF(G283="G",H283,0))</x:f>
      </x:c>
      <x:c r="Z283">
        <x:f>(S283*IF(E283="E",F283,0))+(S283*IF(G283="E",H283,0))</x:f>
      </x:c>
      <x:c r="AA283">
        <x:f>(S283*IF(E283="T",F283,0))+(S283*IF(G283="T",H283,0))</x:f>
      </x:c>
      <x:c r="AB283">
        <x:f>(S283*IF(E283="L",F283,0))+(S283*IF(G283="L",H283,0))</x:f>
      </x:c>
      <x:c r="AC283">
        <x:f>(S283*IF(E283="H",F283,0))+(S283*IF(G283="H",H283,0))</x:f>
      </x:c>
      <x:c r="AD283">
        <x:f>(S283*IF(E283="V",F283,0))+(S283*IF(G283="V",H283,0))</x:f>
      </x:c>
      <x:c r="AE283">
        <x:f>(S283*IF(E283="R",F283,0))+(S283*IF(G283="R",H283,0))</x:f>
      </x:c>
      <x:c r="AF283">
        <x:f>(S283*IF(E283="F",F283,0))+(S283*IF(G283="F",H283,0))</x:f>
      </x:c>
      <x:c r="AG283">
        <x:f>(S283*IF(E283="W",F283,0))+(S283*IF(G283="W",H283,0))</x:f>
      </x:c>
      <x:c r="AH283" t="inlineStr">
        <x:is>
          <x:t xml:space="preserve">6. Technical Controls</x:t>
        </x:is>
      </x:c>
      <x:c r="AI283" t="inlineStr">
        <x:is>
          <x:t xml:space="preserve">Identity &amp; Access</x:t>
        </x:is>
      </x:c>
      <x:c r="AJ283" t="inlineStr">
        <x:is>
          <x:t xml:space="preserve">PAM &amp; privileged session governance</x:t>
        </x:is>
      </x:c>
    </x:row>
    <x:row r="284">
      <x:c r="A284" t="inlineStr">
        <x:is>
          <x:t xml:space="preserve">HR</x:t>
        </x:is>
      </x:c>
      <x:c r="B284" t="inlineStr">
        <x:is>
          <x:t xml:space="preserve">HR-D4-Q15</x:t>
        </x:is>
      </x:c>
      <x:c r="C284" t="inlineStr">
        <x:is>
          <x:t xml:space="preserve">T2</x:t>
        </x:is>
      </x:c>
      <x:c r="D284" t="inlineStr">
        <x:is>
          <x:t xml:space="preserve">4. Joiner-Mover-Leaver</x:t>
        </x:is>
      </x:c>
      <x:c r="E284" t="inlineStr">
        <x:is>
          <x:t xml:space="preserve">W</x:t>
        </x:is>
      </x:c>
      <x:c r="F284" t="n">
        <x:v>0.6</x:v>
      </x:c>
      <x:c r="G284" t="inlineStr">
        <x:is>
          <x:t xml:space="preserve">L</x:t>
        </x:is>
      </x:c>
      <x:c r="H284" t="n">
        <x:v>0.4</x:v>
      </x:c>
      <x:c r="I284" t="inlineStr">
        <x:is>
          <x:t xml:space="preserve">Do you have a defined process for higher-risk departures or role changes (e.g., privileged users, finance, R&amp;D, disputes)?</x:t>
        </x:is>
      </x:c>
      <x:c r="J284" t="inlineStr">
        <x:is>
          <x:t xml:space="preserve">Higher-risk = access to sensitive systems/data or elevated conflict. Keep proportionality and fairness.</x:t>
        </x:is>
      </x:c>
      <x:c r="L284" t="inlineStr">
        <x:is>
          <x:t xml:space="preserve">RISK_STD</x:t>
        </x:is>
      </x:c>
      <x:c r="M284" t="n">
        <x:v>1.5</x:v>
      </x:c>
      <x:c r="N284" t="n">
        <x:v>0.5</x:v>
      </x:c>
      <x:c r="P284" t="inlineStr">
        <x:is>
          <x:t xml:space="preserve">HR-D4-Q15-A2</x:t>
        </x:is>
      </x:c>
      <x:c r="Q284" t="n">
        <x:v>2</x:v>
      </x:c>
      <x:c r="R284" t="inlineStr">
        <x:is>
          <x:t xml:space="preserve">Ad-hoc: extra checks sometimes happen; no criteria.</x:t>
        </x:is>
      </x:c>
      <x:c r="S284" t="n">
        <x:v>1</x:v>
      </x:c>
      <x:c r="T284" t="inlineStr">
        <x:is>
          <x:t xml:space="preserve">shadow_mature_signal</x:t>
        </x:is>
      </x:c>
      <x:c r="U284" t="inlineStr">
        <x:is>
          <x:t xml:space="preserve">Operating Model Gap</x:t>
        </x:is>
      </x:c>
      <x:c r="V284" t="inlineStr">
        <x:is>
          <x:t xml:space="preserve">Define criteria and approvals</x:t>
        </x:is>
      </x:c>
      <x:c r="W284" t="inlineStr">
        <x:is>
          <x:t xml:space="preserve">N</x:t>
        </x:is>
      </x:c>
      <x:c r="Y284">
        <x:f>(S284*IF(E284="G",F284,0))+(S284*IF(G284="G",H284,0))</x:f>
      </x:c>
      <x:c r="Z284">
        <x:f>(S284*IF(E284="E",F284,0))+(S284*IF(G284="E",H284,0))</x:f>
      </x:c>
      <x:c r="AA284">
        <x:f>(S284*IF(E284="T",F284,0))+(S284*IF(G284="T",H284,0))</x:f>
      </x:c>
      <x:c r="AB284">
        <x:f>(S284*IF(E284="L",F284,0))+(S284*IF(G284="L",H284,0))</x:f>
      </x:c>
      <x:c r="AC284">
        <x:f>(S284*IF(E284="H",F284,0))+(S284*IF(G284="H",H284,0))</x:f>
      </x:c>
      <x:c r="AD284">
        <x:f>(S284*IF(E284="V",F284,0))+(S284*IF(G284="V",H284,0))</x:f>
      </x:c>
      <x:c r="AE284">
        <x:f>(S284*IF(E284="R",F284,0))+(S284*IF(G284="R",H284,0))</x:f>
      </x:c>
      <x:c r="AF284">
        <x:f>(S284*IF(E284="F",F284,0))+(S284*IF(G284="F",H284,0))</x:f>
      </x:c>
      <x:c r="AG284">
        <x:f>(S284*IF(E284="W",F284,0))+(S284*IF(G284="W",H284,0))</x:f>
      </x:c>
      <x:c r="AH284" t="inlineStr">
        <x:is>
          <x:t xml:space="preserve">6. Technical Controls</x:t>
        </x:is>
      </x:c>
      <x:c r="AI284" t="inlineStr">
        <x:is>
          <x:t xml:space="preserve">Identity &amp; Access</x:t>
        </x:is>
      </x:c>
      <x:c r="AJ284" t="inlineStr">
        <x:is>
          <x:t xml:space="preserve">PAM &amp; privileged session governance</x:t>
        </x:is>
      </x:c>
    </x:row>
    <x:row r="285">
      <x:c r="A285" t="inlineStr">
        <x:is>
          <x:t xml:space="preserve">HR</x:t>
        </x:is>
      </x:c>
      <x:c r="B285" t="inlineStr">
        <x:is>
          <x:t xml:space="preserve">HR-D4-Q15</x:t>
        </x:is>
      </x:c>
      <x:c r="C285" t="inlineStr">
        <x:is>
          <x:t xml:space="preserve">T2</x:t>
        </x:is>
      </x:c>
      <x:c r="D285" t="inlineStr">
        <x:is>
          <x:t xml:space="preserve">4. Joiner-Mover-Leaver</x:t>
        </x:is>
      </x:c>
      <x:c r="E285" t="inlineStr">
        <x:is>
          <x:t xml:space="preserve">W</x:t>
        </x:is>
      </x:c>
      <x:c r="F285" t="n">
        <x:v>0.6</x:v>
      </x:c>
      <x:c r="G285" t="inlineStr">
        <x:is>
          <x:t xml:space="preserve">L</x:t>
        </x:is>
      </x:c>
      <x:c r="H285" t="n">
        <x:v>0.4</x:v>
      </x:c>
      <x:c r="I285" t="inlineStr">
        <x:is>
          <x:t xml:space="preserve">Do you have a defined process for higher-risk departures or role changes (e.g., privileged users, finance, R&amp;D, disputes)?</x:t>
        </x:is>
      </x:c>
      <x:c r="J285" t="inlineStr">
        <x:is>
          <x:t xml:space="preserve">Higher-risk = access to sensitive systems/data or elevated conflict. Keep proportionality and fairness.</x:t>
        </x:is>
      </x:c>
      <x:c r="L285" t="inlineStr">
        <x:is>
          <x:t xml:space="preserve">RISK_STD</x:t>
        </x:is>
      </x:c>
      <x:c r="M285" t="n">
        <x:v>1.5</x:v>
      </x:c>
      <x:c r="N285" t="n">
        <x:v>0.5</x:v>
      </x:c>
      <x:c r="P285" t="inlineStr">
        <x:is>
          <x:t xml:space="preserve">HR-D4-Q15-A3</x:t>
        </x:is>
      </x:c>
      <x:c r="Q285" t="n">
        <x:v>3</x:v>
      </x:c>
      <x:c r="R285" t="inlineStr">
        <x:is>
          <x:t xml:space="preserve">Criteria exist but execution inconsistent.</x:t>
        </x:is>
      </x:c>
      <x:c r="S285" t="n">
        <x:v>2</x:v>
      </x:c>
      <x:c r="T285" t="inlineStr">
        <x:is>
          <x:t xml:space="preserve">paper_dragon_signal</x:t>
        </x:is>
      </x:c>
      <x:c r="U285" t="inlineStr">
        <x:is>
          <x:t xml:space="preserve">Paper Dragon</x:t>
        </x:is>
      </x:c>
      <x:c r="V285" t="inlineStr">
        <x:is>
          <x:t xml:space="preserve">Improve adherence</x:t>
        </x:is>
      </x:c>
      <x:c r="W285" t="inlineStr">
        <x:is>
          <x:t xml:space="preserve">N</x:t>
        </x:is>
      </x:c>
      <x:c r="X285" t="inlineStr">
        <x:is>
          <x:t xml:space="preserve">Evidence: criteria list.</x:t>
        </x:is>
      </x:c>
      <x:c r="Y285">
        <x:f>(S285*IF(E285="G",F285,0))+(S285*IF(G285="G",H285,0))</x:f>
      </x:c>
      <x:c r="Z285">
        <x:f>(S285*IF(E285="E",F285,0))+(S285*IF(G285="E",H285,0))</x:f>
      </x:c>
      <x:c r="AA285">
        <x:f>(S285*IF(E285="T",F285,0))+(S285*IF(G285="T",H285,0))</x:f>
      </x:c>
      <x:c r="AB285">
        <x:f>(S285*IF(E285="L",F285,0))+(S285*IF(G285="L",H285,0))</x:f>
      </x:c>
      <x:c r="AC285">
        <x:f>(S285*IF(E285="H",F285,0))+(S285*IF(G285="H",H285,0))</x:f>
      </x:c>
      <x:c r="AD285">
        <x:f>(S285*IF(E285="V",F285,0))+(S285*IF(G285="V",H285,0))</x:f>
      </x:c>
      <x:c r="AE285">
        <x:f>(S285*IF(E285="R",F285,0))+(S285*IF(G285="R",H285,0))</x:f>
      </x:c>
      <x:c r="AF285">
        <x:f>(S285*IF(E285="F",F285,0))+(S285*IF(G285="F",H285,0))</x:f>
      </x:c>
      <x:c r="AG285">
        <x:f>(S285*IF(E285="W",F285,0))+(S285*IF(G285="W",H285,0))</x:f>
      </x:c>
      <x:c r="AH285" t="inlineStr">
        <x:is>
          <x:t xml:space="preserve">6. Technical Controls</x:t>
        </x:is>
      </x:c>
      <x:c r="AI285" t="inlineStr">
        <x:is>
          <x:t xml:space="preserve">Identity &amp; Access</x:t>
        </x:is>
      </x:c>
      <x:c r="AJ285" t="inlineStr">
        <x:is>
          <x:t xml:space="preserve">PAM &amp; privileged session governance</x:t>
        </x:is>
      </x:c>
    </x:row>
    <x:row r="286">
      <x:c r="A286" t="inlineStr">
        <x:is>
          <x:t xml:space="preserve">HR</x:t>
        </x:is>
      </x:c>
      <x:c r="B286" t="inlineStr">
        <x:is>
          <x:t xml:space="preserve">HR-D4-Q15</x:t>
        </x:is>
      </x:c>
      <x:c r="C286" t="inlineStr">
        <x:is>
          <x:t xml:space="preserve">T2</x:t>
        </x:is>
      </x:c>
      <x:c r="D286" t="inlineStr">
        <x:is>
          <x:t xml:space="preserve">4. Joiner-Mover-Leaver</x:t>
        </x:is>
      </x:c>
      <x:c r="E286" t="inlineStr">
        <x:is>
          <x:t xml:space="preserve">W</x:t>
        </x:is>
      </x:c>
      <x:c r="F286" t="n">
        <x:v>0.6</x:v>
      </x:c>
      <x:c r="G286" t="inlineStr">
        <x:is>
          <x:t xml:space="preserve">L</x:t>
        </x:is>
      </x:c>
      <x:c r="H286" t="n">
        <x:v>0.4</x:v>
      </x:c>
      <x:c r="I286" t="inlineStr">
        <x:is>
          <x:t xml:space="preserve">Do you have a defined process for higher-risk departures or role changes (e.g., privileged users, finance, R&amp;D, disputes)?</x:t>
        </x:is>
      </x:c>
      <x:c r="J286" t="inlineStr">
        <x:is>
          <x:t xml:space="preserve">Higher-risk = access to sensitive systems/data or elevated conflict. Keep proportionality and fairness.</x:t>
        </x:is>
      </x:c>
      <x:c r="L286" t="inlineStr">
        <x:is>
          <x:t xml:space="preserve">RISK_STD</x:t>
        </x:is>
      </x:c>
      <x:c r="M286" t="n">
        <x:v>1.5</x:v>
      </x:c>
      <x:c r="N286" t="n">
        <x:v>0.5</x:v>
      </x:c>
      <x:c r="P286" t="inlineStr">
        <x:is>
          <x:t xml:space="preserve">HR-D4-Q15-A4</x:t>
        </x:is>
      </x:c>
      <x:c r="Q286" t="n">
        <x:v>4</x:v>
      </x:c>
      <x:c r="R286" t="inlineStr">
        <x:is>
          <x:t xml:space="preserve">Risk-based steps applied consistently and proportionately.</x:t>
        </x:is>
      </x:c>
      <x:c r="S286" t="n">
        <x:v>3</x:v>
      </x:c>
      <x:c r="U286" t="inlineStr">
        <x:is>
          <x:t xml:space="preserve">Control Lag</x:t>
        </x:is>
      </x:c>
      <x:c r="V286" t="inlineStr">
        <x:is>
          <x:t xml:space="preserve">Maintain and audit</x:t>
        </x:is>
      </x:c>
      <x:c r="W286" t="inlineStr">
        <x:is>
          <x:t xml:space="preserve">N</x:t>
        </x:is>
      </x:c>
      <x:c r="X286" t="inlineStr">
        <x:is>
          <x:t xml:space="preserve">Evidence: checklist sample.</x:t>
        </x:is>
      </x:c>
      <x:c r="Y286">
        <x:f>(S286*IF(E286="G",F286,0))+(S286*IF(G286="G",H286,0))</x:f>
      </x:c>
      <x:c r="Z286">
        <x:f>(S286*IF(E286="E",F286,0))+(S286*IF(G286="E",H286,0))</x:f>
      </x:c>
      <x:c r="AA286">
        <x:f>(S286*IF(E286="T",F286,0))+(S286*IF(G286="T",H286,0))</x:f>
      </x:c>
      <x:c r="AB286">
        <x:f>(S286*IF(E286="L",F286,0))+(S286*IF(G286="L",H286,0))</x:f>
      </x:c>
      <x:c r="AC286">
        <x:f>(S286*IF(E286="H",F286,0))+(S286*IF(G286="H",H286,0))</x:f>
      </x:c>
      <x:c r="AD286">
        <x:f>(S286*IF(E286="V",F286,0))+(S286*IF(G286="V",H286,0))</x:f>
      </x:c>
      <x:c r="AE286">
        <x:f>(S286*IF(E286="R",F286,0))+(S286*IF(G286="R",H286,0))</x:f>
      </x:c>
      <x:c r="AF286">
        <x:f>(S286*IF(E286="F",F286,0))+(S286*IF(G286="F",H286,0))</x:f>
      </x:c>
      <x:c r="AG286">
        <x:f>(S286*IF(E286="W",F286,0))+(S286*IF(G286="W",H286,0))</x:f>
      </x:c>
      <x:c r="AH286" t="inlineStr">
        <x:is>
          <x:t xml:space="preserve">6. Technical Controls</x:t>
        </x:is>
      </x:c>
      <x:c r="AI286" t="inlineStr">
        <x:is>
          <x:t xml:space="preserve">Identity &amp; Access</x:t>
        </x:is>
      </x:c>
      <x:c r="AJ286" t="inlineStr">
        <x:is>
          <x:t xml:space="preserve">PAM &amp; privileged session governance</x:t>
        </x:is>
      </x:c>
    </x:row>
    <x:row r="287">
      <x:c r="A287" t="inlineStr">
        <x:is>
          <x:t xml:space="preserve">HR</x:t>
        </x:is>
      </x:c>
      <x:c r="B287" t="inlineStr">
        <x:is>
          <x:t xml:space="preserve">HR-D4-Q15</x:t>
        </x:is>
      </x:c>
      <x:c r="C287" t="inlineStr">
        <x:is>
          <x:t xml:space="preserve">T2</x:t>
        </x:is>
      </x:c>
      <x:c r="D287" t="inlineStr">
        <x:is>
          <x:t xml:space="preserve">4. Joiner-Mover-Leaver</x:t>
        </x:is>
      </x:c>
      <x:c r="E287" t="inlineStr">
        <x:is>
          <x:t xml:space="preserve">W</x:t>
        </x:is>
      </x:c>
      <x:c r="F287" t="n">
        <x:v>0.6</x:v>
      </x:c>
      <x:c r="G287" t="inlineStr">
        <x:is>
          <x:t xml:space="preserve">L</x:t>
        </x:is>
      </x:c>
      <x:c r="H287" t="n">
        <x:v>0.4</x:v>
      </x:c>
      <x:c r="I287" t="inlineStr">
        <x:is>
          <x:t xml:space="preserve">Do you have a defined process for higher-risk departures or role changes (e.g., privileged users, finance, R&amp;D, disputes)?</x:t>
        </x:is>
      </x:c>
      <x:c r="J287" t="inlineStr">
        <x:is>
          <x:t xml:space="preserve">Higher-risk = access to sensitive systems/data or elevated conflict. Keep proportionality and fairness.</x:t>
        </x:is>
      </x:c>
      <x:c r="L287" t="inlineStr">
        <x:is>
          <x:t xml:space="preserve">RISK_STD</x:t>
        </x:is>
      </x:c>
      <x:c r="M287" t="n">
        <x:v>1.5</x:v>
      </x:c>
      <x:c r="N287" t="n">
        <x:v>0.5</x:v>
      </x:c>
      <x:c r="P287" t="inlineStr">
        <x:is>
          <x:t xml:space="preserve">HR-D4-Q15-A5</x:t>
        </x:is>
      </x:c>
      <x:c r="Q287" t="n">
        <x:v>5</x:v>
      </x:c>
      <x:c r="R287" t="inlineStr">
        <x:is>
          <x:t xml:space="preserve">Optimized: rapid access changes + comms + legal/privacy review when needed.</x:t>
        </x:is>
      </x:c>
      <x:c r="S287" t="n">
        <x:v>4</x:v>
      </x:c>
      <x:c r="U287" t="inlineStr">
        <x:is>
          <x:t xml:space="preserve">Legal Exposure</x:t>
        </x:is>
      </x:c>
      <x:c r="V287" t="inlineStr">
        <x:is>
          <x:t xml:space="preserve">Maintain maturity</x:t>
        </x:is>
      </x:c>
      <x:c r="W287" t="inlineStr">
        <x:is>
          <x:t xml:space="preserve">N</x:t>
        </x:is>
      </x:c>
      <x:c r="X287" t="inlineStr">
        <x:is>
          <x:t xml:space="preserve">Evidence: playbook.</x:t>
        </x:is>
      </x:c>
      <x:c r="Y287">
        <x:f>(S287*IF(E287="G",F287,0))+(S287*IF(G287="G",H287,0))</x:f>
      </x:c>
      <x:c r="Z287">
        <x:f>(S287*IF(E287="E",F287,0))+(S287*IF(G287="E",H287,0))</x:f>
      </x:c>
      <x:c r="AA287">
        <x:f>(S287*IF(E287="T",F287,0))+(S287*IF(G287="T",H287,0))</x:f>
      </x:c>
      <x:c r="AB287">
        <x:f>(S287*IF(E287="L",F287,0))+(S287*IF(G287="L",H287,0))</x:f>
      </x:c>
      <x:c r="AC287">
        <x:f>(S287*IF(E287="H",F287,0))+(S287*IF(G287="H",H287,0))</x:f>
      </x:c>
      <x:c r="AD287">
        <x:f>(S287*IF(E287="V",F287,0))+(S287*IF(G287="V",H287,0))</x:f>
      </x:c>
      <x:c r="AE287">
        <x:f>(S287*IF(E287="R",F287,0))+(S287*IF(G287="R",H287,0))</x:f>
      </x:c>
      <x:c r="AF287">
        <x:f>(S287*IF(E287="F",F287,0))+(S287*IF(G287="F",H287,0))</x:f>
      </x:c>
      <x:c r="AG287">
        <x:f>(S287*IF(E287="W",F287,0))+(S287*IF(G287="W",H287,0))</x:f>
      </x:c>
      <x:c r="AH287" t="inlineStr">
        <x:is>
          <x:t xml:space="preserve">6. Technical Controls</x:t>
        </x:is>
      </x:c>
      <x:c r="AI287" t="inlineStr">
        <x:is>
          <x:t xml:space="preserve">Identity &amp; Access</x:t>
        </x:is>
      </x:c>
      <x:c r="AJ287" t="inlineStr">
        <x:is>
          <x:t xml:space="preserve">PAM &amp; privileged session governance</x:t>
        </x:is>
      </x:c>
    </x:row>
    <x:row r="288">
      <x:c r="A288" t="inlineStr">
        <x:is>
          <x:t xml:space="preserve">HR</x:t>
        </x:is>
      </x:c>
      <x:c r="B288" t="inlineStr">
        <x:is>
          <x:t xml:space="preserve">HR-D4-Q16</x:t>
        </x:is>
      </x:c>
      <x:c r="C288" t="inlineStr">
        <x:is>
          <x:t xml:space="preserve">T3</x:t>
        </x:is>
      </x:c>
      <x:c r="D288" t="inlineStr">
        <x:is>
          <x:t xml:space="preserve">4. Joiner-Mover-Leaver</x:t>
        </x:is>
      </x:c>
      <x:c r="E288" t="inlineStr">
        <x:is>
          <x:t xml:space="preserve">L</x:t>
        </x:is>
      </x:c>
      <x:c r="F288" t="n">
        <x:v>0.6</x:v>
      </x:c>
      <x:c r="G288" t="inlineStr">
        <x:is>
          <x:t xml:space="preserve">H</x:t>
        </x:is>
      </x:c>
      <x:c r="H288" t="n">
        <x:v>0.4</x:v>
      </x:c>
      <x:c r="I288" t="inlineStr">
        <x:is>
          <x:t xml:space="preserve">How do you confirm departing staff understand ongoing obligations (confidentiality, data return) in clear, plain language?</x:t>
        </x:is>
      </x:c>
      <x:c r="J288" t="inlineStr">
        <x:is>
          <x:t xml:space="preserve">Not legalese: clarity + fairness + return verification.</x:t>
        </x:is>
      </x:c>
      <x:c r="L288" t="inlineStr">
        <x:is>
          <x:t xml:space="preserve">LEG_STRICT</x:t>
        </x:is>
      </x:c>
      <x:c r="M288" t="n">
        <x:v>1.5</x:v>
      </x:c>
      <x:c r="N288" t="n">
        <x:v>0.5</x:v>
      </x:c>
      <x:c r="P288" t="inlineStr">
        <x:is>
          <x:t xml:space="preserve">HR-D4-Q16-A1</x:t>
        </x:is>
      </x:c>
      <x:c r="Q288" t="n">
        <x:v>1</x:v>
      </x:c>
      <x:c r="R288" t="inlineStr">
        <x:is>
          <x:t xml:space="preserve">We don't address this explicitly.</x:t>
        </x:is>
      </x:c>
      <x:c r="S288" t="n">
        <x:v>0</x:v>
      </x:c>
      <x:c r="T288" t="inlineStr">
        <x:is>
          <x:t xml:space="preserve">legal_exposure</x:t>
        </x:is>
      </x:c>
      <x:c r="U288" t="inlineStr">
        <x:is>
          <x:t xml:space="preserve">Legal Exposure</x:t>
        </x:is>
      </x:c>
      <x:c r="V288" t="inlineStr">
        <x:is>
          <x:t xml:space="preserve">Add plain-language offboarding comms</x:t>
        </x:is>
      </x:c>
      <x:c r="W288" t="inlineStr">
        <x:is>
          <x:t xml:space="preserve">N</x:t>
        </x:is>
      </x:c>
      <x:c r="Y288">
        <x:f>(S288*IF(E288="G",F288,0))+(S288*IF(G288="G",H288,0))</x:f>
      </x:c>
      <x:c r="Z288">
        <x:f>(S288*IF(E288="E",F288,0))+(S288*IF(G288="E",H288,0))</x:f>
      </x:c>
      <x:c r="AA288">
        <x:f>(S288*IF(E288="T",F288,0))+(S288*IF(G288="T",H288,0))</x:f>
      </x:c>
      <x:c r="AB288">
        <x:f>(S288*IF(E288="L",F288,0))+(S288*IF(G288="L",H288,0))</x:f>
      </x:c>
      <x:c r="AC288">
        <x:f>(S288*IF(E288="H",F288,0))+(S288*IF(G288="H",H288,0))</x:f>
      </x:c>
      <x:c r="AD288">
        <x:f>(S288*IF(E288="V",F288,0))+(S288*IF(G288="V",H288,0))</x:f>
      </x:c>
      <x:c r="AE288">
        <x:f>(S288*IF(E288="R",F288,0))+(S288*IF(G288="R",H288,0))</x:f>
      </x:c>
      <x:c r="AF288">
        <x:f>(S288*IF(E288="F",F288,0))+(S288*IF(G288="F",H288,0))</x:f>
      </x:c>
      <x:c r="AG288">
        <x:f>(S288*IF(E288="W",F288,0))+(S288*IF(G288="W",H288,0))</x:f>
      </x:c>
      <x:c r="AH288" t="inlineStr">
        <x:is>
          <x:t xml:space="preserve">4. Legal, Privacy &amp; Ethics</x:t>
        </x:is>
      </x:c>
      <x:c r="AI288" t="inlineStr">
        <x:is>
          <x:t xml:space="preserve">Privacy Engineering</x:t>
        </x:is>
      </x:c>
      <x:c r="AJ288" t="inlineStr">
        <x:is>
          <x:t xml:space="preserve">Data Minimization &amp; Purpose Limitation</x:t>
        </x:is>
      </x:c>
    </x:row>
    <x:row r="289">
      <x:c r="A289" t="inlineStr">
        <x:is>
          <x:t xml:space="preserve">HR</x:t>
        </x:is>
      </x:c>
      <x:c r="B289" t="inlineStr">
        <x:is>
          <x:t xml:space="preserve">HR-D4-Q16</x:t>
        </x:is>
      </x:c>
      <x:c r="C289" t="inlineStr">
        <x:is>
          <x:t xml:space="preserve">T3</x:t>
        </x:is>
      </x:c>
      <x:c r="D289" t="inlineStr">
        <x:is>
          <x:t xml:space="preserve">4. Joiner-Mover-Leaver</x:t>
        </x:is>
      </x:c>
      <x:c r="E289" t="inlineStr">
        <x:is>
          <x:t xml:space="preserve">L</x:t>
        </x:is>
      </x:c>
      <x:c r="F289" t="n">
        <x:v>0.6</x:v>
      </x:c>
      <x:c r="G289" t="inlineStr">
        <x:is>
          <x:t xml:space="preserve">H</x:t>
        </x:is>
      </x:c>
      <x:c r="H289" t="n">
        <x:v>0.4</x:v>
      </x:c>
      <x:c r="I289" t="inlineStr">
        <x:is>
          <x:t xml:space="preserve">How do you confirm departing staff understand ongoing obligations (confidentiality, data return) in clear, plain language?</x:t>
        </x:is>
      </x:c>
      <x:c r="J289" t="inlineStr">
        <x:is>
          <x:t xml:space="preserve">Not legalese: clarity + fairness + return verification.</x:t>
        </x:is>
      </x:c>
      <x:c r="L289" t="inlineStr">
        <x:is>
          <x:t xml:space="preserve">LEG_STRICT</x:t>
        </x:is>
      </x:c>
      <x:c r="M289" t="n">
        <x:v>1.5</x:v>
      </x:c>
      <x:c r="N289" t="n">
        <x:v>0.5</x:v>
      </x:c>
      <x:c r="P289" t="inlineStr">
        <x:is>
          <x:t xml:space="preserve">HR-D4-Q16-A2</x:t>
        </x:is>
      </x:c>
      <x:c r="Q289" t="n">
        <x:v>2</x:v>
      </x:c>
      <x:c r="R289" t="inlineStr">
        <x:is>
          <x:t xml:space="preserve">Buried in contracts/policies; no explicit conversation.</x:t>
        </x:is>
      </x:c>
      <x:c r="S289" t="n">
        <x:v>1</x:v>
      </x:c>
      <x:c r="T289" t="inlineStr">
        <x:is>
          <x:t xml:space="preserve">paper_dragon_signal</x:t>
        </x:is>
      </x:c>
      <x:c r="U289" t="inlineStr">
        <x:is>
          <x:t xml:space="preserve">Paper Dragon</x:t>
        </x:is>
      </x:c>
      <x:c r="V289" t="inlineStr">
        <x:is>
          <x:t xml:space="preserve">Improve clarity and acknowledgment</x:t>
        </x:is>
      </x:c>
      <x:c r="W289" t="inlineStr">
        <x:is>
          <x:t xml:space="preserve">N</x:t>
        </x:is>
      </x:c>
      <x:c r="X289" t="inlineStr">
        <x:is>
          <x:t xml:space="preserve">Evidence: clause reference.</x:t>
        </x:is>
      </x:c>
      <x:c r="Y289">
        <x:f>(S289*IF(E289="G",F289,0))+(S289*IF(G289="G",H289,0))</x:f>
      </x:c>
      <x:c r="Z289">
        <x:f>(S289*IF(E289="E",F289,0))+(S289*IF(G289="E",H289,0))</x:f>
      </x:c>
      <x:c r="AA289">
        <x:f>(S289*IF(E289="T",F289,0))+(S289*IF(G289="T",H289,0))</x:f>
      </x:c>
      <x:c r="AB289">
        <x:f>(S289*IF(E289="L",F289,0))+(S289*IF(G289="L",H289,0))</x:f>
      </x:c>
      <x:c r="AC289">
        <x:f>(S289*IF(E289="H",F289,0))+(S289*IF(G289="H",H289,0))</x:f>
      </x:c>
      <x:c r="AD289">
        <x:f>(S289*IF(E289="V",F289,0))+(S289*IF(G289="V",H289,0))</x:f>
      </x:c>
      <x:c r="AE289">
        <x:f>(S289*IF(E289="R",F289,0))+(S289*IF(G289="R",H289,0))</x:f>
      </x:c>
      <x:c r="AF289">
        <x:f>(S289*IF(E289="F",F289,0))+(S289*IF(G289="F",H289,0))</x:f>
      </x:c>
      <x:c r="AG289">
        <x:f>(S289*IF(E289="W",F289,0))+(S289*IF(G289="W",H289,0))</x:f>
      </x:c>
      <x:c r="AH289" t="inlineStr">
        <x:is>
          <x:t xml:space="preserve">4. Legal, Privacy &amp; Ethics</x:t>
        </x:is>
      </x:c>
      <x:c r="AI289" t="inlineStr">
        <x:is>
          <x:t xml:space="preserve">Privacy Engineering</x:t>
        </x:is>
      </x:c>
      <x:c r="AJ289" t="inlineStr">
        <x:is>
          <x:t xml:space="preserve">Data Minimization &amp; Purpose Limitation</x:t>
        </x:is>
      </x:c>
    </x:row>
    <x:row r="290">
      <x:c r="A290" t="inlineStr">
        <x:is>
          <x:t xml:space="preserve">HR</x:t>
        </x:is>
      </x:c>
      <x:c r="B290" t="inlineStr">
        <x:is>
          <x:t xml:space="preserve">HR-D4-Q16</x:t>
        </x:is>
      </x:c>
      <x:c r="C290" t="inlineStr">
        <x:is>
          <x:t xml:space="preserve">T3</x:t>
        </x:is>
      </x:c>
      <x:c r="D290" t="inlineStr">
        <x:is>
          <x:t xml:space="preserve">4. Joiner-Mover-Leaver</x:t>
        </x:is>
      </x:c>
      <x:c r="E290" t="inlineStr">
        <x:is>
          <x:t xml:space="preserve">L</x:t>
        </x:is>
      </x:c>
      <x:c r="F290" t="n">
        <x:v>0.6</x:v>
      </x:c>
      <x:c r="G290" t="inlineStr">
        <x:is>
          <x:t xml:space="preserve">H</x:t>
        </x:is>
      </x:c>
      <x:c r="H290" t="n">
        <x:v>0.4</x:v>
      </x:c>
      <x:c r="I290" t="inlineStr">
        <x:is>
          <x:t xml:space="preserve">How do you confirm departing staff understand ongoing obligations (confidentiality, data return) in clear, plain language?</x:t>
        </x:is>
      </x:c>
      <x:c r="J290" t="inlineStr">
        <x:is>
          <x:t xml:space="preserve">Not legalese: clarity + fairness + return verification.</x:t>
        </x:is>
      </x:c>
      <x:c r="L290" t="inlineStr">
        <x:is>
          <x:t xml:space="preserve">LEG_STRICT</x:t>
        </x:is>
      </x:c>
      <x:c r="M290" t="n">
        <x:v>1.5</x:v>
      </x:c>
      <x:c r="N290" t="n">
        <x:v>0.5</x:v>
      </x:c>
      <x:c r="P290" t="inlineStr">
        <x:is>
          <x:t xml:space="preserve">HR-D4-Q16-A3</x:t>
        </x:is>
      </x:c>
      <x:c r="Q290" t="n">
        <x:v>3</x:v>
      </x:c>
      <x:c r="R290" t="inlineStr">
        <x:is>
          <x:t xml:space="preserve">Exit reminder exists but not consistently documented.</x:t>
        </x:is>
      </x:c>
      <x:c r="S290" t="n">
        <x:v>2</x:v>
      </x:c>
      <x:c r="U290" t="inlineStr">
        <x:is>
          <x:t xml:space="preserve">Legal Exposure</x:t>
        </x:is>
      </x:c>
      <x:c r="V290" t="inlineStr">
        <x:is>
          <x:t xml:space="preserve">Standardize exit acknowledgment</x:t>
        </x:is>
      </x:c>
      <x:c r="W290" t="inlineStr">
        <x:is>
          <x:t xml:space="preserve">N</x:t>
        </x:is>
      </x:c>
      <x:c r="Y290">
        <x:f>(S290*IF(E290="G",F290,0))+(S290*IF(G290="G",H290,0))</x:f>
      </x:c>
      <x:c r="Z290">
        <x:f>(S290*IF(E290="E",F290,0))+(S290*IF(G290="E",H290,0))</x:f>
      </x:c>
      <x:c r="AA290">
        <x:f>(S290*IF(E290="T",F290,0))+(S290*IF(G290="T",H290,0))</x:f>
      </x:c>
      <x:c r="AB290">
        <x:f>(S290*IF(E290="L",F290,0))+(S290*IF(G290="L",H290,0))</x:f>
      </x:c>
      <x:c r="AC290">
        <x:f>(S290*IF(E290="H",F290,0))+(S290*IF(G290="H",H290,0))</x:f>
      </x:c>
      <x:c r="AD290">
        <x:f>(S290*IF(E290="V",F290,0))+(S290*IF(G290="V",H290,0))</x:f>
      </x:c>
      <x:c r="AE290">
        <x:f>(S290*IF(E290="R",F290,0))+(S290*IF(G290="R",H290,0))</x:f>
      </x:c>
      <x:c r="AF290">
        <x:f>(S290*IF(E290="F",F290,0))+(S290*IF(G290="F",H290,0))</x:f>
      </x:c>
      <x:c r="AG290">
        <x:f>(S290*IF(E290="W",F290,0))+(S290*IF(G290="W",H290,0))</x:f>
      </x:c>
      <x:c r="AH290" t="inlineStr">
        <x:is>
          <x:t xml:space="preserve">4. Legal, Privacy &amp; Ethics</x:t>
        </x:is>
      </x:c>
      <x:c r="AI290" t="inlineStr">
        <x:is>
          <x:t xml:space="preserve">Privacy Engineering</x:t>
        </x:is>
      </x:c>
      <x:c r="AJ290" t="inlineStr">
        <x:is>
          <x:t xml:space="preserve">Data Minimization &amp; Purpose Limitation</x:t>
        </x:is>
      </x:c>
    </x:row>
    <x:row r="291">
      <x:c r="A291" t="inlineStr">
        <x:is>
          <x:t xml:space="preserve">HR</x:t>
        </x:is>
      </x:c>
      <x:c r="B291" t="inlineStr">
        <x:is>
          <x:t xml:space="preserve">HR-D4-Q16</x:t>
        </x:is>
      </x:c>
      <x:c r="C291" t="inlineStr">
        <x:is>
          <x:t xml:space="preserve">T3</x:t>
        </x:is>
      </x:c>
      <x:c r="D291" t="inlineStr">
        <x:is>
          <x:t xml:space="preserve">4. Joiner-Mover-Leaver</x:t>
        </x:is>
      </x:c>
      <x:c r="E291" t="inlineStr">
        <x:is>
          <x:t xml:space="preserve">L</x:t>
        </x:is>
      </x:c>
      <x:c r="F291" t="n">
        <x:v>0.6</x:v>
      </x:c>
      <x:c r="G291" t="inlineStr">
        <x:is>
          <x:t xml:space="preserve">H</x:t>
        </x:is>
      </x:c>
      <x:c r="H291" t="n">
        <x:v>0.4</x:v>
      </x:c>
      <x:c r="I291" t="inlineStr">
        <x:is>
          <x:t xml:space="preserve">How do you confirm departing staff understand ongoing obligations (confidentiality, data return) in clear, plain language?</x:t>
        </x:is>
      </x:c>
      <x:c r="J291" t="inlineStr">
        <x:is>
          <x:t xml:space="preserve">Not legalese: clarity + fairness + return verification.</x:t>
        </x:is>
      </x:c>
      <x:c r="L291" t="inlineStr">
        <x:is>
          <x:t xml:space="preserve">LEG_STRICT</x:t>
        </x:is>
      </x:c>
      <x:c r="M291" t="n">
        <x:v>1.5</x:v>
      </x:c>
      <x:c r="N291" t="n">
        <x:v>0.5</x:v>
      </x:c>
      <x:c r="P291" t="inlineStr">
        <x:is>
          <x:t xml:space="preserve">HR-D4-Q16-A4</x:t>
        </x:is>
      </x:c>
      <x:c r="Q291" t="n">
        <x:v>4</x:v>
      </x:c>
      <x:c r="R291" t="inlineStr">
        <x:is>
          <x:t xml:space="preserve">Exit checklist with acknowledgement and asset/data return steps.</x:t>
        </x:is>
      </x:c>
      <x:c r="S291" t="n">
        <x:v>3</x:v>
      </x:c>
      <x:c r="U291" t="inlineStr">
        <x:is>
          <x:t xml:space="preserve">Legal Exposure</x:t>
        </x:is>
      </x:c>
      <x:c r="V291" t="inlineStr">
        <x:is>
          <x:t xml:space="preserve">Maintain adherence</x:t>
        </x:is>
      </x:c>
      <x:c r="W291" t="inlineStr">
        <x:is>
          <x:t xml:space="preserve">N</x:t>
        </x:is>
      </x:c>
      <x:c r="X291" t="inlineStr">
        <x:is>
          <x:t xml:space="preserve">Evidence: checklist template.</x:t>
        </x:is>
      </x:c>
      <x:c r="Y291">
        <x:f>(S291*IF(E291="G",F291,0))+(S291*IF(G291="G",H291,0))</x:f>
      </x:c>
      <x:c r="Z291">
        <x:f>(S291*IF(E291="E",F291,0))+(S291*IF(G291="E",H291,0))</x:f>
      </x:c>
      <x:c r="AA291">
        <x:f>(S291*IF(E291="T",F291,0))+(S291*IF(G291="T",H291,0))</x:f>
      </x:c>
      <x:c r="AB291">
        <x:f>(S291*IF(E291="L",F291,0))+(S291*IF(G291="L",H291,0))</x:f>
      </x:c>
      <x:c r="AC291">
        <x:f>(S291*IF(E291="H",F291,0))+(S291*IF(G291="H",H291,0))</x:f>
      </x:c>
      <x:c r="AD291">
        <x:f>(S291*IF(E291="V",F291,0))+(S291*IF(G291="V",H291,0))</x:f>
      </x:c>
      <x:c r="AE291">
        <x:f>(S291*IF(E291="R",F291,0))+(S291*IF(G291="R",H291,0))</x:f>
      </x:c>
      <x:c r="AF291">
        <x:f>(S291*IF(E291="F",F291,0))+(S291*IF(G291="F",H291,0))</x:f>
      </x:c>
      <x:c r="AG291">
        <x:f>(S291*IF(E291="W",F291,0))+(S291*IF(G291="W",H291,0))</x:f>
      </x:c>
      <x:c r="AH291" t="inlineStr">
        <x:is>
          <x:t xml:space="preserve">4. Legal, Privacy &amp; Ethics</x:t>
        </x:is>
      </x:c>
      <x:c r="AI291" t="inlineStr">
        <x:is>
          <x:t xml:space="preserve">Privacy Engineering</x:t>
        </x:is>
      </x:c>
      <x:c r="AJ291" t="inlineStr">
        <x:is>
          <x:t xml:space="preserve">Data Minimization &amp; Purpose Limitation</x:t>
        </x:is>
      </x:c>
    </x:row>
    <x:row r="292">
      <x:c r="A292" t="inlineStr">
        <x:is>
          <x:t xml:space="preserve">HR</x:t>
        </x:is>
      </x:c>
      <x:c r="B292" t="inlineStr">
        <x:is>
          <x:t xml:space="preserve">HR-D4-Q16</x:t>
        </x:is>
      </x:c>
      <x:c r="C292" t="inlineStr">
        <x:is>
          <x:t xml:space="preserve">T3</x:t>
        </x:is>
      </x:c>
      <x:c r="D292" t="inlineStr">
        <x:is>
          <x:t xml:space="preserve">4. Joiner-Mover-Leaver</x:t>
        </x:is>
      </x:c>
      <x:c r="E292" t="inlineStr">
        <x:is>
          <x:t xml:space="preserve">L</x:t>
        </x:is>
      </x:c>
      <x:c r="F292" t="n">
        <x:v>0.6</x:v>
      </x:c>
      <x:c r="G292" t="inlineStr">
        <x:is>
          <x:t xml:space="preserve">H</x:t>
        </x:is>
      </x:c>
      <x:c r="H292" t="n">
        <x:v>0.4</x:v>
      </x:c>
      <x:c r="I292" t="inlineStr">
        <x:is>
          <x:t xml:space="preserve">How do you confirm departing staff understand ongoing obligations (confidentiality, data return) in clear, plain language?</x:t>
        </x:is>
      </x:c>
      <x:c r="J292" t="inlineStr">
        <x:is>
          <x:t xml:space="preserve">Not legalese: clarity + fairness + return verification.</x:t>
        </x:is>
      </x:c>
      <x:c r="L292" t="inlineStr">
        <x:is>
          <x:t xml:space="preserve">LEG_STRICT</x:t>
        </x:is>
      </x:c>
      <x:c r="M292" t="n">
        <x:v>1.5</x:v>
      </x:c>
      <x:c r="N292" t="n">
        <x:v>0.5</x:v>
      </x:c>
      <x:c r="P292" t="inlineStr">
        <x:is>
          <x:t xml:space="preserve">HR-D4-Q16-A5</x:t>
        </x:is>
      </x:c>
      <x:c r="Q292" t="n">
        <x:v>5</x:v>
      </x:c>
      <x:c r="R292" t="inlineStr">
        <x:is>
          <x:t xml:space="preserve">Optimized: tailored reminders for high-risk roles + verified return/handover.</x:t>
        </x:is>
      </x:c>
      <x:c r="S292" t="n">
        <x:v>4</x:v>
      </x:c>
      <x:c r="U292" t="inlineStr">
        <x:is>
          <x:t xml:space="preserve">Legal Exposure</x:t>
        </x:is>
      </x:c>
      <x:c r="V292" t="inlineStr">
        <x:is>
          <x:t xml:space="preserve">Maintain maturity</x:t>
        </x:is>
      </x:c>
      <x:c r="W292" t="inlineStr">
        <x:is>
          <x:t xml:space="preserve">N</x:t>
        </x:is>
      </x:c>
      <x:c r="X292" t="inlineStr">
        <x:is>
          <x:t xml:space="preserve">Evidence: role-based checklist.</x:t>
        </x:is>
      </x:c>
      <x:c r="Y292">
        <x:f>(S292*IF(E292="G",F292,0))+(S292*IF(G292="G",H292,0))</x:f>
      </x:c>
      <x:c r="Z292">
        <x:f>(S292*IF(E292="E",F292,0))+(S292*IF(G292="E",H292,0))</x:f>
      </x:c>
      <x:c r="AA292">
        <x:f>(S292*IF(E292="T",F292,0))+(S292*IF(G292="T",H292,0))</x:f>
      </x:c>
      <x:c r="AB292">
        <x:f>(S292*IF(E292="L",F292,0))+(S292*IF(G292="L",H292,0))</x:f>
      </x:c>
      <x:c r="AC292">
        <x:f>(S292*IF(E292="H",F292,0))+(S292*IF(G292="H",H292,0))</x:f>
      </x:c>
      <x:c r="AD292">
        <x:f>(S292*IF(E292="V",F292,0))+(S292*IF(G292="V",H292,0))</x:f>
      </x:c>
      <x:c r="AE292">
        <x:f>(S292*IF(E292="R",F292,0))+(S292*IF(G292="R",H292,0))</x:f>
      </x:c>
      <x:c r="AF292">
        <x:f>(S292*IF(E292="F",F292,0))+(S292*IF(G292="F",H292,0))</x:f>
      </x:c>
      <x:c r="AG292">
        <x:f>(S292*IF(E292="W",F292,0))+(S292*IF(G292="W",H292,0))</x:f>
      </x:c>
      <x:c r="AH292" t="inlineStr">
        <x:is>
          <x:t xml:space="preserve">4. Legal, Privacy &amp; Ethics</x:t>
        </x:is>
      </x:c>
      <x:c r="AI292" t="inlineStr">
        <x:is>
          <x:t xml:space="preserve">Privacy Engineering</x:t>
        </x:is>
      </x:c>
      <x:c r="AJ292" t="inlineStr">
        <x:is>
          <x:t xml:space="preserve">Data Minimization &amp; Purpose Limitation</x:t>
        </x:is>
      </x:c>
    </x:row>
    <x:row r="293">
      <x:c r="A293" t="inlineStr">
        <x:is>
          <x:t xml:space="preserve">HR</x:t>
        </x:is>
      </x:c>
      <x:c r="B293" t="inlineStr">
        <x:is>
          <x:t xml:space="preserve">HR-D5-Q17</x:t>
        </x:is>
      </x:c>
      <x:c r="C293" t="inlineStr">
        <x:is>
          <x:t xml:space="preserve">T1</x:t>
        </x:is>
      </x:c>
      <x:c r="D293" t="inlineStr">
        <x:is>
          <x:t xml:space="preserve">5. Friction &amp; Workarounds</x:t>
        </x:is>
      </x:c>
      <x:c r="E293" t="inlineStr">
        <x:is>
          <x:t xml:space="preserve">F</x:t>
        </x:is>
      </x:c>
      <x:c r="F293" t="n">
        <x:v>1</x:v>
      </x:c>
      <x:c r="G293" t="inlineStr">
        <x:is>
          <x:t xml:space="preserve">-</x:t>
        </x:is>
      </x:c>
      <x:c r="I293" t="inlineStr">
        <x:is>
          <x:t xml:space="preserve">Do security controls create productivity issues that lead to workarounds, and is there a way to fix root causes quickly?</x:t>
        </x:is>
      </x:c>
      <x:c r="J293" t="inlineStr">
        <x:is>
          <x:t xml:space="preserve">Friction management = listen, prioritise fixes, reduce bypass pressure.</x:t>
        </x:is>
      </x:c>
      <x:c r="L293" t="inlineStr">
        <x:is>
          <x:t xml:space="preserve">OPS_STD</x:t>
        </x:is>
      </x:c>
      <x:c r="M293" t="n">
        <x:v>1</x:v>
      </x:c>
      <x:c r="P293" t="inlineStr">
        <x:is>
          <x:t xml:space="preserve">HR-D5-Q17-A0</x:t>
        </x:is>
      </x:c>
      <x:c r="Q293" t="n">
        <x:v>1</x:v>
      </x:c>
      <x:c r="R293" t="inlineStr">
        <x:is>
          <x:t xml:space="preserve">I don't know / Not sure.</x:t>
        </x:is>
      </x:c>
      <x:c r="S293" t="n">
        <x:v>0</x:v>
      </x:c>
      <x:c r="T293" t="inlineStr">
        <x:is>
          <x:t xml:space="preserve">low-confidence</x:t>
        </x:is>
      </x:c>
      <x:c r="U293" t="inlineStr">
        <x:is>
          <x:t xml:space="preserve">Bypass Pressure</x:t>
        </x:is>
      </x:c>
      <x:c r="V293" t="inlineStr">
        <x:is>
          <x:t xml:space="preserve">Clarify bypass signals</x:t>
        </x:is>
      </x:c>
      <x:c r="W293" t="inlineStr">
        <x:is>
          <x:t xml:space="preserve">N</x:t>
        </x:is>
      </x:c>
      <x:c r="Y293">
        <x:f>(S293*IF(E293="G",F293,0))+(S293*IF(G293="G",H293,0))</x:f>
      </x:c>
      <x:c r="Z293">
        <x:f>(S293*IF(E293="E",F293,0))+(S293*IF(G293="E",H293,0))</x:f>
      </x:c>
      <x:c r="AA293">
        <x:f>(S293*IF(E293="T",F293,0))+(S293*IF(G293="T",H293,0))</x:f>
      </x:c>
      <x:c r="AB293">
        <x:f>(S293*IF(E293="L",F293,0))+(S293*IF(G293="L",H293,0))</x:f>
      </x:c>
      <x:c r="AC293">
        <x:f>(S293*IF(E293="H",F293,0))+(S293*IF(G293="H",H293,0))</x:f>
      </x:c>
      <x:c r="AD293">
        <x:f>(S293*IF(E293="V",F293,0))+(S293*IF(G293="V",H293,0))</x:f>
      </x:c>
      <x:c r="AE293">
        <x:f>(S293*IF(E293="R",F293,0))+(S293*IF(G293="R",H293,0))</x:f>
      </x:c>
      <x:c r="AF293">
        <x:f>(S293*IF(E293="F",F293,0))+(S293*IF(G293="F",H293,0))</x:f>
      </x:c>
      <x:c r="AG293">
        <x:f>(S293*IF(E293="W",F293,0))+(S293*IF(G293="W",H293,0))</x:f>
      </x:c>
      <x:c r="AH293" t="inlineStr">
        <x:is>
          <x:t xml:space="preserve">8. Investigation &amp; Response</x:t>
        </x:is>
      </x:c>
      <x:c r="AI293" t="inlineStr">
        <x:is>
          <x:t xml:space="preserve">Incident Action</x:t>
        </x:is>
      </x:c>
      <x:c r="AJ293" t="inlineStr">
        <x:is>
          <x:t xml:space="preserve">Crisis management &amp; communications</x:t>
        </x:is>
      </x:c>
    </x:row>
    <x:row r="294">
      <x:c r="A294" t="inlineStr">
        <x:is>
          <x:t xml:space="preserve">HR</x:t>
        </x:is>
      </x:c>
      <x:c r="B294" t="inlineStr">
        <x:is>
          <x:t xml:space="preserve">HR-D5-Q17</x:t>
        </x:is>
      </x:c>
      <x:c r="C294" t="inlineStr">
        <x:is>
          <x:t xml:space="preserve">T1</x:t>
        </x:is>
      </x:c>
      <x:c r="D294" t="inlineStr">
        <x:is>
          <x:t xml:space="preserve">5. Friction &amp; Workarounds</x:t>
        </x:is>
      </x:c>
      <x:c r="E294" t="inlineStr">
        <x:is>
          <x:t xml:space="preserve">F</x:t>
        </x:is>
      </x:c>
      <x:c r="F294" t="n">
        <x:v>1</x:v>
      </x:c>
      <x:c r="G294" t="inlineStr">
        <x:is>
          <x:t xml:space="preserve">-</x:t>
        </x:is>
      </x:c>
      <x:c r="I294" t="inlineStr">
        <x:is>
          <x:t xml:space="preserve">Do security controls create productivity issues that lead to workarounds, and is there a way to fix root causes quickly?</x:t>
        </x:is>
      </x:c>
      <x:c r="J294" t="inlineStr">
        <x:is>
          <x:t xml:space="preserve">Friction management = listen, prioritise fixes, reduce bypass pressure.</x:t>
        </x:is>
      </x:c>
      <x:c r="L294" t="inlineStr">
        <x:is>
          <x:t xml:space="preserve">OPS_STD</x:t>
        </x:is>
      </x:c>
      <x:c r="M294" t="n">
        <x:v>1</x:v>
      </x:c>
      <x:c r="P294" t="inlineStr">
        <x:is>
          <x:t xml:space="preserve">HR-D5-Q17-A1</x:t>
        </x:is>
      </x:c>
      <x:c r="Q294" t="n">
        <x:v>2</x:v>
      </x:c>
      <x:c r="R294" t="inlineStr">
        <x:is>
          <x:t xml:space="preserve">No process: workarounds happen and are 'normal'.</x:t>
        </x:is>
      </x:c>
      <x:c r="S294" t="n">
        <x:v>0</x:v>
      </x:c>
      <x:c r="T294" t="inlineStr">
        <x:is>
          <x:t xml:space="preserve">bypass_pressure</x:t>
        </x:is>
      </x:c>
      <x:c r="U294" t="inlineStr">
        <x:is>
          <x:t xml:space="preserve">Bypass Pressure</x:t>
        </x:is>
      </x:c>
      <x:c r="V294" t="inlineStr">
        <x:is>
          <x:t xml:space="preserve">Implement friction intake</x:t>
        </x:is>
      </x:c>
      <x:c r="W294" t="inlineStr">
        <x:is>
          <x:t xml:space="preserve">N</x:t>
        </x:is>
      </x:c>
      <x:c r="Y294">
        <x:f>(S294*IF(E294="G",F294,0))+(S294*IF(G294="G",H294,0))</x:f>
      </x:c>
      <x:c r="Z294">
        <x:f>(S294*IF(E294="E",F294,0))+(S294*IF(G294="E",H294,0))</x:f>
      </x:c>
      <x:c r="AA294">
        <x:f>(S294*IF(E294="T",F294,0))+(S294*IF(G294="T",H294,0))</x:f>
      </x:c>
      <x:c r="AB294">
        <x:f>(S294*IF(E294="L",F294,0))+(S294*IF(G294="L",H294,0))</x:f>
      </x:c>
      <x:c r="AC294">
        <x:f>(S294*IF(E294="H",F294,0))+(S294*IF(G294="H",H294,0))</x:f>
      </x:c>
      <x:c r="AD294">
        <x:f>(S294*IF(E294="V",F294,0))+(S294*IF(G294="V",H294,0))</x:f>
      </x:c>
      <x:c r="AE294">
        <x:f>(S294*IF(E294="R",F294,0))+(S294*IF(G294="R",H294,0))</x:f>
      </x:c>
      <x:c r="AF294">
        <x:f>(S294*IF(E294="F",F294,0))+(S294*IF(G294="F",H294,0))</x:f>
      </x:c>
      <x:c r="AG294">
        <x:f>(S294*IF(E294="W",F294,0))+(S294*IF(G294="W",H294,0))</x:f>
      </x:c>
      <x:c r="AH294" t="inlineStr">
        <x:is>
          <x:t xml:space="preserve">8. Investigation &amp; Response</x:t>
        </x:is>
      </x:c>
      <x:c r="AI294" t="inlineStr">
        <x:is>
          <x:t xml:space="preserve">Incident Action</x:t>
        </x:is>
      </x:c>
      <x:c r="AJ294" t="inlineStr">
        <x:is>
          <x:t xml:space="preserve">Crisis management &amp; communications</x:t>
        </x:is>
      </x:c>
    </x:row>
    <x:row r="295">
      <x:c r="A295" t="inlineStr">
        <x:is>
          <x:t xml:space="preserve">HR</x:t>
        </x:is>
      </x:c>
      <x:c r="B295" t="inlineStr">
        <x:is>
          <x:t xml:space="preserve">HR-D5-Q17</x:t>
        </x:is>
      </x:c>
      <x:c r="C295" t="inlineStr">
        <x:is>
          <x:t xml:space="preserve">T1</x:t>
        </x:is>
      </x:c>
      <x:c r="D295" t="inlineStr">
        <x:is>
          <x:t xml:space="preserve">5. Friction &amp; Workarounds</x:t>
        </x:is>
      </x:c>
      <x:c r="E295" t="inlineStr">
        <x:is>
          <x:t xml:space="preserve">F</x:t>
        </x:is>
      </x:c>
      <x:c r="F295" t="n">
        <x:v>1</x:v>
      </x:c>
      <x:c r="G295" t="inlineStr">
        <x:is>
          <x:t xml:space="preserve">-</x:t>
        </x:is>
      </x:c>
      <x:c r="I295" t="inlineStr">
        <x:is>
          <x:t xml:space="preserve">Do security controls create productivity issues that lead to workarounds, and is there a way to fix root causes quickly?</x:t>
        </x:is>
      </x:c>
      <x:c r="J295" t="inlineStr">
        <x:is>
          <x:t xml:space="preserve">Friction management = listen, prioritise fixes, reduce bypass pressure.</x:t>
        </x:is>
      </x:c>
      <x:c r="L295" t="inlineStr">
        <x:is>
          <x:t xml:space="preserve">OPS_STD</x:t>
        </x:is>
      </x:c>
      <x:c r="M295" t="n">
        <x:v>1</x:v>
      </x:c>
      <x:c r="P295" t="inlineStr">
        <x:is>
          <x:t xml:space="preserve">HR-D5-Q17-A2</x:t>
        </x:is>
      </x:c>
      <x:c r="Q295" t="n">
        <x:v>3</x:v>
      </x:c>
      <x:c r="R295" t="inlineStr">
        <x:is>
          <x:t xml:space="preserve">Ad-hoc: complaints handled case-by-case; root causes rarely fixed.</x:t>
        </x:is>
      </x:c>
      <x:c r="S295" t="n">
        <x:v>1</x:v>
      </x:c>
      <x:c r="T295" t="inlineStr">
        <x:is>
          <x:t xml:space="preserve">shadow_mature_signal</x:t>
        </x:is>
      </x:c>
      <x:c r="U295" t="inlineStr">
        <x:is>
          <x:t xml:space="preserve">Bypass Pressure</x:t>
        </x:is>
      </x:c>
      <x:c r="V295" t="inlineStr">
        <x:is>
          <x:t xml:space="preserve">Create backlog and owners</x:t>
        </x:is>
      </x:c>
      <x:c r="W295" t="inlineStr">
        <x:is>
          <x:t xml:space="preserve">N</x:t>
        </x:is>
      </x:c>
      <x:c r="Y295">
        <x:f>(S295*IF(E295="G",F295,0))+(S295*IF(G295="G",H295,0))</x:f>
      </x:c>
      <x:c r="Z295">
        <x:f>(S295*IF(E295="E",F295,0))+(S295*IF(G295="E",H295,0))</x:f>
      </x:c>
      <x:c r="AA295">
        <x:f>(S295*IF(E295="T",F295,0))+(S295*IF(G295="T",H295,0))</x:f>
      </x:c>
      <x:c r="AB295">
        <x:f>(S295*IF(E295="L",F295,0))+(S295*IF(G295="L",H295,0))</x:f>
      </x:c>
      <x:c r="AC295">
        <x:f>(S295*IF(E295="H",F295,0))+(S295*IF(G295="H",H295,0))</x:f>
      </x:c>
      <x:c r="AD295">
        <x:f>(S295*IF(E295="V",F295,0))+(S295*IF(G295="V",H295,0))</x:f>
      </x:c>
      <x:c r="AE295">
        <x:f>(S295*IF(E295="R",F295,0))+(S295*IF(G295="R",H295,0))</x:f>
      </x:c>
      <x:c r="AF295">
        <x:f>(S295*IF(E295="F",F295,0))+(S295*IF(G295="F",H295,0))</x:f>
      </x:c>
      <x:c r="AG295">
        <x:f>(S295*IF(E295="W",F295,0))+(S295*IF(G295="W",H295,0))</x:f>
      </x:c>
      <x:c r="AH295" t="inlineStr">
        <x:is>
          <x:t xml:space="preserve">8. Investigation &amp; Response</x:t>
        </x:is>
      </x:c>
      <x:c r="AI295" t="inlineStr">
        <x:is>
          <x:t xml:space="preserve">Incident Action</x:t>
        </x:is>
      </x:c>
      <x:c r="AJ295" t="inlineStr">
        <x:is>
          <x:t xml:space="preserve">Crisis management &amp; communications</x:t>
        </x:is>
      </x:c>
    </x:row>
    <x:row r="296">
      <x:c r="A296" t="inlineStr">
        <x:is>
          <x:t xml:space="preserve">HR</x:t>
        </x:is>
      </x:c>
      <x:c r="B296" t="inlineStr">
        <x:is>
          <x:t xml:space="preserve">HR-D5-Q17</x:t>
        </x:is>
      </x:c>
      <x:c r="C296" t="inlineStr">
        <x:is>
          <x:t xml:space="preserve">T1</x:t>
        </x:is>
      </x:c>
      <x:c r="D296" t="inlineStr">
        <x:is>
          <x:t xml:space="preserve">5. Friction &amp; Workarounds</x:t>
        </x:is>
      </x:c>
      <x:c r="E296" t="inlineStr">
        <x:is>
          <x:t xml:space="preserve">F</x:t>
        </x:is>
      </x:c>
      <x:c r="F296" t="n">
        <x:v>1</x:v>
      </x:c>
      <x:c r="G296" t="inlineStr">
        <x:is>
          <x:t xml:space="preserve">-</x:t>
        </x:is>
      </x:c>
      <x:c r="I296" t="inlineStr">
        <x:is>
          <x:t xml:space="preserve">Do security controls create productivity issues that lead to workarounds, and is there a way to fix root causes quickly?</x:t>
        </x:is>
      </x:c>
      <x:c r="J296" t="inlineStr">
        <x:is>
          <x:t xml:space="preserve">Friction management = listen, prioritise fixes, reduce bypass pressure.</x:t>
        </x:is>
      </x:c>
      <x:c r="L296" t="inlineStr">
        <x:is>
          <x:t xml:space="preserve">OPS_STD</x:t>
        </x:is>
      </x:c>
      <x:c r="M296" t="n">
        <x:v>1</x:v>
      </x:c>
      <x:c r="P296" t="inlineStr">
        <x:is>
          <x:t xml:space="preserve">HR-D5-Q17-A3</x:t>
        </x:is>
      </x:c>
      <x:c r="Q296" t="n">
        <x:v>4</x:v>
      </x:c>
      <x:c r="R296" t="inlineStr">
        <x:is>
          <x:t xml:space="preserve">Defined: a channel exists; some fixes prioritised.</x:t>
        </x:is>
      </x:c>
      <x:c r="S296" t="n">
        <x:v>2</x:v>
      </x:c>
      <x:c r="U296" t="inlineStr">
        <x:is>
          <x:t xml:space="preserve">Bypass Pressure</x:t>
        </x:is>
      </x:c>
      <x:c r="V296" t="inlineStr">
        <x:is>
          <x:t xml:space="preserve">Strengthen prioritisation</x:t>
        </x:is>
      </x:c>
      <x:c r="W296" t="inlineStr">
        <x:is>
          <x:t xml:space="preserve">N</x:t>
        </x:is>
      </x:c>
      <x:c r="X296" t="inlineStr">
        <x:is>
          <x:t xml:space="preserve">Evidence: tickets/backlog.</x:t>
        </x:is>
      </x:c>
      <x:c r="Y296">
        <x:f>(S296*IF(E296="G",F296,0))+(S296*IF(G296="G",H296,0))</x:f>
      </x:c>
      <x:c r="Z296">
        <x:f>(S296*IF(E296="E",F296,0))+(S296*IF(G296="E",H296,0))</x:f>
      </x:c>
      <x:c r="AA296">
        <x:f>(S296*IF(E296="T",F296,0))+(S296*IF(G296="T",H296,0))</x:f>
      </x:c>
      <x:c r="AB296">
        <x:f>(S296*IF(E296="L",F296,0))+(S296*IF(G296="L",H296,0))</x:f>
      </x:c>
      <x:c r="AC296">
        <x:f>(S296*IF(E296="H",F296,0))+(S296*IF(G296="H",H296,0))</x:f>
      </x:c>
      <x:c r="AD296">
        <x:f>(S296*IF(E296="V",F296,0))+(S296*IF(G296="V",H296,0))</x:f>
      </x:c>
      <x:c r="AE296">
        <x:f>(S296*IF(E296="R",F296,0))+(S296*IF(G296="R",H296,0))</x:f>
      </x:c>
      <x:c r="AF296">
        <x:f>(S296*IF(E296="F",F296,0))+(S296*IF(G296="F",H296,0))</x:f>
      </x:c>
      <x:c r="AG296">
        <x:f>(S296*IF(E296="W",F296,0))+(S296*IF(G296="W",H296,0))</x:f>
      </x:c>
      <x:c r="AH296" t="inlineStr">
        <x:is>
          <x:t xml:space="preserve">8. Investigation &amp; Response</x:t>
        </x:is>
      </x:c>
      <x:c r="AI296" t="inlineStr">
        <x:is>
          <x:t xml:space="preserve">Incident Action</x:t>
        </x:is>
      </x:c>
      <x:c r="AJ296" t="inlineStr">
        <x:is>
          <x:t xml:space="preserve">Crisis management &amp; communications</x:t>
        </x:is>
      </x:c>
    </x:row>
    <x:row r="297">
      <x:c r="A297" t="inlineStr">
        <x:is>
          <x:t xml:space="preserve">HR</x:t>
        </x:is>
      </x:c>
      <x:c r="B297" t="inlineStr">
        <x:is>
          <x:t xml:space="preserve">HR-D5-Q17</x:t>
        </x:is>
      </x:c>
      <x:c r="C297" t="inlineStr">
        <x:is>
          <x:t xml:space="preserve">T1</x:t>
        </x:is>
      </x:c>
      <x:c r="D297" t="inlineStr">
        <x:is>
          <x:t xml:space="preserve">5. Friction &amp; Workarounds</x:t>
        </x:is>
      </x:c>
      <x:c r="E297" t="inlineStr">
        <x:is>
          <x:t xml:space="preserve">F</x:t>
        </x:is>
      </x:c>
      <x:c r="F297" t="n">
        <x:v>1</x:v>
      </x:c>
      <x:c r="G297" t="inlineStr">
        <x:is>
          <x:t xml:space="preserve">-</x:t>
        </x:is>
      </x:c>
      <x:c r="I297" t="inlineStr">
        <x:is>
          <x:t xml:space="preserve">Do security controls create productivity issues that lead to workarounds, and is there a way to fix root causes quickly?</x:t>
        </x:is>
      </x:c>
      <x:c r="J297" t="inlineStr">
        <x:is>
          <x:t xml:space="preserve">Friction management = listen, prioritise fixes, reduce bypass pressure.</x:t>
        </x:is>
      </x:c>
      <x:c r="L297" t="inlineStr">
        <x:is>
          <x:t xml:space="preserve">OPS_STD</x:t>
        </x:is>
      </x:c>
      <x:c r="M297" t="n">
        <x:v>1</x:v>
      </x:c>
      <x:c r="P297" t="inlineStr">
        <x:is>
          <x:t xml:space="preserve">HR-D5-Q17-A4</x:t>
        </x:is>
      </x:c>
      <x:c r="Q297" t="n">
        <x:v>5</x:v>
      </x:c>
      <x:c r="R297" t="inlineStr">
        <x:is>
          <x:t xml:space="preserve">Managed: friction metrics tracked; fixes reduce repeated workarounds.</x:t>
        </x:is>
      </x:c>
      <x:c r="S297" t="n">
        <x:v>3</x:v>
      </x:c>
      <x:c r="U297" t="inlineStr">
        <x:is>
          <x:t xml:space="preserve">Bypass Pressure</x:t>
        </x:is>
      </x:c>
      <x:c r="V297" t="inlineStr">
        <x:is>
          <x:t xml:space="preserve">Maintain metrics</x:t>
        </x:is>
      </x:c>
      <x:c r="W297" t="inlineStr">
        <x:is>
          <x:t xml:space="preserve">N</x:t>
        </x:is>
      </x:c>
      <x:c r="X297" t="inlineStr">
        <x:is>
          <x:t xml:space="preserve">Evidence: before/after examples.</x:t>
        </x:is>
      </x:c>
      <x:c r="Y297">
        <x:f>(S297*IF(E297="G",F297,0))+(S297*IF(G297="G",H297,0))</x:f>
      </x:c>
      <x:c r="Z297">
        <x:f>(S297*IF(E297="E",F297,0))+(S297*IF(G297="E",H297,0))</x:f>
      </x:c>
      <x:c r="AA297">
        <x:f>(S297*IF(E297="T",F297,0))+(S297*IF(G297="T",H297,0))</x:f>
      </x:c>
      <x:c r="AB297">
        <x:f>(S297*IF(E297="L",F297,0))+(S297*IF(G297="L",H297,0))</x:f>
      </x:c>
      <x:c r="AC297">
        <x:f>(S297*IF(E297="H",F297,0))+(S297*IF(G297="H",H297,0))</x:f>
      </x:c>
      <x:c r="AD297">
        <x:f>(S297*IF(E297="V",F297,0))+(S297*IF(G297="V",H297,0))</x:f>
      </x:c>
      <x:c r="AE297">
        <x:f>(S297*IF(E297="R",F297,0))+(S297*IF(G297="R",H297,0))</x:f>
      </x:c>
      <x:c r="AF297">
        <x:f>(S297*IF(E297="F",F297,0))+(S297*IF(G297="F",H297,0))</x:f>
      </x:c>
      <x:c r="AG297">
        <x:f>(S297*IF(E297="W",F297,0))+(S297*IF(G297="W",H297,0))</x:f>
      </x:c>
      <x:c r="AH297" t="inlineStr">
        <x:is>
          <x:t xml:space="preserve">8. Investigation &amp; Response</x:t>
        </x:is>
      </x:c>
      <x:c r="AI297" t="inlineStr">
        <x:is>
          <x:t xml:space="preserve">Incident Action</x:t>
        </x:is>
      </x:c>
      <x:c r="AJ297" t="inlineStr">
        <x:is>
          <x:t xml:space="preserve">Crisis management &amp; communications</x:t>
        </x:is>
      </x:c>
    </x:row>
    <x:row r="298">
      <x:c r="A298" t="inlineStr">
        <x:is>
          <x:t xml:space="preserve">HR</x:t>
        </x:is>
      </x:c>
      <x:c r="B298" t="inlineStr">
        <x:is>
          <x:t xml:space="preserve">HR-D5-Q17</x:t>
        </x:is>
      </x:c>
      <x:c r="C298" t="inlineStr">
        <x:is>
          <x:t xml:space="preserve">T1</x:t>
        </x:is>
      </x:c>
      <x:c r="D298" t="inlineStr">
        <x:is>
          <x:t xml:space="preserve">5. Friction &amp; Workarounds</x:t>
        </x:is>
      </x:c>
      <x:c r="E298" t="inlineStr">
        <x:is>
          <x:t xml:space="preserve">F</x:t>
        </x:is>
      </x:c>
      <x:c r="F298" t="n">
        <x:v>1</x:v>
      </x:c>
      <x:c r="G298" t="inlineStr">
        <x:is>
          <x:t xml:space="preserve">-</x:t>
        </x:is>
      </x:c>
      <x:c r="I298" t="inlineStr">
        <x:is>
          <x:t xml:space="preserve">Do security controls create productivity issues that lead to workarounds, and is there a way to fix root causes quickly?</x:t>
        </x:is>
      </x:c>
      <x:c r="J298" t="inlineStr">
        <x:is>
          <x:t xml:space="preserve">Friction management = listen, prioritise fixes, reduce bypass pressure.</x:t>
        </x:is>
      </x:c>
      <x:c r="L298" t="inlineStr">
        <x:is>
          <x:t xml:space="preserve">OPS_STD</x:t>
        </x:is>
      </x:c>
      <x:c r="M298" t="n">
        <x:v>1</x:v>
      </x:c>
      <x:c r="P298" t="inlineStr">
        <x:is>
          <x:t xml:space="preserve">HR-D5-Q17-A5</x:t>
        </x:is>
      </x:c>
      <x:c r="Q298" t="n">
        <x:v>6</x:v>
      </x:c>
      <x:c r="R298" t="inlineStr">
        <x:is>
          <x:t xml:space="preserve">Optimized: low bypass pressure; usability designed in; exceptions rare/time-bound.</x:t>
        </x:is>
      </x:c>
      <x:c r="S298" t="n">
        <x:v>4</x:v>
      </x:c>
      <x:c r="U298" t="inlineStr">
        <x:is>
          <x:t xml:space="preserve">Bypass Pressure</x:t>
        </x:is>
      </x:c>
      <x:c r="V298" t="inlineStr">
        <x:is>
          <x:t xml:space="preserve">Maintain maturity</x:t>
        </x:is>
      </x:c>
      <x:c r="W298" t="inlineStr">
        <x:is>
          <x:t xml:space="preserve">N</x:t>
        </x:is>
      </x:c>
      <x:c r="X298" t="inlineStr">
        <x:is>
          <x:t xml:space="preserve">Evidence: exception rates.</x:t>
        </x:is>
      </x:c>
      <x:c r="Y298">
        <x:f>(S298*IF(E298="G",F298,0))+(S298*IF(G298="G",H298,0))</x:f>
      </x:c>
      <x:c r="Z298">
        <x:f>(S298*IF(E298="E",F298,0))+(S298*IF(G298="E",H298,0))</x:f>
      </x:c>
      <x:c r="AA298">
        <x:f>(S298*IF(E298="T",F298,0))+(S298*IF(G298="T",H298,0))</x:f>
      </x:c>
      <x:c r="AB298">
        <x:f>(S298*IF(E298="L",F298,0))+(S298*IF(G298="L",H298,0))</x:f>
      </x:c>
      <x:c r="AC298">
        <x:f>(S298*IF(E298="H",F298,0))+(S298*IF(G298="H",H298,0))</x:f>
      </x:c>
      <x:c r="AD298">
        <x:f>(S298*IF(E298="V",F298,0))+(S298*IF(G298="V",H298,0))</x:f>
      </x:c>
      <x:c r="AE298">
        <x:f>(S298*IF(E298="R",F298,0))+(S298*IF(G298="R",H298,0))</x:f>
      </x:c>
      <x:c r="AF298">
        <x:f>(S298*IF(E298="F",F298,0))+(S298*IF(G298="F",H298,0))</x:f>
      </x:c>
      <x:c r="AG298">
        <x:f>(S298*IF(E298="W",F298,0))+(S298*IF(G298="W",H298,0))</x:f>
      </x:c>
      <x:c r="AH298" t="inlineStr">
        <x:is>
          <x:t xml:space="preserve">8. Investigation &amp; Response</x:t>
        </x:is>
      </x:c>
      <x:c r="AI298" t="inlineStr">
        <x:is>
          <x:t xml:space="preserve">Incident Action</x:t>
        </x:is>
      </x:c>
      <x:c r="AJ298" t="inlineStr">
        <x:is>
          <x:t xml:space="preserve">Crisis management &amp; communications</x:t>
        </x:is>
      </x:c>
    </x:row>
    <x:row r="299">
      <x:c r="A299" t="inlineStr">
        <x:is>
          <x:t xml:space="preserve">HR</x:t>
        </x:is>
      </x:c>
      <x:c r="B299" t="inlineStr">
        <x:is>
          <x:t xml:space="preserve">HR-D5-Q18</x:t>
        </x:is>
      </x:c>
      <x:c r="C299" t="inlineStr">
        <x:is>
          <x:t xml:space="preserve">T2</x:t>
        </x:is>
      </x:c>
      <x:c r="D299" t="inlineStr">
        <x:is>
          <x:t xml:space="preserve">5. Friction &amp; Workarounds</x:t>
        </x:is>
      </x:c>
      <x:c r="E299" t="inlineStr">
        <x:is>
          <x:t xml:space="preserve">F</x:t>
        </x:is>
      </x:c>
      <x:c r="F299" t="n">
        <x:v>0.5</x:v>
      </x:c>
      <x:c r="G299" t="inlineStr">
        <x:is>
          <x:t xml:space="preserve">E</x:t>
        </x:is>
      </x:c>
      <x:c r="H299" t="n">
        <x:v>0.5</x:v>
      </x:c>
      <x:c r="I299" t="inlineStr">
        <x:is>
          <x:t xml:space="preserve">(Shadow probe) If workarounds happen, do you learn about them and fix root causes (not just punish people)?</x:t>
        </x:is>
      </x:c>
      <x:c r="J299" t="inlineStr">
        <x:is>
          <x:t xml:space="preserve">Learning loops reduce bypass pressure.</x:t>
        </x:is>
      </x:c>
      <x:c r="L299" t="inlineStr">
        <x:is>
          <x:t xml:space="preserve">OPS_STD</x:t>
        </x:is>
      </x:c>
      <x:c r="M299" t="n">
        <x:v>1</x:v>
      </x:c>
      <x:c r="P299" t="inlineStr">
        <x:is>
          <x:t xml:space="preserve">HR-D5-Q18-A1</x:t>
        </x:is>
      </x:c>
      <x:c r="Q299" t="n">
        <x:v>1</x:v>
      </x:c>
      <x:c r="R299" t="inlineStr">
        <x:is>
          <x:t xml:space="preserve">No: bypass discovered only after incidents/audits.</x:t>
        </x:is>
      </x:c>
      <x:c r="S299" t="n">
        <x:v>0</x:v>
      </x:c>
      <x:c r="T299" t="inlineStr">
        <x:is>
          <x:t xml:space="preserve">bypass_pressure,paper_dragon_signal</x:t>
        </x:is>
      </x:c>
      <x:c r="U299" t="inlineStr">
        <x:is>
          <x:t xml:space="preserve">Bypass Pressure</x:t>
        </x:is>
      </x:c>
      <x:c r="V299" t="inlineStr">
        <x:is>
          <x:t xml:space="preserve">Create feedback loop</x:t>
        </x:is>
      </x:c>
      <x:c r="W299" t="inlineStr">
        <x:is>
          <x:t xml:space="preserve">N</x:t>
        </x:is>
      </x:c>
      <x:c r="Y299">
        <x:f>(S299*IF(E299="G",F299,0))+(S299*IF(G299="G",H299,0))</x:f>
      </x:c>
      <x:c r="Z299">
        <x:f>(S299*IF(E299="E",F299,0))+(S299*IF(G299="E",H299,0))</x:f>
      </x:c>
      <x:c r="AA299">
        <x:f>(S299*IF(E299="T",F299,0))+(S299*IF(G299="T",H299,0))</x:f>
      </x:c>
      <x:c r="AB299">
        <x:f>(S299*IF(E299="L",F299,0))+(S299*IF(G299="L",H299,0))</x:f>
      </x:c>
      <x:c r="AC299">
        <x:f>(S299*IF(E299="H",F299,0))+(S299*IF(G299="H",H299,0))</x:f>
      </x:c>
      <x:c r="AD299">
        <x:f>(S299*IF(E299="V",F299,0))+(S299*IF(G299="V",H299,0))</x:f>
      </x:c>
      <x:c r="AE299">
        <x:f>(S299*IF(E299="R",F299,0))+(S299*IF(G299="R",H299,0))</x:f>
      </x:c>
      <x:c r="AF299">
        <x:f>(S299*IF(E299="F",F299,0))+(S299*IF(G299="F",H299,0))</x:f>
      </x:c>
      <x:c r="AG299">
        <x:f>(S299*IF(E299="W",F299,0))+(S299*IF(G299="W",H299,0))</x:f>
      </x:c>
      <x:c r="AH299" t="inlineStr">
        <x:is>
          <x:t xml:space="preserve">8. Investigation &amp; Response</x:t>
        </x:is>
      </x:c>
      <x:c r="AI299" t="inlineStr">
        <x:is>
          <x:t xml:space="preserve">Remediation &amp; Follow-up</x:t>
        </x:is>
      </x:c>
      <x:c r="AJ299" t="inlineStr">
        <x:is>
          <x:t xml:space="preserve">Root cause analysis &amp; corrective actions</x:t>
        </x:is>
      </x:c>
    </x:row>
    <x:row r="300">
      <x:c r="A300" t="inlineStr">
        <x:is>
          <x:t xml:space="preserve">HR</x:t>
        </x:is>
      </x:c>
      <x:c r="B300" t="inlineStr">
        <x:is>
          <x:t xml:space="preserve">HR-D5-Q18</x:t>
        </x:is>
      </x:c>
      <x:c r="C300" t="inlineStr">
        <x:is>
          <x:t xml:space="preserve">T2</x:t>
        </x:is>
      </x:c>
      <x:c r="D300" t="inlineStr">
        <x:is>
          <x:t xml:space="preserve">5. Friction &amp; Workarounds</x:t>
        </x:is>
      </x:c>
      <x:c r="E300" t="inlineStr">
        <x:is>
          <x:t xml:space="preserve">F</x:t>
        </x:is>
      </x:c>
      <x:c r="F300" t="n">
        <x:v>0.5</x:v>
      </x:c>
      <x:c r="G300" t="inlineStr">
        <x:is>
          <x:t xml:space="preserve">E</x:t>
        </x:is>
      </x:c>
      <x:c r="H300" t="n">
        <x:v>0.5</x:v>
      </x:c>
      <x:c r="I300" t="inlineStr">
        <x:is>
          <x:t xml:space="preserve">(Shadow probe) If workarounds happen, do you learn about them and fix root causes (not just punish people)?</x:t>
        </x:is>
      </x:c>
      <x:c r="J300" t="inlineStr">
        <x:is>
          <x:t xml:space="preserve">Learning loops reduce bypass pressure.</x:t>
        </x:is>
      </x:c>
      <x:c r="L300" t="inlineStr">
        <x:is>
          <x:t xml:space="preserve">OPS_STD</x:t>
        </x:is>
      </x:c>
      <x:c r="M300" t="n">
        <x:v>1</x:v>
      </x:c>
      <x:c r="P300" t="inlineStr">
        <x:is>
          <x:t xml:space="preserve">HR-D5-Q18-A2</x:t>
        </x:is>
      </x:c>
      <x:c r="Q300" t="n">
        <x:v>2</x:v>
      </x:c>
      <x:c r="R300" t="inlineStr">
        <x:is>
          <x:t xml:space="preserve">Sometimes: managers/HR hear about it; actions vary.</x:t>
        </x:is>
      </x:c>
      <x:c r="S300" t="n">
        <x:v>1</x:v>
      </x:c>
      <x:c r="T300" t="inlineStr">
        <x:is>
          <x:t xml:space="preserve">key_person_dependency</x:t>
        </x:is>
      </x:c>
      <x:c r="U300" t="inlineStr">
        <x:is>
          <x:t xml:space="preserve">Bypass Pressure</x:t>
        </x:is>
      </x:c>
      <x:c r="V300" t="inlineStr">
        <x:is>
          <x:t xml:space="preserve">Define triage and fixes</x:t>
        </x:is>
      </x:c>
      <x:c r="W300" t="inlineStr">
        <x:is>
          <x:t xml:space="preserve">N</x:t>
        </x:is>
      </x:c>
      <x:c r="Y300">
        <x:f>(S300*IF(E300="G",F300,0))+(S300*IF(G300="G",H300,0))</x:f>
      </x:c>
      <x:c r="Z300">
        <x:f>(S300*IF(E300="E",F300,0))+(S300*IF(G300="E",H300,0))</x:f>
      </x:c>
      <x:c r="AA300">
        <x:f>(S300*IF(E300="T",F300,0))+(S300*IF(G300="T",H300,0))</x:f>
      </x:c>
      <x:c r="AB300">
        <x:f>(S300*IF(E300="L",F300,0))+(S300*IF(G300="L",H300,0))</x:f>
      </x:c>
      <x:c r="AC300">
        <x:f>(S300*IF(E300="H",F300,0))+(S300*IF(G300="H",H300,0))</x:f>
      </x:c>
      <x:c r="AD300">
        <x:f>(S300*IF(E300="V",F300,0))+(S300*IF(G300="V",H300,0))</x:f>
      </x:c>
      <x:c r="AE300">
        <x:f>(S300*IF(E300="R",F300,0))+(S300*IF(G300="R",H300,0))</x:f>
      </x:c>
      <x:c r="AF300">
        <x:f>(S300*IF(E300="F",F300,0))+(S300*IF(G300="F",H300,0))</x:f>
      </x:c>
      <x:c r="AG300">
        <x:f>(S300*IF(E300="W",F300,0))+(S300*IF(G300="W",H300,0))</x:f>
      </x:c>
      <x:c r="AH300" t="inlineStr">
        <x:is>
          <x:t xml:space="preserve">8. Investigation &amp; Response</x:t>
        </x:is>
      </x:c>
      <x:c r="AI300" t="inlineStr">
        <x:is>
          <x:t xml:space="preserve">Remediation &amp; Follow-up</x:t>
        </x:is>
      </x:c>
      <x:c r="AJ300" t="inlineStr">
        <x:is>
          <x:t xml:space="preserve">Root cause analysis &amp; corrective actions</x:t>
        </x:is>
      </x:c>
    </x:row>
    <x:row r="301">
      <x:c r="A301" t="inlineStr">
        <x:is>
          <x:t xml:space="preserve">HR</x:t>
        </x:is>
      </x:c>
      <x:c r="B301" t="inlineStr">
        <x:is>
          <x:t xml:space="preserve">HR-D5-Q18</x:t>
        </x:is>
      </x:c>
      <x:c r="C301" t="inlineStr">
        <x:is>
          <x:t xml:space="preserve">T2</x:t>
        </x:is>
      </x:c>
      <x:c r="D301" t="inlineStr">
        <x:is>
          <x:t xml:space="preserve">5. Friction &amp; Workarounds</x:t>
        </x:is>
      </x:c>
      <x:c r="E301" t="inlineStr">
        <x:is>
          <x:t xml:space="preserve">F</x:t>
        </x:is>
      </x:c>
      <x:c r="F301" t="n">
        <x:v>0.5</x:v>
      </x:c>
      <x:c r="G301" t="inlineStr">
        <x:is>
          <x:t xml:space="preserve">E</x:t>
        </x:is>
      </x:c>
      <x:c r="H301" t="n">
        <x:v>0.5</x:v>
      </x:c>
      <x:c r="I301" t="inlineStr">
        <x:is>
          <x:t xml:space="preserve">(Shadow probe) If workarounds happen, do you learn about them and fix root causes (not just punish people)?</x:t>
        </x:is>
      </x:c>
      <x:c r="J301" t="inlineStr">
        <x:is>
          <x:t xml:space="preserve">Learning loops reduce bypass pressure.</x:t>
        </x:is>
      </x:c>
      <x:c r="L301" t="inlineStr">
        <x:is>
          <x:t xml:space="preserve">OPS_STD</x:t>
        </x:is>
      </x:c>
      <x:c r="M301" t="n">
        <x:v>1</x:v>
      </x:c>
      <x:c r="P301" t="inlineStr">
        <x:is>
          <x:t xml:space="preserve">HR-D5-Q18-A3</x:t>
        </x:is>
      </x:c>
      <x:c r="Q301" t="n">
        <x:v>3</x:v>
      </x:c>
      <x:c r="R301" t="inlineStr">
        <x:is>
          <x:t xml:space="preserve">Usually: signals collected and discussed; some fixes implemented.</x:t>
        </x:is>
      </x:c>
      <x:c r="S301" t="n">
        <x:v>2</x:v>
      </x:c>
      <x:c r="U301" t="inlineStr">
        <x:is>
          <x:t xml:space="preserve">Bypass Pressure</x:t>
        </x:is>
      </x:c>
      <x:c r="V301" t="inlineStr">
        <x:is>
          <x:t xml:space="preserve">Formalize backlog</x:t>
        </x:is>
      </x:c>
      <x:c r="W301" t="inlineStr">
        <x:is>
          <x:t xml:space="preserve">N</x:t>
        </x:is>
      </x:c>
      <x:c r="Y301">
        <x:f>(S301*IF(E301="G",F301,0))+(S301*IF(G301="G",H301,0))</x:f>
      </x:c>
      <x:c r="Z301">
        <x:f>(S301*IF(E301="E",F301,0))+(S301*IF(G301="E",H301,0))</x:f>
      </x:c>
      <x:c r="AA301">
        <x:f>(S301*IF(E301="T",F301,0))+(S301*IF(G301="T",H301,0))</x:f>
      </x:c>
      <x:c r="AB301">
        <x:f>(S301*IF(E301="L",F301,0))+(S301*IF(G301="L",H301,0))</x:f>
      </x:c>
      <x:c r="AC301">
        <x:f>(S301*IF(E301="H",F301,0))+(S301*IF(G301="H",H301,0))</x:f>
      </x:c>
      <x:c r="AD301">
        <x:f>(S301*IF(E301="V",F301,0))+(S301*IF(G301="V",H301,0))</x:f>
      </x:c>
      <x:c r="AE301">
        <x:f>(S301*IF(E301="R",F301,0))+(S301*IF(G301="R",H301,0))</x:f>
      </x:c>
      <x:c r="AF301">
        <x:f>(S301*IF(E301="F",F301,0))+(S301*IF(G301="F",H301,0))</x:f>
      </x:c>
      <x:c r="AG301">
        <x:f>(S301*IF(E301="W",F301,0))+(S301*IF(G301="W",H301,0))</x:f>
      </x:c>
      <x:c r="AH301" t="inlineStr">
        <x:is>
          <x:t xml:space="preserve">8. Investigation &amp; Response</x:t>
        </x:is>
      </x:c>
      <x:c r="AI301" t="inlineStr">
        <x:is>
          <x:t xml:space="preserve">Remediation &amp; Follow-up</x:t>
        </x:is>
      </x:c>
      <x:c r="AJ301" t="inlineStr">
        <x:is>
          <x:t xml:space="preserve">Root cause analysis &amp; corrective actions</x:t>
        </x:is>
      </x:c>
    </x:row>
    <x:row r="302">
      <x:c r="A302" t="inlineStr">
        <x:is>
          <x:t xml:space="preserve">HR</x:t>
        </x:is>
      </x:c>
      <x:c r="B302" t="inlineStr">
        <x:is>
          <x:t xml:space="preserve">HR-D5-Q18</x:t>
        </x:is>
      </x:c>
      <x:c r="C302" t="inlineStr">
        <x:is>
          <x:t xml:space="preserve">T2</x:t>
        </x:is>
      </x:c>
      <x:c r="D302" t="inlineStr">
        <x:is>
          <x:t xml:space="preserve">5. Friction &amp; Workarounds</x:t>
        </x:is>
      </x:c>
      <x:c r="E302" t="inlineStr">
        <x:is>
          <x:t xml:space="preserve">F</x:t>
        </x:is>
      </x:c>
      <x:c r="F302" t="n">
        <x:v>0.5</x:v>
      </x:c>
      <x:c r="G302" t="inlineStr">
        <x:is>
          <x:t xml:space="preserve">E</x:t>
        </x:is>
      </x:c>
      <x:c r="H302" t="n">
        <x:v>0.5</x:v>
      </x:c>
      <x:c r="I302" t="inlineStr">
        <x:is>
          <x:t xml:space="preserve">(Shadow probe) If workarounds happen, do you learn about them and fix root causes (not just punish people)?</x:t>
        </x:is>
      </x:c>
      <x:c r="J302" t="inlineStr">
        <x:is>
          <x:t xml:space="preserve">Learning loops reduce bypass pressure.</x:t>
        </x:is>
      </x:c>
      <x:c r="L302" t="inlineStr">
        <x:is>
          <x:t xml:space="preserve">OPS_STD</x:t>
        </x:is>
      </x:c>
      <x:c r="M302" t="n">
        <x:v>1</x:v>
      </x:c>
      <x:c r="P302" t="inlineStr">
        <x:is>
          <x:t xml:space="preserve">HR-D5-Q18-A4</x:t>
        </x:is>
      </x:c>
      <x:c r="Q302" t="n">
        <x:v>4</x:v>
      </x:c>
      <x:c r="R302" t="inlineStr">
        <x:is>
          <x:t xml:space="preserve">Yes: consistent intake, root-cause analysis, and prioritised remediation.</x:t>
        </x:is>
      </x:c>
      <x:c r="S302" t="n">
        <x:v>3</x:v>
      </x:c>
      <x:c r="U302" t="inlineStr">
        <x:is>
          <x:t xml:space="preserve">Bypass Pressure</x:t>
        </x:is>
      </x:c>
      <x:c r="V302" t="inlineStr">
        <x:is>
          <x:t xml:space="preserve">Maintain and measure</x:t>
        </x:is>
      </x:c>
      <x:c r="W302" t="inlineStr">
        <x:is>
          <x:t xml:space="preserve">N</x:t>
        </x:is>
      </x:c>
      <x:c r="X302" t="inlineStr">
        <x:is>
          <x:t xml:space="preserve">Evidence: RCA examples.</x:t>
        </x:is>
      </x:c>
      <x:c r="Y302">
        <x:f>(S302*IF(E302="G",F302,0))+(S302*IF(G302="G",H302,0))</x:f>
      </x:c>
      <x:c r="Z302">
        <x:f>(S302*IF(E302="E",F302,0))+(S302*IF(G302="E",H302,0))</x:f>
      </x:c>
      <x:c r="AA302">
        <x:f>(S302*IF(E302="T",F302,0))+(S302*IF(G302="T",H302,0))</x:f>
      </x:c>
      <x:c r="AB302">
        <x:f>(S302*IF(E302="L",F302,0))+(S302*IF(G302="L",H302,0))</x:f>
      </x:c>
      <x:c r="AC302">
        <x:f>(S302*IF(E302="H",F302,0))+(S302*IF(G302="H",H302,0))</x:f>
      </x:c>
      <x:c r="AD302">
        <x:f>(S302*IF(E302="V",F302,0))+(S302*IF(G302="V",H302,0))</x:f>
      </x:c>
      <x:c r="AE302">
        <x:f>(S302*IF(E302="R",F302,0))+(S302*IF(G302="R",H302,0))</x:f>
      </x:c>
      <x:c r="AF302">
        <x:f>(S302*IF(E302="F",F302,0))+(S302*IF(G302="F",H302,0))</x:f>
      </x:c>
      <x:c r="AG302">
        <x:f>(S302*IF(E302="W",F302,0))+(S302*IF(G302="W",H302,0))</x:f>
      </x:c>
      <x:c r="AH302" t="inlineStr">
        <x:is>
          <x:t xml:space="preserve">8. Investigation &amp; Response</x:t>
        </x:is>
      </x:c>
      <x:c r="AI302" t="inlineStr">
        <x:is>
          <x:t xml:space="preserve">Remediation &amp; Follow-up</x:t>
        </x:is>
      </x:c>
      <x:c r="AJ302" t="inlineStr">
        <x:is>
          <x:t xml:space="preserve">Root cause analysis &amp; corrective actions</x:t>
        </x:is>
      </x:c>
    </x:row>
    <x:row r="303">
      <x:c r="A303" t="inlineStr">
        <x:is>
          <x:t xml:space="preserve">HR</x:t>
        </x:is>
      </x:c>
      <x:c r="B303" t="inlineStr">
        <x:is>
          <x:t xml:space="preserve">HR-D5-Q19</x:t>
        </x:is>
      </x:c>
      <x:c r="C303" t="inlineStr">
        <x:is>
          <x:t xml:space="preserve">T2</x:t>
        </x:is>
      </x:c>
      <x:c r="D303" t="inlineStr">
        <x:is>
          <x:t xml:space="preserve">5. Friction &amp; Workarounds</x:t>
        </x:is>
      </x:c>
      <x:c r="E303" t="inlineStr">
        <x:is>
          <x:t xml:space="preserve">G</x:t>
        </x:is>
      </x:c>
      <x:c r="F303" t="n">
        <x:v>0.5</x:v>
      </x:c>
      <x:c r="G303" t="inlineStr">
        <x:is>
          <x:t xml:space="preserve">F</x:t>
        </x:is>
      </x:c>
      <x:c r="H303" t="n">
        <x:v>0.5</x:v>
      </x:c>
      <x:c r="I303" t="inlineStr">
        <x:is>
          <x:t xml:space="preserve">Are policy exceptions tracked, time-bound, and reviewed so bypass doesn't become permanent?</x:t>
        </x:is>
      </x:c>
      <x:c r="J303" t="inlineStr">
        <x:is>
          <x:t xml:space="preserve">Exception governance is a key insider-risk control.</x:t>
        </x:is>
      </x:c>
      <x:c r="L303" t="inlineStr">
        <x:is>
          <x:t xml:space="preserve">GOV_STD</x:t>
        </x:is>
      </x:c>
      <x:c r="M303" t="n">
        <x:v>1</x:v>
      </x:c>
      <x:c r="P303" t="inlineStr">
        <x:is>
          <x:t xml:space="preserve">HR-D5-Q19-A1</x:t>
        </x:is>
      </x:c>
      <x:c r="Q303" t="n">
        <x:v>1</x:v>
      </x:c>
      <x:c r="R303" t="inlineStr">
        <x:is>
          <x:t xml:space="preserve">No: exceptions are informal and not tracked.</x:t>
        </x:is>
      </x:c>
      <x:c r="S303" t="n">
        <x:v>0</x:v>
      </x:c>
      <x:c r="T303" t="inlineStr">
        <x:is>
          <x:t xml:space="preserve">bypass_pressure</x:t>
        </x:is>
      </x:c>
      <x:c r="U303" t="inlineStr">
        <x:is>
          <x:t xml:space="preserve">Bypass Pressure</x:t>
        </x:is>
      </x:c>
      <x:c r="V303" t="inlineStr">
        <x:is>
          <x:t xml:space="preserve">Introduce exception register</x:t>
        </x:is>
      </x:c>
      <x:c r="W303" t="inlineStr">
        <x:is>
          <x:t xml:space="preserve">N</x:t>
        </x:is>
      </x:c>
      <x:c r="Y303">
        <x:f>(S303*IF(E303="G",F303,0))+(S303*IF(G303="G",H303,0))</x:f>
      </x:c>
      <x:c r="Z303">
        <x:f>(S303*IF(E303="E",F303,0))+(S303*IF(G303="E",H303,0))</x:f>
      </x:c>
      <x:c r="AA303">
        <x:f>(S303*IF(E303="T",F303,0))+(S303*IF(G303="T",H303,0))</x:f>
      </x:c>
      <x:c r="AB303">
        <x:f>(S303*IF(E303="L",F303,0))+(S303*IF(G303="L",H303,0))</x:f>
      </x:c>
      <x:c r="AC303">
        <x:f>(S303*IF(E303="H",F303,0))+(S303*IF(G303="H",H303,0))</x:f>
      </x:c>
      <x:c r="AD303">
        <x:f>(S303*IF(E303="V",F303,0))+(S303*IF(G303="V",H303,0))</x:f>
      </x:c>
      <x:c r="AE303">
        <x:f>(S303*IF(E303="R",F303,0))+(S303*IF(G303="R",H303,0))</x:f>
      </x:c>
      <x:c r="AF303">
        <x:f>(S303*IF(E303="F",F303,0))+(S303*IF(G303="F",H303,0))</x:f>
      </x:c>
      <x:c r="AG303">
        <x:f>(S303*IF(E303="W",F303,0))+(S303*IF(G303="W",H303,0))</x:f>
      </x:c>
      <x:c r="AH303" t="inlineStr">
        <x:is>
          <x:t xml:space="preserve">1. Strategy &amp; Governance</x:t>
        </x:is>
      </x:c>
      <x:c r="AI303" t="inlineStr">
        <x:is>
          <x:t xml:space="preserve">Scope &amp; Boundaries</x:t>
        </x:is>
      </x:c>
      <x:c r="AJ303" t="inlineStr">
        <x:is>
          <x:t xml:space="preserve">Exceptions &amp; risk acceptance</x:t>
        </x:is>
      </x:c>
    </x:row>
    <x:row r="304">
      <x:c r="A304" t="inlineStr">
        <x:is>
          <x:t xml:space="preserve">HR</x:t>
        </x:is>
      </x:c>
      <x:c r="B304" t="inlineStr">
        <x:is>
          <x:t xml:space="preserve">HR-D5-Q19</x:t>
        </x:is>
      </x:c>
      <x:c r="C304" t="inlineStr">
        <x:is>
          <x:t xml:space="preserve">T2</x:t>
        </x:is>
      </x:c>
      <x:c r="D304" t="inlineStr">
        <x:is>
          <x:t xml:space="preserve">5. Friction &amp; Workarounds</x:t>
        </x:is>
      </x:c>
      <x:c r="E304" t="inlineStr">
        <x:is>
          <x:t xml:space="preserve">G</x:t>
        </x:is>
      </x:c>
      <x:c r="F304" t="n">
        <x:v>0.5</x:v>
      </x:c>
      <x:c r="G304" t="inlineStr">
        <x:is>
          <x:t xml:space="preserve">F</x:t>
        </x:is>
      </x:c>
      <x:c r="H304" t="n">
        <x:v>0.5</x:v>
      </x:c>
      <x:c r="I304" t="inlineStr">
        <x:is>
          <x:t xml:space="preserve">Are policy exceptions tracked, time-bound, and reviewed so bypass doesn't become permanent?</x:t>
        </x:is>
      </x:c>
      <x:c r="J304" t="inlineStr">
        <x:is>
          <x:t xml:space="preserve">Exception governance is a key insider-risk control.</x:t>
        </x:is>
      </x:c>
      <x:c r="L304" t="inlineStr">
        <x:is>
          <x:t xml:space="preserve">GOV_STD</x:t>
        </x:is>
      </x:c>
      <x:c r="M304" t="n">
        <x:v>1</x:v>
      </x:c>
      <x:c r="P304" t="inlineStr">
        <x:is>
          <x:t xml:space="preserve">HR-D5-Q19-A2</x:t>
        </x:is>
      </x:c>
      <x:c r="Q304" t="n">
        <x:v>2</x:v>
      </x:c>
      <x:c r="R304" t="inlineStr">
        <x:is>
          <x:t xml:space="preserve">Some tracking, but no expiry/review; exceptions accumulate.</x:t>
        </x:is>
      </x:c>
      <x:c r="S304" t="n">
        <x:v>1</x:v>
      </x:c>
      <x:c r="T304" t="inlineStr">
        <x:is>
          <x:t xml:space="preserve">paper_dragon_signal</x:t>
        </x:is>
      </x:c>
      <x:c r="U304" t="inlineStr">
        <x:is>
          <x:t xml:space="preserve">Paper Dragon</x:t>
        </x:is>
      </x:c>
      <x:c r="V304" t="inlineStr">
        <x:is>
          <x:t xml:space="preserve">Add expiry and review cadence</x:t>
        </x:is>
      </x:c>
      <x:c r="W304" t="inlineStr">
        <x:is>
          <x:t xml:space="preserve">N</x:t>
        </x:is>
      </x:c>
      <x:c r="Y304">
        <x:f>(S304*IF(E304="G",F304,0))+(S304*IF(G304="G",H304,0))</x:f>
      </x:c>
      <x:c r="Z304">
        <x:f>(S304*IF(E304="E",F304,0))+(S304*IF(G304="E",H304,0))</x:f>
      </x:c>
      <x:c r="AA304">
        <x:f>(S304*IF(E304="T",F304,0))+(S304*IF(G304="T",H304,0))</x:f>
      </x:c>
      <x:c r="AB304">
        <x:f>(S304*IF(E304="L",F304,0))+(S304*IF(G304="L",H304,0))</x:f>
      </x:c>
      <x:c r="AC304">
        <x:f>(S304*IF(E304="H",F304,0))+(S304*IF(G304="H",H304,0))</x:f>
      </x:c>
      <x:c r="AD304">
        <x:f>(S304*IF(E304="V",F304,0))+(S304*IF(G304="V",H304,0))</x:f>
      </x:c>
      <x:c r="AE304">
        <x:f>(S304*IF(E304="R",F304,0))+(S304*IF(G304="R",H304,0))</x:f>
      </x:c>
      <x:c r="AF304">
        <x:f>(S304*IF(E304="F",F304,0))+(S304*IF(G304="F",H304,0))</x:f>
      </x:c>
      <x:c r="AG304">
        <x:f>(S304*IF(E304="W",F304,0))+(S304*IF(G304="W",H304,0))</x:f>
      </x:c>
      <x:c r="AH304" t="inlineStr">
        <x:is>
          <x:t xml:space="preserve">1. Strategy &amp; Governance</x:t>
        </x:is>
      </x:c>
      <x:c r="AI304" t="inlineStr">
        <x:is>
          <x:t xml:space="preserve">Scope &amp; Boundaries</x:t>
        </x:is>
      </x:c>
      <x:c r="AJ304" t="inlineStr">
        <x:is>
          <x:t xml:space="preserve">Exceptions &amp; risk acceptance</x:t>
        </x:is>
      </x:c>
    </x:row>
    <x:row r="305">
      <x:c r="A305" t="inlineStr">
        <x:is>
          <x:t xml:space="preserve">HR</x:t>
        </x:is>
      </x:c>
      <x:c r="B305" t="inlineStr">
        <x:is>
          <x:t xml:space="preserve">HR-D5-Q19</x:t>
        </x:is>
      </x:c>
      <x:c r="C305" t="inlineStr">
        <x:is>
          <x:t xml:space="preserve">T2</x:t>
        </x:is>
      </x:c>
      <x:c r="D305" t="inlineStr">
        <x:is>
          <x:t xml:space="preserve">5. Friction &amp; Workarounds</x:t>
        </x:is>
      </x:c>
      <x:c r="E305" t="inlineStr">
        <x:is>
          <x:t xml:space="preserve">G</x:t>
        </x:is>
      </x:c>
      <x:c r="F305" t="n">
        <x:v>0.5</x:v>
      </x:c>
      <x:c r="G305" t="inlineStr">
        <x:is>
          <x:t xml:space="preserve">F</x:t>
        </x:is>
      </x:c>
      <x:c r="H305" t="n">
        <x:v>0.5</x:v>
      </x:c>
      <x:c r="I305" t="inlineStr">
        <x:is>
          <x:t xml:space="preserve">Are policy exceptions tracked, time-bound, and reviewed so bypass doesn't become permanent?</x:t>
        </x:is>
      </x:c>
      <x:c r="J305" t="inlineStr">
        <x:is>
          <x:t xml:space="preserve">Exception governance is a key insider-risk control.</x:t>
        </x:is>
      </x:c>
      <x:c r="L305" t="inlineStr">
        <x:is>
          <x:t xml:space="preserve">GOV_STD</x:t>
        </x:is>
      </x:c>
      <x:c r="M305" t="n">
        <x:v>1</x:v>
      </x:c>
      <x:c r="P305" t="inlineStr">
        <x:is>
          <x:t xml:space="preserve">HR-D5-Q19-A3</x:t>
        </x:is>
      </x:c>
      <x:c r="Q305" t="n">
        <x:v>3</x:v>
      </x:c>
      <x:c r="R305" t="inlineStr">
        <x:is>
          <x:t xml:space="preserve">Register exists; most exceptions have owners/expiry, but reviews inconsistent.</x:t>
        </x:is>
      </x:c>
      <x:c r="S305" t="n">
        <x:v>2</x:v>
      </x:c>
      <x:c r="U305" t="inlineStr">
        <x:is>
          <x:t xml:space="preserve">Bypass Pressure</x:t>
        </x:is>
      </x:c>
      <x:c r="V305" t="inlineStr">
        <x:is>
          <x:t xml:space="preserve">Improve governance cadence</x:t>
        </x:is>
      </x:c>
      <x:c r="W305" t="inlineStr">
        <x:is>
          <x:t xml:space="preserve">N</x:t>
        </x:is>
      </x:c>
      <x:c r="X305" t="inlineStr">
        <x:is>
          <x:t xml:space="preserve">Evidence: register sample.</x:t>
        </x:is>
      </x:c>
      <x:c r="Y305">
        <x:f>(S305*IF(E305="G",F305,0))+(S305*IF(G305="G",H305,0))</x:f>
      </x:c>
      <x:c r="Z305">
        <x:f>(S305*IF(E305="E",F305,0))+(S305*IF(G305="E",H305,0))</x:f>
      </x:c>
      <x:c r="AA305">
        <x:f>(S305*IF(E305="T",F305,0))+(S305*IF(G305="T",H305,0))</x:f>
      </x:c>
      <x:c r="AB305">
        <x:f>(S305*IF(E305="L",F305,0))+(S305*IF(G305="L",H305,0))</x:f>
      </x:c>
      <x:c r="AC305">
        <x:f>(S305*IF(E305="H",F305,0))+(S305*IF(G305="H",H305,0))</x:f>
      </x:c>
      <x:c r="AD305">
        <x:f>(S305*IF(E305="V",F305,0))+(S305*IF(G305="V",H305,0))</x:f>
      </x:c>
      <x:c r="AE305">
        <x:f>(S305*IF(E305="R",F305,0))+(S305*IF(G305="R",H305,0))</x:f>
      </x:c>
      <x:c r="AF305">
        <x:f>(S305*IF(E305="F",F305,0))+(S305*IF(G305="F",H305,0))</x:f>
      </x:c>
      <x:c r="AG305">
        <x:f>(S305*IF(E305="W",F305,0))+(S305*IF(G305="W",H305,0))</x:f>
      </x:c>
      <x:c r="AH305" t="inlineStr">
        <x:is>
          <x:t xml:space="preserve">1. Strategy &amp; Governance</x:t>
        </x:is>
      </x:c>
      <x:c r="AI305" t="inlineStr">
        <x:is>
          <x:t xml:space="preserve">Scope &amp; Boundaries</x:t>
        </x:is>
      </x:c>
      <x:c r="AJ305" t="inlineStr">
        <x:is>
          <x:t xml:space="preserve">Exceptions &amp; risk acceptance</x:t>
        </x:is>
      </x:c>
    </x:row>
    <x:row r="306">
      <x:c r="A306" t="inlineStr">
        <x:is>
          <x:t xml:space="preserve">HR</x:t>
        </x:is>
      </x:c>
      <x:c r="B306" t="inlineStr">
        <x:is>
          <x:t xml:space="preserve">HR-D5-Q19</x:t>
        </x:is>
      </x:c>
      <x:c r="C306" t="inlineStr">
        <x:is>
          <x:t xml:space="preserve">T2</x:t>
        </x:is>
      </x:c>
      <x:c r="D306" t="inlineStr">
        <x:is>
          <x:t xml:space="preserve">5. Friction &amp; Workarounds</x:t>
        </x:is>
      </x:c>
      <x:c r="E306" t="inlineStr">
        <x:is>
          <x:t xml:space="preserve">G</x:t>
        </x:is>
      </x:c>
      <x:c r="F306" t="n">
        <x:v>0.5</x:v>
      </x:c>
      <x:c r="G306" t="inlineStr">
        <x:is>
          <x:t xml:space="preserve">F</x:t>
        </x:is>
      </x:c>
      <x:c r="H306" t="n">
        <x:v>0.5</x:v>
      </x:c>
      <x:c r="I306" t="inlineStr">
        <x:is>
          <x:t xml:space="preserve">Are policy exceptions tracked, time-bound, and reviewed so bypass doesn't become permanent?</x:t>
        </x:is>
      </x:c>
      <x:c r="J306" t="inlineStr">
        <x:is>
          <x:t xml:space="preserve">Exception governance is a key insider-risk control.</x:t>
        </x:is>
      </x:c>
      <x:c r="L306" t="inlineStr">
        <x:is>
          <x:t xml:space="preserve">GOV_STD</x:t>
        </x:is>
      </x:c>
      <x:c r="M306" t="n">
        <x:v>1</x:v>
      </x:c>
      <x:c r="P306" t="inlineStr">
        <x:is>
          <x:t xml:space="preserve">HR-D5-Q19-A4</x:t>
        </x:is>
      </x:c>
      <x:c r="Q306" t="n">
        <x:v>4</x:v>
      </x:c>
      <x:c r="R306" t="inlineStr">
        <x:is>
          <x:t xml:space="preserve">Tracked + reviewed; exceptions reduced over time.</x:t>
        </x:is>
      </x:c>
      <x:c r="S306" t="n">
        <x:v>3</x:v>
      </x:c>
      <x:c r="U306" t="inlineStr">
        <x:is>
          <x:t xml:space="preserve">Bypass Pressure</x:t>
        </x:is>
      </x:c>
      <x:c r="V306" t="inlineStr">
        <x:is>
          <x:t xml:space="preserve">Maintain governance</x:t>
        </x:is>
      </x:c>
      <x:c r="W306" t="inlineStr">
        <x:is>
          <x:t xml:space="preserve">N</x:t>
        </x:is>
      </x:c>
      <x:c r="X306" t="inlineStr">
        <x:is>
          <x:t xml:space="preserve">Evidence: trend metrics.</x:t>
        </x:is>
      </x:c>
      <x:c r="Y306">
        <x:f>(S306*IF(E306="G",F306,0))+(S306*IF(G306="G",H306,0))</x:f>
      </x:c>
      <x:c r="Z306">
        <x:f>(S306*IF(E306="E",F306,0))+(S306*IF(G306="E",H306,0))</x:f>
      </x:c>
      <x:c r="AA306">
        <x:f>(S306*IF(E306="T",F306,0))+(S306*IF(G306="T",H306,0))</x:f>
      </x:c>
      <x:c r="AB306">
        <x:f>(S306*IF(E306="L",F306,0))+(S306*IF(G306="L",H306,0))</x:f>
      </x:c>
      <x:c r="AC306">
        <x:f>(S306*IF(E306="H",F306,0))+(S306*IF(G306="H",H306,0))</x:f>
      </x:c>
      <x:c r="AD306">
        <x:f>(S306*IF(E306="V",F306,0))+(S306*IF(G306="V",H306,0))</x:f>
      </x:c>
      <x:c r="AE306">
        <x:f>(S306*IF(E306="R",F306,0))+(S306*IF(G306="R",H306,0))</x:f>
      </x:c>
      <x:c r="AF306">
        <x:f>(S306*IF(E306="F",F306,0))+(S306*IF(G306="F",H306,0))</x:f>
      </x:c>
      <x:c r="AG306">
        <x:f>(S306*IF(E306="W",F306,0))+(S306*IF(G306="W",H306,0))</x:f>
      </x:c>
      <x:c r="AH306" t="inlineStr">
        <x:is>
          <x:t xml:space="preserve">1. Strategy &amp; Governance</x:t>
        </x:is>
      </x:c>
      <x:c r="AI306" t="inlineStr">
        <x:is>
          <x:t xml:space="preserve">Scope &amp; Boundaries</x:t>
        </x:is>
      </x:c>
      <x:c r="AJ306" t="inlineStr">
        <x:is>
          <x:t xml:space="preserve">Exceptions &amp; risk acceptance</x:t>
        </x:is>
      </x:c>
    </x:row>
    <x:row r="307">
      <x:c r="A307" t="inlineStr">
        <x:is>
          <x:t xml:space="preserve">HR</x:t>
        </x:is>
      </x:c>
      <x:c r="B307" t="inlineStr">
        <x:is>
          <x:t xml:space="preserve">HR-D5-Q19</x:t>
        </x:is>
      </x:c>
      <x:c r="C307" t="inlineStr">
        <x:is>
          <x:t xml:space="preserve">T2</x:t>
        </x:is>
      </x:c>
      <x:c r="D307" t="inlineStr">
        <x:is>
          <x:t xml:space="preserve">5. Friction &amp; Workarounds</x:t>
        </x:is>
      </x:c>
      <x:c r="E307" t="inlineStr">
        <x:is>
          <x:t xml:space="preserve">G</x:t>
        </x:is>
      </x:c>
      <x:c r="F307" t="n">
        <x:v>0.5</x:v>
      </x:c>
      <x:c r="G307" t="inlineStr">
        <x:is>
          <x:t xml:space="preserve">F</x:t>
        </x:is>
      </x:c>
      <x:c r="H307" t="n">
        <x:v>0.5</x:v>
      </x:c>
      <x:c r="I307" t="inlineStr">
        <x:is>
          <x:t xml:space="preserve">Are policy exceptions tracked, time-bound, and reviewed so bypass doesn't become permanent?</x:t>
        </x:is>
      </x:c>
      <x:c r="J307" t="inlineStr">
        <x:is>
          <x:t xml:space="preserve">Exception governance is a key insider-risk control.</x:t>
        </x:is>
      </x:c>
      <x:c r="L307" t="inlineStr">
        <x:is>
          <x:t xml:space="preserve">GOV_STD</x:t>
        </x:is>
      </x:c>
      <x:c r="M307" t="n">
        <x:v>1</x:v>
      </x:c>
      <x:c r="P307" t="inlineStr">
        <x:is>
          <x:t xml:space="preserve">HR-D5-Q19-A5</x:t>
        </x:is>
      </x:c>
      <x:c r="Q307" t="n">
        <x:v>5</x:v>
      </x:c>
      <x:c r="R307" t="inlineStr">
        <x:is>
          <x:t xml:space="preserve">Optimized: exceptions rare; systemic fixes remove need for bypass.</x:t>
        </x:is>
      </x:c>
      <x:c r="S307" t="n">
        <x:v>4</x:v>
      </x:c>
      <x:c r="U307" t="inlineStr">
        <x:is>
          <x:t xml:space="preserve">Bypass Pressure</x:t>
        </x:is>
      </x:c>
      <x:c r="V307" t="inlineStr">
        <x:is>
          <x:t xml:space="preserve">Maintain maturity</x:t>
        </x:is>
      </x:c>
      <x:c r="W307" t="inlineStr">
        <x:is>
          <x:t xml:space="preserve">N</x:t>
        </x:is>
      </x:c>
      <x:c r="X307" t="inlineStr">
        <x:is>
          <x:t xml:space="preserve">Evidence: low exception rate.</x:t>
        </x:is>
      </x:c>
      <x:c r="Y307">
        <x:f>(S307*IF(E307="G",F307,0))+(S307*IF(G307="G",H307,0))</x:f>
      </x:c>
      <x:c r="Z307">
        <x:f>(S307*IF(E307="E",F307,0))+(S307*IF(G307="E",H307,0))</x:f>
      </x:c>
      <x:c r="AA307">
        <x:f>(S307*IF(E307="T",F307,0))+(S307*IF(G307="T",H307,0))</x:f>
      </x:c>
      <x:c r="AB307">
        <x:f>(S307*IF(E307="L",F307,0))+(S307*IF(G307="L",H307,0))</x:f>
      </x:c>
      <x:c r="AC307">
        <x:f>(S307*IF(E307="H",F307,0))+(S307*IF(G307="H",H307,0))</x:f>
      </x:c>
      <x:c r="AD307">
        <x:f>(S307*IF(E307="V",F307,0))+(S307*IF(G307="V",H307,0))</x:f>
      </x:c>
      <x:c r="AE307">
        <x:f>(S307*IF(E307="R",F307,0))+(S307*IF(G307="R",H307,0))</x:f>
      </x:c>
      <x:c r="AF307">
        <x:f>(S307*IF(E307="F",F307,0))+(S307*IF(G307="F",H307,0))</x:f>
      </x:c>
      <x:c r="AG307">
        <x:f>(S307*IF(E307="W",F307,0))+(S307*IF(G307="W",H307,0))</x:f>
      </x:c>
      <x:c r="AH307" t="inlineStr">
        <x:is>
          <x:t xml:space="preserve">1. Strategy &amp; Governance</x:t>
        </x:is>
      </x:c>
      <x:c r="AI307" t="inlineStr">
        <x:is>
          <x:t xml:space="preserve">Scope &amp; Boundaries</x:t>
        </x:is>
      </x:c>
      <x:c r="AJ307" t="inlineStr">
        <x:is>
          <x:t xml:space="preserve">Exceptions &amp; risk acceptance</x:t>
        </x:is>
      </x:c>
    </x:row>
    <x:row r="308">
      <x:c r="A308" t="inlineStr">
        <x:is>
          <x:t xml:space="preserve">HR</x:t>
        </x:is>
      </x:c>
      <x:c r="B308" t="inlineStr">
        <x:is>
          <x:t xml:space="preserve">HR-D6-Q20</x:t>
        </x:is>
      </x:c>
      <x:c r="C308" t="inlineStr">
        <x:is>
          <x:t xml:space="preserve">T1</x:t>
        </x:is>
      </x:c>
      <x:c r="D308" t="inlineStr">
        <x:is>
          <x:t xml:space="preserve">6. Change Events (Layoffs/M&amp;A/Re-org)</x:t>
        </x:is>
      </x:c>
      <x:c r="E308" t="inlineStr">
        <x:is>
          <x:t xml:space="preserve">W</x:t>
        </x:is>
      </x:c>
      <x:c r="F308" t="n">
        <x:v>1</x:v>
      </x:c>
      <x:c r="G308" t="inlineStr">
        <x:is>
          <x:t xml:space="preserve">-</x:t>
        </x:is>
      </x:c>
      <x:c r="I308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08" t="inlineStr">
        <x:is>
          <x:t xml:space="preserve">Control lag = how fast controls adapt to change.</x:t>
        </x:is>
      </x:c>
      <x:c r="L308" t="inlineStr">
        <x:is>
          <x:t xml:space="preserve">RISK_STD</x:t>
        </x:is>
      </x:c>
      <x:c r="M308" t="n">
        <x:v>1</x:v>
      </x:c>
      <x:c r="P308" t="inlineStr">
        <x:is>
          <x:t xml:space="preserve">HR-D6-Q20-A0</x:t>
        </x:is>
      </x:c>
      <x:c r="Q308" t="n">
        <x:v>1</x:v>
      </x:c>
      <x:c r="R308" t="inlineStr">
        <x:is>
          <x:t xml:space="preserve">I don't know / Not sure.</x:t>
        </x:is>
      </x:c>
      <x:c r="S308" t="n">
        <x:v>0</x:v>
      </x:c>
      <x:c r="T308" t="inlineStr">
        <x:is>
          <x:t xml:space="preserve">low-confidence</x:t>
        </x:is>
      </x:c>
      <x:c r="U308" t="inlineStr">
        <x:is>
          <x:t xml:space="preserve">Control Lag</x:t>
        </x:is>
      </x:c>
      <x:c r="V308" t="inlineStr">
        <x:is>
          <x:t xml:space="preserve">Clarify change-event process</x:t>
        </x:is>
      </x:c>
      <x:c r="W308" t="inlineStr">
        <x:is>
          <x:t xml:space="preserve">N</x:t>
        </x:is>
      </x:c>
      <x:c r="Y308">
        <x:f>(S308*IF(E308="G",F308,0))+(S308*IF(G308="G",H308,0))</x:f>
      </x:c>
      <x:c r="Z308">
        <x:f>(S308*IF(E308="E",F308,0))+(S308*IF(G308="E",H308,0))</x:f>
      </x:c>
      <x:c r="AA308">
        <x:f>(S308*IF(E308="T",F308,0))+(S308*IF(G308="T",H308,0))</x:f>
      </x:c>
      <x:c r="AB308">
        <x:f>(S308*IF(E308="L",F308,0))+(S308*IF(G308="L",H308,0))</x:f>
      </x:c>
      <x:c r="AC308">
        <x:f>(S308*IF(E308="H",F308,0))+(S308*IF(G308="H",H308,0))</x:f>
      </x:c>
      <x:c r="AD308">
        <x:f>(S308*IF(E308="V",F308,0))+(S308*IF(G308="V",H308,0))</x:f>
      </x:c>
      <x:c r="AE308">
        <x:f>(S308*IF(E308="R",F308,0))+(S308*IF(G308="R",H308,0))</x:f>
      </x:c>
      <x:c r="AF308">
        <x:f>(S308*IF(E308="F",F308,0))+(S308*IF(G308="F",H308,0))</x:f>
      </x:c>
      <x:c r="AG308">
        <x:f>(S308*IF(E308="W",F308,0))+(S308*IF(G308="W",H308,0))</x:f>
      </x:c>
      <x:c r="AH308" t="inlineStr">
        <x:is>
          <x:t xml:space="preserve">5. Human-Centric Culture</x:t>
        </x:is>
      </x:c>
      <x:c r="AI308" t="inlineStr">
        <x:is>
          <x:t xml:space="preserve">Personnel Security</x:t>
        </x:is>
      </x:c>
      <x:c r="AJ308" t="inlineStr">
        <x:is>
          <x:t xml:space="preserve">High-Risk Role Identification &amp; Control Tiers</x:t>
        </x:is>
      </x:c>
    </x:row>
    <x:row r="309">
      <x:c r="A309" t="inlineStr">
        <x:is>
          <x:t xml:space="preserve">HR</x:t>
        </x:is>
      </x:c>
      <x:c r="B309" t="inlineStr">
        <x:is>
          <x:t xml:space="preserve">HR-D6-Q20</x:t>
        </x:is>
      </x:c>
      <x:c r="C309" t="inlineStr">
        <x:is>
          <x:t xml:space="preserve">T1</x:t>
        </x:is>
      </x:c>
      <x:c r="D309" t="inlineStr">
        <x:is>
          <x:t xml:space="preserve">6. Change Events (Layoffs/M&amp;A/Re-org)</x:t>
        </x:is>
      </x:c>
      <x:c r="E309" t="inlineStr">
        <x:is>
          <x:t xml:space="preserve">W</x:t>
        </x:is>
      </x:c>
      <x:c r="F309" t="n">
        <x:v>1</x:v>
      </x:c>
      <x:c r="G309" t="inlineStr">
        <x:is>
          <x:t xml:space="preserve">-</x:t>
        </x:is>
      </x:c>
      <x:c r="I309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09" t="inlineStr">
        <x:is>
          <x:t xml:space="preserve">Control lag = how fast controls adapt to change.</x:t>
        </x:is>
      </x:c>
      <x:c r="L309" t="inlineStr">
        <x:is>
          <x:t xml:space="preserve">RISK_STD</x:t>
        </x:is>
      </x:c>
      <x:c r="M309" t="n">
        <x:v>1</x:v>
      </x:c>
      <x:c r="P309" t="inlineStr">
        <x:is>
          <x:t xml:space="preserve">HR-D6-Q20-A1</x:t>
        </x:is>
      </x:c>
      <x:c r="Q309" t="n">
        <x:v>2</x:v>
      </x:c>
      <x:c r="R309" t="inlineStr">
        <x:is>
          <x:t xml:space="preserve">Static: controls rarely change; respond after issues appear.</x:t>
        </x:is>
      </x:c>
      <x:c r="S309" t="n">
        <x:v>0</x:v>
      </x:c>
      <x:c r="T309" t="inlineStr">
        <x:is>
          <x:t xml:space="preserve">control_lag</x:t>
        </x:is>
      </x:c>
      <x:c r="U309" t="inlineStr">
        <x:is>
          <x:t xml:space="preserve">Control Lag</x:t>
        </x:is>
      </x:c>
      <x:c r="V309" t="inlineStr">
        <x:is>
          <x:t xml:space="preserve">Introduce change-event checklist</x:t>
        </x:is>
      </x:c>
      <x:c r="W309" t="inlineStr">
        <x:is>
          <x:t xml:space="preserve">N</x:t>
        </x:is>
      </x:c>
      <x:c r="Y309">
        <x:f>(S309*IF(E309="G",F309,0))+(S309*IF(G309="G",H309,0))</x:f>
      </x:c>
      <x:c r="Z309">
        <x:f>(S309*IF(E309="E",F309,0))+(S309*IF(G309="E",H309,0))</x:f>
      </x:c>
      <x:c r="AA309">
        <x:f>(S309*IF(E309="T",F309,0))+(S309*IF(G309="T",H309,0))</x:f>
      </x:c>
      <x:c r="AB309">
        <x:f>(S309*IF(E309="L",F309,0))+(S309*IF(G309="L",H309,0))</x:f>
      </x:c>
      <x:c r="AC309">
        <x:f>(S309*IF(E309="H",F309,0))+(S309*IF(G309="H",H309,0))</x:f>
      </x:c>
      <x:c r="AD309">
        <x:f>(S309*IF(E309="V",F309,0))+(S309*IF(G309="V",H309,0))</x:f>
      </x:c>
      <x:c r="AE309">
        <x:f>(S309*IF(E309="R",F309,0))+(S309*IF(G309="R",H309,0))</x:f>
      </x:c>
      <x:c r="AF309">
        <x:f>(S309*IF(E309="F",F309,0))+(S309*IF(G309="F",H309,0))</x:f>
      </x:c>
      <x:c r="AG309">
        <x:f>(S309*IF(E309="W",F309,0))+(S309*IF(G309="W",H309,0))</x:f>
      </x:c>
      <x:c r="AH309" t="inlineStr">
        <x:is>
          <x:t xml:space="preserve">5. Human-Centric Culture</x:t>
        </x:is>
      </x:c>
      <x:c r="AI309" t="inlineStr">
        <x:is>
          <x:t xml:space="preserve">Personnel Security</x:t>
        </x:is>
      </x:c>
      <x:c r="AJ309" t="inlineStr">
        <x:is>
          <x:t xml:space="preserve">High-Risk Role Identification &amp; Control Tiers</x:t>
        </x:is>
      </x:c>
    </x:row>
    <x:row r="310">
      <x:c r="A310" t="inlineStr">
        <x:is>
          <x:t xml:space="preserve">HR</x:t>
        </x:is>
      </x:c>
      <x:c r="B310" t="inlineStr">
        <x:is>
          <x:t xml:space="preserve">HR-D6-Q20</x:t>
        </x:is>
      </x:c>
      <x:c r="C310" t="inlineStr">
        <x:is>
          <x:t xml:space="preserve">T1</x:t>
        </x:is>
      </x:c>
      <x:c r="D310" t="inlineStr">
        <x:is>
          <x:t xml:space="preserve">6. Change Events (Layoffs/M&amp;A/Re-org)</x:t>
        </x:is>
      </x:c>
      <x:c r="E310" t="inlineStr">
        <x:is>
          <x:t xml:space="preserve">W</x:t>
        </x:is>
      </x:c>
      <x:c r="F310" t="n">
        <x:v>1</x:v>
      </x:c>
      <x:c r="G310" t="inlineStr">
        <x:is>
          <x:t xml:space="preserve">-</x:t>
        </x:is>
      </x:c>
      <x:c r="I310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0" t="inlineStr">
        <x:is>
          <x:t xml:space="preserve">Control lag = how fast controls adapt to change.</x:t>
        </x:is>
      </x:c>
      <x:c r="L310" t="inlineStr">
        <x:is>
          <x:t xml:space="preserve">RISK_STD</x:t>
        </x:is>
      </x:c>
      <x:c r="M310" t="n">
        <x:v>1</x:v>
      </x:c>
      <x:c r="P310" t="inlineStr">
        <x:is>
          <x:t xml:space="preserve">HR-D6-Q20-A2</x:t>
        </x:is>
      </x:c>
      <x:c r="Q310" t="n">
        <x:v>3</x:v>
      </x:c>
      <x:c r="R310" t="inlineStr">
        <x:is>
          <x:t xml:space="preserve">Manual: HR informs others, but timing varies; no checklist.</x:t>
        </x:is>
      </x:c>
      <x:c r="S310" t="n">
        <x:v>1</x:v>
      </x:c>
      <x:c r="T310" t="inlineStr">
        <x:is>
          <x:t xml:space="preserve">shadow_mature_signal</x:t>
        </x:is>
      </x:c>
      <x:c r="U310" t="inlineStr">
        <x:is>
          <x:t xml:space="preserve">Control Lag</x:t>
        </x:is>
      </x:c>
      <x:c r="V310" t="inlineStr">
        <x:is>
          <x:t xml:space="preserve">Standardize and measure lag</x:t>
        </x:is>
      </x:c>
      <x:c r="W310" t="inlineStr">
        <x:is>
          <x:t xml:space="preserve">N</x:t>
        </x:is>
      </x:c>
      <x:c r="Y310">
        <x:f>(S310*IF(E310="G",F310,0))+(S310*IF(G310="G",H310,0))</x:f>
      </x:c>
      <x:c r="Z310">
        <x:f>(S310*IF(E310="E",F310,0))+(S310*IF(G310="E",H310,0))</x:f>
      </x:c>
      <x:c r="AA310">
        <x:f>(S310*IF(E310="T",F310,0))+(S310*IF(G310="T",H310,0))</x:f>
      </x:c>
      <x:c r="AB310">
        <x:f>(S310*IF(E310="L",F310,0))+(S310*IF(G310="L",H310,0))</x:f>
      </x:c>
      <x:c r="AC310">
        <x:f>(S310*IF(E310="H",F310,0))+(S310*IF(G310="H",H310,0))</x:f>
      </x:c>
      <x:c r="AD310">
        <x:f>(S310*IF(E310="V",F310,0))+(S310*IF(G310="V",H310,0))</x:f>
      </x:c>
      <x:c r="AE310">
        <x:f>(S310*IF(E310="R",F310,0))+(S310*IF(G310="R",H310,0))</x:f>
      </x:c>
      <x:c r="AF310">
        <x:f>(S310*IF(E310="F",F310,0))+(S310*IF(G310="F",H310,0))</x:f>
      </x:c>
      <x:c r="AG310">
        <x:f>(S310*IF(E310="W",F310,0))+(S310*IF(G310="W",H310,0))</x:f>
      </x:c>
      <x:c r="AH310" t="inlineStr">
        <x:is>
          <x:t xml:space="preserve">5. Human-Centric Culture</x:t>
        </x:is>
      </x:c>
      <x:c r="AI310" t="inlineStr">
        <x:is>
          <x:t xml:space="preserve">Personnel Security</x:t>
        </x:is>
      </x:c>
      <x:c r="AJ310" t="inlineStr">
        <x:is>
          <x:t xml:space="preserve">High-Risk Role Identification &amp; Control Tiers</x:t>
        </x:is>
      </x:c>
    </x:row>
    <x:row r="311">
      <x:c r="A311" t="inlineStr">
        <x:is>
          <x:t xml:space="preserve">HR</x:t>
        </x:is>
      </x:c>
      <x:c r="B311" t="inlineStr">
        <x:is>
          <x:t xml:space="preserve">HR-D6-Q20</x:t>
        </x:is>
      </x:c>
      <x:c r="C311" t="inlineStr">
        <x:is>
          <x:t xml:space="preserve">T1</x:t>
        </x:is>
      </x:c>
      <x:c r="D311" t="inlineStr">
        <x:is>
          <x:t xml:space="preserve">6. Change Events (Layoffs/M&amp;A/Re-org)</x:t>
        </x:is>
      </x:c>
      <x:c r="E311" t="inlineStr">
        <x:is>
          <x:t xml:space="preserve">W</x:t>
        </x:is>
      </x:c>
      <x:c r="F311" t="n">
        <x:v>1</x:v>
      </x:c>
      <x:c r="G311" t="inlineStr">
        <x:is>
          <x:t xml:space="preserve">-</x:t>
        </x:is>
      </x:c>
      <x:c r="I311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1" t="inlineStr">
        <x:is>
          <x:t xml:space="preserve">Control lag = how fast controls adapt to change.</x:t>
        </x:is>
      </x:c>
      <x:c r="L311" t="inlineStr">
        <x:is>
          <x:t xml:space="preserve">RISK_STD</x:t>
        </x:is>
      </x:c>
      <x:c r="M311" t="n">
        <x:v>1</x:v>
      </x:c>
      <x:c r="P311" t="inlineStr">
        <x:is>
          <x:t xml:space="preserve">HR-D6-Q20-A3</x:t>
        </x:is>
      </x:c>
      <x:c r="Q311" t="n">
        <x:v>4</x:v>
      </x:c>
      <x:c r="R311" t="inlineStr">
        <x:is>
          <x:t xml:space="preserve">Defined: process exists; critical updates happen within weeks.</x:t>
        </x:is>
      </x:c>
      <x:c r="S311" t="n">
        <x:v>2</x:v>
      </x:c>
      <x:c r="U311" t="inlineStr">
        <x:is>
          <x:t xml:space="preserve">Control Lag</x:t>
        </x:is>
      </x:c>
      <x:c r="V311" t="inlineStr">
        <x:is>
          <x:t xml:space="preserve">Reduce lag for critical roles</x:t>
        </x:is>
      </x:c>
      <x:c r="W311" t="inlineStr">
        <x:is>
          <x:t xml:space="preserve">N</x:t>
        </x:is>
      </x:c>
      <x:c r="X311" t="inlineStr">
        <x:is>
          <x:t xml:space="preserve">Evidence: checklist/comms.</x:t>
        </x:is>
      </x:c>
      <x:c r="Y311">
        <x:f>(S311*IF(E311="G",F311,0))+(S311*IF(G311="G",H311,0))</x:f>
      </x:c>
      <x:c r="Z311">
        <x:f>(S311*IF(E311="E",F311,0))+(S311*IF(G311="E",H311,0))</x:f>
      </x:c>
      <x:c r="AA311">
        <x:f>(S311*IF(E311="T",F311,0))+(S311*IF(G311="T",H311,0))</x:f>
      </x:c>
      <x:c r="AB311">
        <x:f>(S311*IF(E311="L",F311,0))+(S311*IF(G311="L",H311,0))</x:f>
      </x:c>
      <x:c r="AC311">
        <x:f>(S311*IF(E311="H",F311,0))+(S311*IF(G311="H",H311,0))</x:f>
      </x:c>
      <x:c r="AD311">
        <x:f>(S311*IF(E311="V",F311,0))+(S311*IF(G311="V",H311,0))</x:f>
      </x:c>
      <x:c r="AE311">
        <x:f>(S311*IF(E311="R",F311,0))+(S311*IF(G311="R",H311,0))</x:f>
      </x:c>
      <x:c r="AF311">
        <x:f>(S311*IF(E311="F",F311,0))+(S311*IF(G311="F",H311,0))</x:f>
      </x:c>
      <x:c r="AG311">
        <x:f>(S311*IF(E311="W",F311,0))+(S311*IF(G311="W",H311,0))</x:f>
      </x:c>
      <x:c r="AH311" t="inlineStr">
        <x:is>
          <x:t xml:space="preserve">5. Human-Centric Culture</x:t>
        </x:is>
      </x:c>
      <x:c r="AI311" t="inlineStr">
        <x:is>
          <x:t xml:space="preserve">Personnel Security</x:t>
        </x:is>
      </x:c>
      <x:c r="AJ311" t="inlineStr">
        <x:is>
          <x:t xml:space="preserve">High-Risk Role Identification &amp; Control Tiers</x:t>
        </x:is>
      </x:c>
    </x:row>
    <x:row r="312">
      <x:c r="A312" t="inlineStr">
        <x:is>
          <x:t xml:space="preserve">HR</x:t>
        </x:is>
      </x:c>
      <x:c r="B312" t="inlineStr">
        <x:is>
          <x:t xml:space="preserve">HR-D6-Q20</x:t>
        </x:is>
      </x:c>
      <x:c r="C312" t="inlineStr">
        <x:is>
          <x:t xml:space="preserve">T1</x:t>
        </x:is>
      </x:c>
      <x:c r="D312" t="inlineStr">
        <x:is>
          <x:t xml:space="preserve">6. Change Events (Layoffs/M&amp;A/Re-org)</x:t>
        </x:is>
      </x:c>
      <x:c r="E312" t="inlineStr">
        <x:is>
          <x:t xml:space="preserve">W</x:t>
        </x:is>
      </x:c>
      <x:c r="F312" t="n">
        <x:v>1</x:v>
      </x:c>
      <x:c r="G312" t="inlineStr">
        <x:is>
          <x:t xml:space="preserve">-</x:t>
        </x:is>
      </x:c>
      <x:c r="I312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2" t="inlineStr">
        <x:is>
          <x:t xml:space="preserve">Control lag = how fast controls adapt to change.</x:t>
        </x:is>
      </x:c>
      <x:c r="L312" t="inlineStr">
        <x:is>
          <x:t xml:space="preserve">RISK_STD</x:t>
        </x:is>
      </x:c>
      <x:c r="M312" t="n">
        <x:v>1</x:v>
      </x:c>
      <x:c r="P312" t="inlineStr">
        <x:is>
          <x:t xml:space="preserve">HR-D6-Q20-A4</x:t>
        </x:is>
      </x:c>
      <x:c r="Q312" t="n">
        <x:v>5</x:v>
      </x:c>
      <x:c r="R312" t="inlineStr">
        <x:is>
          <x:t xml:space="preserve">Managed: critical updates happen within days; responsibilities clear.</x:t>
        </x:is>
      </x:c>
      <x:c r="S312" t="n">
        <x:v>3</x:v>
      </x:c>
      <x:c r="U312" t="inlineStr">
        <x:is>
          <x:t xml:space="preserve">Control Lag</x:t>
        </x:is>
      </x:c>
      <x:c r="V312" t="inlineStr">
        <x:is>
          <x:t xml:space="preserve">Maintain and test</x:t>
        </x:is>
      </x:c>
      <x:c r="W312" t="inlineStr">
        <x:is>
          <x:t xml:space="preserve">N</x:t>
        </x:is>
      </x:c>
      <x:c r="X312" t="inlineStr">
        <x:is>
          <x:t xml:space="preserve">Evidence: timelines from recent event.</x:t>
        </x:is>
      </x:c>
      <x:c r="Y312">
        <x:f>(S312*IF(E312="G",F312,0))+(S312*IF(G312="G",H312,0))</x:f>
      </x:c>
      <x:c r="Z312">
        <x:f>(S312*IF(E312="E",F312,0))+(S312*IF(G312="E",H312,0))</x:f>
      </x:c>
      <x:c r="AA312">
        <x:f>(S312*IF(E312="T",F312,0))+(S312*IF(G312="T",H312,0))</x:f>
      </x:c>
      <x:c r="AB312">
        <x:f>(S312*IF(E312="L",F312,0))+(S312*IF(G312="L",H312,0))</x:f>
      </x:c>
      <x:c r="AC312">
        <x:f>(S312*IF(E312="H",F312,0))+(S312*IF(G312="H",H312,0))</x:f>
      </x:c>
      <x:c r="AD312">
        <x:f>(S312*IF(E312="V",F312,0))+(S312*IF(G312="V",H312,0))</x:f>
      </x:c>
      <x:c r="AE312">
        <x:f>(S312*IF(E312="R",F312,0))+(S312*IF(G312="R",H312,0))</x:f>
      </x:c>
      <x:c r="AF312">
        <x:f>(S312*IF(E312="F",F312,0))+(S312*IF(G312="F",H312,0))</x:f>
      </x:c>
      <x:c r="AG312">
        <x:f>(S312*IF(E312="W",F312,0))+(S312*IF(G312="W",H312,0))</x:f>
      </x:c>
      <x:c r="AH312" t="inlineStr">
        <x:is>
          <x:t xml:space="preserve">5. Human-Centric Culture</x:t>
        </x:is>
      </x:c>
      <x:c r="AI312" t="inlineStr">
        <x:is>
          <x:t xml:space="preserve">Personnel Security</x:t>
        </x:is>
      </x:c>
      <x:c r="AJ312" t="inlineStr">
        <x:is>
          <x:t xml:space="preserve">High-Risk Role Identification &amp; Control Tiers</x:t>
        </x:is>
      </x:c>
    </x:row>
    <x:row r="313">
      <x:c r="A313" t="inlineStr">
        <x:is>
          <x:t xml:space="preserve">HR</x:t>
        </x:is>
      </x:c>
      <x:c r="B313" t="inlineStr">
        <x:is>
          <x:t xml:space="preserve">HR-D6-Q20</x:t>
        </x:is>
      </x:c>
      <x:c r="C313" t="inlineStr">
        <x:is>
          <x:t xml:space="preserve">T1</x:t>
        </x:is>
      </x:c>
      <x:c r="D313" t="inlineStr">
        <x:is>
          <x:t xml:space="preserve">6. Change Events (Layoffs/M&amp;A/Re-org)</x:t>
        </x:is>
      </x:c>
      <x:c r="E313" t="inlineStr">
        <x:is>
          <x:t xml:space="preserve">W</x:t>
        </x:is>
      </x:c>
      <x:c r="F313" t="n">
        <x:v>1</x:v>
      </x:c>
      <x:c r="G313" t="inlineStr">
        <x:is>
          <x:t xml:space="preserve">-</x:t>
        </x:is>
      </x:c>
      <x:c r="I31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3" t="inlineStr">
        <x:is>
          <x:t xml:space="preserve">Control lag = how fast controls adapt to change.</x:t>
        </x:is>
      </x:c>
      <x:c r="L313" t="inlineStr">
        <x:is>
          <x:t xml:space="preserve">RISK_STD</x:t>
        </x:is>
      </x:c>
      <x:c r="M313" t="n">
        <x:v>1</x:v>
      </x:c>
      <x:c r="P313" t="inlineStr">
        <x:is>
          <x:t xml:space="preserve">HR-D6-Q20-A5</x:t>
        </x:is>
      </x:c>
      <x:c r="Q313" t="n">
        <x:v>6</x:v>
      </x:c>
      <x:c r="R313" t="inlineStr">
        <x:is>
          <x:t xml:space="preserve">Optimized: triggers and measurable lag; lessons learned applied each event.</x:t>
        </x:is>
      </x:c>
      <x:c r="S313" t="n">
        <x:v>4</x:v>
      </x:c>
      <x:c r="U313" t="inlineStr">
        <x:is>
          <x:t xml:space="preserve">Control Lag</x:t>
        </x:is>
      </x:c>
      <x:c r="V313" t="inlineStr">
        <x:is>
          <x:t xml:space="preserve">Continuous improvement</x:t>
        </x:is>
      </x:c>
      <x:c r="W313" t="inlineStr">
        <x:is>
          <x:t xml:space="preserve">N</x:t>
        </x:is>
      </x:c>
      <x:c r="X313" t="inlineStr">
        <x:is>
          <x:t xml:space="preserve">Evidence: lag metrics.</x:t>
        </x:is>
      </x:c>
      <x:c r="Y313">
        <x:f>(S313*IF(E313="G",F313,0))+(S313*IF(G313="G",H313,0))</x:f>
      </x:c>
      <x:c r="Z313">
        <x:f>(S313*IF(E313="E",F313,0))+(S313*IF(G313="E",H313,0))</x:f>
      </x:c>
      <x:c r="AA313">
        <x:f>(S313*IF(E313="T",F313,0))+(S313*IF(G313="T",H313,0))</x:f>
      </x:c>
      <x:c r="AB313">
        <x:f>(S313*IF(E313="L",F313,0))+(S313*IF(G313="L",H313,0))</x:f>
      </x:c>
      <x:c r="AC313">
        <x:f>(S313*IF(E313="H",F313,0))+(S313*IF(G313="H",H313,0))</x:f>
      </x:c>
      <x:c r="AD313">
        <x:f>(S313*IF(E313="V",F313,0))+(S313*IF(G313="V",H313,0))</x:f>
      </x:c>
      <x:c r="AE313">
        <x:f>(S313*IF(E313="R",F313,0))+(S313*IF(G313="R",H313,0))</x:f>
      </x:c>
      <x:c r="AF313">
        <x:f>(S313*IF(E313="F",F313,0))+(S313*IF(G313="F",H313,0))</x:f>
      </x:c>
      <x:c r="AG313">
        <x:f>(S313*IF(E313="W",F313,0))+(S313*IF(G313="W",H313,0))</x:f>
      </x:c>
      <x:c r="AH313" t="inlineStr">
        <x:is>
          <x:t xml:space="preserve">5. Human-Centric Culture</x:t>
        </x:is>
      </x:c>
      <x:c r="AI313" t="inlineStr">
        <x:is>
          <x:t xml:space="preserve">Personnel Security</x:t>
        </x:is>
      </x:c>
      <x:c r="AJ313" t="inlineStr">
        <x:is>
          <x:t xml:space="preserve">High-Risk Role Identification &amp; Control Tiers</x:t>
        </x:is>
      </x:c>
    </x:row>
    <x:row r="314">
      <x:c r="A314" t="inlineStr">
        <x:is>
          <x:t xml:space="preserve">HR</x:t>
        </x:is>
      </x:c>
      <x:c r="B314" t="inlineStr">
        <x:is>
          <x:t xml:space="preserve">HR-D6-Q21</x:t>
        </x:is>
      </x:c>
      <x:c r="C314" t="inlineStr">
        <x:is>
          <x:t xml:space="preserve">T2</x:t>
        </x:is>
      </x:c>
      <x:c r="D314" t="inlineStr">
        <x:is>
          <x:t xml:space="preserve">6. Change Events (Layoffs/M&amp;A/Re-org)</x:t>
        </x:is>
      </x:c>
      <x:c r="E314" t="inlineStr">
        <x:is>
          <x:t xml:space="preserve">E</x:t>
        </x:is>
      </x:c>
      <x:c r="F314" t="n">
        <x:v>1</x:v>
      </x:c>
      <x:c r="G314" t="inlineStr">
        <x:is>
          <x:t xml:space="preserve">-</x:t>
        </x:is>
      </x:c>
      <x:c r="I314" t="inlineStr">
        <x:is>
          <x:t xml:space="preserve">(Shadow probe) How are change events communicated to IT/Security today, and how timely is the information?</x:t>
        </x:is>
      </x:c>
      <x:c r="J314" t="inlineStr">
        <x:is>
          <x:t xml:space="preserve">Think: leaver lists, role changes, org changes, contractor changes.</x:t>
        </x:is>
      </x:c>
      <x:c r="L314" t="inlineStr">
        <x:is>
          <x:t xml:space="preserve">OPS_STD</x:t>
        </x:is>
      </x:c>
      <x:c r="M314" t="n">
        <x:v>1</x:v>
      </x:c>
      <x:c r="P314" t="inlineStr">
        <x:is>
          <x:t xml:space="preserve">HR-D6-Q21-A1</x:t>
        </x:is>
      </x:c>
      <x:c r="Q314" t="n">
        <x:v>1</x:v>
      </x:c>
      <x:c r="R314" t="inlineStr">
        <x:is>
          <x:t xml:space="preserve">Unreliable: updates are late or incomplete.</x:t>
        </x:is>
      </x:c>
      <x:c r="S314" t="n">
        <x:v>0</x:v>
      </x:c>
      <x:c r="T314" t="inlineStr">
        <x:is>
          <x:t xml:space="preserve">control_lag</x:t>
        </x:is>
      </x:c>
      <x:c r="U314" t="inlineStr">
        <x:is>
          <x:t xml:space="preserve">Control Lag</x:t>
        </x:is>
      </x:c>
      <x:c r="V314" t="inlineStr">
        <x:is>
          <x:t xml:space="preserve">Improve timeliness</x:t>
        </x:is>
      </x:c>
      <x:c r="W314" t="inlineStr">
        <x:is>
          <x:t xml:space="preserve">N</x:t>
        </x:is>
      </x:c>
      <x:c r="Y314">
        <x:f>(S314*IF(E314="G",F314,0))+(S314*IF(G314="G",H314,0))</x:f>
      </x:c>
      <x:c r="Z314">
        <x:f>(S314*IF(E314="E",F314,0))+(S314*IF(G314="E",H314,0))</x:f>
      </x:c>
      <x:c r="AA314">
        <x:f>(S314*IF(E314="T",F314,0))+(S314*IF(G314="T",H314,0))</x:f>
      </x:c>
      <x:c r="AB314">
        <x:f>(S314*IF(E314="L",F314,0))+(S314*IF(G314="L",H314,0))</x:f>
      </x:c>
      <x:c r="AC314">
        <x:f>(S314*IF(E314="H",F314,0))+(S314*IF(G314="H",H314,0))</x:f>
      </x:c>
      <x:c r="AD314">
        <x:f>(S314*IF(E314="V",F314,0))+(S314*IF(G314="V",H314,0))</x:f>
      </x:c>
      <x:c r="AE314">
        <x:f>(S314*IF(E314="R",F314,0))+(S314*IF(G314="R",H314,0))</x:f>
      </x:c>
      <x:c r="AF314">
        <x:f>(S314*IF(E314="F",F314,0))+(S314*IF(G314="F",H314,0))</x:f>
      </x:c>
      <x:c r="AG314">
        <x:f>(S314*IF(E314="W",F314,0))+(S314*IF(G314="W",H314,0))</x:f>
      </x:c>
      <x:c r="AH314" t="inlineStr">
        <x:is>
          <x:t xml:space="preserve">3. Risk Management</x:t>
        </x:is>
      </x:c>
      <x:c r="AI314" t="inlineStr">
        <x:is>
          <x:t xml:space="preserve">Inventory &amp; Scope</x:t>
        </x:is>
      </x:c>
      <x:c r="AJ314" t="inlineStr">
        <x:is>
          <x:t xml:space="preserve">Third-party/contractor scoping</x:t>
        </x:is>
      </x:c>
    </x:row>
    <x:row r="315">
      <x:c r="A315" t="inlineStr">
        <x:is>
          <x:t xml:space="preserve">HR</x:t>
        </x:is>
      </x:c>
      <x:c r="B315" t="inlineStr">
        <x:is>
          <x:t xml:space="preserve">HR-D6-Q21</x:t>
        </x:is>
      </x:c>
      <x:c r="C315" t="inlineStr">
        <x:is>
          <x:t xml:space="preserve">T2</x:t>
        </x:is>
      </x:c>
      <x:c r="D315" t="inlineStr">
        <x:is>
          <x:t xml:space="preserve">6. Change Events (Layoffs/M&amp;A/Re-org)</x:t>
        </x:is>
      </x:c>
      <x:c r="E315" t="inlineStr">
        <x:is>
          <x:t xml:space="preserve">E</x:t>
        </x:is>
      </x:c>
      <x:c r="F315" t="n">
        <x:v>1</x:v>
      </x:c>
      <x:c r="G315" t="inlineStr">
        <x:is>
          <x:t xml:space="preserve">-</x:t>
        </x:is>
      </x:c>
      <x:c r="I315" t="inlineStr">
        <x:is>
          <x:t xml:space="preserve">(Shadow probe) How are change events communicated to IT/Security today, and how timely is the information?</x:t>
        </x:is>
      </x:c>
      <x:c r="J315" t="inlineStr">
        <x:is>
          <x:t xml:space="preserve">Think: leaver lists, role changes, org changes, contractor changes.</x:t>
        </x:is>
      </x:c>
      <x:c r="L315" t="inlineStr">
        <x:is>
          <x:t xml:space="preserve">OPS_STD</x:t>
        </x:is>
      </x:c>
      <x:c r="M315" t="n">
        <x:v>1</x:v>
      </x:c>
      <x:c r="P315" t="inlineStr">
        <x:is>
          <x:t xml:space="preserve">HR-D6-Q21-A2</x:t>
        </x:is>
      </x:c>
      <x:c r="Q315" t="n">
        <x:v>2</x:v>
      </x:c>
      <x:c r="R315" t="inlineStr">
        <x:is>
          <x:t xml:space="preserve">Email/spreadsheets: provided but often delayed.</x:t>
        </x:is>
      </x:c>
      <x:c r="S315" t="n">
        <x:v>1</x:v>
      </x:c>
      <x:c r="T315" t="inlineStr">
        <x:is>
          <x:t xml:space="preserve">shadow_mature_signal</x:t>
        </x:is>
      </x:c>
      <x:c r="U315" t="inlineStr">
        <x:is>
          <x:t xml:space="preserve">Control Lag</x:t>
        </x:is>
      </x:c>
      <x:c r="V315" t="inlineStr">
        <x:is>
          <x:t xml:space="preserve">Create standard cadence</x:t>
        </x:is>
      </x:c>
      <x:c r="W315" t="inlineStr">
        <x:is>
          <x:t xml:space="preserve">N</x:t>
        </x:is>
      </x:c>
      <x:c r="Y315">
        <x:f>(S315*IF(E315="G",F315,0))+(S315*IF(G315="G",H315,0))</x:f>
      </x:c>
      <x:c r="Z315">
        <x:f>(S315*IF(E315="E",F315,0))+(S315*IF(G315="E",H315,0))</x:f>
      </x:c>
      <x:c r="AA315">
        <x:f>(S315*IF(E315="T",F315,0))+(S315*IF(G315="T",H315,0))</x:f>
      </x:c>
      <x:c r="AB315">
        <x:f>(S315*IF(E315="L",F315,0))+(S315*IF(G315="L",H315,0))</x:f>
      </x:c>
      <x:c r="AC315">
        <x:f>(S315*IF(E315="H",F315,0))+(S315*IF(G315="H",H315,0))</x:f>
      </x:c>
      <x:c r="AD315">
        <x:f>(S315*IF(E315="V",F315,0))+(S315*IF(G315="V",H315,0))</x:f>
      </x:c>
      <x:c r="AE315">
        <x:f>(S315*IF(E315="R",F315,0))+(S315*IF(G315="R",H315,0))</x:f>
      </x:c>
      <x:c r="AF315">
        <x:f>(S315*IF(E315="F",F315,0))+(S315*IF(G315="F",H315,0))</x:f>
      </x:c>
      <x:c r="AG315">
        <x:f>(S315*IF(E315="W",F315,0))+(S315*IF(G315="W",H315,0))</x:f>
      </x:c>
      <x:c r="AH315" t="inlineStr">
        <x:is>
          <x:t xml:space="preserve">3. Risk Management</x:t>
        </x:is>
      </x:c>
      <x:c r="AI315" t="inlineStr">
        <x:is>
          <x:t xml:space="preserve">Inventory &amp; Scope</x:t>
        </x:is>
      </x:c>
      <x:c r="AJ315" t="inlineStr">
        <x:is>
          <x:t xml:space="preserve">Third-party/contractor scoping</x:t>
        </x:is>
      </x:c>
    </x:row>
    <x:row r="316">
      <x:c r="A316" t="inlineStr">
        <x:is>
          <x:t xml:space="preserve">HR</x:t>
        </x:is>
      </x:c>
      <x:c r="B316" t="inlineStr">
        <x:is>
          <x:t xml:space="preserve">HR-D6-Q21</x:t>
        </x:is>
      </x:c>
      <x:c r="C316" t="inlineStr">
        <x:is>
          <x:t xml:space="preserve">T2</x:t>
        </x:is>
      </x:c>
      <x:c r="D316" t="inlineStr">
        <x:is>
          <x:t xml:space="preserve">6. Change Events (Layoffs/M&amp;A/Re-org)</x:t>
        </x:is>
      </x:c>
      <x:c r="E316" t="inlineStr">
        <x:is>
          <x:t xml:space="preserve">E</x:t>
        </x:is>
      </x:c>
      <x:c r="F316" t="n">
        <x:v>1</x:v>
      </x:c>
      <x:c r="G316" t="inlineStr">
        <x:is>
          <x:t xml:space="preserve">-</x:t>
        </x:is>
      </x:c>
      <x:c r="I316" t="inlineStr">
        <x:is>
          <x:t xml:space="preserve">(Shadow probe) How are change events communicated to IT/Security today, and how timely is the information?</x:t>
        </x:is>
      </x:c>
      <x:c r="J316" t="inlineStr">
        <x:is>
          <x:t xml:space="preserve">Think: leaver lists, role changes, org changes, contractor changes.</x:t>
        </x:is>
      </x:c>
      <x:c r="L316" t="inlineStr">
        <x:is>
          <x:t xml:space="preserve">OPS_STD</x:t>
        </x:is>
      </x:c>
      <x:c r="M316" t="n">
        <x:v>1</x:v>
      </x:c>
      <x:c r="P316" t="inlineStr">
        <x:is>
          <x:t xml:space="preserve">HR-D6-Q21-A3</x:t>
        </x:is>
      </x:c>
      <x:c r="Q316" t="n">
        <x:v>3</x:v>
      </x:c>
      <x:c r="R316" t="inlineStr">
        <x:is>
          <x:t xml:space="preserve">Regular cadence; still delays for urgent changes.</x:t>
        </x:is>
      </x:c>
      <x:c r="S316" t="n">
        <x:v>2</x:v>
      </x:c>
      <x:c r="U316" t="inlineStr">
        <x:is>
          <x:t xml:space="preserve">Control Lag</x:t>
        </x:is>
      </x:c>
      <x:c r="V316" t="inlineStr">
        <x:is>
          <x:t xml:space="preserve">Add urgent escalation</x:t>
        </x:is>
      </x:c>
      <x:c r="W316" t="inlineStr">
        <x:is>
          <x:t xml:space="preserve">N</x:t>
        </x:is>
      </x:c>
      <x:c r="Y316">
        <x:f>(S316*IF(E316="G",F316,0))+(S316*IF(G316="G",H316,0))</x:f>
      </x:c>
      <x:c r="Z316">
        <x:f>(S316*IF(E316="E",F316,0))+(S316*IF(G316="E",H316,0))</x:f>
      </x:c>
      <x:c r="AA316">
        <x:f>(S316*IF(E316="T",F316,0))+(S316*IF(G316="T",H316,0))</x:f>
      </x:c>
      <x:c r="AB316">
        <x:f>(S316*IF(E316="L",F316,0))+(S316*IF(G316="L",H316,0))</x:f>
      </x:c>
      <x:c r="AC316">
        <x:f>(S316*IF(E316="H",F316,0))+(S316*IF(G316="H",H316,0))</x:f>
      </x:c>
      <x:c r="AD316">
        <x:f>(S316*IF(E316="V",F316,0))+(S316*IF(G316="V",H316,0))</x:f>
      </x:c>
      <x:c r="AE316">
        <x:f>(S316*IF(E316="R",F316,0))+(S316*IF(G316="R",H316,0))</x:f>
      </x:c>
      <x:c r="AF316">
        <x:f>(S316*IF(E316="F",F316,0))+(S316*IF(G316="F",H316,0))</x:f>
      </x:c>
      <x:c r="AG316">
        <x:f>(S316*IF(E316="W",F316,0))+(S316*IF(G316="W",H316,0))</x:f>
      </x:c>
      <x:c r="AH316" t="inlineStr">
        <x:is>
          <x:t xml:space="preserve">3. Risk Management</x:t>
        </x:is>
      </x:c>
      <x:c r="AI316" t="inlineStr">
        <x:is>
          <x:t xml:space="preserve">Inventory &amp; Scope</x:t>
        </x:is>
      </x:c>
      <x:c r="AJ316" t="inlineStr">
        <x:is>
          <x:t xml:space="preserve">Third-party/contractor scoping</x:t>
        </x:is>
      </x:c>
    </x:row>
    <x:row r="317">
      <x:c r="A317" t="inlineStr">
        <x:is>
          <x:t xml:space="preserve">HR</x:t>
        </x:is>
      </x:c>
      <x:c r="B317" t="inlineStr">
        <x:is>
          <x:t xml:space="preserve">HR-D6-Q21</x:t>
        </x:is>
      </x:c>
      <x:c r="C317" t="inlineStr">
        <x:is>
          <x:t xml:space="preserve">T2</x:t>
        </x:is>
      </x:c>
      <x:c r="D317" t="inlineStr">
        <x:is>
          <x:t xml:space="preserve">6. Change Events (Layoffs/M&amp;A/Re-org)</x:t>
        </x:is>
      </x:c>
      <x:c r="E317" t="inlineStr">
        <x:is>
          <x:t xml:space="preserve">E</x:t>
        </x:is>
      </x:c>
      <x:c r="F317" t="n">
        <x:v>1</x:v>
      </x:c>
      <x:c r="G317" t="inlineStr">
        <x:is>
          <x:t xml:space="preserve">-</x:t>
        </x:is>
      </x:c>
      <x:c r="I317" t="inlineStr">
        <x:is>
          <x:t xml:space="preserve">(Shadow probe) How are change events communicated to IT/Security today, and how timely is the information?</x:t>
        </x:is>
      </x:c>
      <x:c r="J317" t="inlineStr">
        <x:is>
          <x:t xml:space="preserve">Think: leaver lists, role changes, org changes, contractor changes.</x:t>
        </x:is>
      </x:c>
      <x:c r="L317" t="inlineStr">
        <x:is>
          <x:t xml:space="preserve">OPS_STD</x:t>
        </x:is>
      </x:c>
      <x:c r="M317" t="n">
        <x:v>1</x:v>
      </x:c>
      <x:c r="P317" t="inlineStr">
        <x:is>
          <x:t xml:space="preserve">HR-D6-Q21-A4</x:t>
        </x:is>
      </x:c>
      <x:c r="Q317" t="n">
        <x:v>4</x:v>
      </x:c>
      <x:c r="R317" t="inlineStr">
        <x:is>
          <x:t xml:space="preserve">Timely: critical updates within 24–48 hours with clear ownership.</x:t>
        </x:is>
      </x:c>
      <x:c r="S317" t="n">
        <x:v>3</x:v>
      </x:c>
      <x:c r="U317" t="inlineStr">
        <x:is>
          <x:t xml:space="preserve">Control Lag</x:t>
        </x:is>
      </x:c>
      <x:c r="V317" t="inlineStr">
        <x:is>
          <x:t xml:space="preserve">Maintain</x:t>
        </x:is>
      </x:c>
      <x:c r="W317" t="inlineStr">
        <x:is>
          <x:t xml:space="preserve">N</x:t>
        </x:is>
      </x:c>
      <x:c r="X317" t="inlineStr">
        <x:is>
          <x:t xml:space="preserve">Evidence: sample comms.</x:t>
        </x:is>
      </x:c>
      <x:c r="Y317">
        <x:f>(S317*IF(E317="G",F317,0))+(S317*IF(G317="G",H317,0))</x:f>
      </x:c>
      <x:c r="Z317">
        <x:f>(S317*IF(E317="E",F317,0))+(S317*IF(G317="E",H317,0))</x:f>
      </x:c>
      <x:c r="AA317">
        <x:f>(S317*IF(E317="T",F317,0))+(S317*IF(G317="T",H317,0))</x:f>
      </x:c>
      <x:c r="AB317">
        <x:f>(S317*IF(E317="L",F317,0))+(S317*IF(G317="L",H317,0))</x:f>
      </x:c>
      <x:c r="AC317">
        <x:f>(S317*IF(E317="H",F317,0))+(S317*IF(G317="H",H317,0))</x:f>
      </x:c>
      <x:c r="AD317">
        <x:f>(S317*IF(E317="V",F317,0))+(S317*IF(G317="V",H317,0))</x:f>
      </x:c>
      <x:c r="AE317">
        <x:f>(S317*IF(E317="R",F317,0))+(S317*IF(G317="R",H317,0))</x:f>
      </x:c>
      <x:c r="AF317">
        <x:f>(S317*IF(E317="F",F317,0))+(S317*IF(G317="F",H317,0))</x:f>
      </x:c>
      <x:c r="AG317">
        <x:f>(S317*IF(E317="W",F317,0))+(S317*IF(G317="W",H317,0))</x:f>
      </x:c>
      <x:c r="AH317" t="inlineStr">
        <x:is>
          <x:t xml:space="preserve">3. Risk Management</x:t>
        </x:is>
      </x:c>
      <x:c r="AI317" t="inlineStr">
        <x:is>
          <x:t xml:space="preserve">Inventory &amp; Scope</x:t>
        </x:is>
      </x:c>
      <x:c r="AJ317" t="inlineStr">
        <x:is>
          <x:t xml:space="preserve">Third-party/contractor scoping</x:t>
        </x:is>
      </x:c>
    </x:row>
    <x:row r="318">
      <x:c r="A318" t="inlineStr">
        <x:is>
          <x:t xml:space="preserve">HR</x:t>
        </x:is>
      </x:c>
      <x:c r="B318" t="inlineStr">
        <x:is>
          <x:t xml:space="preserve">HR-D6-Q22</x:t>
        </x:is>
      </x:c>
      <x:c r="C318" t="inlineStr">
        <x:is>
          <x:t xml:space="preserve">T2</x:t>
        </x:is>
      </x:c>
      <x:c r="D318" t="inlineStr">
        <x:is>
          <x:t xml:space="preserve">6. Change Events (Layoffs/M&amp;A/Re-org)</x:t>
        </x:is>
      </x:c>
      <x:c r="E318" t="inlineStr">
        <x:is>
          <x:t xml:space="preserve">G</x:t>
        </x:is>
      </x:c>
      <x:c r="F318" t="n">
        <x:v>0.5</x:v>
      </x:c>
      <x:c r="G318" t="inlineStr">
        <x:is>
          <x:t xml:space="preserve">W</x:t>
        </x:is>
      </x:c>
      <x:c r="H318" t="n">
        <x:v>0.5</x:v>
      </x:c>
      <x:c r="I318" t="inlineStr">
        <x:is>
          <x:t xml:space="preserve">Do you have a 'change event checklist' for people-risk controls (communications, access, monitoring approvals, support mechanisms)?</x:t>
        </x:is>
      </x:c>
      <x:c r="J318" t="inlineStr">
        <x:is>
          <x:t xml:space="preserve">Checklist should include legal/privacy review steps where required.</x:t>
        </x:is>
      </x:c>
      <x:c r="L318" t="inlineStr">
        <x:is>
          <x:t xml:space="preserve">GOV_STD</x:t>
        </x:is>
      </x:c>
      <x:c r="M318" t="n">
        <x:v>1</x:v>
      </x:c>
      <x:c r="P318" t="inlineStr">
        <x:is>
          <x:t xml:space="preserve">HR-D6-Q22-A1</x:t>
        </x:is>
      </x:c>
      <x:c r="Q318" t="n">
        <x:v>1</x:v>
      </x:c>
      <x:c r="R318" t="inlineStr">
        <x:is>
          <x:t xml:space="preserve">No checklist; teams improvise each time.</x:t>
        </x:is>
      </x:c>
      <x:c r="S318" t="n">
        <x:v>0</x:v>
      </x:c>
      <x:c r="T318" t="inlineStr">
        <x:is>
          <x:t xml:space="preserve">control_lag</x:t>
        </x:is>
      </x:c>
      <x:c r="U318" t="inlineStr">
        <x:is>
          <x:t xml:space="preserve">Control Lag</x:t>
        </x:is>
      </x:c>
      <x:c r="V318" t="inlineStr">
        <x:is>
          <x:t xml:space="preserve">Create checklist</x:t>
        </x:is>
      </x:c>
      <x:c r="W318" t="inlineStr">
        <x:is>
          <x:t xml:space="preserve">N</x:t>
        </x:is>
      </x:c>
      <x:c r="Y318">
        <x:f>(S318*IF(E318="G",F318,0))+(S318*IF(G318="G",H318,0))</x:f>
      </x:c>
      <x:c r="Z318">
        <x:f>(S318*IF(E318="E",F318,0))+(S318*IF(G318="E",H318,0))</x:f>
      </x:c>
      <x:c r="AA318">
        <x:f>(S318*IF(E318="T",F318,0))+(S318*IF(G318="T",H318,0))</x:f>
      </x:c>
      <x:c r="AB318">
        <x:f>(S318*IF(E318="L",F318,0))+(S318*IF(G318="L",H318,0))</x:f>
      </x:c>
      <x:c r="AC318">
        <x:f>(S318*IF(E318="H",F318,0))+(S318*IF(G318="H",H318,0))</x:f>
      </x:c>
      <x:c r="AD318">
        <x:f>(S318*IF(E318="V",F318,0))+(S318*IF(G318="V",H318,0))</x:f>
      </x:c>
      <x:c r="AE318">
        <x:f>(S318*IF(E318="R",F318,0))+(S318*IF(G318="R",H318,0))</x:f>
      </x:c>
      <x:c r="AF318">
        <x:f>(S318*IF(E318="F",F318,0))+(S318*IF(G318="F",H318,0))</x:f>
      </x:c>
      <x:c r="AG318">
        <x:f>(S318*IF(E318="W",F318,0))+(S318*IF(G318="W",H318,0))</x:f>
      </x:c>
      <x:c r="AH318" t="inlineStr">
        <x:is>
          <x:t xml:space="preserve">1. Strategy &amp; Governance</x:t>
        </x:is>
      </x:c>
      <x:c r="AI318" t="inlineStr">
        <x:is>
          <x:t xml:space="preserve">Scope &amp; Boundaries</x:t>
        </x:is>
      </x:c>
      <x:c r="AJ318" t="inlineStr">
        <x:is>
          <x:t xml:space="preserve">Exceptions &amp; risk acceptance</x:t>
        </x:is>
      </x:c>
    </x:row>
    <x:row r="319">
      <x:c r="A319" t="inlineStr">
        <x:is>
          <x:t xml:space="preserve">HR</x:t>
        </x:is>
      </x:c>
      <x:c r="B319" t="inlineStr">
        <x:is>
          <x:t xml:space="preserve">HR-D6-Q22</x:t>
        </x:is>
      </x:c>
      <x:c r="C319" t="inlineStr">
        <x:is>
          <x:t xml:space="preserve">T2</x:t>
        </x:is>
      </x:c>
      <x:c r="D319" t="inlineStr">
        <x:is>
          <x:t xml:space="preserve">6. Change Events (Layoffs/M&amp;A/Re-org)</x:t>
        </x:is>
      </x:c>
      <x:c r="E319" t="inlineStr">
        <x:is>
          <x:t xml:space="preserve">G</x:t>
        </x:is>
      </x:c>
      <x:c r="F319" t="n">
        <x:v>0.5</x:v>
      </x:c>
      <x:c r="G319" t="inlineStr">
        <x:is>
          <x:t xml:space="preserve">W</x:t>
        </x:is>
      </x:c>
      <x:c r="H319" t="n">
        <x:v>0.5</x:v>
      </x:c>
      <x:c r="I319" t="inlineStr">
        <x:is>
          <x:t xml:space="preserve">Do you have a 'change event checklist' for people-risk controls (communications, access, monitoring approvals, support mechanisms)?</x:t>
        </x:is>
      </x:c>
      <x:c r="J319" t="inlineStr">
        <x:is>
          <x:t xml:space="preserve">Checklist should include legal/privacy review steps where required.</x:t>
        </x:is>
      </x:c>
      <x:c r="L319" t="inlineStr">
        <x:is>
          <x:t xml:space="preserve">GOV_STD</x:t>
        </x:is>
      </x:c>
      <x:c r="M319" t="n">
        <x:v>1</x:v>
      </x:c>
      <x:c r="P319" t="inlineStr">
        <x:is>
          <x:t xml:space="preserve">HR-D6-Q22-A2</x:t>
        </x:is>
      </x:c>
      <x:c r="Q319" t="n">
        <x:v>2</x:v>
      </x:c>
      <x:c r="R319" t="inlineStr">
        <x:is>
          <x:t xml:space="preserve">Checklist exists but not used consistently.</x:t>
        </x:is>
      </x:c>
      <x:c r="S319" t="n">
        <x:v>1</x:v>
      </x:c>
      <x:c r="T319" t="inlineStr">
        <x:is>
          <x:t xml:space="preserve">paper_dragon_signal</x:t>
        </x:is>
      </x:c>
      <x:c r="U319" t="inlineStr">
        <x:is>
          <x:t xml:space="preserve">Paper Dragon</x:t>
        </x:is>
      </x:c>
      <x:c r="V319" t="inlineStr">
        <x:is>
          <x:t xml:space="preserve">Embed into change management</x:t>
        </x:is>
      </x:c>
      <x:c r="W319" t="inlineStr">
        <x:is>
          <x:t xml:space="preserve">N</x:t>
        </x:is>
      </x:c>
      <x:c r="X319" t="inlineStr">
        <x:is>
          <x:t xml:space="preserve">Evidence: checklist doc.</x:t>
        </x:is>
      </x:c>
      <x:c r="Y319">
        <x:f>(S319*IF(E319="G",F319,0))+(S319*IF(G319="G",H319,0))</x:f>
      </x:c>
      <x:c r="Z319">
        <x:f>(S319*IF(E319="E",F319,0))+(S319*IF(G319="E",H319,0))</x:f>
      </x:c>
      <x:c r="AA319">
        <x:f>(S319*IF(E319="T",F319,0))+(S319*IF(G319="T",H319,0))</x:f>
      </x:c>
      <x:c r="AB319">
        <x:f>(S319*IF(E319="L",F319,0))+(S319*IF(G319="L",H319,0))</x:f>
      </x:c>
      <x:c r="AC319">
        <x:f>(S319*IF(E319="H",F319,0))+(S319*IF(G319="H",H319,0))</x:f>
      </x:c>
      <x:c r="AD319">
        <x:f>(S319*IF(E319="V",F319,0))+(S319*IF(G319="V",H319,0))</x:f>
      </x:c>
      <x:c r="AE319">
        <x:f>(S319*IF(E319="R",F319,0))+(S319*IF(G319="R",H319,0))</x:f>
      </x:c>
      <x:c r="AF319">
        <x:f>(S319*IF(E319="F",F319,0))+(S319*IF(G319="F",H319,0))</x:f>
      </x:c>
      <x:c r="AG319">
        <x:f>(S319*IF(E319="W",F319,0))+(S319*IF(G319="W",H319,0))</x:f>
      </x:c>
      <x:c r="AH319" t="inlineStr">
        <x:is>
          <x:t xml:space="preserve">1. Strategy &amp; Governance</x:t>
        </x:is>
      </x:c>
      <x:c r="AI319" t="inlineStr">
        <x:is>
          <x:t xml:space="preserve">Scope &amp; Boundaries</x:t>
        </x:is>
      </x:c>
      <x:c r="AJ319" t="inlineStr">
        <x:is>
          <x:t xml:space="preserve">Exceptions &amp; risk acceptance</x:t>
        </x:is>
      </x:c>
    </x:row>
    <x:row r="320">
      <x:c r="A320" t="inlineStr">
        <x:is>
          <x:t xml:space="preserve">HR</x:t>
        </x:is>
      </x:c>
      <x:c r="B320" t="inlineStr">
        <x:is>
          <x:t xml:space="preserve">HR-D6-Q22</x:t>
        </x:is>
      </x:c>
      <x:c r="C320" t="inlineStr">
        <x:is>
          <x:t xml:space="preserve">T2</x:t>
        </x:is>
      </x:c>
      <x:c r="D320" t="inlineStr">
        <x:is>
          <x:t xml:space="preserve">6. Change Events (Layoffs/M&amp;A/Re-org)</x:t>
        </x:is>
      </x:c>
      <x:c r="E320" t="inlineStr">
        <x:is>
          <x:t xml:space="preserve">G</x:t>
        </x:is>
      </x:c>
      <x:c r="F320" t="n">
        <x:v>0.5</x:v>
      </x:c>
      <x:c r="G320" t="inlineStr">
        <x:is>
          <x:t xml:space="preserve">W</x:t>
        </x:is>
      </x:c>
      <x:c r="H320" t="n">
        <x:v>0.5</x:v>
      </x:c>
      <x:c r="I320" t="inlineStr">
        <x:is>
          <x:t xml:space="preserve">Do you have a 'change event checklist' for people-risk controls (communications, access, monitoring approvals, support mechanisms)?</x:t>
        </x:is>
      </x:c>
      <x:c r="J320" t="inlineStr">
        <x:is>
          <x:t xml:space="preserve">Checklist should include legal/privacy review steps where required.</x:t>
        </x:is>
      </x:c>
      <x:c r="L320" t="inlineStr">
        <x:is>
          <x:t xml:space="preserve">GOV_STD</x:t>
        </x:is>
      </x:c>
      <x:c r="M320" t="n">
        <x:v>1</x:v>
      </x:c>
      <x:c r="P320" t="inlineStr">
        <x:is>
          <x:t xml:space="preserve">HR-D6-Q22-A3</x:t>
        </x:is>
      </x:c>
      <x:c r="Q320" t="n">
        <x:v>3</x:v>
      </x:c>
      <x:c r="R320" t="inlineStr">
        <x:is>
          <x:t xml:space="preserve">Used for major events, not smaller re-orgs.</x:t>
        </x:is>
      </x:c>
      <x:c r="S320" t="n">
        <x:v>2</x:v>
      </x:c>
      <x:c r="U320" t="inlineStr">
        <x:is>
          <x:t xml:space="preserve">Control Lag</x:t>
        </x:is>
      </x:c>
      <x:c r="V320" t="inlineStr">
        <x:is>
          <x:t xml:space="preserve">Expand scope and automate</x:t>
        </x:is>
      </x:c>
      <x:c r="W320" t="inlineStr">
        <x:is>
          <x:t xml:space="preserve">N</x:t>
        </x:is>
      </x:c>
      <x:c r="Y320">
        <x:f>(S320*IF(E320="G",F320,0))+(S320*IF(G320="G",H320,0))</x:f>
      </x:c>
      <x:c r="Z320">
        <x:f>(S320*IF(E320="E",F320,0))+(S320*IF(G320="E",H320,0))</x:f>
      </x:c>
      <x:c r="AA320">
        <x:f>(S320*IF(E320="T",F320,0))+(S320*IF(G320="T",H320,0))</x:f>
      </x:c>
      <x:c r="AB320">
        <x:f>(S320*IF(E320="L",F320,0))+(S320*IF(G320="L",H320,0))</x:f>
      </x:c>
      <x:c r="AC320">
        <x:f>(S320*IF(E320="H",F320,0))+(S320*IF(G320="H",H320,0))</x:f>
      </x:c>
      <x:c r="AD320">
        <x:f>(S320*IF(E320="V",F320,0))+(S320*IF(G320="V",H320,0))</x:f>
      </x:c>
      <x:c r="AE320">
        <x:f>(S320*IF(E320="R",F320,0))+(S320*IF(G320="R",H320,0))</x:f>
      </x:c>
      <x:c r="AF320">
        <x:f>(S320*IF(E320="F",F320,0))+(S320*IF(G320="F",H320,0))</x:f>
      </x:c>
      <x:c r="AG320">
        <x:f>(S320*IF(E320="W",F320,0))+(S320*IF(G320="W",H320,0))</x:f>
      </x:c>
      <x:c r="AH320" t="inlineStr">
        <x:is>
          <x:t xml:space="preserve">1. Strategy &amp; Governance</x:t>
        </x:is>
      </x:c>
      <x:c r="AI320" t="inlineStr">
        <x:is>
          <x:t xml:space="preserve">Scope &amp; Boundaries</x:t>
        </x:is>
      </x:c>
      <x:c r="AJ320" t="inlineStr">
        <x:is>
          <x:t xml:space="preserve">Exceptions &amp; risk acceptance</x:t>
        </x:is>
      </x:c>
    </x:row>
    <x:row r="321">
      <x:c r="A321" t="inlineStr">
        <x:is>
          <x:t xml:space="preserve">HR</x:t>
        </x:is>
      </x:c>
      <x:c r="B321" t="inlineStr">
        <x:is>
          <x:t xml:space="preserve">HR-D6-Q22</x:t>
        </x:is>
      </x:c>
      <x:c r="C321" t="inlineStr">
        <x:is>
          <x:t xml:space="preserve">T2</x:t>
        </x:is>
      </x:c>
      <x:c r="D321" t="inlineStr">
        <x:is>
          <x:t xml:space="preserve">6. Change Events (Layoffs/M&amp;A/Re-org)</x:t>
        </x:is>
      </x:c>
      <x:c r="E321" t="inlineStr">
        <x:is>
          <x:t xml:space="preserve">G</x:t>
        </x:is>
      </x:c>
      <x:c r="F321" t="n">
        <x:v>0.5</x:v>
      </x:c>
      <x:c r="G321" t="inlineStr">
        <x:is>
          <x:t xml:space="preserve">W</x:t>
        </x:is>
      </x:c>
      <x:c r="H321" t="n">
        <x:v>0.5</x:v>
      </x:c>
      <x:c r="I321" t="inlineStr">
        <x:is>
          <x:t xml:space="preserve">Do you have a 'change event checklist' for people-risk controls (communications, access, monitoring approvals, support mechanisms)?</x:t>
        </x:is>
      </x:c>
      <x:c r="J321" t="inlineStr">
        <x:is>
          <x:t xml:space="preserve">Checklist should include legal/privacy review steps where required.</x:t>
        </x:is>
      </x:c>
      <x:c r="L321" t="inlineStr">
        <x:is>
          <x:t xml:space="preserve">GOV_STD</x:t>
        </x:is>
      </x:c>
      <x:c r="M321" t="n">
        <x:v>1</x:v>
      </x:c>
      <x:c r="P321" t="inlineStr">
        <x:is>
          <x:t xml:space="preserve">HR-D6-Q22-A4</x:t>
        </x:is>
      </x:c>
      <x:c r="Q321" t="n">
        <x:v>4</x:v>
      </x:c>
      <x:c r="R321" t="inlineStr">
        <x:is>
          <x:t xml:space="preserve">Used consistently; ownership clear; post-event review occurs.</x:t>
        </x:is>
      </x:c>
      <x:c r="S321" t="n">
        <x:v>3</x:v>
      </x:c>
      <x:c r="U321" t="inlineStr">
        <x:is>
          <x:t xml:space="preserve">Control Lag</x:t>
        </x:is>
      </x:c>
      <x:c r="V321" t="inlineStr">
        <x:is>
          <x:t xml:space="preserve">Maintain and improve</x:t>
        </x:is>
      </x:c>
      <x:c r="W321" t="inlineStr">
        <x:is>
          <x:t xml:space="preserve">N</x:t>
        </x:is>
      </x:c>
      <x:c r="X321" t="inlineStr">
        <x:is>
          <x:t xml:space="preserve">Evidence: post-event review notes.</x:t>
        </x:is>
      </x:c>
      <x:c r="Y321">
        <x:f>(S321*IF(E321="G",F321,0))+(S321*IF(G321="G",H321,0))</x:f>
      </x:c>
      <x:c r="Z321">
        <x:f>(S321*IF(E321="E",F321,0))+(S321*IF(G321="E",H321,0))</x:f>
      </x:c>
      <x:c r="AA321">
        <x:f>(S321*IF(E321="T",F321,0))+(S321*IF(G321="T",H321,0))</x:f>
      </x:c>
      <x:c r="AB321">
        <x:f>(S321*IF(E321="L",F321,0))+(S321*IF(G321="L",H321,0))</x:f>
      </x:c>
      <x:c r="AC321">
        <x:f>(S321*IF(E321="H",F321,0))+(S321*IF(G321="H",H321,0))</x:f>
      </x:c>
      <x:c r="AD321">
        <x:f>(S321*IF(E321="V",F321,0))+(S321*IF(G321="V",H321,0))</x:f>
      </x:c>
      <x:c r="AE321">
        <x:f>(S321*IF(E321="R",F321,0))+(S321*IF(G321="R",H321,0))</x:f>
      </x:c>
      <x:c r="AF321">
        <x:f>(S321*IF(E321="F",F321,0))+(S321*IF(G321="F",H321,0))</x:f>
      </x:c>
      <x:c r="AG321">
        <x:f>(S321*IF(E321="W",F321,0))+(S321*IF(G321="W",H321,0))</x:f>
      </x:c>
      <x:c r="AH321" t="inlineStr">
        <x:is>
          <x:t xml:space="preserve">1. Strategy &amp; Governance</x:t>
        </x:is>
      </x:c>
      <x:c r="AI321" t="inlineStr">
        <x:is>
          <x:t xml:space="preserve">Scope &amp; Boundaries</x:t>
        </x:is>
      </x:c>
      <x:c r="AJ321" t="inlineStr">
        <x:is>
          <x:t xml:space="preserve">Exceptions &amp; risk acceptance</x:t>
        </x:is>
      </x:c>
    </x:row>
    <x:row r="322">
      <x:c r="A322" t="inlineStr">
        <x:is>
          <x:t xml:space="preserve">HR</x:t>
        </x:is>
      </x:c>
      <x:c r="B322" t="inlineStr">
        <x:is>
          <x:t xml:space="preserve">HR-D6-Q22</x:t>
        </x:is>
      </x:c>
      <x:c r="C322" t="inlineStr">
        <x:is>
          <x:t xml:space="preserve">T2</x:t>
        </x:is>
      </x:c>
      <x:c r="D322" t="inlineStr">
        <x:is>
          <x:t xml:space="preserve">6. Change Events (Layoffs/M&amp;A/Re-org)</x:t>
        </x:is>
      </x:c>
      <x:c r="E322" t="inlineStr">
        <x:is>
          <x:t xml:space="preserve">G</x:t>
        </x:is>
      </x:c>
      <x:c r="F322" t="n">
        <x:v>0.5</x:v>
      </x:c>
      <x:c r="G322" t="inlineStr">
        <x:is>
          <x:t xml:space="preserve">W</x:t>
        </x:is>
      </x:c>
      <x:c r="H322" t="n">
        <x:v>0.5</x:v>
      </x:c>
      <x:c r="I322" t="inlineStr">
        <x:is>
          <x:t xml:space="preserve">Do you have a 'change event checklist' for people-risk controls (communications, access, monitoring approvals, support mechanisms)?</x:t>
        </x:is>
      </x:c>
      <x:c r="J322" t="inlineStr">
        <x:is>
          <x:t xml:space="preserve">Checklist should include legal/privacy review steps where required.</x:t>
        </x:is>
      </x:c>
      <x:c r="L322" t="inlineStr">
        <x:is>
          <x:t xml:space="preserve">GOV_STD</x:t>
        </x:is>
      </x:c>
      <x:c r="M322" t="n">
        <x:v>1</x:v>
      </x:c>
      <x:c r="P322" t="inlineStr">
        <x:is>
          <x:t xml:space="preserve">HR-D6-Q22-A5</x:t>
        </x:is>
      </x:c>
      <x:c r="Q322" t="n">
        <x:v>5</x:v>
      </x:c>
      <x:c r="R322" t="inlineStr">
        <x:is>
          <x:t xml:space="preserve">Optimized: checklist integrated into workflows with measurable control-lag targets.</x:t>
        </x:is>
      </x:c>
      <x:c r="S322" t="n">
        <x:v>4</x:v>
      </x:c>
      <x:c r="U322" t="inlineStr">
        <x:is>
          <x:t xml:space="preserve">Control Lag</x:t>
        </x:is>
      </x:c>
      <x:c r="V322" t="inlineStr">
        <x:is>
          <x:t xml:space="preserve">Maintain maturity</x:t>
        </x:is>
      </x:c>
      <x:c r="W322" t="inlineStr">
        <x:is>
          <x:t xml:space="preserve">N</x:t>
        </x:is>
      </x:c>
      <x:c r="X322" t="inlineStr">
        <x:is>
          <x:t xml:space="preserve">Evidence: lag KPI.</x:t>
        </x:is>
      </x:c>
      <x:c r="Y322">
        <x:f>(S322*IF(E322="G",F322,0))+(S322*IF(G322="G",H322,0))</x:f>
      </x:c>
      <x:c r="Z322">
        <x:f>(S322*IF(E322="E",F322,0))+(S322*IF(G322="E",H322,0))</x:f>
      </x:c>
      <x:c r="AA322">
        <x:f>(S322*IF(E322="T",F322,0))+(S322*IF(G322="T",H322,0))</x:f>
      </x:c>
      <x:c r="AB322">
        <x:f>(S322*IF(E322="L",F322,0))+(S322*IF(G322="L",H322,0))</x:f>
      </x:c>
      <x:c r="AC322">
        <x:f>(S322*IF(E322="H",F322,0))+(S322*IF(G322="H",H322,0))</x:f>
      </x:c>
      <x:c r="AD322">
        <x:f>(S322*IF(E322="V",F322,0))+(S322*IF(G322="V",H322,0))</x:f>
      </x:c>
      <x:c r="AE322">
        <x:f>(S322*IF(E322="R",F322,0))+(S322*IF(G322="R",H322,0))</x:f>
      </x:c>
      <x:c r="AF322">
        <x:f>(S322*IF(E322="F",F322,0))+(S322*IF(G322="F",H322,0))</x:f>
      </x:c>
      <x:c r="AG322">
        <x:f>(S322*IF(E322="W",F322,0))+(S322*IF(G322="W",H322,0))</x:f>
      </x:c>
      <x:c r="AH322" t="inlineStr">
        <x:is>
          <x:t xml:space="preserve">1. Strategy &amp; Governance</x:t>
        </x:is>
      </x:c>
      <x:c r="AI322" t="inlineStr">
        <x:is>
          <x:t xml:space="preserve">Scope &amp; Boundaries</x:t>
        </x:is>
      </x:c>
      <x:c r="AJ322" t="inlineStr">
        <x:is>
          <x:t xml:space="preserve">Exceptions &amp; risk acceptance</x:t>
        </x:is>
      </x:c>
    </x:row>
    <x:row r="323">
      <x:c r="A323" t="inlineStr">
        <x:is>
          <x:t xml:space="preserve">HR</x:t>
        </x:is>
      </x:c>
      <x:c r="B323" t="inlineStr">
        <x:is>
          <x:t xml:space="preserve">HR-D7-Q23</x:t>
        </x:is>
      </x:c>
      <x:c r="C323" t="inlineStr">
        <x:is>
          <x:t xml:space="preserve">T1</x:t>
        </x:is>
      </x:c>
      <x:c r="D323" t="inlineStr">
        <x:is>
          <x:t xml:space="preserve">7. Investigations &amp; Fairness</x:t>
        </x:is>
      </x:c>
      <x:c r="E323" t="inlineStr">
        <x:is>
          <x:t xml:space="preserve">R</x:t>
        </x:is>
      </x:c>
      <x:c r="F323" t="n">
        <x:v>0.6</x:v>
      </x:c>
      <x:c r="G323" t="inlineStr">
        <x:is>
          <x:t xml:space="preserve">L</x:t>
        </x:is>
      </x:c>
      <x:c r="H323" t="n">
        <x:v>0.4</x:v>
      </x:c>
      <x:c r="I323" t="inlineStr">
        <x:is>
          <x:t xml:space="preserve">When a concern is raised, is there a fair, documented investigation process with HR, Legal/Privacy, and Security, including confidentiality boundaries?</x:t>
        </x:is>
      </x:c>
      <x:c r="J323" t="inlineStr">
        <x:is>
          <x:t xml:space="preserve">Fair = proportionate, consistent, documented, with privacy safeguards.</x:t>
        </x:is>
      </x:c>
      <x:c r="L323" t="inlineStr">
        <x:is>
          <x:t xml:space="preserve">LEG_STRICT</x:t>
        </x:is>
      </x:c>
      <x:c r="M323" t="n">
        <x:v>1</x:v>
      </x:c>
      <x:c r="P323" t="inlineStr">
        <x:is>
          <x:t xml:space="preserve">HR-D7-Q23-A0</x:t>
        </x:is>
      </x:c>
      <x:c r="Q323" t="n">
        <x:v>1</x:v>
      </x:c>
      <x:c r="R323" t="inlineStr">
        <x:is>
          <x:t xml:space="preserve">I don't know / Not sure.</x:t>
        </x:is>
      </x:c>
      <x:c r="S323" t="n">
        <x:v>0</x:v>
      </x:c>
      <x:c r="T323" t="inlineStr">
        <x:is>
          <x:t xml:space="preserve">low-confidence</x:t>
        </x:is>
      </x:c>
      <x:c r="U323" t="inlineStr">
        <x:is>
          <x:t xml:space="preserve">Legal Exposure</x:t>
        </x:is>
      </x:c>
      <x:c r="V323" t="inlineStr">
        <x:is>
          <x:t xml:space="preserve">Clarify process</x:t>
        </x:is>
      </x:c>
      <x:c r="W323" t="inlineStr">
        <x:is>
          <x:t xml:space="preserve">N</x:t>
        </x:is>
      </x:c>
      <x:c r="Y323">
        <x:f>(S323*IF(E323="G",F323,0))+(S323*IF(G323="G",H323,0))</x:f>
      </x:c>
      <x:c r="Z323">
        <x:f>(S323*IF(E323="E",F323,0))+(S323*IF(G323="E",H323,0))</x:f>
      </x:c>
      <x:c r="AA323">
        <x:f>(S323*IF(E323="T",F323,0))+(S323*IF(G323="T",H323,0))</x:f>
      </x:c>
      <x:c r="AB323">
        <x:f>(S323*IF(E323="L",F323,0))+(S323*IF(G323="L",H323,0))</x:f>
      </x:c>
      <x:c r="AC323">
        <x:f>(S323*IF(E323="H",F323,0))+(S323*IF(G323="H",H323,0))</x:f>
      </x:c>
      <x:c r="AD323">
        <x:f>(S323*IF(E323="V",F323,0))+(S323*IF(G323="V",H323,0))</x:f>
      </x:c>
      <x:c r="AE323">
        <x:f>(S323*IF(E323="R",F323,0))+(S323*IF(G323="R",H323,0))</x:f>
      </x:c>
      <x:c r="AF323">
        <x:f>(S323*IF(E323="F",F323,0))+(S323*IF(G323="F",H323,0))</x:f>
      </x:c>
      <x:c r="AG323">
        <x:f>(S323*IF(E323="W",F323,0))+(S323*IF(G323="W",H323,0))</x:f>
      </x:c>
      <x:c r="AH323" t="inlineStr">
        <x:is>
          <x:t xml:space="preserve">8. Investigation &amp; Response</x:t>
        </x:is>
      </x:c>
      <x:c r="AI323" t="inlineStr">
        <x:is>
          <x:t xml:space="preserve">Operational Readiness</x:t>
        </x:is>
      </x:c>
      <x:c r="AJ323" t="inlineStr">
        <x:is>
          <x:t xml:space="preserve">Case management (process + tooling)</x:t>
        </x:is>
      </x:c>
    </x:row>
    <x:row r="324">
      <x:c r="A324" t="inlineStr">
        <x:is>
          <x:t xml:space="preserve">HR</x:t>
        </x:is>
      </x:c>
      <x:c r="B324" t="inlineStr">
        <x:is>
          <x:t xml:space="preserve">HR-D7-Q23</x:t>
        </x:is>
      </x:c>
      <x:c r="C324" t="inlineStr">
        <x:is>
          <x:t xml:space="preserve">T1</x:t>
        </x:is>
      </x:c>
      <x:c r="D324" t="inlineStr">
        <x:is>
          <x:t xml:space="preserve">7. Investigations &amp; Fairness</x:t>
        </x:is>
      </x:c>
      <x:c r="E324" t="inlineStr">
        <x:is>
          <x:t xml:space="preserve">R</x:t>
        </x:is>
      </x:c>
      <x:c r="F324" t="n">
        <x:v>0.6</x:v>
      </x:c>
      <x:c r="G324" t="inlineStr">
        <x:is>
          <x:t xml:space="preserve">L</x:t>
        </x:is>
      </x:c>
      <x:c r="H324" t="n">
        <x:v>0.4</x:v>
      </x:c>
      <x:c r="I324" t="inlineStr">
        <x:is>
          <x:t xml:space="preserve">When a concern is raised, is there a fair, documented investigation process with HR, Legal/Privacy, and Security, including confidentiality boundaries?</x:t>
        </x:is>
      </x:c>
      <x:c r="J324" t="inlineStr">
        <x:is>
          <x:t xml:space="preserve">Fair = proportionate, consistent, documented, with privacy safeguards.</x:t>
        </x:is>
      </x:c>
      <x:c r="L324" t="inlineStr">
        <x:is>
          <x:t xml:space="preserve">LEG_STRICT</x:t>
        </x:is>
      </x:c>
      <x:c r="M324" t="n">
        <x:v>1</x:v>
      </x:c>
      <x:c r="P324" t="inlineStr">
        <x:is>
          <x:t xml:space="preserve">HR-D7-Q23-A1</x:t>
        </x:is>
      </x:c>
      <x:c r="Q324" t="n">
        <x:v>2</x:v>
      </x:c>
      <x:c r="R324" t="inlineStr">
        <x:is>
          <x:t xml:space="preserve">No: handled ad-hoc; differs by team/manager.</x:t>
        </x:is>
      </x:c>
      <x:c r="S324" t="n">
        <x:v>0</x:v>
      </x:c>
      <x:c r="T324" t="inlineStr">
        <x:is>
          <x:t xml:space="preserve">legal_exposure</x:t>
        </x:is>
      </x:c>
      <x:c r="U324" t="inlineStr">
        <x:is>
          <x:t xml:space="preserve">Operating Model Gap</x:t>
        </x:is>
      </x:c>
      <x:c r="V324" t="inlineStr">
        <x:is>
          <x:t xml:space="preserve">Define investigation process</x:t>
        </x:is>
      </x:c>
      <x:c r="W324" t="inlineStr">
        <x:is>
          <x:t xml:space="preserve">N</x:t>
        </x:is>
      </x:c>
      <x:c r="Y324">
        <x:f>(S324*IF(E324="G",F324,0))+(S324*IF(G324="G",H324,0))</x:f>
      </x:c>
      <x:c r="Z324">
        <x:f>(S324*IF(E324="E",F324,0))+(S324*IF(G324="E",H324,0))</x:f>
      </x:c>
      <x:c r="AA324">
        <x:f>(S324*IF(E324="T",F324,0))+(S324*IF(G324="T",H324,0))</x:f>
      </x:c>
      <x:c r="AB324">
        <x:f>(S324*IF(E324="L",F324,0))+(S324*IF(G324="L",H324,0))</x:f>
      </x:c>
      <x:c r="AC324">
        <x:f>(S324*IF(E324="H",F324,0))+(S324*IF(G324="H",H324,0))</x:f>
      </x:c>
      <x:c r="AD324">
        <x:f>(S324*IF(E324="V",F324,0))+(S324*IF(G324="V",H324,0))</x:f>
      </x:c>
      <x:c r="AE324">
        <x:f>(S324*IF(E324="R",F324,0))+(S324*IF(G324="R",H324,0))</x:f>
      </x:c>
      <x:c r="AF324">
        <x:f>(S324*IF(E324="F",F324,0))+(S324*IF(G324="F",H324,0))</x:f>
      </x:c>
      <x:c r="AG324">
        <x:f>(S324*IF(E324="W",F324,0))+(S324*IF(G324="W",H324,0))</x:f>
      </x:c>
      <x:c r="AH324" t="inlineStr">
        <x:is>
          <x:t xml:space="preserve">8. Investigation &amp; Response</x:t>
        </x:is>
      </x:c>
      <x:c r="AI324" t="inlineStr">
        <x:is>
          <x:t xml:space="preserve">Operational Readiness</x:t>
        </x:is>
      </x:c>
      <x:c r="AJ324" t="inlineStr">
        <x:is>
          <x:t xml:space="preserve">Case management (process + tooling)</x:t>
        </x:is>
      </x:c>
    </x:row>
    <x:row r="325">
      <x:c r="A325" t="inlineStr">
        <x:is>
          <x:t xml:space="preserve">HR</x:t>
        </x:is>
      </x:c>
      <x:c r="B325" t="inlineStr">
        <x:is>
          <x:t xml:space="preserve">HR-D7-Q23</x:t>
        </x:is>
      </x:c>
      <x:c r="C325" t="inlineStr">
        <x:is>
          <x:t xml:space="preserve">T1</x:t>
        </x:is>
      </x:c>
      <x:c r="D325" t="inlineStr">
        <x:is>
          <x:t xml:space="preserve">7. Investigations &amp; Fairness</x:t>
        </x:is>
      </x:c>
      <x:c r="E325" t="inlineStr">
        <x:is>
          <x:t xml:space="preserve">R</x:t>
        </x:is>
      </x:c>
      <x:c r="F325" t="n">
        <x:v>0.6</x:v>
      </x:c>
      <x:c r="G325" t="inlineStr">
        <x:is>
          <x:t xml:space="preserve">L</x:t>
        </x:is>
      </x:c>
      <x:c r="H325" t="n">
        <x:v>0.4</x:v>
      </x:c>
      <x:c r="I325" t="inlineStr">
        <x:is>
          <x:t xml:space="preserve">When a concern is raised, is there a fair, documented investigation process with HR, Legal/Privacy, and Security, including confidentiality boundaries?</x:t>
        </x:is>
      </x:c>
      <x:c r="J325" t="inlineStr">
        <x:is>
          <x:t xml:space="preserve">Fair = proportionate, consistent, documented, with privacy safeguards.</x:t>
        </x:is>
      </x:c>
      <x:c r="L325" t="inlineStr">
        <x:is>
          <x:t xml:space="preserve">LEG_STRICT</x:t>
        </x:is>
      </x:c>
      <x:c r="M325" t="n">
        <x:v>1</x:v>
      </x:c>
      <x:c r="P325" t="inlineStr">
        <x:is>
          <x:t xml:space="preserve">HR-D7-Q23-A2</x:t>
        </x:is>
      </x:c>
      <x:c r="Q325" t="n">
        <x:v>3</x:v>
      </x:c>
      <x:c r="R325" t="inlineStr">
        <x:is>
          <x:t xml:space="preserve">Partial: HR handles most; Security/Legal involved only sometimes.</x:t>
        </x:is>
      </x:c>
      <x:c r="S325" t="n">
        <x:v>1</x:v>
      </x:c>
      <x:c r="T325" t="inlineStr">
        <x:is>
          <x:t xml:space="preserve">shadow_mature_signal</x:t>
        </x:is>
      </x:c>
      <x:c r="U325" t="inlineStr">
        <x:is>
          <x:t xml:space="preserve">Operating Model Gap</x:t>
        </x:is>
      </x:c>
      <x:c r="V325" t="inlineStr">
        <x:is>
          <x:t xml:space="preserve">Define escalation and roles</x:t>
        </x:is>
      </x:c>
      <x:c r="W325" t="inlineStr">
        <x:is>
          <x:t xml:space="preserve">N</x:t>
        </x:is>
      </x:c>
      <x:c r="Y325">
        <x:f>(S325*IF(E325="G",F325,0))+(S325*IF(G325="G",H325,0))</x:f>
      </x:c>
      <x:c r="Z325">
        <x:f>(S325*IF(E325="E",F325,0))+(S325*IF(G325="E",H325,0))</x:f>
      </x:c>
      <x:c r="AA325">
        <x:f>(S325*IF(E325="T",F325,0))+(S325*IF(G325="T",H325,0))</x:f>
      </x:c>
      <x:c r="AB325">
        <x:f>(S325*IF(E325="L",F325,0))+(S325*IF(G325="L",H325,0))</x:f>
      </x:c>
      <x:c r="AC325">
        <x:f>(S325*IF(E325="H",F325,0))+(S325*IF(G325="H",H325,0))</x:f>
      </x:c>
      <x:c r="AD325">
        <x:f>(S325*IF(E325="V",F325,0))+(S325*IF(G325="V",H325,0))</x:f>
      </x:c>
      <x:c r="AE325">
        <x:f>(S325*IF(E325="R",F325,0))+(S325*IF(G325="R",H325,0))</x:f>
      </x:c>
      <x:c r="AF325">
        <x:f>(S325*IF(E325="F",F325,0))+(S325*IF(G325="F",H325,0))</x:f>
      </x:c>
      <x:c r="AG325">
        <x:f>(S325*IF(E325="W",F325,0))+(S325*IF(G325="W",H325,0))</x:f>
      </x:c>
      <x:c r="AH325" t="inlineStr">
        <x:is>
          <x:t xml:space="preserve">8. Investigation &amp; Response</x:t>
        </x:is>
      </x:c>
      <x:c r="AI325" t="inlineStr">
        <x:is>
          <x:t xml:space="preserve">Operational Readiness</x:t>
        </x:is>
      </x:c>
      <x:c r="AJ325" t="inlineStr">
        <x:is>
          <x:t xml:space="preserve">Case management (process + tooling)</x:t>
        </x:is>
      </x:c>
    </x:row>
    <x:row r="326">
      <x:c r="A326" t="inlineStr">
        <x:is>
          <x:t xml:space="preserve">HR</x:t>
        </x:is>
      </x:c>
      <x:c r="B326" t="inlineStr">
        <x:is>
          <x:t xml:space="preserve">HR-D7-Q23</x:t>
        </x:is>
      </x:c>
      <x:c r="C326" t="inlineStr">
        <x:is>
          <x:t xml:space="preserve">T1</x:t>
        </x:is>
      </x:c>
      <x:c r="D326" t="inlineStr">
        <x:is>
          <x:t xml:space="preserve">7. Investigations &amp; Fairness</x:t>
        </x:is>
      </x:c>
      <x:c r="E326" t="inlineStr">
        <x:is>
          <x:t xml:space="preserve">R</x:t>
        </x:is>
      </x:c>
      <x:c r="F326" t="n">
        <x:v>0.6</x:v>
      </x:c>
      <x:c r="G326" t="inlineStr">
        <x:is>
          <x:t xml:space="preserve">L</x:t>
        </x:is>
      </x:c>
      <x:c r="H326" t="n">
        <x:v>0.4</x:v>
      </x:c>
      <x:c r="I326" t="inlineStr">
        <x:is>
          <x:t xml:space="preserve">When a concern is raised, is there a fair, documented investigation process with HR, Legal/Privacy, and Security, including confidentiality boundaries?</x:t>
        </x:is>
      </x:c>
      <x:c r="J326" t="inlineStr">
        <x:is>
          <x:t xml:space="preserve">Fair = proportionate, consistent, documented, with privacy safeguards.</x:t>
        </x:is>
      </x:c>
      <x:c r="L326" t="inlineStr">
        <x:is>
          <x:t xml:space="preserve">LEG_STRICT</x:t>
        </x:is>
      </x:c>
      <x:c r="M326" t="n">
        <x:v>1</x:v>
      </x:c>
      <x:c r="P326" t="inlineStr">
        <x:is>
          <x:t xml:space="preserve">HR-D7-Q23-A3</x:t>
        </x:is>
      </x:c>
      <x:c r="Q326" t="n">
        <x:v>4</x:v>
      </x:c>
      <x:c r="R326" t="inlineStr">
        <x:is>
          <x:t xml:space="preserve">Documented: process exists but adherence varies; outcomes inconsistently recorded.</x:t>
        </x:is>
      </x:c>
      <x:c r="S326" t="n">
        <x:v>2</x:v>
      </x:c>
      <x:c r="T326" t="inlineStr">
        <x:is>
          <x:t xml:space="preserve">paper_dragon_signal</x:t>
        </x:is>
      </x:c>
      <x:c r="U326" t="inlineStr">
        <x:is>
          <x:t xml:space="preserve">Paper Dragon</x:t>
        </x:is>
      </x:c>
      <x:c r="V326" t="inlineStr">
        <x:is>
          <x:t xml:space="preserve">Improve adherence and tracking</x:t>
        </x:is>
      </x:c>
      <x:c r="W326" t="inlineStr">
        <x:is>
          <x:t xml:space="preserve">N</x:t>
        </x:is>
      </x:c>
      <x:c r="X326" t="inlineStr">
        <x:is>
          <x:t xml:space="preserve">Evidence: process doc.</x:t>
        </x:is>
      </x:c>
      <x:c r="Y326">
        <x:f>(S326*IF(E326="G",F326,0))+(S326*IF(G326="G",H326,0))</x:f>
      </x:c>
      <x:c r="Z326">
        <x:f>(S326*IF(E326="E",F326,0))+(S326*IF(G326="E",H326,0))</x:f>
      </x:c>
      <x:c r="AA326">
        <x:f>(S326*IF(E326="T",F326,0))+(S326*IF(G326="T",H326,0))</x:f>
      </x:c>
      <x:c r="AB326">
        <x:f>(S326*IF(E326="L",F326,0))+(S326*IF(G326="L",H326,0))</x:f>
      </x:c>
      <x:c r="AC326">
        <x:f>(S326*IF(E326="H",F326,0))+(S326*IF(G326="H",H326,0))</x:f>
      </x:c>
      <x:c r="AD326">
        <x:f>(S326*IF(E326="V",F326,0))+(S326*IF(G326="V",H326,0))</x:f>
      </x:c>
      <x:c r="AE326">
        <x:f>(S326*IF(E326="R",F326,0))+(S326*IF(G326="R",H326,0))</x:f>
      </x:c>
      <x:c r="AF326">
        <x:f>(S326*IF(E326="F",F326,0))+(S326*IF(G326="F",H326,0))</x:f>
      </x:c>
      <x:c r="AG326">
        <x:f>(S326*IF(E326="W",F326,0))+(S326*IF(G326="W",H326,0))</x:f>
      </x:c>
      <x:c r="AH326" t="inlineStr">
        <x:is>
          <x:t xml:space="preserve">8. Investigation &amp; Response</x:t>
        </x:is>
      </x:c>
      <x:c r="AI326" t="inlineStr">
        <x:is>
          <x:t xml:space="preserve">Operational Readiness</x:t>
        </x:is>
      </x:c>
      <x:c r="AJ326" t="inlineStr">
        <x:is>
          <x:t xml:space="preserve">Case management (process + tooling)</x:t>
        </x:is>
      </x:c>
    </x:row>
    <x:row r="327">
      <x:c r="A327" t="inlineStr">
        <x:is>
          <x:t xml:space="preserve">HR</x:t>
        </x:is>
      </x:c>
      <x:c r="B327" t="inlineStr">
        <x:is>
          <x:t xml:space="preserve">HR-D7-Q23</x:t>
        </x:is>
      </x:c>
      <x:c r="C327" t="inlineStr">
        <x:is>
          <x:t xml:space="preserve">T1</x:t>
        </x:is>
      </x:c>
      <x:c r="D327" t="inlineStr">
        <x:is>
          <x:t xml:space="preserve">7. Investigations &amp; Fairness</x:t>
        </x:is>
      </x:c>
      <x:c r="E327" t="inlineStr">
        <x:is>
          <x:t xml:space="preserve">R</x:t>
        </x:is>
      </x:c>
      <x:c r="F327" t="n">
        <x:v>0.6</x:v>
      </x:c>
      <x:c r="G327" t="inlineStr">
        <x:is>
          <x:t xml:space="preserve">L</x:t>
        </x:is>
      </x:c>
      <x:c r="H327" t="n">
        <x:v>0.4</x:v>
      </x:c>
      <x:c r="I327" t="inlineStr">
        <x:is>
          <x:t xml:space="preserve">When a concern is raised, is there a fair, documented investigation process with HR, Legal/Privacy, and Security, including confidentiality boundaries?</x:t>
        </x:is>
      </x:c>
      <x:c r="J327" t="inlineStr">
        <x:is>
          <x:t xml:space="preserve">Fair = proportionate, consistent, documented, with privacy safeguards.</x:t>
        </x:is>
      </x:c>
      <x:c r="L327" t="inlineStr">
        <x:is>
          <x:t xml:space="preserve">LEG_STRICT</x:t>
        </x:is>
      </x:c>
      <x:c r="M327" t="n">
        <x:v>1</x:v>
      </x:c>
      <x:c r="P327" t="inlineStr">
        <x:is>
          <x:t xml:space="preserve">HR-D7-Q23-A4</x:t>
        </x:is>
      </x:c>
      <x:c r="Q327" t="n">
        <x:v>5</x:v>
      </x:c>
      <x:c r="R327" t="inlineStr">
        <x:is>
          <x:t xml:space="preserve">Managed: consistently followed with privacy/legal checkpoints.</x:t>
        </x:is>
      </x:c>
      <x:c r="S327" t="n">
        <x:v>3</x:v>
      </x:c>
      <x:c r="U327" t="inlineStr">
        <x:is>
          <x:t xml:space="preserve">Legal Exposure</x:t>
        </x:is>
      </x:c>
      <x:c r="V327" t="inlineStr">
        <x:is>
          <x:t xml:space="preserve">Maintain and audit</x:t>
        </x:is>
      </x:c>
      <x:c r="W327" t="inlineStr">
        <x:is>
          <x:t xml:space="preserve">N</x:t>
        </x:is>
      </x:c>
      <x:c r="X327" t="inlineStr">
        <x:is>
          <x:t xml:space="preserve">Evidence: redacted checklist.</x:t>
        </x:is>
      </x:c>
      <x:c r="Y327">
        <x:f>(S327*IF(E327="G",F327,0))+(S327*IF(G327="G",H327,0))</x:f>
      </x:c>
      <x:c r="Z327">
        <x:f>(S327*IF(E327="E",F327,0))+(S327*IF(G327="E",H327,0))</x:f>
      </x:c>
      <x:c r="AA327">
        <x:f>(S327*IF(E327="T",F327,0))+(S327*IF(G327="T",H327,0))</x:f>
      </x:c>
      <x:c r="AB327">
        <x:f>(S327*IF(E327="L",F327,0))+(S327*IF(G327="L",H327,0))</x:f>
      </x:c>
      <x:c r="AC327">
        <x:f>(S327*IF(E327="H",F327,0))+(S327*IF(G327="H",H327,0))</x:f>
      </x:c>
      <x:c r="AD327">
        <x:f>(S327*IF(E327="V",F327,0))+(S327*IF(G327="V",H327,0))</x:f>
      </x:c>
      <x:c r="AE327">
        <x:f>(S327*IF(E327="R",F327,0))+(S327*IF(G327="R",H327,0))</x:f>
      </x:c>
      <x:c r="AF327">
        <x:f>(S327*IF(E327="F",F327,0))+(S327*IF(G327="F",H327,0))</x:f>
      </x:c>
      <x:c r="AG327">
        <x:f>(S327*IF(E327="W",F327,0))+(S327*IF(G327="W",H327,0))</x:f>
      </x:c>
      <x:c r="AH327" t="inlineStr">
        <x:is>
          <x:t xml:space="preserve">8. Investigation &amp; Response</x:t>
        </x:is>
      </x:c>
      <x:c r="AI327" t="inlineStr">
        <x:is>
          <x:t xml:space="preserve">Operational Readiness</x:t>
        </x:is>
      </x:c>
      <x:c r="AJ327" t="inlineStr">
        <x:is>
          <x:t xml:space="preserve">Case management (process + tooling)</x:t>
        </x:is>
      </x:c>
    </x:row>
    <x:row r="328">
      <x:c r="A328" t="inlineStr">
        <x:is>
          <x:t xml:space="preserve">HR</x:t>
        </x:is>
      </x:c>
      <x:c r="B328" t="inlineStr">
        <x:is>
          <x:t xml:space="preserve">HR-D7-Q23</x:t>
        </x:is>
      </x:c>
      <x:c r="C328" t="inlineStr">
        <x:is>
          <x:t xml:space="preserve">T1</x:t>
        </x:is>
      </x:c>
      <x:c r="D328" t="inlineStr">
        <x:is>
          <x:t xml:space="preserve">7. Investigations &amp; Fairness</x:t>
        </x:is>
      </x:c>
      <x:c r="E328" t="inlineStr">
        <x:is>
          <x:t xml:space="preserve">R</x:t>
        </x:is>
      </x:c>
      <x:c r="F328" t="n">
        <x:v>0.6</x:v>
      </x:c>
      <x:c r="G328" t="inlineStr">
        <x:is>
          <x:t xml:space="preserve">L</x:t>
        </x:is>
      </x:c>
      <x:c r="H328" t="n">
        <x:v>0.4</x:v>
      </x:c>
      <x:c r="I328" t="inlineStr">
        <x:is>
          <x:t xml:space="preserve">When a concern is raised, is there a fair, documented investigation process with HR, Legal/Privacy, and Security, including confidentiality boundaries?</x:t>
        </x:is>
      </x:c>
      <x:c r="J328" t="inlineStr">
        <x:is>
          <x:t xml:space="preserve">Fair = proportionate, consistent, documented, with privacy safeguards.</x:t>
        </x:is>
      </x:c>
      <x:c r="L328" t="inlineStr">
        <x:is>
          <x:t xml:space="preserve">LEG_STRICT</x:t>
        </x:is>
      </x:c>
      <x:c r="M328" t="n">
        <x:v>1</x:v>
      </x:c>
      <x:c r="P328" t="inlineStr">
        <x:is>
          <x:t xml:space="preserve">HR-D7-Q23-A5</x:t>
        </x:is>
      </x:c>
      <x:c r="Q328" t="n">
        <x:v>6</x:v>
      </x:c>
      <x:c r="R328" t="inlineStr">
        <x:is>
          <x:t xml:space="preserve">Optimized: audited; staff trained; lessons learned feed improvements.</x:t>
        </x:is>
      </x:c>
      <x:c r="S328" t="n">
        <x:v>4</x:v>
      </x:c>
      <x:c r="U328" t="inlineStr">
        <x:is>
          <x:t xml:space="preserve">Legal Exposure</x:t>
        </x:is>
      </x:c>
      <x:c r="V328" t="inlineStr">
        <x:is>
          <x:t xml:space="preserve">Continuous improvement</x:t>
        </x:is>
      </x:c>
      <x:c r="W328" t="inlineStr">
        <x:is>
          <x:t xml:space="preserve">N</x:t>
        </x:is>
      </x:c>
      <x:c r="X328" t="inlineStr">
        <x:is>
          <x:t xml:space="preserve">Evidence: audit/exercise outputs.</x:t>
        </x:is>
      </x:c>
      <x:c r="Y328">
        <x:f>(S328*IF(E328="G",F328,0))+(S328*IF(G328="G",H328,0))</x:f>
      </x:c>
      <x:c r="Z328">
        <x:f>(S328*IF(E328="E",F328,0))+(S328*IF(G328="E",H328,0))</x:f>
      </x:c>
      <x:c r="AA328">
        <x:f>(S328*IF(E328="T",F328,0))+(S328*IF(G328="T",H328,0))</x:f>
      </x:c>
      <x:c r="AB328">
        <x:f>(S328*IF(E328="L",F328,0))+(S328*IF(G328="L",H328,0))</x:f>
      </x:c>
      <x:c r="AC328">
        <x:f>(S328*IF(E328="H",F328,0))+(S328*IF(G328="H",H328,0))</x:f>
      </x:c>
      <x:c r="AD328">
        <x:f>(S328*IF(E328="V",F328,0))+(S328*IF(G328="V",H328,0))</x:f>
      </x:c>
      <x:c r="AE328">
        <x:f>(S328*IF(E328="R",F328,0))+(S328*IF(G328="R",H328,0))</x:f>
      </x:c>
      <x:c r="AF328">
        <x:f>(S328*IF(E328="F",F328,0))+(S328*IF(G328="F",H328,0))</x:f>
      </x:c>
      <x:c r="AG328">
        <x:f>(S328*IF(E328="W",F328,0))+(S328*IF(G328="W",H328,0))</x:f>
      </x:c>
      <x:c r="AH328" t="inlineStr">
        <x:is>
          <x:t xml:space="preserve">8. Investigation &amp; Response</x:t>
        </x:is>
      </x:c>
      <x:c r="AI328" t="inlineStr">
        <x:is>
          <x:t xml:space="preserve">Operational Readiness</x:t>
        </x:is>
      </x:c>
      <x:c r="AJ328" t="inlineStr">
        <x:is>
          <x:t xml:space="preserve">Case management (process + tooling)</x:t>
        </x:is>
      </x:c>
    </x:row>
    <x:row r="329">
      <x:c r="A329" t="inlineStr">
        <x:is>
          <x:t xml:space="preserve">HR</x:t>
        </x:is>
      </x:c>
      <x:c r="B329" t="inlineStr">
        <x:is>
          <x:t xml:space="preserve">HR-D7-Q24</x:t>
        </x:is>
      </x:c>
      <x:c r="C329" t="inlineStr">
        <x:is>
          <x:t xml:space="preserve">T2</x:t>
        </x:is>
      </x:c>
      <x:c r="D329" t="inlineStr">
        <x:is>
          <x:t xml:space="preserve">7. Investigations &amp; Fairness</x:t>
        </x:is>
      </x:c>
      <x:c r="E329" t="inlineStr">
        <x:is>
          <x:t xml:space="preserve">L</x:t>
        </x:is>
      </x:c>
      <x:c r="F329" t="n">
        <x:v>0.5</x:v>
      </x:c>
      <x:c r="G329" t="inlineStr">
        <x:is>
          <x:t xml:space="preserve">R</x:t>
        </x:is>
      </x:c>
      <x:c r="H329" t="n">
        <x:v>0.5</x:v>
      </x:c>
      <x:c r="I329" t="inlineStr">
        <x:is>
          <x:t xml:space="preserve">(Shadow probe) If the process is ad-hoc, who decides what information is used and how confidentiality is protected?</x:t>
        </x:is>
      </x:c>
      <x:c r="J329" t="inlineStr">
        <x:is>
          <x:t xml:space="preserve">Checks for inconsistent decision-making and privacy fractures.</x:t>
        </x:is>
      </x:c>
      <x:c r="L329" t="inlineStr">
        <x:is>
          <x:t xml:space="preserve">LEG_STRICT</x:t>
        </x:is>
      </x:c>
      <x:c r="M329" t="n">
        <x:v>1</x:v>
      </x:c>
      <x:c r="P329" t="inlineStr">
        <x:is>
          <x:t xml:space="preserve">HR-D7-Q24-A1</x:t>
        </x:is>
      </x:c>
      <x:c r="Q329" t="n">
        <x:v>1</x:v>
      </x:c>
      <x:c r="R329" t="inlineStr">
        <x:is>
          <x:t xml:space="preserve">Decisions informal; confidentiality not clearly managed.</x:t>
        </x:is>
      </x:c>
      <x:c r="S329" t="n">
        <x:v>0</x:v>
      </x:c>
      <x:c r="T329" t="inlineStr">
        <x:is>
          <x:t xml:space="preserve">legal_exposure</x:t>
        </x:is>
      </x:c>
      <x:c r="U329" t="inlineStr">
        <x:is>
          <x:t xml:space="preserve">Legal Exposure</x:t>
        </x:is>
      </x:c>
      <x:c r="V329" t="inlineStr">
        <x:is>
          <x:t xml:space="preserve">Introduce approvals and boundaries</x:t>
        </x:is>
      </x:c>
      <x:c r="W329" t="inlineStr">
        <x:is>
          <x:t xml:space="preserve">N</x:t>
        </x:is>
      </x:c>
      <x:c r="Y329">
        <x:f>(S329*IF(E329="G",F329,0))+(S329*IF(G329="G",H329,0))</x:f>
      </x:c>
      <x:c r="Z329">
        <x:f>(S329*IF(E329="E",F329,0))+(S329*IF(G329="E",H329,0))</x:f>
      </x:c>
      <x:c r="AA329">
        <x:f>(S329*IF(E329="T",F329,0))+(S329*IF(G329="T",H329,0))</x:f>
      </x:c>
      <x:c r="AB329">
        <x:f>(S329*IF(E329="L",F329,0))+(S329*IF(G329="L",H329,0))</x:f>
      </x:c>
      <x:c r="AC329">
        <x:f>(S329*IF(E329="H",F329,0))+(S329*IF(G329="H",H329,0))</x:f>
      </x:c>
      <x:c r="AD329">
        <x:f>(S329*IF(E329="V",F329,0))+(S329*IF(G329="V",H329,0))</x:f>
      </x:c>
      <x:c r="AE329">
        <x:f>(S329*IF(E329="R",F329,0))+(S329*IF(G329="R",H329,0))</x:f>
      </x:c>
      <x:c r="AF329">
        <x:f>(S329*IF(E329="F",F329,0))+(S329*IF(G329="F",H329,0))</x:f>
      </x:c>
      <x:c r="AG329">
        <x:f>(S329*IF(E329="W",F329,0))+(S329*IF(G329="W",H329,0))</x:f>
      </x:c>
      <x:c r="AH329" t="inlineStr">
        <x:is>
          <x:t xml:space="preserve">1. Strategy &amp; Governance</x:t>
        </x:is>
      </x:c>
      <x:c r="AI329" t="inlineStr">
        <x:is>
          <x:t xml:space="preserve">Organization &amp; RACI</x:t>
        </x:is>
      </x:c>
      <x:c r="AJ329" t="inlineStr">
        <x:is>
          <x:t xml:space="preserve">RACI &amp; decision rights</x:t>
        </x:is>
      </x:c>
    </x:row>
    <x:row r="330">
      <x:c r="A330" t="inlineStr">
        <x:is>
          <x:t xml:space="preserve">HR</x:t>
        </x:is>
      </x:c>
      <x:c r="B330" t="inlineStr">
        <x:is>
          <x:t xml:space="preserve">HR-D7-Q24</x:t>
        </x:is>
      </x:c>
      <x:c r="C330" t="inlineStr">
        <x:is>
          <x:t xml:space="preserve">T2</x:t>
        </x:is>
      </x:c>
      <x:c r="D330" t="inlineStr">
        <x:is>
          <x:t xml:space="preserve">7. Investigations &amp; Fairness</x:t>
        </x:is>
      </x:c>
      <x:c r="E330" t="inlineStr">
        <x:is>
          <x:t xml:space="preserve">L</x:t>
        </x:is>
      </x:c>
      <x:c r="F330" t="n">
        <x:v>0.5</x:v>
      </x:c>
      <x:c r="G330" t="inlineStr">
        <x:is>
          <x:t xml:space="preserve">R</x:t>
        </x:is>
      </x:c>
      <x:c r="H330" t="n">
        <x:v>0.5</x:v>
      </x:c>
      <x:c r="I330" t="inlineStr">
        <x:is>
          <x:t xml:space="preserve">(Shadow probe) If the process is ad-hoc, who decides what information is used and how confidentiality is protected?</x:t>
        </x:is>
      </x:c>
      <x:c r="J330" t="inlineStr">
        <x:is>
          <x:t xml:space="preserve">Checks for inconsistent decision-making and privacy fractures.</x:t>
        </x:is>
      </x:c>
      <x:c r="L330" t="inlineStr">
        <x:is>
          <x:t xml:space="preserve">LEG_STRICT</x:t>
        </x:is>
      </x:c>
      <x:c r="M330" t="n">
        <x:v>1</x:v>
      </x:c>
      <x:c r="P330" t="inlineStr">
        <x:is>
          <x:t xml:space="preserve">HR-D7-Q24-A2</x:t>
        </x:is>
      </x:c>
      <x:c r="Q330" t="n">
        <x:v>2</x:v>
      </x:c>
      <x:c r="R330" t="inlineStr">
        <x:is>
          <x:t xml:space="preserve">HR decides; documentation limited.</x:t>
        </x:is>
      </x:c>
      <x:c r="S330" t="n">
        <x:v>1</x:v>
      </x:c>
      <x:c r="T330" t="inlineStr">
        <x:is>
          <x:t xml:space="preserve">paper_dragon_signal</x:t>
        </x:is>
      </x:c>
      <x:c r="U330" t="inlineStr">
        <x:is>
          <x:t xml:space="preserve">Paper Dragon</x:t>
        </x:is>
      </x:c>
      <x:c r="V330" t="inlineStr">
        <x:is>
          <x:t xml:space="preserve">Strengthen documentation</x:t>
        </x:is>
      </x:c>
      <x:c r="W330" t="inlineStr">
        <x:is>
          <x:t xml:space="preserve">N</x:t>
        </x:is>
      </x:c>
      <x:c r="Y330">
        <x:f>(S330*IF(E330="G",F330,0))+(S330*IF(G330="G",H330,0))</x:f>
      </x:c>
      <x:c r="Z330">
        <x:f>(S330*IF(E330="E",F330,0))+(S330*IF(G330="E",H330,0))</x:f>
      </x:c>
      <x:c r="AA330">
        <x:f>(S330*IF(E330="T",F330,0))+(S330*IF(G330="T",H330,0))</x:f>
      </x:c>
      <x:c r="AB330">
        <x:f>(S330*IF(E330="L",F330,0))+(S330*IF(G330="L",H330,0))</x:f>
      </x:c>
      <x:c r="AC330">
        <x:f>(S330*IF(E330="H",F330,0))+(S330*IF(G330="H",H330,0))</x:f>
      </x:c>
      <x:c r="AD330">
        <x:f>(S330*IF(E330="V",F330,0))+(S330*IF(G330="V",H330,0))</x:f>
      </x:c>
      <x:c r="AE330">
        <x:f>(S330*IF(E330="R",F330,0))+(S330*IF(G330="R",H330,0))</x:f>
      </x:c>
      <x:c r="AF330">
        <x:f>(S330*IF(E330="F",F330,0))+(S330*IF(G330="F",H330,0))</x:f>
      </x:c>
      <x:c r="AG330">
        <x:f>(S330*IF(E330="W",F330,0))+(S330*IF(G330="W",H330,0))</x:f>
      </x:c>
      <x:c r="AH330" t="inlineStr">
        <x:is>
          <x:t xml:space="preserve">1. Strategy &amp; Governance</x:t>
        </x:is>
      </x:c>
      <x:c r="AI330" t="inlineStr">
        <x:is>
          <x:t xml:space="preserve">Organization &amp; RACI</x:t>
        </x:is>
      </x:c>
      <x:c r="AJ330" t="inlineStr">
        <x:is>
          <x:t xml:space="preserve">RACI &amp; decision rights</x:t>
        </x:is>
      </x:c>
    </x:row>
    <x:row r="331">
      <x:c r="A331" t="inlineStr">
        <x:is>
          <x:t xml:space="preserve">HR</x:t>
        </x:is>
      </x:c>
      <x:c r="B331" t="inlineStr">
        <x:is>
          <x:t xml:space="preserve">HR-D7-Q24</x:t>
        </x:is>
      </x:c>
      <x:c r="C331" t="inlineStr">
        <x:is>
          <x:t xml:space="preserve">T2</x:t>
        </x:is>
      </x:c>
      <x:c r="D331" t="inlineStr">
        <x:is>
          <x:t xml:space="preserve">7. Investigations &amp; Fairness</x:t>
        </x:is>
      </x:c>
      <x:c r="E331" t="inlineStr">
        <x:is>
          <x:t xml:space="preserve">L</x:t>
        </x:is>
      </x:c>
      <x:c r="F331" t="n">
        <x:v>0.5</x:v>
      </x:c>
      <x:c r="G331" t="inlineStr">
        <x:is>
          <x:t xml:space="preserve">R</x:t>
        </x:is>
      </x:c>
      <x:c r="H331" t="n">
        <x:v>0.5</x:v>
      </x:c>
      <x:c r="I331" t="inlineStr">
        <x:is>
          <x:t xml:space="preserve">(Shadow probe) If the process is ad-hoc, who decides what information is used and how confidentiality is protected?</x:t>
        </x:is>
      </x:c>
      <x:c r="J331" t="inlineStr">
        <x:is>
          <x:t xml:space="preserve">Checks for inconsistent decision-making and privacy fractures.</x:t>
        </x:is>
      </x:c>
      <x:c r="L331" t="inlineStr">
        <x:is>
          <x:t xml:space="preserve">LEG_STRICT</x:t>
        </x:is>
      </x:c>
      <x:c r="M331" t="n">
        <x:v>1</x:v>
      </x:c>
      <x:c r="P331" t="inlineStr">
        <x:is>
          <x:t xml:space="preserve">HR-D7-Q24-A3</x:t>
        </x:is>
      </x:c>
      <x:c r="Q331" t="n">
        <x:v>3</x:v>
      </x:c>
      <x:c r="R331" t="inlineStr">
        <x:is>
          <x:t xml:space="preserve">HR and Legal decide; Security inputs; decisions documented sometimes.</x:t>
        </x:is>
      </x:c>
      <x:c r="S331" t="n">
        <x:v>2</x:v>
      </x:c>
      <x:c r="U331" t="inlineStr">
        <x:is>
          <x:t xml:space="preserve">Legal Exposure</x:t>
        </x:is>
      </x:c>
      <x:c r="V331" t="inlineStr">
        <x:is>
          <x:t xml:space="preserve">Standardize approvals</x:t>
        </x:is>
      </x:c>
      <x:c r="W331" t="inlineStr">
        <x:is>
          <x:t xml:space="preserve">N</x:t>
        </x:is>
      </x:c>
      <x:c r="Y331">
        <x:f>(S331*IF(E331="G",F331,0))+(S331*IF(G331="G",H331,0))</x:f>
      </x:c>
      <x:c r="Z331">
        <x:f>(S331*IF(E331="E",F331,0))+(S331*IF(G331="E",H331,0))</x:f>
      </x:c>
      <x:c r="AA331">
        <x:f>(S331*IF(E331="T",F331,0))+(S331*IF(G331="T",H331,0))</x:f>
      </x:c>
      <x:c r="AB331">
        <x:f>(S331*IF(E331="L",F331,0))+(S331*IF(G331="L",H331,0))</x:f>
      </x:c>
      <x:c r="AC331">
        <x:f>(S331*IF(E331="H",F331,0))+(S331*IF(G331="H",H331,0))</x:f>
      </x:c>
      <x:c r="AD331">
        <x:f>(S331*IF(E331="V",F331,0))+(S331*IF(G331="V",H331,0))</x:f>
      </x:c>
      <x:c r="AE331">
        <x:f>(S331*IF(E331="R",F331,0))+(S331*IF(G331="R",H331,0))</x:f>
      </x:c>
      <x:c r="AF331">
        <x:f>(S331*IF(E331="F",F331,0))+(S331*IF(G331="F",H331,0))</x:f>
      </x:c>
      <x:c r="AG331">
        <x:f>(S331*IF(E331="W",F331,0))+(S331*IF(G331="W",H331,0))</x:f>
      </x:c>
      <x:c r="AH331" t="inlineStr">
        <x:is>
          <x:t xml:space="preserve">1. Strategy &amp; Governance</x:t>
        </x:is>
      </x:c>
      <x:c r="AI331" t="inlineStr">
        <x:is>
          <x:t xml:space="preserve">Organization &amp; RACI</x:t>
        </x:is>
      </x:c>
      <x:c r="AJ331" t="inlineStr">
        <x:is>
          <x:t xml:space="preserve">RACI &amp; decision rights</x:t>
        </x:is>
      </x:c>
    </x:row>
    <x:row r="332">
      <x:c r="A332" t="inlineStr">
        <x:is>
          <x:t xml:space="preserve">HR</x:t>
        </x:is>
      </x:c>
      <x:c r="B332" t="inlineStr">
        <x:is>
          <x:t xml:space="preserve">HR-D7-Q24</x:t>
        </x:is>
      </x:c>
      <x:c r="C332" t="inlineStr">
        <x:is>
          <x:t xml:space="preserve">T2</x:t>
        </x:is>
      </x:c>
      <x:c r="D332" t="inlineStr">
        <x:is>
          <x:t xml:space="preserve">7. Investigations &amp; Fairness</x:t>
        </x:is>
      </x:c>
      <x:c r="E332" t="inlineStr">
        <x:is>
          <x:t xml:space="preserve">L</x:t>
        </x:is>
      </x:c>
      <x:c r="F332" t="n">
        <x:v>0.5</x:v>
      </x:c>
      <x:c r="G332" t="inlineStr">
        <x:is>
          <x:t xml:space="preserve">R</x:t>
        </x:is>
      </x:c>
      <x:c r="H332" t="n">
        <x:v>0.5</x:v>
      </x:c>
      <x:c r="I332" t="inlineStr">
        <x:is>
          <x:t xml:space="preserve">(Shadow probe) If the process is ad-hoc, who decides what information is used and how confidentiality is protected?</x:t>
        </x:is>
      </x:c>
      <x:c r="J332" t="inlineStr">
        <x:is>
          <x:t xml:space="preserve">Checks for inconsistent decision-making and privacy fractures.</x:t>
        </x:is>
      </x:c>
      <x:c r="L332" t="inlineStr">
        <x:is>
          <x:t xml:space="preserve">LEG_STRICT</x:t>
        </x:is>
      </x:c>
      <x:c r="M332" t="n">
        <x:v>1</x:v>
      </x:c>
      <x:c r="P332" t="inlineStr">
        <x:is>
          <x:t xml:space="preserve">HR-D7-Q24-A4</x:t>
        </x:is>
      </x:c>
      <x:c r="Q332" t="n">
        <x:v>4</x:v>
      </x:c>
      <x:c r="R332" t="inlineStr">
        <x:is>
          <x:t xml:space="preserve">Clear approvals and confidentiality rules exist, even if workflow informal.</x:t>
        </x:is>
      </x:c>
      <x:c r="S332" t="n">
        <x:v>3</x:v>
      </x:c>
      <x:c r="T332" t="inlineStr">
        <x:is>
          <x:t xml:space="preserve">shadow_mature_signal</x:t>
        </x:is>
      </x:c>
      <x:c r="U332" t="inlineStr">
        <x:is>
          <x:t xml:space="preserve">Legal Exposure</x:t>
        </x:is>
      </x:c>
      <x:c r="V332" t="inlineStr">
        <x:is>
          <x:t xml:space="preserve">Formalize workflow</x:t>
        </x:is>
      </x:c>
      <x:c r="W332" t="inlineStr">
        <x:is>
          <x:t xml:space="preserve">N</x:t>
        </x:is>
      </x:c>
      <x:c r="X332" t="inlineStr">
        <x:is>
          <x:t xml:space="preserve">Evidence: approval checklist.</x:t>
        </x:is>
      </x:c>
      <x:c r="Y332">
        <x:f>(S332*IF(E332="G",F332,0))+(S332*IF(G332="G",H332,0))</x:f>
      </x:c>
      <x:c r="Z332">
        <x:f>(S332*IF(E332="E",F332,0))+(S332*IF(G332="E",H332,0))</x:f>
      </x:c>
      <x:c r="AA332">
        <x:f>(S332*IF(E332="T",F332,0))+(S332*IF(G332="T",H332,0))</x:f>
      </x:c>
      <x:c r="AB332">
        <x:f>(S332*IF(E332="L",F332,0))+(S332*IF(G332="L",H332,0))</x:f>
      </x:c>
      <x:c r="AC332">
        <x:f>(S332*IF(E332="H",F332,0))+(S332*IF(G332="H",H332,0))</x:f>
      </x:c>
      <x:c r="AD332">
        <x:f>(S332*IF(E332="V",F332,0))+(S332*IF(G332="V",H332,0))</x:f>
      </x:c>
      <x:c r="AE332">
        <x:f>(S332*IF(E332="R",F332,0))+(S332*IF(G332="R",H332,0))</x:f>
      </x:c>
      <x:c r="AF332">
        <x:f>(S332*IF(E332="F",F332,0))+(S332*IF(G332="F",H332,0))</x:f>
      </x:c>
      <x:c r="AG332">
        <x:f>(S332*IF(E332="W",F332,0))+(S332*IF(G332="W",H332,0))</x:f>
      </x:c>
      <x:c r="AH332" t="inlineStr">
        <x:is>
          <x:t xml:space="preserve">1. Strategy &amp; Governance</x:t>
        </x:is>
      </x:c>
      <x:c r="AI332" t="inlineStr">
        <x:is>
          <x:t xml:space="preserve">Organization &amp; RACI</x:t>
        </x:is>
      </x:c>
      <x:c r="AJ332" t="inlineStr">
        <x:is>
          <x:t xml:space="preserve">RACI &amp; decision rights</x:t>
        </x:is>
      </x:c>
    </x:row>
    <x:row r="333">
      <x:c r="A333" t="inlineStr">
        <x:is>
          <x:t xml:space="preserve">HR</x:t>
        </x:is>
      </x:c>
      <x:c r="B333" t="inlineStr">
        <x:is>
          <x:t xml:space="preserve">HR-D7-Q25</x:t>
        </x:is>
      </x:c>
      <x:c r="C333" t="inlineStr">
        <x:is>
          <x:t xml:space="preserve">T2</x:t>
        </x:is>
      </x:c>
      <x:c r="D333" t="inlineStr">
        <x:is>
          <x:t xml:space="preserve">7. Investigations &amp; Fairness</x:t>
        </x:is>
      </x:c>
      <x:c r="E333" t="inlineStr">
        <x:is>
          <x:t xml:space="preserve">H</x:t>
        </x:is>
      </x:c>
      <x:c r="F333" t="n">
        <x:v>0.5</x:v>
      </x:c>
      <x:c r="G333" t="inlineStr">
        <x:is>
          <x:t xml:space="preserve">L</x:t>
        </x:is>
      </x:c>
      <x:c r="H333" t="n">
        <x:v>0.5</x:v>
      </x:c>
      <x:c r="I333" t="inlineStr">
        <x:is>
          <x:t xml:space="preserve">If someone feels unfairly targeted, is there an independent review or appeal route (e.g., ombuds, privacy review, works council input where applicable)?</x:t>
        </x:is>
      </x:c>
      <x:c r="J333" t="inlineStr">
        <x:is>
          <x:t xml:space="preserve">Reduces toxic-enforcer risk and increases trust.</x:t>
        </x:is>
      </x:c>
      <x:c r="L333" t="inlineStr">
        <x:is>
          <x:t xml:space="preserve">LEG_STRICT</x:t>
        </x:is>
      </x:c>
      <x:c r="M333" t="n">
        <x:v>1.5</x:v>
      </x:c>
      <x:c r="N333" t="n">
        <x:v>0.5</x:v>
      </x:c>
      <x:c r="P333" t="inlineStr">
        <x:is>
          <x:t xml:space="preserve">HR-D7-Q25-A1</x:t>
        </x:is>
      </x:c>
      <x:c r="Q333" t="n">
        <x:v>1</x:v>
      </x:c>
      <x:c r="R333" t="inlineStr">
        <x:is>
          <x:t xml:space="preserve">No recourse; decisions are final.</x:t>
        </x:is>
      </x:c>
      <x:c r="S333" t="n">
        <x:v>0</x:v>
      </x:c>
      <x:c r="T333" t="inlineStr">
        <x:is>
          <x:t xml:space="preserve">toxic_enforcer_signal</x:t>
        </x:is>
      </x:c>
      <x:c r="U333" t="inlineStr">
        <x:is>
          <x:t xml:space="preserve">Toxic Enforcer</x:t>
        </x:is>
      </x:c>
      <x:c r="V333" t="inlineStr">
        <x:is>
          <x:t xml:space="preserve">Implement appeal route</x:t>
        </x:is>
      </x:c>
      <x:c r="W333" t="inlineStr">
        <x:is>
          <x:t xml:space="preserve">N</x:t>
        </x:is>
      </x:c>
      <x:c r="Y333">
        <x:f>(S333*IF(E333="G",F333,0))+(S333*IF(G333="G",H333,0))</x:f>
      </x:c>
      <x:c r="Z333">
        <x:f>(S333*IF(E333="E",F333,0))+(S333*IF(G333="E",H333,0))</x:f>
      </x:c>
      <x:c r="AA333">
        <x:f>(S333*IF(E333="T",F333,0))+(S333*IF(G333="T",H333,0))</x:f>
      </x:c>
      <x:c r="AB333">
        <x:f>(S333*IF(E333="L",F333,0))+(S333*IF(G333="L",H333,0))</x:f>
      </x:c>
      <x:c r="AC333">
        <x:f>(S333*IF(E333="H",F333,0))+(S333*IF(G333="H",H333,0))</x:f>
      </x:c>
      <x:c r="AD333">
        <x:f>(S333*IF(E333="V",F333,0))+(S333*IF(G333="V",H333,0))</x:f>
      </x:c>
      <x:c r="AE333">
        <x:f>(S333*IF(E333="R",F333,0))+(S333*IF(G333="R",H333,0))</x:f>
      </x:c>
      <x:c r="AF333">
        <x:f>(S333*IF(E333="F",F333,0))+(S333*IF(G333="F",H333,0))</x:f>
      </x:c>
      <x:c r="AG333">
        <x:f>(S333*IF(E333="W",F333,0))+(S333*IF(G333="W",H333,0))</x:f>
      </x:c>
      <x:c r="AH333" t="inlineStr">
        <x:is>
          <x:t xml:space="preserve">4. Legal, Privacy &amp; Ethics</x:t>
        </x:is>
      </x:c>
      <x:c r="AI333" t="inlineStr">
        <x:is>
          <x:t xml:space="preserve">Compliance &amp; Policy</x:t>
        </x:is>
      </x:c>
      <x:c r="AJ333" t="inlineStr">
        <x:is>
          <x:t xml:space="preserve">Works Council / Labor Alignment</x:t>
        </x:is>
      </x:c>
    </x:row>
    <x:row r="334">
      <x:c r="A334" t="inlineStr">
        <x:is>
          <x:t xml:space="preserve">HR</x:t>
        </x:is>
      </x:c>
      <x:c r="B334" t="inlineStr">
        <x:is>
          <x:t xml:space="preserve">HR-D7-Q25</x:t>
        </x:is>
      </x:c>
      <x:c r="C334" t="inlineStr">
        <x:is>
          <x:t xml:space="preserve">T2</x:t>
        </x:is>
      </x:c>
      <x:c r="D334" t="inlineStr">
        <x:is>
          <x:t xml:space="preserve">7. Investigations &amp; Fairness</x:t>
        </x:is>
      </x:c>
      <x:c r="E334" t="inlineStr">
        <x:is>
          <x:t xml:space="preserve">H</x:t>
        </x:is>
      </x:c>
      <x:c r="F334" t="n">
        <x:v>0.5</x:v>
      </x:c>
      <x:c r="G334" t="inlineStr">
        <x:is>
          <x:t xml:space="preserve">L</x:t>
        </x:is>
      </x:c>
      <x:c r="H334" t="n">
        <x:v>0.5</x:v>
      </x:c>
      <x:c r="I334" t="inlineStr">
        <x:is>
          <x:t xml:space="preserve">If someone feels unfairly targeted, is there an independent review or appeal route (e.g., ombuds, privacy review, works council input where applicable)?</x:t>
        </x:is>
      </x:c>
      <x:c r="J334" t="inlineStr">
        <x:is>
          <x:t xml:space="preserve">Reduces toxic-enforcer risk and increases trust.</x:t>
        </x:is>
      </x:c>
      <x:c r="L334" t="inlineStr">
        <x:is>
          <x:t xml:space="preserve">LEG_STRICT</x:t>
        </x:is>
      </x:c>
      <x:c r="M334" t="n">
        <x:v>1.5</x:v>
      </x:c>
      <x:c r="N334" t="n">
        <x:v>0.5</x:v>
      </x:c>
      <x:c r="P334" t="inlineStr">
        <x:is>
          <x:t xml:space="preserve">HR-D7-Q25-A2</x:t>
        </x:is>
      </x:c>
      <x:c r="Q334" t="n">
        <x:v>2</x:v>
      </x:c>
      <x:c r="R334" t="inlineStr">
        <x:is>
          <x:t xml:space="preserve">Informal: complain to a manager; outcomes vary.</x:t>
        </x:is>
      </x:c>
      <x:c r="S334" t="n">
        <x:v>1</x:v>
      </x:c>
      <x:c r="T334" t="inlineStr">
        <x:is>
          <x:t xml:space="preserve">culture_risk</x:t>
        </x:is>
      </x:c>
      <x:c r="U334" t="inlineStr">
        <x:is>
          <x:t xml:space="preserve">Culture Risk</x:t>
        </x:is>
      </x:c>
      <x:c r="V334" t="inlineStr">
        <x:is>
          <x:t xml:space="preserve">Create consistent review</x:t>
        </x:is>
      </x:c>
      <x:c r="W334" t="inlineStr">
        <x:is>
          <x:t xml:space="preserve">N</x:t>
        </x:is>
      </x:c>
      <x:c r="Y334">
        <x:f>(S334*IF(E334="G",F334,0))+(S334*IF(G334="G",H334,0))</x:f>
      </x:c>
      <x:c r="Z334">
        <x:f>(S334*IF(E334="E",F334,0))+(S334*IF(G334="E",H334,0))</x:f>
      </x:c>
      <x:c r="AA334">
        <x:f>(S334*IF(E334="T",F334,0))+(S334*IF(G334="T",H334,0))</x:f>
      </x:c>
      <x:c r="AB334">
        <x:f>(S334*IF(E334="L",F334,0))+(S334*IF(G334="L",H334,0))</x:f>
      </x:c>
      <x:c r="AC334">
        <x:f>(S334*IF(E334="H",F334,0))+(S334*IF(G334="H",H334,0))</x:f>
      </x:c>
      <x:c r="AD334">
        <x:f>(S334*IF(E334="V",F334,0))+(S334*IF(G334="V",H334,0))</x:f>
      </x:c>
      <x:c r="AE334">
        <x:f>(S334*IF(E334="R",F334,0))+(S334*IF(G334="R",H334,0))</x:f>
      </x:c>
      <x:c r="AF334">
        <x:f>(S334*IF(E334="F",F334,0))+(S334*IF(G334="F",H334,0))</x:f>
      </x:c>
      <x:c r="AG334">
        <x:f>(S334*IF(E334="W",F334,0))+(S334*IF(G334="W",H334,0))</x:f>
      </x:c>
      <x:c r="AH334" t="inlineStr">
        <x:is>
          <x:t xml:space="preserve">4. Legal, Privacy &amp; Ethics</x:t>
        </x:is>
      </x:c>
      <x:c r="AI334" t="inlineStr">
        <x:is>
          <x:t xml:space="preserve">Compliance &amp; Policy</x:t>
        </x:is>
      </x:c>
      <x:c r="AJ334" t="inlineStr">
        <x:is>
          <x:t xml:space="preserve">Works Council / Labor Alignment</x:t>
        </x:is>
      </x:c>
    </x:row>
    <x:row r="335">
      <x:c r="A335" t="inlineStr">
        <x:is>
          <x:t xml:space="preserve">HR</x:t>
        </x:is>
      </x:c>
      <x:c r="B335" t="inlineStr">
        <x:is>
          <x:t xml:space="preserve">HR-D7-Q25</x:t>
        </x:is>
      </x:c>
      <x:c r="C335" t="inlineStr">
        <x:is>
          <x:t xml:space="preserve">T2</x:t>
        </x:is>
      </x:c>
      <x:c r="D335" t="inlineStr">
        <x:is>
          <x:t xml:space="preserve">7. Investigations &amp; Fairness</x:t>
        </x:is>
      </x:c>
      <x:c r="E335" t="inlineStr">
        <x:is>
          <x:t xml:space="preserve">H</x:t>
        </x:is>
      </x:c>
      <x:c r="F335" t="n">
        <x:v>0.5</x:v>
      </x:c>
      <x:c r="G335" t="inlineStr">
        <x:is>
          <x:t xml:space="preserve">L</x:t>
        </x:is>
      </x:c>
      <x:c r="H335" t="n">
        <x:v>0.5</x:v>
      </x:c>
      <x:c r="I335" t="inlineStr">
        <x:is>
          <x:t xml:space="preserve">If someone feels unfairly targeted, is there an independent review or appeal route (e.g., ombuds, privacy review, works council input where applicable)?</x:t>
        </x:is>
      </x:c>
      <x:c r="J335" t="inlineStr">
        <x:is>
          <x:t xml:space="preserve">Reduces toxic-enforcer risk and increases trust.</x:t>
        </x:is>
      </x:c>
      <x:c r="L335" t="inlineStr">
        <x:is>
          <x:t xml:space="preserve">LEG_STRICT</x:t>
        </x:is>
      </x:c>
      <x:c r="M335" t="n">
        <x:v>1.5</x:v>
      </x:c>
      <x:c r="N335" t="n">
        <x:v>0.5</x:v>
      </x:c>
      <x:c r="P335" t="inlineStr">
        <x:is>
          <x:t xml:space="preserve">HR-D7-Q25-A3</x:t>
        </x:is>
      </x:c>
      <x:c r="Q335" t="n">
        <x:v>3</x:v>
      </x:c>
      <x:c r="R335" t="inlineStr">
        <x:is>
          <x:t xml:space="preserve">General grievance process exists, but not tailored to monitoring/investigations.</x:t>
        </x:is>
      </x:c>
      <x:c r="S335" t="n">
        <x:v>2</x:v>
      </x:c>
      <x:c r="U335" t="inlineStr">
        <x:is>
          <x:t xml:space="preserve">Culture Risk</x:t>
        </x:is>
      </x:c>
      <x:c r="V335" t="inlineStr">
        <x:is>
          <x:t xml:space="preserve">Define independent review</x:t>
        </x:is>
      </x:c>
      <x:c r="W335" t="inlineStr">
        <x:is>
          <x:t xml:space="preserve">N</x:t>
        </x:is>
      </x:c>
      <x:c r="X335" t="inlineStr">
        <x:is>
          <x:t xml:space="preserve">Evidence: grievance process.</x:t>
        </x:is>
      </x:c>
      <x:c r="Y335">
        <x:f>(S335*IF(E335="G",F335,0))+(S335*IF(G335="G",H335,0))</x:f>
      </x:c>
      <x:c r="Z335">
        <x:f>(S335*IF(E335="E",F335,0))+(S335*IF(G335="E",H335,0))</x:f>
      </x:c>
      <x:c r="AA335">
        <x:f>(S335*IF(E335="T",F335,0))+(S335*IF(G335="T",H335,0))</x:f>
      </x:c>
      <x:c r="AB335">
        <x:f>(S335*IF(E335="L",F335,0))+(S335*IF(G335="L",H335,0))</x:f>
      </x:c>
      <x:c r="AC335">
        <x:f>(S335*IF(E335="H",F335,0))+(S335*IF(G335="H",H335,0))</x:f>
      </x:c>
      <x:c r="AD335">
        <x:f>(S335*IF(E335="V",F335,0))+(S335*IF(G335="V",H335,0))</x:f>
      </x:c>
      <x:c r="AE335">
        <x:f>(S335*IF(E335="R",F335,0))+(S335*IF(G335="R",H335,0))</x:f>
      </x:c>
      <x:c r="AF335">
        <x:f>(S335*IF(E335="F",F335,0))+(S335*IF(G335="F",H335,0))</x:f>
      </x:c>
      <x:c r="AG335">
        <x:f>(S335*IF(E335="W",F335,0))+(S335*IF(G335="W",H335,0))</x:f>
      </x:c>
      <x:c r="AH335" t="inlineStr">
        <x:is>
          <x:t xml:space="preserve">4. Legal, Privacy &amp; Ethics</x:t>
        </x:is>
      </x:c>
      <x:c r="AI335" t="inlineStr">
        <x:is>
          <x:t xml:space="preserve">Compliance &amp; Policy</x:t>
        </x:is>
      </x:c>
      <x:c r="AJ335" t="inlineStr">
        <x:is>
          <x:t xml:space="preserve">Works Council / Labor Alignment</x:t>
        </x:is>
      </x:c>
    </x:row>
    <x:row r="336">
      <x:c r="A336" t="inlineStr">
        <x:is>
          <x:t xml:space="preserve">HR</x:t>
        </x:is>
      </x:c>
      <x:c r="B336" t="inlineStr">
        <x:is>
          <x:t xml:space="preserve">HR-D7-Q25</x:t>
        </x:is>
      </x:c>
      <x:c r="C336" t="inlineStr">
        <x:is>
          <x:t xml:space="preserve">T2</x:t>
        </x:is>
      </x:c>
      <x:c r="D336" t="inlineStr">
        <x:is>
          <x:t xml:space="preserve">7. Investigations &amp; Fairness</x:t>
        </x:is>
      </x:c>
      <x:c r="E336" t="inlineStr">
        <x:is>
          <x:t xml:space="preserve">H</x:t>
        </x:is>
      </x:c>
      <x:c r="F336" t="n">
        <x:v>0.5</x:v>
      </x:c>
      <x:c r="G336" t="inlineStr">
        <x:is>
          <x:t xml:space="preserve">L</x:t>
        </x:is>
      </x:c>
      <x:c r="H336" t="n">
        <x:v>0.5</x:v>
      </x:c>
      <x:c r="I336" t="inlineStr">
        <x:is>
          <x:t xml:space="preserve">If someone feels unfairly targeted, is there an independent review or appeal route (e.g., ombuds, privacy review, works council input where applicable)?</x:t>
        </x:is>
      </x:c>
      <x:c r="J336" t="inlineStr">
        <x:is>
          <x:t xml:space="preserve">Reduces toxic-enforcer risk and increases trust.</x:t>
        </x:is>
      </x:c>
      <x:c r="L336" t="inlineStr">
        <x:is>
          <x:t xml:space="preserve">LEG_STRICT</x:t>
        </x:is>
      </x:c>
      <x:c r="M336" t="n">
        <x:v>1.5</x:v>
      </x:c>
      <x:c r="N336" t="n">
        <x:v>0.5</x:v>
      </x:c>
      <x:c r="P336" t="inlineStr">
        <x:is>
          <x:t xml:space="preserve">HR-D7-Q25-A4</x:t>
        </x:is>
      </x:c>
      <x:c r="Q336" t="n">
        <x:v>4</x:v>
      </x:c>
      <x:c r="R336" t="inlineStr">
        <x:is>
          <x:t xml:space="preserve">Independent check exists (privacy/ombuds) for sensitive cases.</x:t>
        </x:is>
      </x:c>
      <x:c r="S336" t="n">
        <x:v>3</x:v>
      </x:c>
      <x:c r="U336" t="inlineStr">
        <x:is>
          <x:t xml:space="preserve">Culture Risk</x:t>
        </x:is>
      </x:c>
      <x:c r="V336" t="inlineStr">
        <x:is>
          <x:t xml:space="preserve">Maintain oversight</x:t>
        </x:is>
      </x:c>
      <x:c r="W336" t="inlineStr">
        <x:is>
          <x:t xml:space="preserve">N</x:t>
        </x:is>
      </x:c>
      <x:c r="X336" t="inlineStr">
        <x:is>
          <x:t xml:space="preserve">Evidence: review workflow.</x:t>
        </x:is>
      </x:c>
      <x:c r="Y336">
        <x:f>(S336*IF(E336="G",F336,0))+(S336*IF(G336="G",H336,0))</x:f>
      </x:c>
      <x:c r="Z336">
        <x:f>(S336*IF(E336="E",F336,0))+(S336*IF(G336="E",H336,0))</x:f>
      </x:c>
      <x:c r="AA336">
        <x:f>(S336*IF(E336="T",F336,0))+(S336*IF(G336="T",H336,0))</x:f>
      </x:c>
      <x:c r="AB336">
        <x:f>(S336*IF(E336="L",F336,0))+(S336*IF(G336="L",H336,0))</x:f>
      </x:c>
      <x:c r="AC336">
        <x:f>(S336*IF(E336="H",F336,0))+(S336*IF(G336="H",H336,0))</x:f>
      </x:c>
      <x:c r="AD336">
        <x:f>(S336*IF(E336="V",F336,0))+(S336*IF(G336="V",H336,0))</x:f>
      </x:c>
      <x:c r="AE336">
        <x:f>(S336*IF(E336="R",F336,0))+(S336*IF(G336="R",H336,0))</x:f>
      </x:c>
      <x:c r="AF336">
        <x:f>(S336*IF(E336="F",F336,0))+(S336*IF(G336="F",H336,0))</x:f>
      </x:c>
      <x:c r="AG336">
        <x:f>(S336*IF(E336="W",F336,0))+(S336*IF(G336="W",H336,0))</x:f>
      </x:c>
      <x:c r="AH336" t="inlineStr">
        <x:is>
          <x:t xml:space="preserve">4. Legal, Privacy &amp; Ethics</x:t>
        </x:is>
      </x:c>
      <x:c r="AI336" t="inlineStr">
        <x:is>
          <x:t xml:space="preserve">Compliance &amp; Policy</x:t>
        </x:is>
      </x:c>
      <x:c r="AJ336" t="inlineStr">
        <x:is>
          <x:t xml:space="preserve">Works Council / Labor Alignment</x:t>
        </x:is>
      </x:c>
    </x:row>
    <x:row r="337">
      <x:c r="A337" t="inlineStr">
        <x:is>
          <x:t xml:space="preserve">HR</x:t>
        </x:is>
      </x:c>
      <x:c r="B337" t="inlineStr">
        <x:is>
          <x:t xml:space="preserve">HR-D7-Q25</x:t>
        </x:is>
      </x:c>
      <x:c r="C337" t="inlineStr">
        <x:is>
          <x:t xml:space="preserve">T2</x:t>
        </x:is>
      </x:c>
      <x:c r="D337" t="inlineStr">
        <x:is>
          <x:t xml:space="preserve">7. Investigations &amp; Fairness</x:t>
        </x:is>
      </x:c>
      <x:c r="E337" t="inlineStr">
        <x:is>
          <x:t xml:space="preserve">H</x:t>
        </x:is>
      </x:c>
      <x:c r="F337" t="n">
        <x:v>0.5</x:v>
      </x:c>
      <x:c r="G337" t="inlineStr">
        <x:is>
          <x:t xml:space="preserve">L</x:t>
        </x:is>
      </x:c>
      <x:c r="H337" t="n">
        <x:v>0.5</x:v>
      </x:c>
      <x:c r="I337" t="inlineStr">
        <x:is>
          <x:t xml:space="preserve">If someone feels unfairly targeted, is there an independent review or appeal route (e.g., ombuds, privacy review, works council input where applicable)?</x:t>
        </x:is>
      </x:c>
      <x:c r="J337" t="inlineStr">
        <x:is>
          <x:t xml:space="preserve">Reduces toxic-enforcer risk and increases trust.</x:t>
        </x:is>
      </x:c>
      <x:c r="L337" t="inlineStr">
        <x:is>
          <x:t xml:space="preserve">LEG_STRICT</x:t>
        </x:is>
      </x:c>
      <x:c r="M337" t="n">
        <x:v>1.5</x:v>
      </x:c>
      <x:c r="N337" t="n">
        <x:v>0.5</x:v>
      </x:c>
      <x:c r="P337" t="inlineStr">
        <x:is>
          <x:t xml:space="preserve">HR-D7-Q25-A5</x:t>
        </x:is>
      </x:c>
      <x:c r="Q337" t="n">
        <x:v>5</x:v>
      </x:c>
      <x:c r="R337" t="inlineStr">
        <x:is>
          <x:t xml:space="preserve">Transparent, multi-function review with audit trail and feedback loops.</x:t>
        </x:is>
      </x:c>
      <x:c r="S337" t="n">
        <x:v>4</x:v>
      </x:c>
      <x:c r="U337" t="inlineStr">
        <x:is>
          <x:t xml:space="preserve">Culture Risk</x:t>
        </x:is>
      </x:c>
      <x:c r="V337" t="inlineStr">
        <x:is>
          <x:t xml:space="preserve">Maintain maturity</x:t>
        </x:is>
      </x:c>
      <x:c r="W337" t="inlineStr">
        <x:is>
          <x:t xml:space="preserve">N</x:t>
        </x:is>
      </x:c>
      <x:c r="X337" t="inlineStr">
        <x:is>
          <x:t xml:space="preserve">Evidence: audit trail sample.</x:t>
        </x:is>
      </x:c>
      <x:c r="Y337">
        <x:f>(S337*IF(E337="G",F337,0))+(S337*IF(G337="G",H337,0))</x:f>
      </x:c>
      <x:c r="Z337">
        <x:f>(S337*IF(E337="E",F337,0))+(S337*IF(G337="E",H337,0))</x:f>
      </x:c>
      <x:c r="AA337">
        <x:f>(S337*IF(E337="T",F337,0))+(S337*IF(G337="T",H337,0))</x:f>
      </x:c>
      <x:c r="AB337">
        <x:f>(S337*IF(E337="L",F337,0))+(S337*IF(G337="L",H337,0))</x:f>
      </x:c>
      <x:c r="AC337">
        <x:f>(S337*IF(E337="H",F337,0))+(S337*IF(G337="H",H337,0))</x:f>
      </x:c>
      <x:c r="AD337">
        <x:f>(S337*IF(E337="V",F337,0))+(S337*IF(G337="V",H337,0))</x:f>
      </x:c>
      <x:c r="AE337">
        <x:f>(S337*IF(E337="R",F337,0))+(S337*IF(G337="R",H337,0))</x:f>
      </x:c>
      <x:c r="AF337">
        <x:f>(S337*IF(E337="F",F337,0))+(S337*IF(G337="F",H337,0))</x:f>
      </x:c>
      <x:c r="AG337">
        <x:f>(S337*IF(E337="W",F337,0))+(S337*IF(G337="W",H337,0))</x:f>
      </x:c>
      <x:c r="AH337" t="inlineStr">
        <x:is>
          <x:t xml:space="preserve">4. Legal, Privacy &amp; Ethics</x:t>
        </x:is>
      </x:c>
      <x:c r="AI337" t="inlineStr">
        <x:is>
          <x:t xml:space="preserve">Compliance &amp; Policy</x:t>
        </x:is>
      </x:c>
      <x:c r="AJ337" t="inlineStr">
        <x:is>
          <x:t xml:space="preserve">Works Council / Labor Alignment</x:t>
        </x:is>
      </x:c>
    </x:row>
    <x:row r="338">
      <x:c r="A338" t="inlineStr">
        <x:is>
          <x:t xml:space="preserve">HR</x:t>
        </x:is>
      </x:c>
      <x:c r="B338" t="inlineStr">
        <x:is>
          <x:t xml:space="preserve">HR-D7-Q26</x:t>
        </x:is>
      </x:c>
      <x:c r="C338" t="inlineStr">
        <x:is>
          <x:t xml:space="preserve">T3</x:t>
        </x:is>
      </x:c>
      <x:c r="D338" t="inlineStr">
        <x:is>
          <x:t xml:space="preserve">7. Investigations &amp; Fairness</x:t>
        </x:is>
      </x:c>
      <x:c r="E338" t="inlineStr">
        <x:is>
          <x:t xml:space="preserve">R</x:t>
        </x:is>
      </x:c>
      <x:c r="F338" t="n">
        <x:v>0.6</x:v>
      </x:c>
      <x:c r="G338" t="inlineStr">
        <x:is>
          <x:t xml:space="preserve">H</x:t>
        </x:is>
      </x:c>
      <x:c r="H338" t="n">
        <x:v>0.4</x:v>
      </x:c>
      <x:c r="I338" t="inlineStr">
        <x:is>
          <x:t xml:space="preserve">After cases, do you translate outcomes into improvements (training, process, tooling) without creating blame or fear?</x:t>
        </x:is>
      </x:c>
      <x:c r="J338" t="inlineStr">
        <x:is>
          <x:t xml:space="preserve">Learning loop: reduce repeats while maintaining psychological safety.</x:t>
        </x:is>
      </x:c>
      <x:c r="L338" t="inlineStr">
        <x:is>
          <x:t xml:space="preserve">OPS_STD</x:t>
        </x:is>
      </x:c>
      <x:c r="M338" t="n">
        <x:v>1.5</x:v>
      </x:c>
      <x:c r="N338" t="n">
        <x:v>0.5</x:v>
      </x:c>
      <x:c r="P338" t="inlineStr">
        <x:is>
          <x:t xml:space="preserve">HR-D7-Q26-A1</x:t>
        </x:is>
      </x:c>
      <x:c r="Q338" t="n">
        <x:v>1</x:v>
      </x:c>
      <x:c r="R338" t="inlineStr">
        <x:is>
          <x:t xml:space="preserve">No: cases close with no learning loop.</x:t>
        </x:is>
      </x:c>
      <x:c r="S338" t="n">
        <x:v>0</x:v>
      </x:c>
      <x:c r="T338" t="inlineStr">
        <x:is>
          <x:t xml:space="preserve">paper_dragon_signal</x:t>
        </x:is>
      </x:c>
      <x:c r="U338" t="inlineStr">
        <x:is>
          <x:t xml:space="preserve">Paper Dragon</x:t>
        </x:is>
      </x:c>
      <x:c r="V338" t="inlineStr">
        <x:is>
          <x:t xml:space="preserve">Create lessons-learned process</x:t>
        </x:is>
      </x:c>
      <x:c r="W338" t="inlineStr">
        <x:is>
          <x:t xml:space="preserve">N</x:t>
        </x:is>
      </x:c>
      <x:c r="Y338">
        <x:f>(S338*IF(E338="G",F338,0))+(S338*IF(G338="G",H338,0))</x:f>
      </x:c>
      <x:c r="Z338">
        <x:f>(S338*IF(E338="E",F338,0))+(S338*IF(G338="E",H338,0))</x:f>
      </x:c>
      <x:c r="AA338">
        <x:f>(S338*IF(E338="T",F338,0))+(S338*IF(G338="T",H338,0))</x:f>
      </x:c>
      <x:c r="AB338">
        <x:f>(S338*IF(E338="L",F338,0))+(S338*IF(G338="L",H338,0))</x:f>
      </x:c>
      <x:c r="AC338">
        <x:f>(S338*IF(E338="H",F338,0))+(S338*IF(G338="H",H338,0))</x:f>
      </x:c>
      <x:c r="AD338">
        <x:f>(S338*IF(E338="V",F338,0))+(S338*IF(G338="V",H338,0))</x:f>
      </x:c>
      <x:c r="AE338">
        <x:f>(S338*IF(E338="R",F338,0))+(S338*IF(G338="R",H338,0))</x:f>
      </x:c>
      <x:c r="AF338">
        <x:f>(S338*IF(E338="F",F338,0))+(S338*IF(G338="F",H338,0))</x:f>
      </x:c>
      <x:c r="AG338">
        <x:f>(S338*IF(E338="W",F338,0))+(S338*IF(G338="W",H338,0))</x:f>
      </x:c>
      <x:c r="AH338" t="inlineStr">
        <x:is>
          <x:t xml:space="preserve">8. Investigation &amp; Response</x:t>
        </x:is>
      </x:c>
      <x:c r="AI338" t="inlineStr">
        <x:is>
          <x:t xml:space="preserve">Operational Readiness</x:t>
        </x:is>
      </x:c>
      <x:c r="AJ338" t="inlineStr">
        <x:is>
          <x:t xml:space="preserve">Case management (process + tooling)</x:t>
        </x:is>
      </x:c>
    </x:row>
    <x:row r="339">
      <x:c r="A339" t="inlineStr">
        <x:is>
          <x:t xml:space="preserve">HR</x:t>
        </x:is>
      </x:c>
      <x:c r="B339" t="inlineStr">
        <x:is>
          <x:t xml:space="preserve">HR-D7-Q26</x:t>
        </x:is>
      </x:c>
      <x:c r="C339" t="inlineStr">
        <x:is>
          <x:t xml:space="preserve">T3</x:t>
        </x:is>
      </x:c>
      <x:c r="D339" t="inlineStr">
        <x:is>
          <x:t xml:space="preserve">7. Investigations &amp; Fairness</x:t>
        </x:is>
      </x:c>
      <x:c r="E339" t="inlineStr">
        <x:is>
          <x:t xml:space="preserve">R</x:t>
        </x:is>
      </x:c>
      <x:c r="F339" t="n">
        <x:v>0.6</x:v>
      </x:c>
      <x:c r="G339" t="inlineStr">
        <x:is>
          <x:t xml:space="preserve">H</x:t>
        </x:is>
      </x:c>
      <x:c r="H339" t="n">
        <x:v>0.4</x:v>
      </x:c>
      <x:c r="I339" t="inlineStr">
        <x:is>
          <x:t xml:space="preserve">After cases, do you translate outcomes into improvements (training, process, tooling) without creating blame or fear?</x:t>
        </x:is>
      </x:c>
      <x:c r="J339" t="inlineStr">
        <x:is>
          <x:t xml:space="preserve">Learning loop: reduce repeats while maintaining psychological safety.</x:t>
        </x:is>
      </x:c>
      <x:c r="L339" t="inlineStr">
        <x:is>
          <x:t xml:space="preserve">OPS_STD</x:t>
        </x:is>
      </x:c>
      <x:c r="M339" t="n">
        <x:v>1.5</x:v>
      </x:c>
      <x:c r="N339" t="n">
        <x:v>0.5</x:v>
      </x:c>
      <x:c r="P339" t="inlineStr">
        <x:is>
          <x:t xml:space="preserve">HR-D7-Q26-A2</x:t>
        </x:is>
      </x:c>
      <x:c r="Q339" t="n">
        <x:v>2</x:v>
      </x:c>
      <x:c r="R339" t="inlineStr">
        <x:is>
          <x:t xml:space="preserve">Sometimes: lessons discussed informally.</x:t>
        </x:is>
      </x:c>
      <x:c r="S339" t="n">
        <x:v>1</x:v>
      </x:c>
      <x:c r="T339" t="inlineStr">
        <x:is>
          <x:t xml:space="preserve">shadow_mature_signal</x:t>
        </x:is>
      </x:c>
      <x:c r="U339" t="inlineStr">
        <x:is>
          <x:t xml:space="preserve">Operating Model Gap</x:t>
        </x:is>
      </x:c>
      <x:c r="V339" t="inlineStr">
        <x:is>
          <x:t xml:space="preserve">Document and assign actions</x:t>
        </x:is>
      </x:c>
      <x:c r="W339" t="inlineStr">
        <x:is>
          <x:t xml:space="preserve">N</x:t>
        </x:is>
      </x:c>
      <x:c r="Y339">
        <x:f>(S339*IF(E339="G",F339,0))+(S339*IF(G339="G",H339,0))</x:f>
      </x:c>
      <x:c r="Z339">
        <x:f>(S339*IF(E339="E",F339,0))+(S339*IF(G339="E",H339,0))</x:f>
      </x:c>
      <x:c r="AA339">
        <x:f>(S339*IF(E339="T",F339,0))+(S339*IF(G339="T",H339,0))</x:f>
      </x:c>
      <x:c r="AB339">
        <x:f>(S339*IF(E339="L",F339,0))+(S339*IF(G339="L",H339,0))</x:f>
      </x:c>
      <x:c r="AC339">
        <x:f>(S339*IF(E339="H",F339,0))+(S339*IF(G339="H",H339,0))</x:f>
      </x:c>
      <x:c r="AD339">
        <x:f>(S339*IF(E339="V",F339,0))+(S339*IF(G339="V",H339,0))</x:f>
      </x:c>
      <x:c r="AE339">
        <x:f>(S339*IF(E339="R",F339,0))+(S339*IF(G339="R",H339,0))</x:f>
      </x:c>
      <x:c r="AF339">
        <x:f>(S339*IF(E339="F",F339,0))+(S339*IF(G339="F",H339,0))</x:f>
      </x:c>
      <x:c r="AG339">
        <x:f>(S339*IF(E339="W",F339,0))+(S339*IF(G339="W",H339,0))</x:f>
      </x:c>
      <x:c r="AH339" t="inlineStr">
        <x:is>
          <x:t xml:space="preserve">8. Investigation &amp; Response</x:t>
        </x:is>
      </x:c>
      <x:c r="AI339" t="inlineStr">
        <x:is>
          <x:t xml:space="preserve">Operational Readiness</x:t>
        </x:is>
      </x:c>
      <x:c r="AJ339" t="inlineStr">
        <x:is>
          <x:t xml:space="preserve">Case management (process + tooling)</x:t>
        </x:is>
      </x:c>
    </x:row>
    <x:row r="340">
      <x:c r="A340" t="inlineStr">
        <x:is>
          <x:t xml:space="preserve">HR</x:t>
        </x:is>
      </x:c>
      <x:c r="B340" t="inlineStr">
        <x:is>
          <x:t xml:space="preserve">HR-D7-Q26</x:t>
        </x:is>
      </x:c>
      <x:c r="C340" t="inlineStr">
        <x:is>
          <x:t xml:space="preserve">T3</x:t>
        </x:is>
      </x:c>
      <x:c r="D340" t="inlineStr">
        <x:is>
          <x:t xml:space="preserve">7. Investigations &amp; Fairness</x:t>
        </x:is>
      </x:c>
      <x:c r="E340" t="inlineStr">
        <x:is>
          <x:t xml:space="preserve">R</x:t>
        </x:is>
      </x:c>
      <x:c r="F340" t="n">
        <x:v>0.6</x:v>
      </x:c>
      <x:c r="G340" t="inlineStr">
        <x:is>
          <x:t xml:space="preserve">H</x:t>
        </x:is>
      </x:c>
      <x:c r="H340" t="n">
        <x:v>0.4</x:v>
      </x:c>
      <x:c r="I340" t="inlineStr">
        <x:is>
          <x:t xml:space="preserve">After cases, do you translate outcomes into improvements (training, process, tooling) without creating blame or fear?</x:t>
        </x:is>
      </x:c>
      <x:c r="J340" t="inlineStr">
        <x:is>
          <x:t xml:space="preserve">Learning loop: reduce repeats while maintaining psychological safety.</x:t>
        </x:is>
      </x:c>
      <x:c r="L340" t="inlineStr">
        <x:is>
          <x:t xml:space="preserve">OPS_STD</x:t>
        </x:is>
      </x:c>
      <x:c r="M340" t="n">
        <x:v>1.5</x:v>
      </x:c>
      <x:c r="N340" t="n">
        <x:v>0.5</x:v>
      </x:c>
      <x:c r="P340" t="inlineStr">
        <x:is>
          <x:t xml:space="preserve">HR-D7-Q26-A3</x:t>
        </x:is>
      </x:c>
      <x:c r="Q340" t="n">
        <x:v>3</x:v>
      </x:c>
      <x:c r="R340" t="inlineStr">
        <x:is>
          <x:t xml:space="preserve">Defined: post-case review exists but actions not tracked to completion.</x:t>
        </x:is>
      </x:c>
      <x:c r="S340" t="n">
        <x:v>2</x:v>
      </x:c>
      <x:c r="U340" t="inlineStr">
        <x:is>
          <x:t xml:space="preserve">Operating Model Gap</x:t>
        </x:is>
      </x:c>
      <x:c r="V340" t="inlineStr">
        <x:is>
          <x:t xml:space="preserve">Track action completion</x:t>
        </x:is>
      </x:c>
      <x:c r="W340" t="inlineStr">
        <x:is>
          <x:t xml:space="preserve">N</x:t>
        </x:is>
      </x:c>
      <x:c r="X340" t="inlineStr">
        <x:is>
          <x:t xml:space="preserve">Evidence: action log.</x:t>
        </x:is>
      </x:c>
      <x:c r="Y340">
        <x:f>(S340*IF(E340="G",F340,0))+(S340*IF(G340="G",H340,0))</x:f>
      </x:c>
      <x:c r="Z340">
        <x:f>(S340*IF(E340="E",F340,0))+(S340*IF(G340="E",H340,0))</x:f>
      </x:c>
      <x:c r="AA340">
        <x:f>(S340*IF(E340="T",F340,0))+(S340*IF(G340="T",H340,0))</x:f>
      </x:c>
      <x:c r="AB340">
        <x:f>(S340*IF(E340="L",F340,0))+(S340*IF(G340="L",H340,0))</x:f>
      </x:c>
      <x:c r="AC340">
        <x:f>(S340*IF(E340="H",F340,0))+(S340*IF(G340="H",H340,0))</x:f>
      </x:c>
      <x:c r="AD340">
        <x:f>(S340*IF(E340="V",F340,0))+(S340*IF(G340="V",H340,0))</x:f>
      </x:c>
      <x:c r="AE340">
        <x:f>(S340*IF(E340="R",F340,0))+(S340*IF(G340="R",H340,0))</x:f>
      </x:c>
      <x:c r="AF340">
        <x:f>(S340*IF(E340="F",F340,0))+(S340*IF(G340="F",H340,0))</x:f>
      </x:c>
      <x:c r="AG340">
        <x:f>(S340*IF(E340="W",F340,0))+(S340*IF(G340="W",H340,0))</x:f>
      </x:c>
      <x:c r="AH340" t="inlineStr">
        <x:is>
          <x:t xml:space="preserve">8. Investigation &amp; Response</x:t>
        </x:is>
      </x:c>
      <x:c r="AI340" t="inlineStr">
        <x:is>
          <x:t xml:space="preserve">Operational Readiness</x:t>
        </x:is>
      </x:c>
      <x:c r="AJ340" t="inlineStr">
        <x:is>
          <x:t xml:space="preserve">Case management (process + tooling)</x:t>
        </x:is>
      </x:c>
    </x:row>
    <x:row r="341">
      <x:c r="A341" t="inlineStr">
        <x:is>
          <x:t xml:space="preserve">HR</x:t>
        </x:is>
      </x:c>
      <x:c r="B341" t="inlineStr">
        <x:is>
          <x:t xml:space="preserve">HR-D7-Q26</x:t>
        </x:is>
      </x:c>
      <x:c r="C341" t="inlineStr">
        <x:is>
          <x:t xml:space="preserve">T3</x:t>
        </x:is>
      </x:c>
      <x:c r="D341" t="inlineStr">
        <x:is>
          <x:t xml:space="preserve">7. Investigations &amp; Fairness</x:t>
        </x:is>
      </x:c>
      <x:c r="E341" t="inlineStr">
        <x:is>
          <x:t xml:space="preserve">R</x:t>
        </x:is>
      </x:c>
      <x:c r="F341" t="n">
        <x:v>0.6</x:v>
      </x:c>
      <x:c r="G341" t="inlineStr">
        <x:is>
          <x:t xml:space="preserve">H</x:t>
        </x:is>
      </x:c>
      <x:c r="H341" t="n">
        <x:v>0.4</x:v>
      </x:c>
      <x:c r="I341" t="inlineStr">
        <x:is>
          <x:t xml:space="preserve">After cases, do you translate outcomes into improvements (training, process, tooling) without creating blame or fear?</x:t>
        </x:is>
      </x:c>
      <x:c r="J341" t="inlineStr">
        <x:is>
          <x:t xml:space="preserve">Learning loop: reduce repeats while maintaining psychological safety.</x:t>
        </x:is>
      </x:c>
      <x:c r="L341" t="inlineStr">
        <x:is>
          <x:t xml:space="preserve">OPS_STD</x:t>
        </x:is>
      </x:c>
      <x:c r="M341" t="n">
        <x:v>1.5</x:v>
      </x:c>
      <x:c r="N341" t="n">
        <x:v>0.5</x:v>
      </x:c>
      <x:c r="P341" t="inlineStr">
        <x:is>
          <x:t xml:space="preserve">HR-D7-Q26-A4</x:t>
        </x:is>
      </x:c>
      <x:c r="Q341" t="n">
        <x:v>4</x:v>
      </x:c>
      <x:c r="R341" t="inlineStr">
        <x:is>
          <x:t xml:space="preserve">Managed: improvements tracked and communicated; repeat issues reduce.</x:t>
        </x:is>
      </x:c>
      <x:c r="S341" t="n">
        <x:v>3</x:v>
      </x:c>
      <x:c r="U341" t="inlineStr">
        <x:is>
          <x:t xml:space="preserve">Operating Model Gap</x:t>
        </x:is>
      </x:c>
      <x:c r="V341" t="inlineStr">
        <x:is>
          <x:t xml:space="preserve">Maintain metrics</x:t>
        </x:is>
      </x:c>
      <x:c r="W341" t="inlineStr">
        <x:is>
          <x:t xml:space="preserve">N</x:t>
        </x:is>
      </x:c>
      <x:c r="X341" t="inlineStr">
        <x:is>
          <x:t xml:space="preserve">Evidence: before/after examples.</x:t>
        </x:is>
      </x:c>
      <x:c r="Y341">
        <x:f>(S341*IF(E341="G",F341,0))+(S341*IF(G341="G",H341,0))</x:f>
      </x:c>
      <x:c r="Z341">
        <x:f>(S341*IF(E341="E",F341,0))+(S341*IF(G341="E",H341,0))</x:f>
      </x:c>
      <x:c r="AA341">
        <x:f>(S341*IF(E341="T",F341,0))+(S341*IF(G341="T",H341,0))</x:f>
      </x:c>
      <x:c r="AB341">
        <x:f>(S341*IF(E341="L",F341,0))+(S341*IF(G341="L",H341,0))</x:f>
      </x:c>
      <x:c r="AC341">
        <x:f>(S341*IF(E341="H",F341,0))+(S341*IF(G341="H",H341,0))</x:f>
      </x:c>
      <x:c r="AD341">
        <x:f>(S341*IF(E341="V",F341,0))+(S341*IF(G341="V",H341,0))</x:f>
      </x:c>
      <x:c r="AE341">
        <x:f>(S341*IF(E341="R",F341,0))+(S341*IF(G341="R",H341,0))</x:f>
      </x:c>
      <x:c r="AF341">
        <x:f>(S341*IF(E341="F",F341,0))+(S341*IF(G341="F",H341,0))</x:f>
      </x:c>
      <x:c r="AG341">
        <x:f>(S341*IF(E341="W",F341,0))+(S341*IF(G341="W",H341,0))</x:f>
      </x:c>
      <x:c r="AH341" t="inlineStr">
        <x:is>
          <x:t xml:space="preserve">8. Investigation &amp; Response</x:t>
        </x:is>
      </x:c>
      <x:c r="AI341" t="inlineStr">
        <x:is>
          <x:t xml:space="preserve">Operational Readiness</x:t>
        </x:is>
      </x:c>
      <x:c r="AJ341" t="inlineStr">
        <x:is>
          <x:t xml:space="preserve">Case management (process + tooling)</x:t>
        </x:is>
      </x:c>
    </x:row>
    <x:row r="342">
      <x:c r="A342" t="inlineStr">
        <x:is>
          <x:t xml:space="preserve">HR</x:t>
        </x:is>
      </x:c>
      <x:c r="B342" t="inlineStr">
        <x:is>
          <x:t xml:space="preserve">HR-D7-Q26</x:t>
        </x:is>
      </x:c>
      <x:c r="C342" t="inlineStr">
        <x:is>
          <x:t xml:space="preserve">T3</x:t>
        </x:is>
      </x:c>
      <x:c r="D342" t="inlineStr">
        <x:is>
          <x:t xml:space="preserve">7. Investigations &amp; Fairness</x:t>
        </x:is>
      </x:c>
      <x:c r="E342" t="inlineStr">
        <x:is>
          <x:t xml:space="preserve">R</x:t>
        </x:is>
      </x:c>
      <x:c r="F342" t="n">
        <x:v>0.6</x:v>
      </x:c>
      <x:c r="G342" t="inlineStr">
        <x:is>
          <x:t xml:space="preserve">H</x:t>
        </x:is>
      </x:c>
      <x:c r="H342" t="n">
        <x:v>0.4</x:v>
      </x:c>
      <x:c r="I342" t="inlineStr">
        <x:is>
          <x:t xml:space="preserve">After cases, do you translate outcomes into improvements (training, process, tooling) without creating blame or fear?</x:t>
        </x:is>
      </x:c>
      <x:c r="J342" t="inlineStr">
        <x:is>
          <x:t xml:space="preserve">Learning loop: reduce repeats while maintaining psychological safety.</x:t>
        </x:is>
      </x:c>
      <x:c r="L342" t="inlineStr">
        <x:is>
          <x:t xml:space="preserve">OPS_STD</x:t>
        </x:is>
      </x:c>
      <x:c r="M342" t="n">
        <x:v>1.5</x:v>
      </x:c>
      <x:c r="N342" t="n">
        <x:v>0.5</x:v>
      </x:c>
      <x:c r="P342" t="inlineStr">
        <x:is>
          <x:t xml:space="preserve">HR-D7-Q26-A5</x:t>
        </x:is>
      </x:c>
      <x:c r="Q342" t="n">
        <x:v>5</x:v>
      </x:c>
      <x:c r="R342" t="inlineStr">
        <x:is>
          <x:t xml:space="preserve">Optimized: continuous improvement; trust and outcomes both measured.</x:t>
        </x:is>
      </x:c>
      <x:c r="S342" t="n">
        <x:v>4</x:v>
      </x:c>
      <x:c r="U342" t="inlineStr">
        <x:is>
          <x:t xml:space="preserve">Culture Risk</x:t>
        </x:is>
      </x:c>
      <x:c r="V342" t="inlineStr">
        <x:is>
          <x:t xml:space="preserve">Maintain maturity</x:t>
        </x:is>
      </x:c>
      <x:c r="W342" t="inlineStr">
        <x:is>
          <x:t xml:space="preserve">N</x:t>
        </x:is>
      </x:c>
      <x:c r="X342" t="inlineStr">
        <x:is>
          <x:t xml:space="preserve">Evidence: KPIs + survey trends.</x:t>
        </x:is>
      </x:c>
      <x:c r="Y342">
        <x:f>(S342*IF(E342="G",F342,0))+(S342*IF(G342="G",H342,0))</x:f>
      </x:c>
      <x:c r="Z342">
        <x:f>(S342*IF(E342="E",F342,0))+(S342*IF(G342="E",H342,0))</x:f>
      </x:c>
      <x:c r="AA342">
        <x:f>(S342*IF(E342="T",F342,0))+(S342*IF(G342="T",H342,0))</x:f>
      </x:c>
      <x:c r="AB342">
        <x:f>(S342*IF(E342="L",F342,0))+(S342*IF(G342="L",H342,0))</x:f>
      </x:c>
      <x:c r="AC342">
        <x:f>(S342*IF(E342="H",F342,0))+(S342*IF(G342="H",H342,0))</x:f>
      </x:c>
      <x:c r="AD342">
        <x:f>(S342*IF(E342="V",F342,0))+(S342*IF(G342="V",H342,0))</x:f>
      </x:c>
      <x:c r="AE342">
        <x:f>(S342*IF(E342="R",F342,0))+(S342*IF(G342="R",H342,0))</x:f>
      </x:c>
      <x:c r="AF342">
        <x:f>(S342*IF(E342="F",F342,0))+(S342*IF(G342="F",H342,0))</x:f>
      </x:c>
      <x:c r="AG342">
        <x:f>(S342*IF(E342="W",F342,0))+(S342*IF(G342="W",H342,0))</x:f>
      </x:c>
      <x:c r="AH342" t="inlineStr">
        <x:is>
          <x:t xml:space="preserve">8. Investigation &amp; Response</x:t>
        </x:is>
      </x:c>
      <x:c r="AI342" t="inlineStr">
        <x:is>
          <x:t xml:space="preserve">Operational Readiness</x:t>
        </x:is>
      </x:c>
      <x:c r="AJ342" t="inlineStr">
        <x:is>
          <x:t xml:space="preserve">Case management (process + tooling)</x:t>
        </x:is>
      </x:c>
    </x:row>
    <x:row r="343">
      <x:c r="A343" t="inlineStr">
        <x:is>
          <x:t xml:space="preserve">HR</x:t>
        </x:is>
      </x:c>
      <x:c r="B343" t="inlineStr">
        <x:is>
          <x:t xml:space="preserve">HR-D8-Q27</x:t>
        </x:is>
      </x:c>
      <x:c r="C343" t="inlineStr">
        <x:is>
          <x:t xml:space="preserve">T1</x:t>
        </x:is>
      </x:c>
      <x:c r="D343" t="inlineStr">
        <x:is>
          <x:t xml:space="preserve">8. Reporting &amp; Metrics</x:t>
        </x:is>
      </x:c>
      <x:c r="E343" t="inlineStr">
        <x:is>
          <x:t xml:space="preserve">G</x:t>
        </x:is>
      </x:c>
      <x:c r="F343" t="n">
        <x:v>0.5</x:v>
      </x:c>
      <x:c r="G343" t="inlineStr">
        <x:is>
          <x:t xml:space="preserve">H</x:t>
        </x:is>
      </x:c>
      <x:c r="H343" t="n">
        <x:v>0.5</x:v>
      </x:c>
      <x:c r="I343" t="inlineStr">
        <x:is>
          <x:t xml:space="preserve">What does HR report to leadership about the people-side of insider risk (themes, training, reporting culture) in a way that supports trust?</x:t>
        </x:is>
      </x:c>
      <x:c r="J343" t="inlineStr">
        <x:is>
          <x:t xml:space="preserve">Aggregated and privacy-safe: focus on themes + improvement actions.</x:t>
        </x:is>
      </x:c>
      <x:c r="L343" t="inlineStr">
        <x:is>
          <x:t xml:space="preserve">GOV_STD</x:t>
        </x:is>
      </x:c>
      <x:c r="M343" t="n">
        <x:v>1</x:v>
      </x:c>
      <x:c r="P343" t="inlineStr">
        <x:is>
          <x:t xml:space="preserve">HR-D8-Q27-A0</x:t>
        </x:is>
      </x:c>
      <x:c r="Q343" t="n">
        <x:v>1</x:v>
      </x:c>
      <x:c r="R343" t="inlineStr">
        <x:is>
          <x:t xml:space="preserve">I don't know / Not sure.</x:t>
        </x:is>
      </x:c>
      <x:c r="S343" t="n">
        <x:v>0</x:v>
      </x:c>
      <x:c r="T343" t="inlineStr">
        <x:is>
          <x:t xml:space="preserve">low-confidence</x:t>
        </x:is>
      </x:c>
      <x:c r="U343" t="inlineStr">
        <x:is>
          <x:t xml:space="preserve">Operating Model Gap</x:t>
        </x:is>
      </x:c>
      <x:c r="V343" t="inlineStr">
        <x:is>
          <x:t xml:space="preserve">Clarify reporting</x:t>
        </x:is>
      </x:c>
      <x:c r="W343" t="inlineStr">
        <x:is>
          <x:t xml:space="preserve">N</x:t>
        </x:is>
      </x:c>
      <x:c r="Y343">
        <x:f>(S343*IF(E343="G",F343,0))+(S343*IF(G343="G",H343,0))</x:f>
      </x:c>
      <x:c r="Z343">
        <x:f>(S343*IF(E343="E",F343,0))+(S343*IF(G343="E",H343,0))</x:f>
      </x:c>
      <x:c r="AA343">
        <x:f>(S343*IF(E343="T",F343,0))+(S343*IF(G343="T",H343,0))</x:f>
      </x:c>
      <x:c r="AB343">
        <x:f>(S343*IF(E343="L",F343,0))+(S343*IF(G343="L",H343,0))</x:f>
      </x:c>
      <x:c r="AC343">
        <x:f>(S343*IF(E343="H",F343,0))+(S343*IF(G343="H",H343,0))</x:f>
      </x:c>
      <x:c r="AD343">
        <x:f>(S343*IF(E343="V",F343,0))+(S343*IF(G343="V",H343,0))</x:f>
      </x:c>
      <x:c r="AE343">
        <x:f>(S343*IF(E343="R",F343,0))+(S343*IF(G343="R",H343,0))</x:f>
      </x:c>
      <x:c r="AF343">
        <x:f>(S343*IF(E343="F",F343,0))+(S343*IF(G343="F",H343,0))</x:f>
      </x:c>
      <x:c r="AG343">
        <x:f>(S343*IF(E343="W",F343,0))+(S343*IF(G343="W",H343,0))</x:f>
      </x:c>
      <x:c r="AH343" t="inlineStr">
        <x:is>
          <x:t xml:space="preserve">9. Performance &amp; Resilience</x:t>
        </x:is>
      </x:c>
      <x:c r="AI343" t="inlineStr">
        <x:is>
          <x:t xml:space="preserve">Assurance &amp; Metrics</x:t>
        </x:is>
      </x:c>
      <x:c r="AJ343" t="inlineStr">
        <x:is>
          <x:t xml:space="preserve">KPI/KRI framework &amp; dashboards</x:t>
        </x:is>
      </x:c>
    </x:row>
    <x:row r="344">
      <x:c r="A344" t="inlineStr">
        <x:is>
          <x:t xml:space="preserve">HR</x:t>
        </x:is>
      </x:c>
      <x:c r="B344" t="inlineStr">
        <x:is>
          <x:t xml:space="preserve">HR-D8-Q27</x:t>
        </x:is>
      </x:c>
      <x:c r="C344" t="inlineStr">
        <x:is>
          <x:t xml:space="preserve">T1</x:t>
        </x:is>
      </x:c>
      <x:c r="D344" t="inlineStr">
        <x:is>
          <x:t xml:space="preserve">8. Reporting &amp; Metrics</x:t>
        </x:is>
      </x:c>
      <x:c r="E344" t="inlineStr">
        <x:is>
          <x:t xml:space="preserve">G</x:t>
        </x:is>
      </x:c>
      <x:c r="F344" t="n">
        <x:v>0.5</x:v>
      </x:c>
      <x:c r="G344" t="inlineStr">
        <x:is>
          <x:t xml:space="preserve">H</x:t>
        </x:is>
      </x:c>
      <x:c r="H344" t="n">
        <x:v>0.5</x:v>
      </x:c>
      <x:c r="I344" t="inlineStr">
        <x:is>
          <x:t xml:space="preserve">What does HR report to leadership about the people-side of insider risk (themes, training, reporting culture) in a way that supports trust?</x:t>
        </x:is>
      </x:c>
      <x:c r="J344" t="inlineStr">
        <x:is>
          <x:t xml:space="preserve">Aggregated and privacy-safe: focus on themes + improvement actions.</x:t>
        </x:is>
      </x:c>
      <x:c r="L344" t="inlineStr">
        <x:is>
          <x:t xml:space="preserve">GOV_STD</x:t>
        </x:is>
      </x:c>
      <x:c r="M344" t="n">
        <x:v>1</x:v>
      </x:c>
      <x:c r="P344" t="inlineStr">
        <x:is>
          <x:t xml:space="preserve">HR-D8-Q27-A1</x:t>
        </x:is>
      </x:c>
      <x:c r="Q344" t="n">
        <x:v>2</x:v>
      </x:c>
      <x:c r="R344" t="inlineStr">
        <x:is>
          <x:t xml:space="preserve">None: HR does not report on these topics.</x:t>
        </x:is>
      </x:c>
      <x:c r="S344" t="n">
        <x:v>0</x:v>
      </x:c>
      <x:c r="T344" t="inlineStr">
        <x:is>
          <x:t xml:space="preserve">paper_dragon_signal</x:t>
        </x:is>
      </x:c>
      <x:c r="U344" t="inlineStr">
        <x:is>
          <x:t xml:space="preserve">Paper Dragon</x:t>
        </x:is>
      </x:c>
      <x:c r="V344" t="inlineStr">
        <x:is>
          <x:t xml:space="preserve">Introduce leadership reporting</x:t>
        </x:is>
      </x:c>
      <x:c r="W344" t="inlineStr">
        <x:is>
          <x:t xml:space="preserve">N</x:t>
        </x:is>
      </x:c>
      <x:c r="Y344">
        <x:f>(S344*IF(E344="G",F344,0))+(S344*IF(G344="G",H344,0))</x:f>
      </x:c>
      <x:c r="Z344">
        <x:f>(S344*IF(E344="E",F344,0))+(S344*IF(G344="E",H344,0))</x:f>
      </x:c>
      <x:c r="AA344">
        <x:f>(S344*IF(E344="T",F344,0))+(S344*IF(G344="T",H344,0))</x:f>
      </x:c>
      <x:c r="AB344">
        <x:f>(S344*IF(E344="L",F344,0))+(S344*IF(G344="L",H344,0))</x:f>
      </x:c>
      <x:c r="AC344">
        <x:f>(S344*IF(E344="H",F344,0))+(S344*IF(G344="H",H344,0))</x:f>
      </x:c>
      <x:c r="AD344">
        <x:f>(S344*IF(E344="V",F344,0))+(S344*IF(G344="V",H344,0))</x:f>
      </x:c>
      <x:c r="AE344">
        <x:f>(S344*IF(E344="R",F344,0))+(S344*IF(G344="R",H344,0))</x:f>
      </x:c>
      <x:c r="AF344">
        <x:f>(S344*IF(E344="F",F344,0))+(S344*IF(G344="F",H344,0))</x:f>
      </x:c>
      <x:c r="AG344">
        <x:f>(S344*IF(E344="W",F344,0))+(S344*IF(G344="W",H344,0))</x:f>
      </x:c>
      <x:c r="AH344" t="inlineStr">
        <x:is>
          <x:t xml:space="preserve">9. Performance &amp; Resilience</x:t>
        </x:is>
      </x:c>
      <x:c r="AI344" t="inlineStr">
        <x:is>
          <x:t xml:space="preserve">Assurance &amp; Metrics</x:t>
        </x:is>
      </x:c>
      <x:c r="AJ344" t="inlineStr">
        <x:is>
          <x:t xml:space="preserve">KPI/KRI framework &amp; dashboards</x:t>
        </x:is>
      </x:c>
    </x:row>
    <x:row r="345">
      <x:c r="A345" t="inlineStr">
        <x:is>
          <x:t xml:space="preserve">HR</x:t>
        </x:is>
      </x:c>
      <x:c r="B345" t="inlineStr">
        <x:is>
          <x:t xml:space="preserve">HR-D8-Q27</x:t>
        </x:is>
      </x:c>
      <x:c r="C345" t="inlineStr">
        <x:is>
          <x:t xml:space="preserve">T1</x:t>
        </x:is>
      </x:c>
      <x:c r="D345" t="inlineStr">
        <x:is>
          <x:t xml:space="preserve">8. Reporting &amp; Metrics</x:t>
        </x:is>
      </x:c>
      <x:c r="E345" t="inlineStr">
        <x:is>
          <x:t xml:space="preserve">G</x:t>
        </x:is>
      </x:c>
      <x:c r="F345" t="n">
        <x:v>0.5</x:v>
      </x:c>
      <x:c r="G345" t="inlineStr">
        <x:is>
          <x:t xml:space="preserve">H</x:t>
        </x:is>
      </x:c>
      <x:c r="H345" t="n">
        <x:v>0.5</x:v>
      </x:c>
      <x:c r="I345" t="inlineStr">
        <x:is>
          <x:t xml:space="preserve">What does HR report to leadership about the people-side of insider risk (themes, training, reporting culture) in a way that supports trust?</x:t>
        </x:is>
      </x:c>
      <x:c r="J345" t="inlineStr">
        <x:is>
          <x:t xml:space="preserve">Aggregated and privacy-safe: focus on themes + improvement actions.</x:t>
        </x:is>
      </x:c>
      <x:c r="L345" t="inlineStr">
        <x:is>
          <x:t xml:space="preserve">GOV_STD</x:t>
        </x:is>
      </x:c>
      <x:c r="M345" t="n">
        <x:v>1</x:v>
      </x:c>
      <x:c r="P345" t="inlineStr">
        <x:is>
          <x:t xml:space="preserve">HR-D8-Q27-A2</x:t>
        </x:is>
      </x:c>
      <x:c r="Q345" t="n">
        <x:v>3</x:v>
      </x:c>
      <x:c r="R345" t="inlineStr">
        <x:is>
          <x:t xml:space="preserve">Ad-hoc: only after incidents or external pressure.</x:t>
        </x:is>
      </x:c>
      <x:c r="S345" t="n">
        <x:v>1</x:v>
      </x:c>
      <x:c r="T345" t="inlineStr">
        <x:is>
          <x:t xml:space="preserve">control_lag</x:t>
        </x:is>
      </x:c>
      <x:c r="U345" t="inlineStr">
        <x:is>
          <x:t xml:space="preserve">Control Lag</x:t>
        </x:is>
      </x:c>
      <x:c r="V345" t="inlineStr">
        <x:is>
          <x:t xml:space="preserve">Create regular cadence</x:t>
        </x:is>
      </x:c>
      <x:c r="W345" t="inlineStr">
        <x:is>
          <x:t xml:space="preserve">N</x:t>
        </x:is>
      </x:c>
      <x:c r="Y345">
        <x:f>(S345*IF(E345="G",F345,0))+(S345*IF(G345="G",H345,0))</x:f>
      </x:c>
      <x:c r="Z345">
        <x:f>(S345*IF(E345="E",F345,0))+(S345*IF(G345="E",H345,0))</x:f>
      </x:c>
      <x:c r="AA345">
        <x:f>(S345*IF(E345="T",F345,0))+(S345*IF(G345="T",H345,0))</x:f>
      </x:c>
      <x:c r="AB345">
        <x:f>(S345*IF(E345="L",F345,0))+(S345*IF(G345="L",H345,0))</x:f>
      </x:c>
      <x:c r="AC345">
        <x:f>(S345*IF(E345="H",F345,0))+(S345*IF(G345="H",H345,0))</x:f>
      </x:c>
      <x:c r="AD345">
        <x:f>(S345*IF(E345="V",F345,0))+(S345*IF(G345="V",H345,0))</x:f>
      </x:c>
      <x:c r="AE345">
        <x:f>(S345*IF(E345="R",F345,0))+(S345*IF(G345="R",H345,0))</x:f>
      </x:c>
      <x:c r="AF345">
        <x:f>(S345*IF(E345="F",F345,0))+(S345*IF(G345="F",H345,0))</x:f>
      </x:c>
      <x:c r="AG345">
        <x:f>(S345*IF(E345="W",F345,0))+(S345*IF(G345="W",H345,0))</x:f>
      </x:c>
      <x:c r="AH345" t="inlineStr">
        <x:is>
          <x:t xml:space="preserve">9. Performance &amp; Resilience</x:t>
        </x:is>
      </x:c>
      <x:c r="AI345" t="inlineStr">
        <x:is>
          <x:t xml:space="preserve">Assurance &amp; Metrics</x:t>
        </x:is>
      </x:c>
      <x:c r="AJ345" t="inlineStr">
        <x:is>
          <x:t xml:space="preserve">KPI/KRI framework &amp; dashboards</x:t>
        </x:is>
      </x:c>
    </x:row>
    <x:row r="346">
      <x:c r="A346" t="inlineStr">
        <x:is>
          <x:t xml:space="preserve">HR</x:t>
        </x:is>
      </x:c>
      <x:c r="B346" t="inlineStr">
        <x:is>
          <x:t xml:space="preserve">HR-D8-Q27</x:t>
        </x:is>
      </x:c>
      <x:c r="C346" t="inlineStr">
        <x:is>
          <x:t xml:space="preserve">T1</x:t>
        </x:is>
      </x:c>
      <x:c r="D346" t="inlineStr">
        <x:is>
          <x:t xml:space="preserve">8. Reporting &amp; Metrics</x:t>
        </x:is>
      </x:c>
      <x:c r="E346" t="inlineStr">
        <x:is>
          <x:t xml:space="preserve">G</x:t>
        </x:is>
      </x:c>
      <x:c r="F346" t="n">
        <x:v>0.5</x:v>
      </x:c>
      <x:c r="G346" t="inlineStr">
        <x:is>
          <x:t xml:space="preserve">H</x:t>
        </x:is>
      </x:c>
      <x:c r="H346" t="n">
        <x:v>0.5</x:v>
      </x:c>
      <x:c r="I346" t="inlineStr">
        <x:is>
          <x:t xml:space="preserve">What does HR report to leadership about the people-side of insider risk (themes, training, reporting culture) in a way that supports trust?</x:t>
        </x:is>
      </x:c>
      <x:c r="J346" t="inlineStr">
        <x:is>
          <x:t xml:space="preserve">Aggregated and privacy-safe: focus on themes + improvement actions.</x:t>
        </x:is>
      </x:c>
      <x:c r="L346" t="inlineStr">
        <x:is>
          <x:t xml:space="preserve">GOV_STD</x:t>
        </x:is>
      </x:c>
      <x:c r="M346" t="n">
        <x:v>1</x:v>
      </x:c>
      <x:c r="P346" t="inlineStr">
        <x:is>
          <x:t xml:space="preserve">HR-D8-Q27-A3</x:t>
        </x:is>
      </x:c>
      <x:c r="Q346" t="n">
        <x:v>4</x:v>
      </x:c>
      <x:c r="R346" t="inlineStr">
        <x:is>
          <x:t xml:space="preserve">Basic: occasional updates on policy/training; limited on culture/themes.</x:t>
        </x:is>
      </x:c>
      <x:c r="S346" t="n">
        <x:v>2</x:v>
      </x:c>
      <x:c r="U346" t="inlineStr">
        <x:is>
          <x:t xml:space="preserve">Operating Model Gap</x:t>
        </x:is>
      </x:c>
      <x:c r="V346" t="inlineStr">
        <x:is>
          <x:t xml:space="preserve">Expand to themes + actions</x:t>
        </x:is>
      </x:c>
      <x:c r="W346" t="inlineStr">
        <x:is>
          <x:t xml:space="preserve">N</x:t>
        </x:is>
      </x:c>
      <x:c r="X346" t="inlineStr">
        <x:is>
          <x:t xml:space="preserve">Evidence: slide pack example.</x:t>
        </x:is>
      </x:c>
      <x:c r="Y346">
        <x:f>(S346*IF(E346="G",F346,0))+(S346*IF(G346="G",H346,0))</x:f>
      </x:c>
      <x:c r="Z346">
        <x:f>(S346*IF(E346="E",F346,0))+(S346*IF(G346="E",H346,0))</x:f>
      </x:c>
      <x:c r="AA346">
        <x:f>(S346*IF(E346="T",F346,0))+(S346*IF(G346="T",H346,0))</x:f>
      </x:c>
      <x:c r="AB346">
        <x:f>(S346*IF(E346="L",F346,0))+(S346*IF(G346="L",H346,0))</x:f>
      </x:c>
      <x:c r="AC346">
        <x:f>(S346*IF(E346="H",F346,0))+(S346*IF(G346="H",H346,0))</x:f>
      </x:c>
      <x:c r="AD346">
        <x:f>(S346*IF(E346="V",F346,0))+(S346*IF(G346="V",H346,0))</x:f>
      </x:c>
      <x:c r="AE346">
        <x:f>(S346*IF(E346="R",F346,0))+(S346*IF(G346="R",H346,0))</x:f>
      </x:c>
      <x:c r="AF346">
        <x:f>(S346*IF(E346="F",F346,0))+(S346*IF(G346="F",H346,0))</x:f>
      </x:c>
      <x:c r="AG346">
        <x:f>(S346*IF(E346="W",F346,0))+(S346*IF(G346="W",H346,0))</x:f>
      </x:c>
      <x:c r="AH346" t="inlineStr">
        <x:is>
          <x:t xml:space="preserve">9. Performance &amp; Resilience</x:t>
        </x:is>
      </x:c>
      <x:c r="AI346" t="inlineStr">
        <x:is>
          <x:t xml:space="preserve">Assurance &amp; Metrics</x:t>
        </x:is>
      </x:c>
      <x:c r="AJ346" t="inlineStr">
        <x:is>
          <x:t xml:space="preserve">KPI/KRI framework &amp; dashboards</x:t>
        </x:is>
      </x:c>
    </x:row>
    <x:row r="347">
      <x:c r="A347" t="inlineStr">
        <x:is>
          <x:t xml:space="preserve">HR</x:t>
        </x:is>
      </x:c>
      <x:c r="B347" t="inlineStr">
        <x:is>
          <x:t xml:space="preserve">HR-D8-Q27</x:t>
        </x:is>
      </x:c>
      <x:c r="C347" t="inlineStr">
        <x:is>
          <x:t xml:space="preserve">T1</x:t>
        </x:is>
      </x:c>
      <x:c r="D347" t="inlineStr">
        <x:is>
          <x:t xml:space="preserve">8. Reporting &amp; Metrics</x:t>
        </x:is>
      </x:c>
      <x:c r="E347" t="inlineStr">
        <x:is>
          <x:t xml:space="preserve">G</x:t>
        </x:is>
      </x:c>
      <x:c r="F347" t="n">
        <x:v>0.5</x:v>
      </x:c>
      <x:c r="G347" t="inlineStr">
        <x:is>
          <x:t xml:space="preserve">H</x:t>
        </x:is>
      </x:c>
      <x:c r="H347" t="n">
        <x:v>0.5</x:v>
      </x:c>
      <x:c r="I347" t="inlineStr">
        <x:is>
          <x:t xml:space="preserve">What does HR report to leadership about the people-side of insider risk (themes, training, reporting culture) in a way that supports trust?</x:t>
        </x:is>
      </x:c>
      <x:c r="J347" t="inlineStr">
        <x:is>
          <x:t xml:space="preserve">Aggregated and privacy-safe: focus on themes + improvement actions.</x:t>
        </x:is>
      </x:c>
      <x:c r="L347" t="inlineStr">
        <x:is>
          <x:t xml:space="preserve">GOV_STD</x:t>
        </x:is>
      </x:c>
      <x:c r="M347" t="n">
        <x:v>1</x:v>
      </x:c>
      <x:c r="P347" t="inlineStr">
        <x:is>
          <x:t xml:space="preserve">HR-D8-Q27-A4</x:t>
        </x:is>
      </x:c>
      <x:c r="Q347" t="n">
        <x:v>5</x:v>
      </x:c>
      <x:c r="R347" t="inlineStr">
        <x:is>
          <x:t xml:space="preserve">Managed: quarterly dashboards covering culture, retaliation, and improvement actions.</x:t>
        </x:is>
      </x:c>
      <x:c r="S347" t="n">
        <x:v>3</x:v>
      </x:c>
      <x:c r="U347" t="inlineStr">
        <x:is>
          <x:t xml:space="preserve">Operating Model Gap</x:t>
        </x:is>
      </x:c>
      <x:c r="V347" t="inlineStr">
        <x:is>
          <x:t xml:space="preserve">Maintain and improve</x:t>
        </x:is>
      </x:c>
      <x:c r="W347" t="inlineStr">
        <x:is>
          <x:t xml:space="preserve">N</x:t>
        </x:is>
      </x:c>
      <x:c r="X347" t="inlineStr">
        <x:is>
          <x:t xml:space="preserve">Evidence: KPI dashboard.</x:t>
        </x:is>
      </x:c>
      <x:c r="Y347">
        <x:f>(S347*IF(E347="G",F347,0))+(S347*IF(G347="G",H347,0))</x:f>
      </x:c>
      <x:c r="Z347">
        <x:f>(S347*IF(E347="E",F347,0))+(S347*IF(G347="E",H347,0))</x:f>
      </x:c>
      <x:c r="AA347">
        <x:f>(S347*IF(E347="T",F347,0))+(S347*IF(G347="T",H347,0))</x:f>
      </x:c>
      <x:c r="AB347">
        <x:f>(S347*IF(E347="L",F347,0))+(S347*IF(G347="L",H347,0))</x:f>
      </x:c>
      <x:c r="AC347">
        <x:f>(S347*IF(E347="H",F347,0))+(S347*IF(G347="H",H347,0))</x:f>
      </x:c>
      <x:c r="AD347">
        <x:f>(S347*IF(E347="V",F347,0))+(S347*IF(G347="V",H347,0))</x:f>
      </x:c>
      <x:c r="AE347">
        <x:f>(S347*IF(E347="R",F347,0))+(S347*IF(G347="R",H347,0))</x:f>
      </x:c>
      <x:c r="AF347">
        <x:f>(S347*IF(E347="F",F347,0))+(S347*IF(G347="F",H347,0))</x:f>
      </x:c>
      <x:c r="AG347">
        <x:f>(S347*IF(E347="W",F347,0))+(S347*IF(G347="W",H347,0))</x:f>
      </x:c>
      <x:c r="AH347" t="inlineStr">
        <x:is>
          <x:t xml:space="preserve">9. Performance &amp; Resilience</x:t>
        </x:is>
      </x:c>
      <x:c r="AI347" t="inlineStr">
        <x:is>
          <x:t xml:space="preserve">Assurance &amp; Metrics</x:t>
        </x:is>
      </x:c>
      <x:c r="AJ347" t="inlineStr">
        <x:is>
          <x:t xml:space="preserve">KPI/KRI framework &amp; dashboards</x:t>
        </x:is>
      </x:c>
    </x:row>
    <x:row r="348">
      <x:c r="A348" t="inlineStr">
        <x:is>
          <x:t xml:space="preserve">HR</x:t>
        </x:is>
      </x:c>
      <x:c r="B348" t="inlineStr">
        <x:is>
          <x:t xml:space="preserve">HR-D8-Q27</x:t>
        </x:is>
      </x:c>
      <x:c r="C348" t="inlineStr">
        <x:is>
          <x:t xml:space="preserve">T1</x:t>
        </x:is>
      </x:c>
      <x:c r="D348" t="inlineStr">
        <x:is>
          <x:t xml:space="preserve">8. Reporting &amp; Metrics</x:t>
        </x:is>
      </x:c>
      <x:c r="E348" t="inlineStr">
        <x:is>
          <x:t xml:space="preserve">G</x:t>
        </x:is>
      </x:c>
      <x:c r="F348" t="n">
        <x:v>0.5</x:v>
      </x:c>
      <x:c r="G348" t="inlineStr">
        <x:is>
          <x:t xml:space="preserve">H</x:t>
        </x:is>
      </x:c>
      <x:c r="H348" t="n">
        <x:v>0.5</x:v>
      </x:c>
      <x:c r="I348" t="inlineStr">
        <x:is>
          <x:t xml:space="preserve">What does HR report to leadership about the people-side of insider risk (themes, training, reporting culture) in a way that supports trust?</x:t>
        </x:is>
      </x:c>
      <x:c r="J348" t="inlineStr">
        <x:is>
          <x:t xml:space="preserve">Aggregated and privacy-safe: focus on themes + improvement actions.</x:t>
        </x:is>
      </x:c>
      <x:c r="L348" t="inlineStr">
        <x:is>
          <x:t xml:space="preserve">GOV_STD</x:t>
        </x:is>
      </x:c>
      <x:c r="M348" t="n">
        <x:v>1</x:v>
      </x:c>
      <x:c r="P348" t="inlineStr">
        <x:is>
          <x:t xml:space="preserve">HR-D8-Q27-A5</x:t>
        </x:is>
      </x:c>
      <x:c r="Q348" t="n">
        <x:v>6</x:v>
      </x:c>
      <x:c r="R348" t="inlineStr">
        <x:is>
          <x:t xml:space="preserve">Optimized: trends + leading indicators tracked and linked to outcomes.</x:t>
        </x:is>
      </x:c>
      <x:c r="S348" t="n">
        <x:v>4</x:v>
      </x:c>
      <x:c r="U348" t="inlineStr">
        <x:is>
          <x:t xml:space="preserve">Culture Risk</x:t>
        </x:is>
      </x:c>
      <x:c r="V348" t="inlineStr">
        <x:is>
          <x:t xml:space="preserve">Maintain maturity</x:t>
        </x:is>
      </x:c>
      <x:c r="W348" t="inlineStr">
        <x:is>
          <x:t xml:space="preserve">N</x:t>
        </x:is>
      </x:c>
      <x:c r="X348" t="inlineStr">
        <x:is>
          <x:t xml:space="preserve">Evidence: trend charts + outcomes.</x:t>
        </x:is>
      </x:c>
      <x:c r="Y348">
        <x:f>(S348*IF(E348="G",F348,0))+(S348*IF(G348="G",H348,0))</x:f>
      </x:c>
      <x:c r="Z348">
        <x:f>(S348*IF(E348="E",F348,0))+(S348*IF(G348="E",H348,0))</x:f>
      </x:c>
      <x:c r="AA348">
        <x:f>(S348*IF(E348="T",F348,0))+(S348*IF(G348="T",H348,0))</x:f>
      </x:c>
      <x:c r="AB348">
        <x:f>(S348*IF(E348="L",F348,0))+(S348*IF(G348="L",H348,0))</x:f>
      </x:c>
      <x:c r="AC348">
        <x:f>(S348*IF(E348="H",F348,0))+(S348*IF(G348="H",H348,0))</x:f>
      </x:c>
      <x:c r="AD348">
        <x:f>(S348*IF(E348="V",F348,0))+(S348*IF(G348="V",H348,0))</x:f>
      </x:c>
      <x:c r="AE348">
        <x:f>(S348*IF(E348="R",F348,0))+(S348*IF(G348="R",H348,0))</x:f>
      </x:c>
      <x:c r="AF348">
        <x:f>(S348*IF(E348="F",F348,0))+(S348*IF(G348="F",H348,0))</x:f>
      </x:c>
      <x:c r="AG348">
        <x:f>(S348*IF(E348="W",F348,0))+(S348*IF(G348="W",H348,0))</x:f>
      </x:c>
      <x:c r="AH348" t="inlineStr">
        <x:is>
          <x:t xml:space="preserve">9. Performance &amp; Resilience</x:t>
        </x:is>
      </x:c>
      <x:c r="AI348" t="inlineStr">
        <x:is>
          <x:t xml:space="preserve">Assurance &amp; Metrics</x:t>
        </x:is>
      </x:c>
      <x:c r="AJ348" t="inlineStr">
        <x:is>
          <x:t xml:space="preserve">KPI/KRI framework &amp; dashboards</x:t>
        </x:is>
      </x:c>
    </x:row>
    <x:row r="349">
      <x:c r="A349" t="inlineStr">
        <x:is>
          <x:t xml:space="preserve">HR</x:t>
        </x:is>
      </x:c>
      <x:c r="B349" t="inlineStr">
        <x:is>
          <x:t xml:space="preserve">HR-D8-Q28</x:t>
        </x:is>
      </x:c>
      <x:c r="C349" t="inlineStr">
        <x:is>
          <x:t xml:space="preserve">T2</x:t>
        </x:is>
      </x:c>
      <x:c r="D349" t="inlineStr">
        <x:is>
          <x:t xml:space="preserve">8. Reporting &amp; Metrics</x:t>
        </x:is>
      </x:c>
      <x:c r="E349" t="inlineStr">
        <x:is>
          <x:t xml:space="preserve">H</x:t>
        </x:is>
      </x:c>
      <x:c r="F349" t="n">
        <x:v>1</x:v>
      </x:c>
      <x:c r="G349" t="inlineStr">
        <x:is>
          <x:t xml:space="preserve">-</x:t>
        </x:is>
      </x:c>
      <x:c r="I349" t="inlineStr">
        <x:is>
          <x:t xml:space="preserve">(Shadow probe) Do you recognise and track 'near-misses' or early interventions as positive signals (without naming/shaming)?</x:t>
        </x:is>
      </x:c>
      <x:c r="J349" t="inlineStr">
        <x:is>
          <x:t xml:space="preserve">Near-miss = prevented escalation (e.g., someone flagged risky sharing).</x:t>
        </x:is>
      </x:c>
      <x:c r="L349" t="inlineStr">
        <x:is>
          <x:t xml:space="preserve">CULT_SOFT</x:t>
        </x:is>
      </x:c>
      <x:c r="M349" t="n">
        <x:v>1</x:v>
      </x:c>
      <x:c r="P349" t="inlineStr">
        <x:is>
          <x:t xml:space="preserve">HR-D8-Q28-A1</x:t>
        </x:is>
      </x:c>
      <x:c r="Q349" t="n">
        <x:v>1</x:v>
      </x:c>
      <x:c r="R349" t="inlineStr">
        <x:is>
          <x:t xml:space="preserve">No: only serious cases or formal complaints are tracked.</x:t>
        </x:is>
      </x:c>
      <x:c r="S349" t="n">
        <x:v>0</x:v>
      </x:c>
      <x:c r="T349" t="inlineStr">
        <x:is>
          <x:t xml:space="preserve">paper_dragon_signal</x:t>
        </x:is>
      </x:c>
      <x:c r="U349" t="inlineStr">
        <x:is>
          <x:t xml:space="preserve">Paper Dragon</x:t>
        </x:is>
      </x:c>
      <x:c r="V349" t="inlineStr">
        <x:is>
          <x:t xml:space="preserve">Add near-miss learning loop</x:t>
        </x:is>
      </x:c>
      <x:c r="W349" t="inlineStr">
        <x:is>
          <x:t xml:space="preserve">N</x:t>
        </x:is>
      </x:c>
      <x:c r="Y349">
        <x:f>(S349*IF(E349="G",F349,0))+(S349*IF(G349="G",H349,0))</x:f>
      </x:c>
      <x:c r="Z349">
        <x:f>(S349*IF(E349="E",F349,0))+(S349*IF(G349="E",H349,0))</x:f>
      </x:c>
      <x:c r="AA349">
        <x:f>(S349*IF(E349="T",F349,0))+(S349*IF(G349="T",H349,0))</x:f>
      </x:c>
      <x:c r="AB349">
        <x:f>(S349*IF(E349="L",F349,0))+(S349*IF(G349="L",H349,0))</x:f>
      </x:c>
      <x:c r="AC349">
        <x:f>(S349*IF(E349="H",F349,0))+(S349*IF(G349="H",H349,0))</x:f>
      </x:c>
      <x:c r="AD349">
        <x:f>(S349*IF(E349="V",F349,0))+(S349*IF(G349="V",H349,0))</x:f>
      </x:c>
      <x:c r="AE349">
        <x:f>(S349*IF(E349="R",F349,0))+(S349*IF(G349="R",H349,0))</x:f>
      </x:c>
      <x:c r="AF349">
        <x:f>(S349*IF(E349="F",F349,0))+(S349*IF(G349="F",H349,0))</x:f>
      </x:c>
      <x:c r="AG349">
        <x:f>(S349*IF(E349="W",F349,0))+(S349*IF(G349="W",H349,0))</x:f>
      </x:c>
      <x:c r="AH349" t="inlineStr">
        <x:is>
          <x:t xml:space="preserve">3. Risk Management</x:t>
        </x:is>
      </x:c>
      <x:c r="AI349" t="inlineStr">
        <x:is>
          <x:t xml:space="preserve">Inventory &amp; Scope</x:t>
        </x:is>
      </x:c>
      <x:c r="AJ349" t="inlineStr">
        <x:is>
          <x:t xml:space="preserve">Critical process mapping</x:t>
        </x:is>
      </x:c>
    </x:row>
    <x:row r="350">
      <x:c r="A350" t="inlineStr">
        <x:is>
          <x:t xml:space="preserve">HR</x:t>
        </x:is>
      </x:c>
      <x:c r="B350" t="inlineStr">
        <x:is>
          <x:t xml:space="preserve">HR-D8-Q28</x:t>
        </x:is>
      </x:c>
      <x:c r="C350" t="inlineStr">
        <x:is>
          <x:t xml:space="preserve">T2</x:t>
        </x:is>
      </x:c>
      <x:c r="D350" t="inlineStr">
        <x:is>
          <x:t xml:space="preserve">8. Reporting &amp; Metrics</x:t>
        </x:is>
      </x:c>
      <x:c r="E350" t="inlineStr">
        <x:is>
          <x:t xml:space="preserve">H</x:t>
        </x:is>
      </x:c>
      <x:c r="F350" t="n">
        <x:v>1</x:v>
      </x:c>
      <x:c r="G350" t="inlineStr">
        <x:is>
          <x:t xml:space="preserve">-</x:t>
        </x:is>
      </x:c>
      <x:c r="I350" t="inlineStr">
        <x:is>
          <x:t xml:space="preserve">(Shadow probe) Do you recognise and track 'near-misses' or early interventions as positive signals (without naming/shaming)?</x:t>
        </x:is>
      </x:c>
      <x:c r="J350" t="inlineStr">
        <x:is>
          <x:t xml:space="preserve">Near-miss = prevented escalation (e.g., someone flagged risky sharing).</x:t>
        </x:is>
      </x:c>
      <x:c r="L350" t="inlineStr">
        <x:is>
          <x:t xml:space="preserve">CULT_SOFT</x:t>
        </x:is>
      </x:c>
      <x:c r="M350" t="n">
        <x:v>1</x:v>
      </x:c>
      <x:c r="P350" t="inlineStr">
        <x:is>
          <x:t xml:space="preserve">HR-D8-Q28-A2</x:t>
        </x:is>
      </x:c>
      <x:c r="Q350" t="n">
        <x:v>2</x:v>
      </x:c>
      <x:c r="R350" t="inlineStr">
        <x:is>
          <x:t xml:space="preserve">Informal: talked about, but nothing tracked.</x:t>
        </x:is>
      </x:c>
      <x:c r="S350" t="n">
        <x:v>1</x:v>
      </x:c>
      <x:c r="T350" t="inlineStr">
        <x:is>
          <x:t xml:space="preserve">shadow_mature_signal</x:t>
        </x:is>
      </x:c>
      <x:c r="U350" t="inlineStr">
        <x:is>
          <x:t xml:space="preserve">Culture Risk</x:t>
        </x:is>
      </x:c>
      <x:c r="V350" t="inlineStr">
        <x:is>
          <x:t xml:space="preserve">Create privacy-safe tracking</x:t>
        </x:is>
      </x:c>
      <x:c r="W350" t="inlineStr">
        <x:is>
          <x:t xml:space="preserve">N</x:t>
        </x:is>
      </x:c>
      <x:c r="Y350">
        <x:f>(S350*IF(E350="G",F350,0))+(S350*IF(G350="G",H350,0))</x:f>
      </x:c>
      <x:c r="Z350">
        <x:f>(S350*IF(E350="E",F350,0))+(S350*IF(G350="E",H350,0))</x:f>
      </x:c>
      <x:c r="AA350">
        <x:f>(S350*IF(E350="T",F350,0))+(S350*IF(G350="T",H350,0))</x:f>
      </x:c>
      <x:c r="AB350">
        <x:f>(S350*IF(E350="L",F350,0))+(S350*IF(G350="L",H350,0))</x:f>
      </x:c>
      <x:c r="AC350">
        <x:f>(S350*IF(E350="H",F350,0))+(S350*IF(G350="H",H350,0))</x:f>
      </x:c>
      <x:c r="AD350">
        <x:f>(S350*IF(E350="V",F350,0))+(S350*IF(G350="V",H350,0))</x:f>
      </x:c>
      <x:c r="AE350">
        <x:f>(S350*IF(E350="R",F350,0))+(S350*IF(G350="R",H350,0))</x:f>
      </x:c>
      <x:c r="AF350">
        <x:f>(S350*IF(E350="F",F350,0))+(S350*IF(G350="F",H350,0))</x:f>
      </x:c>
      <x:c r="AG350">
        <x:f>(S350*IF(E350="W",F350,0))+(S350*IF(G350="W",H350,0))</x:f>
      </x:c>
      <x:c r="AH350" t="inlineStr">
        <x:is>
          <x:t xml:space="preserve">3. Risk Management</x:t>
        </x:is>
      </x:c>
      <x:c r="AI350" t="inlineStr">
        <x:is>
          <x:t xml:space="preserve">Inventory &amp; Scope</x:t>
        </x:is>
      </x:c>
      <x:c r="AJ350" t="inlineStr">
        <x:is>
          <x:t xml:space="preserve">Critical process mapping</x:t>
        </x:is>
      </x:c>
    </x:row>
    <x:row r="351">
      <x:c r="A351" t="inlineStr">
        <x:is>
          <x:t xml:space="preserve">HR</x:t>
        </x:is>
      </x:c>
      <x:c r="B351" t="inlineStr">
        <x:is>
          <x:t xml:space="preserve">HR-D8-Q28</x:t>
        </x:is>
      </x:c>
      <x:c r="C351" t="inlineStr">
        <x:is>
          <x:t xml:space="preserve">T2</x:t>
        </x:is>
      </x:c>
      <x:c r="D351" t="inlineStr">
        <x:is>
          <x:t xml:space="preserve">8. Reporting &amp; Metrics</x:t>
        </x:is>
      </x:c>
      <x:c r="E351" t="inlineStr">
        <x:is>
          <x:t xml:space="preserve">H</x:t>
        </x:is>
      </x:c>
      <x:c r="F351" t="n">
        <x:v>1</x:v>
      </x:c>
      <x:c r="G351" t="inlineStr">
        <x:is>
          <x:t xml:space="preserve">-</x:t>
        </x:is>
      </x:c>
      <x:c r="I351" t="inlineStr">
        <x:is>
          <x:t xml:space="preserve">(Shadow probe) Do you recognise and track 'near-misses' or early interventions as positive signals (without naming/shaming)?</x:t>
        </x:is>
      </x:c>
      <x:c r="J351" t="inlineStr">
        <x:is>
          <x:t xml:space="preserve">Near-miss = prevented escalation (e.g., someone flagged risky sharing).</x:t>
        </x:is>
      </x:c>
      <x:c r="L351" t="inlineStr">
        <x:is>
          <x:t xml:space="preserve">CULT_SOFT</x:t>
        </x:is>
      </x:c>
      <x:c r="M351" t="n">
        <x:v>1</x:v>
      </x:c>
      <x:c r="P351" t="inlineStr">
        <x:is>
          <x:t xml:space="preserve">HR-D8-Q28-A3</x:t>
        </x:is>
      </x:c>
      <x:c r="Q351" t="n">
        <x:v>3</x:v>
      </x:c>
      <x:c r="R351" t="inlineStr">
        <x:is>
          <x:t xml:space="preserve">Sometimes tracked in aggregate; used for learning/training.</x:t>
        </x:is>
      </x:c>
      <x:c r="S351" t="n">
        <x:v>2</x:v>
      </x:c>
      <x:c r="U351" t="inlineStr">
        <x:is>
          <x:t xml:space="preserve">Culture Risk</x:t>
        </x:is>
      </x:c>
      <x:c r="V351" t="inlineStr">
        <x:is>
          <x:t xml:space="preserve">Improve consistency</x:t>
        </x:is>
      </x:c>
      <x:c r="W351" t="inlineStr">
        <x:is>
          <x:t xml:space="preserve">N</x:t>
        </x:is>
      </x:c>
      <x:c r="X351" t="inlineStr">
        <x:is>
          <x:t xml:space="preserve">Evidence: anonymized examples.</x:t>
        </x:is>
      </x:c>
      <x:c r="Y351">
        <x:f>(S351*IF(E351="G",F351,0))+(S351*IF(G351="G",H351,0))</x:f>
      </x:c>
      <x:c r="Z351">
        <x:f>(S351*IF(E351="E",F351,0))+(S351*IF(G351="E",H351,0))</x:f>
      </x:c>
      <x:c r="AA351">
        <x:f>(S351*IF(E351="T",F351,0))+(S351*IF(G351="T",H351,0))</x:f>
      </x:c>
      <x:c r="AB351">
        <x:f>(S351*IF(E351="L",F351,0))+(S351*IF(G351="L",H351,0))</x:f>
      </x:c>
      <x:c r="AC351">
        <x:f>(S351*IF(E351="H",F351,0))+(S351*IF(G351="H",H351,0))</x:f>
      </x:c>
      <x:c r="AD351">
        <x:f>(S351*IF(E351="V",F351,0))+(S351*IF(G351="V",H351,0))</x:f>
      </x:c>
      <x:c r="AE351">
        <x:f>(S351*IF(E351="R",F351,0))+(S351*IF(G351="R",H351,0))</x:f>
      </x:c>
      <x:c r="AF351">
        <x:f>(S351*IF(E351="F",F351,0))+(S351*IF(G351="F",H351,0))</x:f>
      </x:c>
      <x:c r="AG351">
        <x:f>(S351*IF(E351="W",F351,0))+(S351*IF(G351="W",H351,0))</x:f>
      </x:c>
      <x:c r="AH351" t="inlineStr">
        <x:is>
          <x:t xml:space="preserve">3. Risk Management</x:t>
        </x:is>
      </x:c>
      <x:c r="AI351" t="inlineStr">
        <x:is>
          <x:t xml:space="preserve">Inventory &amp; Scope</x:t>
        </x:is>
      </x:c>
      <x:c r="AJ351" t="inlineStr">
        <x:is>
          <x:t xml:space="preserve">Critical process mapping</x:t>
        </x:is>
      </x:c>
    </x:row>
    <x:row r="352">
      <x:c r="A352" t="inlineStr">
        <x:is>
          <x:t xml:space="preserve">HR</x:t>
        </x:is>
      </x:c>
      <x:c r="B352" t="inlineStr">
        <x:is>
          <x:t xml:space="preserve">HR-D8-Q28</x:t>
        </x:is>
      </x:c>
      <x:c r="C352" t="inlineStr">
        <x:is>
          <x:t xml:space="preserve">T2</x:t>
        </x:is>
      </x:c>
      <x:c r="D352" t="inlineStr">
        <x:is>
          <x:t xml:space="preserve">8. Reporting &amp; Metrics</x:t>
        </x:is>
      </x:c>
      <x:c r="E352" t="inlineStr">
        <x:is>
          <x:t xml:space="preserve">H</x:t>
        </x:is>
      </x:c>
      <x:c r="F352" t="n">
        <x:v>1</x:v>
      </x:c>
      <x:c r="G352" t="inlineStr">
        <x:is>
          <x:t xml:space="preserve">-</x:t>
        </x:is>
      </x:c>
      <x:c r="I352" t="inlineStr">
        <x:is>
          <x:t xml:space="preserve">(Shadow probe) Do you recognise and track 'near-misses' or early interventions as positive signals (without naming/shaming)?</x:t>
        </x:is>
      </x:c>
      <x:c r="J352" t="inlineStr">
        <x:is>
          <x:t xml:space="preserve">Near-miss = prevented escalation (e.g., someone flagged risky sharing).</x:t>
        </x:is>
      </x:c>
      <x:c r="L352" t="inlineStr">
        <x:is>
          <x:t xml:space="preserve">CULT_SOFT</x:t>
        </x:is>
      </x:c>
      <x:c r="M352" t="n">
        <x:v>1</x:v>
      </x:c>
      <x:c r="P352" t="inlineStr">
        <x:is>
          <x:t xml:space="preserve">HR-D8-Q28-A4</x:t>
        </x:is>
      </x:c>
      <x:c r="Q352" t="n">
        <x:v>4</x:v>
      </x:c>
      <x:c r="R352" t="inlineStr">
        <x:is>
          <x:t xml:space="preserve">Tracked as leading indicators; reinforces positive culture and reduces repeats.</x:t>
        </x:is>
      </x:c>
      <x:c r="S352" t="n">
        <x:v>3</x:v>
      </x:c>
      <x:c r="U352" t="inlineStr">
        <x:is>
          <x:t xml:space="preserve">Culture Risk</x:t>
        </x:is>
      </x:c>
      <x:c r="V352" t="inlineStr">
        <x:is>
          <x:t xml:space="preserve">Maintain</x:t>
        </x:is>
      </x:c>
      <x:c r="W352" t="inlineStr">
        <x:is>
          <x:t xml:space="preserve">N</x:t>
        </x:is>
      </x:c>
      <x:c r="X352" t="inlineStr">
        <x:is>
          <x:t xml:space="preserve">Evidence: dashboard indicator.</x:t>
        </x:is>
      </x:c>
      <x:c r="Y352">
        <x:f>(S352*IF(E352="G",F352,0))+(S352*IF(G352="G",H352,0))</x:f>
      </x:c>
      <x:c r="Z352">
        <x:f>(S352*IF(E352="E",F352,0))+(S352*IF(G352="E",H352,0))</x:f>
      </x:c>
      <x:c r="AA352">
        <x:f>(S352*IF(E352="T",F352,0))+(S352*IF(G352="T",H352,0))</x:f>
      </x:c>
      <x:c r="AB352">
        <x:f>(S352*IF(E352="L",F352,0))+(S352*IF(G352="L",H352,0))</x:f>
      </x:c>
      <x:c r="AC352">
        <x:f>(S352*IF(E352="H",F352,0))+(S352*IF(G352="H",H352,0))</x:f>
      </x:c>
      <x:c r="AD352">
        <x:f>(S352*IF(E352="V",F352,0))+(S352*IF(G352="V",H352,0))</x:f>
      </x:c>
      <x:c r="AE352">
        <x:f>(S352*IF(E352="R",F352,0))+(S352*IF(G352="R",H352,0))</x:f>
      </x:c>
      <x:c r="AF352">
        <x:f>(S352*IF(E352="F",F352,0))+(S352*IF(G352="F",H352,0))</x:f>
      </x:c>
      <x:c r="AG352">
        <x:f>(S352*IF(E352="W",F352,0))+(S352*IF(G352="W",H352,0))</x:f>
      </x:c>
      <x:c r="AH352" t="inlineStr">
        <x:is>
          <x:t xml:space="preserve">3. Risk Management</x:t>
        </x:is>
      </x:c>
      <x:c r="AI352" t="inlineStr">
        <x:is>
          <x:t xml:space="preserve">Inventory &amp; Scope</x:t>
        </x:is>
      </x:c>
      <x:c r="AJ352" t="inlineStr">
        <x:is>
          <x:t xml:space="preserve">Critical process mapping</x:t>
        </x:is>
      </x:c>
    </x:row>
    <x:row r="353">
      <x:c r="A353" t="inlineStr">
        <x:is>
          <x:t xml:space="preserve">HR</x:t>
        </x:is>
      </x:c>
      <x:c r="B353" t="inlineStr">
        <x:is>
          <x:t xml:space="preserve">HR-D8-Q29</x:t>
        </x:is>
      </x:c>
      <x:c r="C353" t="inlineStr">
        <x:is>
          <x:t xml:space="preserve">T3</x:t>
        </x:is>
      </x:c>
      <x:c r="D353" t="inlineStr">
        <x:is>
          <x:t xml:space="preserve">8. Reporting &amp; Metrics</x:t>
        </x:is>
      </x:c>
      <x:c r="E353" t="inlineStr">
        <x:is>
          <x:t xml:space="preserve">E</x:t>
        </x:is>
      </x:c>
      <x:c r="F353" t="n">
        <x:v>1</x:v>
      </x:c>
      <x:c r="G353" t="inlineStr">
        <x:is>
          <x:t xml:space="preserve">-</x:t>
        </x:is>
      </x:c>
      <x:c r="I353" t="inlineStr">
        <x:is>
          <x:t xml:space="preserve">Do you track timeliness and quality metrics for reports/cases and use them to improve?</x:t>
        </x:is>
      </x:c>
      <x:c r="J353" t="inlineStr">
        <x:is>
          <x:t xml:space="preserve">Use aggregated metrics only (no personal data).</x:t>
        </x:is>
      </x:c>
      <x:c r="L353" t="inlineStr">
        <x:is>
          <x:t xml:space="preserve">OPS_STD</x:t>
        </x:is>
      </x:c>
      <x:c r="M353" t="n">
        <x:v>1</x:v>
      </x:c>
      <x:c r="P353" t="inlineStr">
        <x:is>
          <x:t xml:space="preserve">HR-D8-Q29-A1</x:t>
        </x:is>
      </x:c>
      <x:c r="Q353" t="n">
        <x:v>1</x:v>
      </x:c>
      <x:c r="R353" t="inlineStr">
        <x:is>
          <x:t xml:space="preserve">No metrics: we can't tell how fast or consistent we are.</x:t>
        </x:is>
      </x:c>
      <x:c r="S353" t="n">
        <x:v>0</x:v>
      </x:c>
      <x:c r="T353" t="inlineStr">
        <x:is>
          <x:t xml:space="preserve">operating_model_gap</x:t>
        </x:is>
      </x:c>
      <x:c r="U353" t="inlineStr">
        <x:is>
          <x:t xml:space="preserve">Operating Model Gap</x:t>
        </x:is>
      </x:c>
      <x:c r="V353" t="inlineStr">
        <x:is>
          <x:t xml:space="preserve">Introduce case metrics</x:t>
        </x:is>
      </x:c>
      <x:c r="W353" t="inlineStr">
        <x:is>
          <x:t xml:space="preserve">N</x:t>
        </x:is>
      </x:c>
      <x:c r="Y353">
        <x:f>(S353*IF(E353="G",F353,0))+(S353*IF(G353="G",H353,0))</x:f>
      </x:c>
      <x:c r="Z353">
        <x:f>(S353*IF(E353="E",F353,0))+(S353*IF(G353="E",H353,0))</x:f>
      </x:c>
      <x:c r="AA353">
        <x:f>(S353*IF(E353="T",F353,0))+(S353*IF(G353="T",H353,0))</x:f>
      </x:c>
      <x:c r="AB353">
        <x:f>(S353*IF(E353="L",F353,0))+(S353*IF(G353="L",H353,0))</x:f>
      </x:c>
      <x:c r="AC353">
        <x:f>(S353*IF(E353="H",F353,0))+(S353*IF(G353="H",H353,0))</x:f>
      </x:c>
      <x:c r="AD353">
        <x:f>(S353*IF(E353="V",F353,0))+(S353*IF(G353="V",H353,0))</x:f>
      </x:c>
      <x:c r="AE353">
        <x:f>(S353*IF(E353="R",F353,0))+(S353*IF(G353="R",H353,0))</x:f>
      </x:c>
      <x:c r="AF353">
        <x:f>(S353*IF(E353="F",F353,0))+(S353*IF(G353="F",H353,0))</x:f>
      </x:c>
      <x:c r="AG353">
        <x:f>(S353*IF(E353="W",F353,0))+(S353*IF(G353="W",H353,0))</x:f>
      </x:c>
      <x:c r="AH353" t="inlineStr">
        <x:is>
          <x:t xml:space="preserve">6. Technical Controls</x:t>
        </x:is>
      </x:c>
      <x:c r="AI353" t="inlineStr">
        <x:is>
          <x:t xml:space="preserve">Data, Endpoint &amp; Cloud Controls</x:t>
        </x:is>
      </x:c>
      <x:c r="AJ353" t="inlineStr">
        <x:is>
          <x:t xml:space="preserve">EDR for insider use-cases</x:t>
        </x:is>
      </x:c>
    </x:row>
    <x:row r="354">
      <x:c r="A354" t="inlineStr">
        <x:is>
          <x:t xml:space="preserve">HR</x:t>
        </x:is>
      </x:c>
      <x:c r="B354" t="inlineStr">
        <x:is>
          <x:t xml:space="preserve">HR-D8-Q29</x:t>
        </x:is>
      </x:c>
      <x:c r="C354" t="inlineStr">
        <x:is>
          <x:t xml:space="preserve">T3</x:t>
        </x:is>
      </x:c>
      <x:c r="D354" t="inlineStr">
        <x:is>
          <x:t xml:space="preserve">8. Reporting &amp; Metrics</x:t>
        </x:is>
      </x:c>
      <x:c r="E354" t="inlineStr">
        <x:is>
          <x:t xml:space="preserve">E</x:t>
        </x:is>
      </x:c>
      <x:c r="F354" t="n">
        <x:v>1</x:v>
      </x:c>
      <x:c r="G354" t="inlineStr">
        <x:is>
          <x:t xml:space="preserve">-</x:t>
        </x:is>
      </x:c>
      <x:c r="I354" t="inlineStr">
        <x:is>
          <x:t xml:space="preserve">Do you track timeliness and quality metrics for reports/cases and use them to improve?</x:t>
        </x:is>
      </x:c>
      <x:c r="J354" t="inlineStr">
        <x:is>
          <x:t xml:space="preserve">Use aggregated metrics only (no personal data).</x:t>
        </x:is>
      </x:c>
      <x:c r="L354" t="inlineStr">
        <x:is>
          <x:t xml:space="preserve">OPS_STD</x:t>
        </x:is>
      </x:c>
      <x:c r="M354" t="n">
        <x:v>1</x:v>
      </x:c>
      <x:c r="P354" t="inlineStr">
        <x:is>
          <x:t xml:space="preserve">HR-D8-Q29-A2</x:t>
        </x:is>
      </x:c>
      <x:c r="Q354" t="n">
        <x:v>2</x:v>
      </x:c>
      <x:c r="R354" t="inlineStr">
        <x:is>
          <x:t xml:space="preserve">Some metrics exist but not used for improvement.</x:t>
        </x:is>
      </x:c>
      <x:c r="S354" t="n">
        <x:v>1</x:v>
      </x:c>
      <x:c r="T354" t="inlineStr">
        <x:is>
          <x:t xml:space="preserve">paper_dragon_signal</x:t>
        </x:is>
      </x:c>
      <x:c r="U354" t="inlineStr">
        <x:is>
          <x:t xml:space="preserve">Paper Dragon</x:t>
        </x:is>
      </x:c>
      <x:c r="V354" t="inlineStr">
        <x:is>
          <x:t xml:space="preserve">Use metrics for improvement</x:t>
        </x:is>
      </x:c>
      <x:c r="W354" t="inlineStr">
        <x:is>
          <x:t xml:space="preserve">N</x:t>
        </x:is>
      </x:c>
      <x:c r="Y354">
        <x:f>(S354*IF(E354="G",F354,0))+(S354*IF(G354="G",H354,0))</x:f>
      </x:c>
      <x:c r="Z354">
        <x:f>(S354*IF(E354="E",F354,0))+(S354*IF(G354="E",H354,0))</x:f>
      </x:c>
      <x:c r="AA354">
        <x:f>(S354*IF(E354="T",F354,0))+(S354*IF(G354="T",H354,0))</x:f>
      </x:c>
      <x:c r="AB354">
        <x:f>(S354*IF(E354="L",F354,0))+(S354*IF(G354="L",H354,0))</x:f>
      </x:c>
      <x:c r="AC354">
        <x:f>(S354*IF(E354="H",F354,0))+(S354*IF(G354="H",H354,0))</x:f>
      </x:c>
      <x:c r="AD354">
        <x:f>(S354*IF(E354="V",F354,0))+(S354*IF(G354="V",H354,0))</x:f>
      </x:c>
      <x:c r="AE354">
        <x:f>(S354*IF(E354="R",F354,0))+(S354*IF(G354="R",H354,0))</x:f>
      </x:c>
      <x:c r="AF354">
        <x:f>(S354*IF(E354="F",F354,0))+(S354*IF(G354="F",H354,0))</x:f>
      </x:c>
      <x:c r="AG354">
        <x:f>(S354*IF(E354="W",F354,0))+(S354*IF(G354="W",H354,0))</x:f>
      </x:c>
      <x:c r="AH354" t="inlineStr">
        <x:is>
          <x:t xml:space="preserve">6. Technical Controls</x:t>
        </x:is>
      </x:c>
      <x:c r="AI354" t="inlineStr">
        <x:is>
          <x:t xml:space="preserve">Data, Endpoint &amp; Cloud Controls</x:t>
        </x:is>
      </x:c>
      <x:c r="AJ354" t="inlineStr">
        <x:is>
          <x:t xml:space="preserve">EDR for insider use-cases</x:t>
        </x:is>
      </x:c>
    </x:row>
    <x:row r="355">
      <x:c r="A355" t="inlineStr">
        <x:is>
          <x:t xml:space="preserve">HR</x:t>
        </x:is>
      </x:c>
      <x:c r="B355" t="inlineStr">
        <x:is>
          <x:t xml:space="preserve">HR-D8-Q29</x:t>
        </x:is>
      </x:c>
      <x:c r="C355" t="inlineStr">
        <x:is>
          <x:t xml:space="preserve">T3</x:t>
        </x:is>
      </x:c>
      <x:c r="D355" t="inlineStr">
        <x:is>
          <x:t xml:space="preserve">8. Reporting &amp; Metrics</x:t>
        </x:is>
      </x:c>
      <x:c r="E355" t="inlineStr">
        <x:is>
          <x:t xml:space="preserve">E</x:t>
        </x:is>
      </x:c>
      <x:c r="F355" t="n">
        <x:v>1</x:v>
      </x:c>
      <x:c r="G355" t="inlineStr">
        <x:is>
          <x:t xml:space="preserve">-</x:t>
        </x:is>
      </x:c>
      <x:c r="I355" t="inlineStr">
        <x:is>
          <x:t xml:space="preserve">Do you track timeliness and quality metrics for reports/cases and use them to improve?</x:t>
        </x:is>
      </x:c>
      <x:c r="J355" t="inlineStr">
        <x:is>
          <x:t xml:space="preserve">Use aggregated metrics only (no personal data).</x:t>
        </x:is>
      </x:c>
      <x:c r="L355" t="inlineStr">
        <x:is>
          <x:t xml:space="preserve">OPS_STD</x:t>
        </x:is>
      </x:c>
      <x:c r="M355" t="n">
        <x:v>1</x:v>
      </x:c>
      <x:c r="P355" t="inlineStr">
        <x:is>
          <x:t xml:space="preserve">HR-D8-Q29-A3</x:t>
        </x:is>
      </x:c>
      <x:c r="Q355" t="n">
        <x:v>3</x:v>
      </x:c>
      <x:c r="R355" t="inlineStr">
        <x:is>
          <x:t xml:space="preserve">Basic metrics tracked; improvement actions occasional.</x:t>
        </x:is>
      </x:c>
      <x:c r="S355" t="n">
        <x:v>2</x:v>
      </x:c>
      <x:c r="U355" t="inlineStr">
        <x:is>
          <x:t xml:space="preserve">Operating Model Gap</x:t>
        </x:is>
      </x:c>
      <x:c r="V355" t="inlineStr">
        <x:is>
          <x:t xml:space="preserve">Set targets and review cadence</x:t>
        </x:is>
      </x:c>
      <x:c r="W355" t="inlineStr">
        <x:is>
          <x:t xml:space="preserve">N</x:t>
        </x:is>
      </x:c>
      <x:c r="X355" t="inlineStr">
        <x:is>
          <x:t xml:space="preserve">Evidence: KPI list.</x:t>
        </x:is>
      </x:c>
      <x:c r="Y355">
        <x:f>(S355*IF(E355="G",F355,0))+(S355*IF(G355="G",H355,0))</x:f>
      </x:c>
      <x:c r="Z355">
        <x:f>(S355*IF(E355="E",F355,0))+(S355*IF(G355="E",H355,0))</x:f>
      </x:c>
      <x:c r="AA355">
        <x:f>(S355*IF(E355="T",F355,0))+(S355*IF(G355="T",H355,0))</x:f>
      </x:c>
      <x:c r="AB355">
        <x:f>(S355*IF(E355="L",F355,0))+(S355*IF(G355="L",H355,0))</x:f>
      </x:c>
      <x:c r="AC355">
        <x:f>(S355*IF(E355="H",F355,0))+(S355*IF(G355="H",H355,0))</x:f>
      </x:c>
      <x:c r="AD355">
        <x:f>(S355*IF(E355="V",F355,0))+(S355*IF(G355="V",H355,0))</x:f>
      </x:c>
      <x:c r="AE355">
        <x:f>(S355*IF(E355="R",F355,0))+(S355*IF(G355="R",H355,0))</x:f>
      </x:c>
      <x:c r="AF355">
        <x:f>(S355*IF(E355="F",F355,0))+(S355*IF(G355="F",H355,0))</x:f>
      </x:c>
      <x:c r="AG355">
        <x:f>(S355*IF(E355="W",F355,0))+(S355*IF(G355="W",H355,0))</x:f>
      </x:c>
      <x:c r="AH355" t="inlineStr">
        <x:is>
          <x:t xml:space="preserve">6. Technical Controls</x:t>
        </x:is>
      </x:c>
      <x:c r="AI355" t="inlineStr">
        <x:is>
          <x:t xml:space="preserve">Data, Endpoint &amp; Cloud Controls</x:t>
        </x:is>
      </x:c>
      <x:c r="AJ355" t="inlineStr">
        <x:is>
          <x:t xml:space="preserve">EDR for insider use-cases</x:t>
        </x:is>
      </x:c>
    </x:row>
    <x:row r="356">
      <x:c r="A356" t="inlineStr">
        <x:is>
          <x:t xml:space="preserve">HR</x:t>
        </x:is>
      </x:c>
      <x:c r="B356" t="inlineStr">
        <x:is>
          <x:t xml:space="preserve">HR-D8-Q29</x:t>
        </x:is>
      </x:c>
      <x:c r="C356" t="inlineStr">
        <x:is>
          <x:t xml:space="preserve">T3</x:t>
        </x:is>
      </x:c>
      <x:c r="D356" t="inlineStr">
        <x:is>
          <x:t xml:space="preserve">8. Reporting &amp; Metrics</x:t>
        </x:is>
      </x:c>
      <x:c r="E356" t="inlineStr">
        <x:is>
          <x:t xml:space="preserve">E</x:t>
        </x:is>
      </x:c>
      <x:c r="F356" t="n">
        <x:v>1</x:v>
      </x:c>
      <x:c r="G356" t="inlineStr">
        <x:is>
          <x:t xml:space="preserve">-</x:t>
        </x:is>
      </x:c>
      <x:c r="I356" t="inlineStr">
        <x:is>
          <x:t xml:space="preserve">Do you track timeliness and quality metrics for reports/cases and use them to improve?</x:t>
        </x:is>
      </x:c>
      <x:c r="J356" t="inlineStr">
        <x:is>
          <x:t xml:space="preserve">Use aggregated metrics only (no personal data).</x:t>
        </x:is>
      </x:c>
      <x:c r="L356" t="inlineStr">
        <x:is>
          <x:t xml:space="preserve">OPS_STD</x:t>
        </x:is>
      </x:c>
      <x:c r="M356" t="n">
        <x:v>1</x:v>
      </x:c>
      <x:c r="P356" t="inlineStr">
        <x:is>
          <x:t xml:space="preserve">HR-D8-Q29-A4</x:t>
        </x:is>
      </x:c>
      <x:c r="Q356" t="n">
        <x:v>4</x:v>
      </x:c>
      <x:c r="R356" t="inlineStr">
        <x:is>
          <x:t xml:space="preserve">Managed: targets set; metrics reviewed; backlog/quality addressed.</x:t>
        </x:is>
      </x:c>
      <x:c r="S356" t="n">
        <x:v>3</x:v>
      </x:c>
      <x:c r="U356" t="inlineStr">
        <x:is>
          <x:t xml:space="preserve">Operating Model Gap</x:t>
        </x:is>
      </x:c>
      <x:c r="V356" t="inlineStr">
        <x:is>
          <x:t xml:space="preserve">Maintain and refine</x:t>
        </x:is>
      </x:c>
      <x:c r="W356" t="inlineStr">
        <x:is>
          <x:t xml:space="preserve">N</x:t>
        </x:is>
      </x:c>
      <x:c r="X356" t="inlineStr">
        <x:is>
          <x:t xml:space="preserve">Evidence: dashboard + meeting notes.</x:t>
        </x:is>
      </x:c>
      <x:c r="Y356">
        <x:f>(S356*IF(E356="G",F356,0))+(S356*IF(G356="G",H356,0))</x:f>
      </x:c>
      <x:c r="Z356">
        <x:f>(S356*IF(E356="E",F356,0))+(S356*IF(G356="E",H356,0))</x:f>
      </x:c>
      <x:c r="AA356">
        <x:f>(S356*IF(E356="T",F356,0))+(S356*IF(G356="T",H356,0))</x:f>
      </x:c>
      <x:c r="AB356">
        <x:f>(S356*IF(E356="L",F356,0))+(S356*IF(G356="L",H356,0))</x:f>
      </x:c>
      <x:c r="AC356">
        <x:f>(S356*IF(E356="H",F356,0))+(S356*IF(G356="H",H356,0))</x:f>
      </x:c>
      <x:c r="AD356">
        <x:f>(S356*IF(E356="V",F356,0))+(S356*IF(G356="V",H356,0))</x:f>
      </x:c>
      <x:c r="AE356">
        <x:f>(S356*IF(E356="R",F356,0))+(S356*IF(G356="R",H356,0))</x:f>
      </x:c>
      <x:c r="AF356">
        <x:f>(S356*IF(E356="F",F356,0))+(S356*IF(G356="F",H356,0))</x:f>
      </x:c>
      <x:c r="AG356">
        <x:f>(S356*IF(E356="W",F356,0))+(S356*IF(G356="W",H356,0))</x:f>
      </x:c>
      <x:c r="AH356" t="inlineStr">
        <x:is>
          <x:t xml:space="preserve">6. Technical Controls</x:t>
        </x:is>
      </x:c>
      <x:c r="AI356" t="inlineStr">
        <x:is>
          <x:t xml:space="preserve">Data, Endpoint &amp; Cloud Controls</x:t>
        </x:is>
      </x:c>
      <x:c r="AJ356" t="inlineStr">
        <x:is>
          <x:t xml:space="preserve">EDR for insider use-cases</x:t>
        </x:is>
      </x:c>
    </x:row>
    <x:row r="357">
      <x:c r="A357" t="inlineStr">
        <x:is>
          <x:t xml:space="preserve">HR</x:t>
        </x:is>
      </x:c>
      <x:c r="B357" t="inlineStr">
        <x:is>
          <x:t xml:space="preserve">HR-D8-Q29</x:t>
        </x:is>
      </x:c>
      <x:c r="C357" t="inlineStr">
        <x:is>
          <x:t xml:space="preserve">T3</x:t>
        </x:is>
      </x:c>
      <x:c r="D357" t="inlineStr">
        <x:is>
          <x:t xml:space="preserve">8. Reporting &amp; Metrics</x:t>
        </x:is>
      </x:c>
      <x:c r="E357" t="inlineStr">
        <x:is>
          <x:t xml:space="preserve">E</x:t>
        </x:is>
      </x:c>
      <x:c r="F357" t="n">
        <x:v>1</x:v>
      </x:c>
      <x:c r="G357" t="inlineStr">
        <x:is>
          <x:t xml:space="preserve">-</x:t>
        </x:is>
      </x:c>
      <x:c r="I357" t="inlineStr">
        <x:is>
          <x:t xml:space="preserve">Do you track timeliness and quality metrics for reports/cases and use them to improve?</x:t>
        </x:is>
      </x:c>
      <x:c r="J357" t="inlineStr">
        <x:is>
          <x:t xml:space="preserve">Use aggregated metrics only (no personal data).</x:t>
        </x:is>
      </x:c>
      <x:c r="L357" t="inlineStr">
        <x:is>
          <x:t xml:space="preserve">OPS_STD</x:t>
        </x:is>
      </x:c>
      <x:c r="M357" t="n">
        <x:v>1</x:v>
      </x:c>
      <x:c r="P357" t="inlineStr">
        <x:is>
          <x:t xml:space="preserve">HR-D8-Q29-A5</x:t>
        </x:is>
      </x:c>
      <x:c r="Q357" t="n">
        <x:v>5</x:v>
      </x:c>
      <x:c r="R357" t="inlineStr">
        <x:is>
          <x:t xml:space="preserve">Optimized: metrics linked to trust outcomes and continuous improvement.</x:t>
        </x:is>
      </x:c>
      <x:c r="S357" t="n">
        <x:v>4</x:v>
      </x:c>
      <x:c r="U357" t="inlineStr">
        <x:is>
          <x:t xml:space="preserve">Culture Risk</x:t>
        </x:is>
      </x:c>
      <x:c r="V357" t="inlineStr">
        <x:is>
          <x:t xml:space="preserve">Maintain maturity</x:t>
        </x:is>
      </x:c>
      <x:c r="W357" t="inlineStr">
        <x:is>
          <x:t xml:space="preserve">N</x:t>
        </x:is>
      </x:c>
      <x:c r="X357" t="inlineStr">
        <x:is>
          <x:t xml:space="preserve">Evidence: KPI trends + actions.</x:t>
        </x:is>
      </x:c>
      <x:c r="Y357">
        <x:f>(S357*IF(E357="G",F357,0))+(S357*IF(G357="G",H357,0))</x:f>
      </x:c>
      <x:c r="Z357">
        <x:f>(S357*IF(E357="E",F357,0))+(S357*IF(G357="E",H357,0))</x:f>
      </x:c>
      <x:c r="AA357">
        <x:f>(S357*IF(E357="T",F357,0))+(S357*IF(G357="T",H357,0))</x:f>
      </x:c>
      <x:c r="AB357">
        <x:f>(S357*IF(E357="L",F357,0))+(S357*IF(G357="L",H357,0))</x:f>
      </x:c>
      <x:c r="AC357">
        <x:f>(S357*IF(E357="H",F357,0))+(S357*IF(G357="H",H357,0))</x:f>
      </x:c>
      <x:c r="AD357">
        <x:f>(S357*IF(E357="V",F357,0))+(S357*IF(G357="V",H357,0))</x:f>
      </x:c>
      <x:c r="AE357">
        <x:f>(S357*IF(E357="R",F357,0))+(S357*IF(G357="R",H357,0))</x:f>
      </x:c>
      <x:c r="AF357">
        <x:f>(S357*IF(E357="F",F357,0))+(S357*IF(G357="F",H357,0))</x:f>
      </x:c>
      <x:c r="AG357">
        <x:f>(S357*IF(E357="W",F357,0))+(S357*IF(G357="W",H357,0))</x:f>
      </x:c>
      <x:c r="AH357" t="inlineStr">
        <x:is>
          <x:t xml:space="preserve">6. Technical Controls</x:t>
        </x:is>
      </x:c>
      <x:c r="AI357" t="inlineStr">
        <x:is>
          <x:t xml:space="preserve">Data, Endpoint &amp; Cloud Controls</x:t>
        </x:is>
      </x:c>
      <x:c r="AJ357" t="inlineStr">
        <x:is>
          <x:t xml:space="preserve">EDR for insider use-cases</x:t>
        </x:is>
      </x:c>
    </x:row>
    <x:row r="358">
      <x:c r="A358" t="inlineStr">
        <x:is>
          <x:t xml:space="preserve">Security</x:t>
        </x:is>
      </x:c>
      <x:c r="B358" t="inlineStr">
        <x:is>
          <x:t xml:space="preserve">SEC-D1-Q01</x:t>
        </x:is>
      </x:c>
      <x:c r="C358" t="inlineStr">
        <x:is>
          <x:t xml:space="preserve">T1</x:t>
        </x:is>
      </x:c>
      <x:c r="D358" t="inlineStr">
        <x:is>
          <x:t xml:space="preserve">1. Security Operating Model</x:t>
        </x:is>
      </x:c>
      <x:c r="E358" t="inlineStr">
        <x:is>
          <x:t xml:space="preserve">E</x:t>
        </x:is>
      </x:c>
      <x:c r="F358" t="n">
        <x:v>0.6</x:v>
      </x:c>
      <x:c r="G358" t="inlineStr">
        <x:is>
          <x:t xml:space="preserve">T</x:t>
        </x:is>
      </x:c>
      <x:c r="H358" t="n">
        <x:v>0.4</x:v>
      </x:c>
      <x:c r="I358" t="inlineStr">
        <x:is>
          <x:t xml:space="preserve">Who runs day‑to‑day monitoring for internal misuse (e.g., unusual downloads, emailing data out) and triage of alerts?</x:t>
        </x:is>
      </x:c>
      <x:c r="J358" t="inlineStr">
        <x:is>
          <x:t xml:space="preserve">Internal misuse can be accidental or malicious. If you outsource monitoring, answer based on how it works in practice (coverage, cadence, ownership).</x:t>
        </x:is>
      </x:c>
      <x:c r="L358" t="inlineStr">
        <x:is>
          <x:t xml:space="preserve">OPS_STD</x:t>
        </x:is>
      </x:c>
      <x:c r="M358" t="n">
        <x:v>1.2</x:v>
      </x:c>
      <x:c r="N358" t="n">
        <x:v>0.5</x:v>
      </x:c>
      <x:c r="P358" t="inlineStr">
        <x:is>
          <x:t xml:space="preserve">SEC-D1-Q01-A0</x:t>
        </x:is>
      </x:c>
      <x:c r="Q358" t="n">
        <x:v>1</x:v>
      </x:c>
      <x:c r="R358" t="inlineStr">
        <x:is>
          <x:t xml:space="preserve">I don't know / not sure.</x:t>
        </x:is>
      </x:c>
      <x:c r="S358" t="n">
        <x:v>0</x:v>
      </x:c>
      <x:c r="T358" t="inlineStr">
        <x:is>
          <x:t xml:space="preserve">unknown</x:t>
        </x:is>
      </x:c>
      <x:c r="U358" t="inlineStr">
        <x:is>
          <x:t xml:space="preserve">Unknown</x:t>
        </x:is>
      </x:c>
      <x:c r="V358" t="inlineStr">
        <x:is>
          <x:t xml:space="preserve">Assess_Case_Model</x:t>
        </x:is>
      </x:c>
      <x:c r="W358" t="inlineStr">
        <x:is>
          <x:t xml:space="preserve">N</x:t>
        </x:is>
      </x:c>
      <x:c r="Y358">
        <x:f>(S358*IF(E358="G",F358,0))+(S358*IF(G358="G",H358,0))</x:f>
      </x:c>
      <x:c r="Z358">
        <x:f>(S358*IF(E358="E",F358,0))+(S358*IF(G358="E",H358,0))</x:f>
      </x:c>
      <x:c r="AA358">
        <x:f>(S358*IF(E358="T",F358,0))+(S358*IF(G358="T",H358,0))</x:f>
      </x:c>
      <x:c r="AB358">
        <x:f>(S358*IF(E358="L",F358,0))+(S358*IF(G358="L",H358,0))</x:f>
      </x:c>
      <x:c r="AC358">
        <x:f>(S358*IF(E358="H",F358,0))+(S358*IF(G358="H",H358,0))</x:f>
      </x:c>
      <x:c r="AD358">
        <x:f>(S358*IF(E358="V",F358,0))+(S358*IF(G358="V",H358,0))</x:f>
      </x:c>
      <x:c r="AE358">
        <x:f>(S358*IF(E358="R",F358,0))+(S358*IF(G358="R",H358,0))</x:f>
      </x:c>
      <x:c r="AF358">
        <x:f>(S358*IF(E358="F",F358,0))+(S358*IF(G358="F",H358,0))</x:f>
      </x:c>
      <x:c r="AG358">
        <x:f>(S358*IF(E358="W",F358,0))+(S358*IF(G358="W",H358,0))</x:f>
      </x:c>
      <x:c r="AH358" t="inlineStr">
        <x:is>
          <x:t xml:space="preserve">8. Investigation &amp; Response</x:t>
        </x:is>
      </x:c>
      <x:c r="AI358" t="inlineStr">
        <x:is>
          <x:t xml:space="preserve">Operational Readiness</x:t>
        </x:is>
      </x:c>
      <x:c r="AJ358" t="inlineStr">
        <x:is>
          <x:t xml:space="preserve">Multidisciplinary triage (ITWG) operations</x:t>
        </x:is>
      </x:c>
    </x:row>
    <x:row r="359">
      <x:c r="A359" t="inlineStr">
        <x:is>
          <x:t xml:space="preserve">Security</x:t>
        </x:is>
      </x:c>
      <x:c r="B359" t="inlineStr">
        <x:is>
          <x:t xml:space="preserve">SEC-D1-Q01</x:t>
        </x:is>
      </x:c>
      <x:c r="C359" t="inlineStr">
        <x:is>
          <x:t xml:space="preserve">T1</x:t>
        </x:is>
      </x:c>
      <x:c r="D359" t="inlineStr">
        <x:is>
          <x:t xml:space="preserve">1. Security Operating Model</x:t>
        </x:is>
      </x:c>
      <x:c r="E359" t="inlineStr">
        <x:is>
          <x:t xml:space="preserve">E</x:t>
        </x:is>
      </x:c>
      <x:c r="F359" t="n">
        <x:v>0.6</x:v>
      </x:c>
      <x:c r="G359" t="inlineStr">
        <x:is>
          <x:t xml:space="preserve">T</x:t>
        </x:is>
      </x:c>
      <x:c r="H359" t="n">
        <x:v>0.4</x:v>
      </x:c>
      <x:c r="I359" t="inlineStr">
        <x:is>
          <x:t xml:space="preserve">Who runs day‑to‑day monitoring for internal misuse (e.g., unusual downloads, emailing data out) and triage of alerts?</x:t>
        </x:is>
      </x:c>
      <x:c r="J359" t="inlineStr">
        <x:is>
          <x:t xml:space="preserve">Internal misuse can be accidental or malicious. If you outsource monitoring, answer based on how it works in practice (coverage, cadence, ownership).</x:t>
        </x:is>
      </x:c>
      <x:c r="L359" t="inlineStr">
        <x:is>
          <x:t xml:space="preserve">OPS_STD</x:t>
        </x:is>
      </x:c>
      <x:c r="M359" t="n">
        <x:v>1.2</x:v>
      </x:c>
      <x:c r="N359" t="n">
        <x:v>0.5</x:v>
      </x:c>
      <x:c r="P359" t="inlineStr">
        <x:is>
          <x:t xml:space="preserve">SEC-D1-Q01-A1</x:t>
        </x:is>
      </x:c>
      <x:c r="Q359" t="n">
        <x:v>2</x:v>
      </x:c>
      <x:c r="R359" t="inlineStr">
        <x:is>
          <x:t xml:space="preserve">No one monitors for internal misuse; we mainly react after incidents.</x:t>
        </x:is>
      </x:c>
      <x:c r="S359" t="n">
        <x:v>0</x:v>
      </x:c>
      <x:c r="T359" t="inlineStr">
        <x:is>
          <x:t xml:space="preserve">paper_dragon_signal</x:t>
        </x:is>
      </x:c>
      <x:c r="U359" t="inlineStr">
        <x:is>
          <x:t xml:space="preserve">Paper Dragon</x:t>
        </x:is>
      </x:c>
      <x:c r="V359" t="inlineStr">
        <x:is>
          <x:t xml:space="preserve">Build_Detection_Strategy</x:t>
        </x:is>
      </x:c>
      <x:c r="W359" t="inlineStr">
        <x:is>
          <x:t xml:space="preserve">N</x:t>
        </x:is>
      </x:c>
      <x:c r="Y359">
        <x:f>(S359*IF(E359="G",F359,0))+(S359*IF(G359="G",H359,0))</x:f>
      </x:c>
      <x:c r="Z359">
        <x:f>(S359*IF(E359="E",F359,0))+(S359*IF(G359="E",H359,0))</x:f>
      </x:c>
      <x:c r="AA359">
        <x:f>(S359*IF(E359="T",F359,0))+(S359*IF(G359="T",H359,0))</x:f>
      </x:c>
      <x:c r="AB359">
        <x:f>(S359*IF(E359="L",F359,0))+(S359*IF(G359="L",H359,0))</x:f>
      </x:c>
      <x:c r="AC359">
        <x:f>(S359*IF(E359="H",F359,0))+(S359*IF(G359="H",H359,0))</x:f>
      </x:c>
      <x:c r="AD359">
        <x:f>(S359*IF(E359="V",F359,0))+(S359*IF(G359="V",H359,0))</x:f>
      </x:c>
      <x:c r="AE359">
        <x:f>(S359*IF(E359="R",F359,0))+(S359*IF(G359="R",H359,0))</x:f>
      </x:c>
      <x:c r="AF359">
        <x:f>(S359*IF(E359="F",F359,0))+(S359*IF(G359="F",H359,0))</x:f>
      </x:c>
      <x:c r="AG359">
        <x:f>(S359*IF(E359="W",F359,0))+(S359*IF(G359="W",H359,0))</x:f>
      </x:c>
      <x:c r="AH359" t="inlineStr">
        <x:is>
          <x:t xml:space="preserve">8. Investigation &amp; Response</x:t>
        </x:is>
      </x:c>
      <x:c r="AI359" t="inlineStr">
        <x:is>
          <x:t xml:space="preserve">Operational Readiness</x:t>
        </x:is>
      </x:c>
      <x:c r="AJ359" t="inlineStr">
        <x:is>
          <x:t xml:space="preserve">Multidisciplinary triage (ITWG) operations</x:t>
        </x:is>
      </x:c>
    </x:row>
    <x:row r="360">
      <x:c r="A360" t="inlineStr">
        <x:is>
          <x:t xml:space="preserve">Security</x:t>
        </x:is>
      </x:c>
      <x:c r="B360" t="inlineStr">
        <x:is>
          <x:t xml:space="preserve">SEC-D1-Q01</x:t>
        </x:is>
      </x:c>
      <x:c r="C360" t="inlineStr">
        <x:is>
          <x:t xml:space="preserve">T1</x:t>
        </x:is>
      </x:c>
      <x:c r="D360" t="inlineStr">
        <x:is>
          <x:t xml:space="preserve">1. Security Operating Model</x:t>
        </x:is>
      </x:c>
      <x:c r="E360" t="inlineStr">
        <x:is>
          <x:t xml:space="preserve">E</x:t>
        </x:is>
      </x:c>
      <x:c r="F360" t="n">
        <x:v>0.6</x:v>
      </x:c>
      <x:c r="G360" t="inlineStr">
        <x:is>
          <x:t xml:space="preserve">T</x:t>
        </x:is>
      </x:c>
      <x:c r="H360" t="n">
        <x:v>0.4</x:v>
      </x:c>
      <x:c r="I360" t="inlineStr">
        <x:is>
          <x:t xml:space="preserve">Who runs day‑to‑day monitoring for internal misuse (e.g., unusual downloads, emailing data out) and triage of alerts?</x:t>
        </x:is>
      </x:c>
      <x:c r="J360" t="inlineStr">
        <x:is>
          <x:t xml:space="preserve">Internal misuse can be accidental or malicious. If you outsource monitoring, answer based on how it works in practice (coverage, cadence, ownership).</x:t>
        </x:is>
      </x:c>
      <x:c r="L360" t="inlineStr">
        <x:is>
          <x:t xml:space="preserve">OPS_STD</x:t>
        </x:is>
      </x:c>
      <x:c r="M360" t="n">
        <x:v>1.2</x:v>
      </x:c>
      <x:c r="N360" t="n">
        <x:v>0.5</x:v>
      </x:c>
      <x:c r="P360" t="inlineStr">
        <x:is>
          <x:t xml:space="preserve">SEC-D1-Q01-A2</x:t>
        </x:is>
      </x:c>
      <x:c r="Q360" t="n">
        <x:v>3</x:v>
      </x:c>
      <x:c r="R360" t="inlineStr">
        <x:is>
          <x:t xml:space="preserve">Ad‑hoc: an IT admin/manager checks logs only when something feels wrong.</x:t>
        </x:is>
      </x:c>
      <x:c r="S360" t="n">
        <x:v>1</x:v>
      </x:c>
      <x:c r="T360" t="inlineStr">
        <x:is>
          <x:t xml:space="preserve">shadow_mature_signal</x:t>
        </x:is>
      </x:c>
      <x:c r="U360" t="inlineStr">
        <x:is>
          <x:t xml:space="preserve">Shadow Mature</x:t>
        </x:is>
      </x:c>
      <x:c r="V360" t="inlineStr">
        <x:is>
          <x:t xml:space="preserve">Capture_Informal_Practices</x:t>
        </x:is>
      </x:c>
      <x:c r="W360" t="inlineStr">
        <x:is>
          <x:t xml:space="preserve">N</x:t>
        </x:is>
      </x:c>
      <x:c r="X360" t="inlineStr">
        <x:is>
          <x:t xml:space="preserve">Example of an ad‑hoc review or incident note.</x:t>
        </x:is>
      </x:c>
      <x:c r="Y360">
        <x:f>(S360*IF(E360="G",F360,0))+(S360*IF(G360="G",H360,0))</x:f>
      </x:c>
      <x:c r="Z360">
        <x:f>(S360*IF(E360="E",F360,0))+(S360*IF(G360="E",H360,0))</x:f>
      </x:c>
      <x:c r="AA360">
        <x:f>(S360*IF(E360="T",F360,0))+(S360*IF(G360="T",H360,0))</x:f>
      </x:c>
      <x:c r="AB360">
        <x:f>(S360*IF(E360="L",F360,0))+(S360*IF(G360="L",H360,0))</x:f>
      </x:c>
      <x:c r="AC360">
        <x:f>(S360*IF(E360="H",F360,0))+(S360*IF(G360="H",H360,0))</x:f>
      </x:c>
      <x:c r="AD360">
        <x:f>(S360*IF(E360="V",F360,0))+(S360*IF(G360="V",H360,0))</x:f>
      </x:c>
      <x:c r="AE360">
        <x:f>(S360*IF(E360="R",F360,0))+(S360*IF(G360="R",H360,0))</x:f>
      </x:c>
      <x:c r="AF360">
        <x:f>(S360*IF(E360="F",F360,0))+(S360*IF(G360="F",H360,0))</x:f>
      </x:c>
      <x:c r="AG360">
        <x:f>(S360*IF(E360="W",F360,0))+(S360*IF(G360="W",H360,0))</x:f>
      </x:c>
      <x:c r="AH360" t="inlineStr">
        <x:is>
          <x:t xml:space="preserve">8. Investigation &amp; Response</x:t>
        </x:is>
      </x:c>
      <x:c r="AI360" t="inlineStr">
        <x:is>
          <x:t xml:space="preserve">Operational Readiness</x:t>
        </x:is>
      </x:c>
      <x:c r="AJ360" t="inlineStr">
        <x:is>
          <x:t xml:space="preserve">Multidisciplinary triage (ITWG) operations</x:t>
        </x:is>
      </x:c>
    </x:row>
    <x:row r="361">
      <x:c r="A361" t="inlineStr">
        <x:is>
          <x:t xml:space="preserve">Security</x:t>
        </x:is>
      </x:c>
      <x:c r="B361" t="inlineStr">
        <x:is>
          <x:t xml:space="preserve">SEC-D1-Q01</x:t>
        </x:is>
      </x:c>
      <x:c r="C361" t="inlineStr">
        <x:is>
          <x:t xml:space="preserve">T1</x:t>
        </x:is>
      </x:c>
      <x:c r="D361" t="inlineStr">
        <x:is>
          <x:t xml:space="preserve">1. Security Operating Model</x:t>
        </x:is>
      </x:c>
      <x:c r="E361" t="inlineStr">
        <x:is>
          <x:t xml:space="preserve">E</x:t>
        </x:is>
      </x:c>
      <x:c r="F361" t="n">
        <x:v>0.6</x:v>
      </x:c>
      <x:c r="G361" t="inlineStr">
        <x:is>
          <x:t xml:space="preserve">T</x:t>
        </x:is>
      </x:c>
      <x:c r="H361" t="n">
        <x:v>0.4</x:v>
      </x:c>
      <x:c r="I361" t="inlineStr">
        <x:is>
          <x:t xml:space="preserve">Who runs day‑to‑day monitoring for internal misuse (e.g., unusual downloads, emailing data out) and triage of alerts?</x:t>
        </x:is>
      </x:c>
      <x:c r="J361" t="inlineStr">
        <x:is>
          <x:t xml:space="preserve">Internal misuse can be accidental or malicious. If you outsource monitoring, answer based on how it works in practice (coverage, cadence, ownership).</x:t>
        </x:is>
      </x:c>
      <x:c r="L361" t="inlineStr">
        <x:is>
          <x:t xml:space="preserve">OPS_STD</x:t>
        </x:is>
      </x:c>
      <x:c r="M361" t="n">
        <x:v>1.2</x:v>
      </x:c>
      <x:c r="N361" t="n">
        <x:v>0.5</x:v>
      </x:c>
      <x:c r="P361" t="inlineStr">
        <x:is>
          <x:t xml:space="preserve">SEC-D1-Q01-A3</x:t>
        </x:is>
      </x:c>
      <x:c r="Q361" t="n">
        <x:v>4</x:v>
      </x:c>
      <x:c r="R361" t="inlineStr">
        <x:is>
          <x:t xml:space="preserve">Partial: SOC/IT reviews some alerts, but not consistently or not for key systems.</x:t>
        </x:is>
      </x:c>
      <x:c r="S361" t="n">
        <x:v>2</x:v>
      </x:c>
      <x:c r="U361" t="inlineStr">
        <x:is>
          <x:t xml:space="preserve">Operating Model Gap</x:t>
        </x:is>
      </x:c>
      <x:c r="V361" t="inlineStr">
        <x:is>
          <x:t xml:space="preserve">Assess_Detection</x:t>
        </x:is>
      </x:c>
      <x:c r="W361" t="inlineStr">
        <x:is>
          <x:t xml:space="preserve">N</x:t>
        </x:is>
      </x:c>
      <x:c r="X361" t="inlineStr">
        <x:is>
          <x:t xml:space="preserve">List monitored systems and who reviews them.</x:t>
        </x:is>
      </x:c>
      <x:c r="Y361">
        <x:f>(S361*IF(E361="G",F361,0))+(S361*IF(G361="G",H361,0))</x:f>
      </x:c>
      <x:c r="Z361">
        <x:f>(S361*IF(E361="E",F361,0))+(S361*IF(G361="E",H361,0))</x:f>
      </x:c>
      <x:c r="AA361">
        <x:f>(S361*IF(E361="T",F361,0))+(S361*IF(G361="T",H361,0))</x:f>
      </x:c>
      <x:c r="AB361">
        <x:f>(S361*IF(E361="L",F361,0))+(S361*IF(G361="L",H361,0))</x:f>
      </x:c>
      <x:c r="AC361">
        <x:f>(S361*IF(E361="H",F361,0))+(S361*IF(G361="H",H361,0))</x:f>
      </x:c>
      <x:c r="AD361">
        <x:f>(S361*IF(E361="V",F361,0))+(S361*IF(G361="V",H361,0))</x:f>
      </x:c>
      <x:c r="AE361">
        <x:f>(S361*IF(E361="R",F361,0))+(S361*IF(G361="R",H361,0))</x:f>
      </x:c>
      <x:c r="AF361">
        <x:f>(S361*IF(E361="F",F361,0))+(S361*IF(G361="F",H361,0))</x:f>
      </x:c>
      <x:c r="AG361">
        <x:f>(S361*IF(E361="W",F361,0))+(S361*IF(G361="W",H361,0))</x:f>
      </x:c>
      <x:c r="AH361" t="inlineStr">
        <x:is>
          <x:t xml:space="preserve">8. Investigation &amp; Response</x:t>
        </x:is>
      </x:c>
      <x:c r="AI361" t="inlineStr">
        <x:is>
          <x:t xml:space="preserve">Operational Readiness</x:t>
        </x:is>
      </x:c>
      <x:c r="AJ361" t="inlineStr">
        <x:is>
          <x:t xml:space="preserve">Multidisciplinary triage (ITWG) operations</x:t>
        </x:is>
      </x:c>
    </x:row>
    <x:row r="362">
      <x:c r="A362" t="inlineStr">
        <x:is>
          <x:t xml:space="preserve">Security</x:t>
        </x:is>
      </x:c>
      <x:c r="B362" t="inlineStr">
        <x:is>
          <x:t xml:space="preserve">SEC-D1-Q01</x:t>
        </x:is>
      </x:c>
      <x:c r="C362" t="inlineStr">
        <x:is>
          <x:t xml:space="preserve">T1</x:t>
        </x:is>
      </x:c>
      <x:c r="D362" t="inlineStr">
        <x:is>
          <x:t xml:space="preserve">1. Security Operating Model</x:t>
        </x:is>
      </x:c>
      <x:c r="E362" t="inlineStr">
        <x:is>
          <x:t xml:space="preserve">E</x:t>
        </x:is>
      </x:c>
      <x:c r="F362" t="n">
        <x:v>0.6</x:v>
      </x:c>
      <x:c r="G362" t="inlineStr">
        <x:is>
          <x:t xml:space="preserve">T</x:t>
        </x:is>
      </x:c>
      <x:c r="H362" t="n">
        <x:v>0.4</x:v>
      </x:c>
      <x:c r="I362" t="inlineStr">
        <x:is>
          <x:t xml:space="preserve">Who runs day‑to‑day monitoring for internal misuse (e.g., unusual downloads, emailing data out) and triage of alerts?</x:t>
        </x:is>
      </x:c>
      <x:c r="J362" t="inlineStr">
        <x:is>
          <x:t xml:space="preserve">Internal misuse can be accidental or malicious. If you outsource monitoring, answer based on how it works in practice (coverage, cadence, ownership).</x:t>
        </x:is>
      </x:c>
      <x:c r="L362" t="inlineStr">
        <x:is>
          <x:t xml:space="preserve">OPS_STD</x:t>
        </x:is>
      </x:c>
      <x:c r="M362" t="n">
        <x:v>1.2</x:v>
      </x:c>
      <x:c r="N362" t="n">
        <x:v>0.5</x:v>
      </x:c>
      <x:c r="P362" t="inlineStr">
        <x:is>
          <x:t xml:space="preserve">SEC-D1-Q01-A4</x:t>
        </x:is>
      </x:c>
      <x:c r="Q362" t="n">
        <x:v>5</x:v>
      </x:c>
      <x:c r="R362" t="inlineStr">
        <x:is>
          <x:t xml:space="preserve">Defined: named team monitors agreed key systems with a regular cadence and documented handoffs.</x:t>
        </x:is>
      </x:c>
      <x:c r="S362" t="n">
        <x:v>3</x:v>
      </x:c>
      <x:c r="U362" t="inlineStr">
        <x:is>
          <x:t xml:space="preserve">Operating Model Gap</x:t>
        </x:is>
      </x:c>
      <x:c r="V362" t="inlineStr">
        <x:is>
          <x:t xml:space="preserve">Assess_Case_Model</x:t>
        </x:is>
      </x:c>
      <x:c r="W362" t="inlineStr">
        <x:is>
          <x:t xml:space="preserve">Y</x:t>
        </x:is>
      </x:c>
      <x:c r="X362" t="inlineStr">
        <x:is>
          <x:t xml:space="preserve">Runbook/SOP + sample ticket (redacted).</x:t>
        </x:is>
      </x:c>
      <x:c r="Y362">
        <x:f>(S362*IF(E362="G",F362,0))+(S362*IF(G362="G",H362,0))</x:f>
      </x:c>
      <x:c r="Z362">
        <x:f>(S362*IF(E362="E",F362,0))+(S362*IF(G362="E",H362,0))</x:f>
      </x:c>
      <x:c r="AA362">
        <x:f>(S362*IF(E362="T",F362,0))+(S362*IF(G362="T",H362,0))</x:f>
      </x:c>
      <x:c r="AB362">
        <x:f>(S362*IF(E362="L",F362,0))+(S362*IF(G362="L",H362,0))</x:f>
      </x:c>
      <x:c r="AC362">
        <x:f>(S362*IF(E362="H",F362,0))+(S362*IF(G362="H",H362,0))</x:f>
      </x:c>
      <x:c r="AD362">
        <x:f>(S362*IF(E362="V",F362,0))+(S362*IF(G362="V",H362,0))</x:f>
      </x:c>
      <x:c r="AE362">
        <x:f>(S362*IF(E362="R",F362,0))+(S362*IF(G362="R",H362,0))</x:f>
      </x:c>
      <x:c r="AF362">
        <x:f>(S362*IF(E362="F",F362,0))+(S362*IF(G362="F",H362,0))</x:f>
      </x:c>
      <x:c r="AG362">
        <x:f>(S362*IF(E362="W",F362,0))+(S362*IF(G362="W",H362,0))</x:f>
      </x:c>
      <x:c r="AH362" t="inlineStr">
        <x:is>
          <x:t xml:space="preserve">8. Investigation &amp; Response</x:t>
        </x:is>
      </x:c>
      <x:c r="AI362" t="inlineStr">
        <x:is>
          <x:t xml:space="preserve">Operational Readiness</x:t>
        </x:is>
      </x:c>
      <x:c r="AJ362" t="inlineStr">
        <x:is>
          <x:t xml:space="preserve">Multidisciplinary triage (ITWG) operations</x:t>
        </x:is>
      </x:c>
    </x:row>
    <x:row r="363">
      <x:c r="A363" t="inlineStr">
        <x:is>
          <x:t xml:space="preserve">Security</x:t>
        </x:is>
      </x:c>
      <x:c r="B363" t="inlineStr">
        <x:is>
          <x:t xml:space="preserve">SEC-D1-Q01</x:t>
        </x:is>
      </x:c>
      <x:c r="C363" t="inlineStr">
        <x:is>
          <x:t xml:space="preserve">T1</x:t>
        </x:is>
      </x:c>
      <x:c r="D363" t="inlineStr">
        <x:is>
          <x:t xml:space="preserve">1. Security Operating Model</x:t>
        </x:is>
      </x:c>
      <x:c r="E363" t="inlineStr">
        <x:is>
          <x:t xml:space="preserve">E</x:t>
        </x:is>
      </x:c>
      <x:c r="F363" t="n">
        <x:v>0.6</x:v>
      </x:c>
      <x:c r="G363" t="inlineStr">
        <x:is>
          <x:t xml:space="preserve">T</x:t>
        </x:is>
      </x:c>
      <x:c r="H363" t="n">
        <x:v>0.4</x:v>
      </x:c>
      <x:c r="I363" t="inlineStr">
        <x:is>
          <x:t xml:space="preserve">Who runs day‑to‑day monitoring for internal misuse (e.g., unusual downloads, emailing data out) and triage of alerts?</x:t>
        </x:is>
      </x:c>
      <x:c r="J363" t="inlineStr">
        <x:is>
          <x:t xml:space="preserve">Internal misuse can be accidental or malicious. If you outsource monitoring, answer based on how it works in practice (coverage, cadence, ownership).</x:t>
        </x:is>
      </x:c>
      <x:c r="L363" t="inlineStr">
        <x:is>
          <x:t xml:space="preserve">OPS_STD</x:t>
        </x:is>
      </x:c>
      <x:c r="M363" t="n">
        <x:v>1.2</x:v>
      </x:c>
      <x:c r="N363" t="n">
        <x:v>0.5</x:v>
      </x:c>
      <x:c r="P363" t="inlineStr">
        <x:is>
          <x:t xml:space="preserve">SEC-D1-Q01-A5</x:t>
        </x:is>
      </x:c>
      <x:c r="Q363" t="n">
        <x:v>6</x:v>
      </x:c>
      <x:c r="R363" t="inlineStr">
        <x:is>
          <x:t xml:space="preserve">Optimized: monitoring is embedded in SOC/case management with SLAs and quality checks.</x:t>
        </x:is>
      </x:c>
      <x:c r="S363" t="n">
        <x:v>4</x:v>
      </x:c>
      <x:c r="U363" t="inlineStr">
        <x:is>
          <x:t xml:space="preserve">Resilience Gap</x:t>
        </x:is>
      </x:c>
      <x:c r="V363" t="inlineStr">
        <x:is>
          <x:t xml:space="preserve">Improve_Metrics</x:t>
        </x:is>
      </x:c>
      <x:c r="W363" t="inlineStr">
        <x:is>
          <x:t xml:space="preserve">Y</x:t>
        </x:is>
      </x:c>
      <x:c r="X363" t="inlineStr">
        <x:is>
          <x:t xml:space="preserve">SLA + recent quality/accuracy report.</x:t>
        </x:is>
      </x:c>
      <x:c r="Y363">
        <x:f>(S363*IF(E363="G",F363,0))+(S363*IF(G363="G",H363,0))</x:f>
      </x:c>
      <x:c r="Z363">
        <x:f>(S363*IF(E363="E",F363,0))+(S363*IF(G363="E",H363,0))</x:f>
      </x:c>
      <x:c r="AA363">
        <x:f>(S363*IF(E363="T",F363,0))+(S363*IF(G363="T",H363,0))</x:f>
      </x:c>
      <x:c r="AB363">
        <x:f>(S363*IF(E363="L",F363,0))+(S363*IF(G363="L",H363,0))</x:f>
      </x:c>
      <x:c r="AC363">
        <x:f>(S363*IF(E363="H",F363,0))+(S363*IF(G363="H",H363,0))</x:f>
      </x:c>
      <x:c r="AD363">
        <x:f>(S363*IF(E363="V",F363,0))+(S363*IF(G363="V",H363,0))</x:f>
      </x:c>
      <x:c r="AE363">
        <x:f>(S363*IF(E363="R",F363,0))+(S363*IF(G363="R",H363,0))</x:f>
      </x:c>
      <x:c r="AF363">
        <x:f>(S363*IF(E363="F",F363,0))+(S363*IF(G363="F",H363,0))</x:f>
      </x:c>
      <x:c r="AG363">
        <x:f>(S363*IF(E363="W",F363,0))+(S363*IF(G363="W",H363,0))</x:f>
      </x:c>
      <x:c r="AH363" t="inlineStr">
        <x:is>
          <x:t xml:space="preserve">8. Investigation &amp; Response</x:t>
        </x:is>
      </x:c>
      <x:c r="AI363" t="inlineStr">
        <x:is>
          <x:t xml:space="preserve">Operational Readiness</x:t>
        </x:is>
      </x:c>
      <x:c r="AJ363" t="inlineStr">
        <x:is>
          <x:t xml:space="preserve">Multidisciplinary triage (ITWG) operations</x:t>
        </x:is>
      </x:c>
    </x:row>
    <x:row r="364">
      <x:c r="A364" t="inlineStr">
        <x:is>
          <x:t xml:space="preserve">Security</x:t>
        </x:is>
      </x:c>
      <x:c r="B364" t="inlineStr">
        <x:is>
          <x:t xml:space="preserve">SEC-D1-Q02</x:t>
        </x:is>
      </x:c>
      <x:c r="C364" t="inlineStr">
        <x:is>
          <x:t xml:space="preserve">T2</x:t>
        </x:is>
      </x:c>
      <x:c r="D364" t="inlineStr">
        <x:is>
          <x:t xml:space="preserve">1. Security Operating Model</x:t>
        </x:is>
      </x:c>
      <x:c r="E364" t="inlineStr">
        <x:is>
          <x:t xml:space="preserve">E</x:t>
        </x:is>
      </x:c>
      <x:c r="F364" t="n">
        <x:v>1</x:v>
      </x:c>
      <x:c r="I364" t="inlineStr">
        <x:is>
          <x:t xml:space="preserve">(Shadow probe) Even without a formal insider program, do people routinely look for unusual internal behavior in practice?</x:t>
        </x:is>
      </x:c>
      <x:c r="J364" t="inlineStr">
        <x:is>
          <x:t xml:space="preserve">Examples: sudden large downloads, unusual access to sensitive folders, repeated use of admin accounts, or data emailed to personal accounts.</x:t>
        </x:is>
      </x:c>
      <x:c r="L364" t="inlineStr">
        <x:is>
          <x:t xml:space="preserve">OPS_STD</x:t>
        </x:is>
      </x:c>
      <x:c r="M364" t="n">
        <x:v>1</x:v>
      </x:c>
      <x:c r="P364" t="inlineStr">
        <x:is>
          <x:t xml:space="preserve">SEC-D1-Q02-A1</x:t>
        </x:is>
      </x:c>
      <x:c r="Q364" t="n">
        <x:v>1</x:v>
      </x:c>
      <x:c r="R364" t="inlineStr">
        <x:is>
          <x:t xml:space="preserve">No — we focus on external threats; insiders are out of scope.</x:t>
        </x:is>
      </x:c>
      <x:c r="S364" t="n">
        <x:v>0</x:v>
      </x:c>
      <x:c r="T364" t="inlineStr">
        <x:is>
          <x:t xml:space="preserve">paper_dragon_signal</x:t>
        </x:is>
      </x:c>
      <x:c r="U364" t="inlineStr">
        <x:is>
          <x:t xml:space="preserve">Paper Dragon</x:t>
        </x:is>
      </x:c>
      <x:c r="V364" t="inlineStr">
        <x:is>
          <x:t xml:space="preserve">Build_Detection_Strategy</x:t>
        </x:is>
      </x:c>
      <x:c r="W364" t="inlineStr">
        <x:is>
          <x:t xml:space="preserve">N</x:t>
        </x:is>
      </x:c>
      <x:c r="Y364">
        <x:f>(S364*IF(E364="G",F364,0))+(S364*IF(G364="G",H364,0))</x:f>
      </x:c>
      <x:c r="Z364">
        <x:f>(S364*IF(E364="E",F364,0))+(S364*IF(G364="E",H364,0))</x:f>
      </x:c>
      <x:c r="AA364">
        <x:f>(S364*IF(E364="T",F364,0))+(S364*IF(G364="T",H364,0))</x:f>
      </x:c>
      <x:c r="AB364">
        <x:f>(S364*IF(E364="L",F364,0))+(S364*IF(G364="L",H364,0))</x:f>
      </x:c>
      <x:c r="AC364">
        <x:f>(S364*IF(E364="H",F364,0))+(S364*IF(G364="H",H364,0))</x:f>
      </x:c>
      <x:c r="AD364">
        <x:f>(S364*IF(E364="V",F364,0))+(S364*IF(G364="V",H364,0))</x:f>
      </x:c>
      <x:c r="AE364">
        <x:f>(S364*IF(E364="R",F364,0))+(S364*IF(G364="R",H364,0))</x:f>
      </x:c>
      <x:c r="AF364">
        <x:f>(S364*IF(E364="F",F364,0))+(S364*IF(G364="F",H364,0))</x:f>
      </x:c>
      <x:c r="AG364">
        <x:f>(S364*IF(E364="W",F364,0))+(S364*IF(G364="W",H364,0))</x:f>
      </x:c>
      <x:c r="AH364" t="inlineStr">
        <x:is>
          <x:t xml:space="preserve">6. Technical Controls</x:t>
        </x:is>
      </x:c>
      <x:c r="AI364" t="inlineStr">
        <x:is>
          <x:t xml:space="preserve">Data, Endpoint &amp; Cloud Controls</x:t>
        </x:is>
      </x:c>
      <x:c r="AJ364" t="inlineStr">
        <x:is>
          <x:t xml:space="preserve">EDR for insider use-cases</x:t>
        </x:is>
      </x:c>
    </x:row>
    <x:row r="365">
      <x:c r="A365" t="inlineStr">
        <x:is>
          <x:t xml:space="preserve">Security</x:t>
        </x:is>
      </x:c>
      <x:c r="B365" t="inlineStr">
        <x:is>
          <x:t xml:space="preserve">SEC-D1-Q02</x:t>
        </x:is>
      </x:c>
      <x:c r="C365" t="inlineStr">
        <x:is>
          <x:t xml:space="preserve">T2</x:t>
        </x:is>
      </x:c>
      <x:c r="D365" t="inlineStr">
        <x:is>
          <x:t xml:space="preserve">1. Security Operating Model</x:t>
        </x:is>
      </x:c>
      <x:c r="E365" t="inlineStr">
        <x:is>
          <x:t xml:space="preserve">E</x:t>
        </x:is>
      </x:c>
      <x:c r="F365" t="n">
        <x:v>1</x:v>
      </x:c>
      <x:c r="I365" t="inlineStr">
        <x:is>
          <x:t xml:space="preserve">(Shadow probe) Even without a formal insider program, do people routinely look for unusual internal behavior in practice?</x:t>
        </x:is>
      </x:c>
      <x:c r="J365" t="inlineStr">
        <x:is>
          <x:t xml:space="preserve">Examples: sudden large downloads, unusual access to sensitive folders, repeated use of admin accounts, or data emailed to personal accounts.</x:t>
        </x:is>
      </x:c>
      <x:c r="L365" t="inlineStr">
        <x:is>
          <x:t xml:space="preserve">OPS_STD</x:t>
        </x:is>
      </x:c>
      <x:c r="M365" t="n">
        <x:v>1</x:v>
      </x:c>
      <x:c r="P365" t="inlineStr">
        <x:is>
          <x:t xml:space="preserve">SEC-D1-Q02-A2</x:t>
        </x:is>
      </x:c>
      <x:c r="Q365" t="n">
        <x:v>2</x:v>
      </x:c>
      <x:c r="R365" t="inlineStr">
        <x:is>
          <x:t xml:space="preserve">Sometimes — a few experienced admins notice issues, but it depends on individuals.</x:t>
        </x:is>
      </x:c>
      <x:c r="S365" t="n">
        <x:v>2</x:v>
      </x:c>
      <x:c r="T365" t="inlineStr">
        <x:is>
          <x:t xml:space="preserve">shadow_mature_signal</x:t>
        </x:is>
      </x:c>
      <x:c r="U365" t="inlineStr">
        <x:is>
          <x:t xml:space="preserve">Shadow Mature</x:t>
        </x:is>
      </x:c>
      <x:c r="V365" t="inlineStr">
        <x:is>
          <x:t xml:space="preserve">Capture_Informal_Practices</x:t>
        </x:is>
      </x:c>
      <x:c r="W365" t="inlineStr">
        <x:is>
          <x:t xml:space="preserve">N</x:t>
        </x:is>
      </x:c>
      <x:c r="X365" t="inlineStr">
        <x:is>
          <x:t xml:space="preserve">Name typical signals and frequency.</x:t>
        </x:is>
      </x:c>
      <x:c r="Y365">
        <x:f>(S365*IF(E365="G",F365,0))+(S365*IF(G365="G",H365,0))</x:f>
      </x:c>
      <x:c r="Z365">
        <x:f>(S365*IF(E365="E",F365,0))+(S365*IF(G365="E",H365,0))</x:f>
      </x:c>
      <x:c r="AA365">
        <x:f>(S365*IF(E365="T",F365,0))+(S365*IF(G365="T",H365,0))</x:f>
      </x:c>
      <x:c r="AB365">
        <x:f>(S365*IF(E365="L",F365,0))+(S365*IF(G365="L",H365,0))</x:f>
      </x:c>
      <x:c r="AC365">
        <x:f>(S365*IF(E365="H",F365,0))+(S365*IF(G365="H",H365,0))</x:f>
      </x:c>
      <x:c r="AD365">
        <x:f>(S365*IF(E365="V",F365,0))+(S365*IF(G365="V",H365,0))</x:f>
      </x:c>
      <x:c r="AE365">
        <x:f>(S365*IF(E365="R",F365,0))+(S365*IF(G365="R",H365,0))</x:f>
      </x:c>
      <x:c r="AF365">
        <x:f>(S365*IF(E365="F",F365,0))+(S365*IF(G365="F",H365,0))</x:f>
      </x:c>
      <x:c r="AG365">
        <x:f>(S365*IF(E365="W",F365,0))+(S365*IF(G365="W",H365,0))</x:f>
      </x:c>
      <x:c r="AH365" t="inlineStr">
        <x:is>
          <x:t xml:space="preserve">6. Technical Controls</x:t>
        </x:is>
      </x:c>
      <x:c r="AI365" t="inlineStr">
        <x:is>
          <x:t xml:space="preserve">Data, Endpoint &amp; Cloud Controls</x:t>
        </x:is>
      </x:c>
      <x:c r="AJ365" t="inlineStr">
        <x:is>
          <x:t xml:space="preserve">EDR for insider use-cases</x:t>
        </x:is>
      </x:c>
    </x:row>
    <x:row r="366">
      <x:c r="A366" t="inlineStr">
        <x:is>
          <x:t xml:space="preserve">Security</x:t>
        </x:is>
      </x:c>
      <x:c r="B366" t="inlineStr">
        <x:is>
          <x:t xml:space="preserve">SEC-D1-Q02</x:t>
        </x:is>
      </x:c>
      <x:c r="C366" t="inlineStr">
        <x:is>
          <x:t xml:space="preserve">T2</x:t>
        </x:is>
      </x:c>
      <x:c r="D366" t="inlineStr">
        <x:is>
          <x:t xml:space="preserve">1. Security Operating Model</x:t>
        </x:is>
      </x:c>
      <x:c r="E366" t="inlineStr">
        <x:is>
          <x:t xml:space="preserve">E</x:t>
        </x:is>
      </x:c>
      <x:c r="F366" t="n">
        <x:v>1</x:v>
      </x:c>
      <x:c r="I366" t="inlineStr">
        <x:is>
          <x:t xml:space="preserve">(Shadow probe) Even without a formal insider program, do people routinely look for unusual internal behavior in practice?</x:t>
        </x:is>
      </x:c>
      <x:c r="J366" t="inlineStr">
        <x:is>
          <x:t xml:space="preserve">Examples: sudden large downloads, unusual access to sensitive folders, repeated use of admin accounts, or data emailed to personal accounts.</x:t>
        </x:is>
      </x:c>
      <x:c r="L366" t="inlineStr">
        <x:is>
          <x:t xml:space="preserve">OPS_STD</x:t>
        </x:is>
      </x:c>
      <x:c r="M366" t="n">
        <x:v>1</x:v>
      </x:c>
      <x:c r="P366" t="inlineStr">
        <x:is>
          <x:t xml:space="preserve">SEC-D1-Q02-A3</x:t>
        </x:is>
      </x:c>
      <x:c r="Q366" t="n">
        <x:v>3</x:v>
      </x:c>
      <x:c r="R366" t="inlineStr">
        <x:is>
          <x:t xml:space="preserve">Yes — a repeatable routine exists (even if informal) for reviewing a short list of high‑risk signals.</x:t>
        </x:is>
      </x:c>
      <x:c r="S366" t="n">
        <x:v>3</x:v>
      </x:c>
      <x:c r="T366" t="inlineStr">
        <x:is>
          <x:t xml:space="preserve">shadow_mature_signal</x:t>
        </x:is>
      </x:c>
      <x:c r="U366" t="inlineStr">
        <x:is>
          <x:t xml:space="preserve">Shadow Mature</x:t>
        </x:is>
      </x:c>
      <x:c r="V366" t="inlineStr">
        <x:is>
          <x:t xml:space="preserve">Align_Policy_To_Reality</x:t>
        </x:is>
      </x:c>
      <x:c r="W366" t="inlineStr">
        <x:is>
          <x:t xml:space="preserve">Y</x:t>
        </x:is>
      </x:c>
      <x:c r="X366" t="inlineStr">
        <x:is>
          <x:t xml:space="preserve">Short list of signals + example review note.</x:t>
        </x:is>
      </x:c>
      <x:c r="Y366">
        <x:f>(S366*IF(E366="G",F366,0))+(S366*IF(G366="G",H366,0))</x:f>
      </x:c>
      <x:c r="Z366">
        <x:f>(S366*IF(E366="E",F366,0))+(S366*IF(G366="E",H366,0))</x:f>
      </x:c>
      <x:c r="AA366">
        <x:f>(S366*IF(E366="T",F366,0))+(S366*IF(G366="T",H366,0))</x:f>
      </x:c>
      <x:c r="AB366">
        <x:f>(S366*IF(E366="L",F366,0))+(S366*IF(G366="L",H366,0))</x:f>
      </x:c>
      <x:c r="AC366">
        <x:f>(S366*IF(E366="H",F366,0))+(S366*IF(G366="H",H366,0))</x:f>
      </x:c>
      <x:c r="AD366">
        <x:f>(S366*IF(E366="V",F366,0))+(S366*IF(G366="V",H366,0))</x:f>
      </x:c>
      <x:c r="AE366">
        <x:f>(S366*IF(E366="R",F366,0))+(S366*IF(G366="R",H366,0))</x:f>
      </x:c>
      <x:c r="AF366">
        <x:f>(S366*IF(E366="F",F366,0))+(S366*IF(G366="F",H366,0))</x:f>
      </x:c>
      <x:c r="AG366">
        <x:f>(S366*IF(E366="W",F366,0))+(S366*IF(G366="W",H366,0))</x:f>
      </x:c>
      <x:c r="AH366" t="inlineStr">
        <x:is>
          <x:t xml:space="preserve">6. Technical Controls</x:t>
        </x:is>
      </x:c>
      <x:c r="AI366" t="inlineStr">
        <x:is>
          <x:t xml:space="preserve">Data, Endpoint &amp; Cloud Controls</x:t>
        </x:is>
      </x:c>
      <x:c r="AJ366" t="inlineStr">
        <x:is>
          <x:t xml:space="preserve">EDR for insider use-cases</x:t>
        </x:is>
      </x:c>
    </x:row>
    <x:row r="367">
      <x:c r="A367" t="inlineStr">
        <x:is>
          <x:t xml:space="preserve">Security</x:t>
        </x:is>
      </x:c>
      <x:c r="B367" t="inlineStr">
        <x:is>
          <x:t xml:space="preserve">SEC-D1-Q03</x:t>
        </x:is>
      </x:c>
      <x:c r="C367" t="inlineStr">
        <x:is>
          <x:t xml:space="preserve">T2</x:t>
        </x:is>
      </x:c>
      <x:c r="D367" t="inlineStr">
        <x:is>
          <x:t xml:space="preserve">1. Security Operating Model</x:t>
        </x:is>
      </x:c>
      <x:c r="E367" t="inlineStr">
        <x:is>
          <x:t xml:space="preserve">E</x:t>
        </x:is>
      </x:c>
      <x:c r="F367" t="n">
        <x:v>0.6</x:v>
      </x:c>
      <x:c r="G367" t="inlineStr">
        <x:is>
          <x:t xml:space="preserve">R</x:t>
        </x:is>
      </x:c>
      <x:c r="H367" t="n">
        <x:v>0.4</x:v>
      </x:c>
      <x:c r="I367" t="inlineStr">
        <x:is>
          <x:t xml:space="preserve">Do you have a documented triage workflow for potential insider cases (from alert → decision → escalation)?</x:t>
        </x:is>
      </x:c>
      <x:c r="J367" t="inlineStr">
        <x:is>
          <x:t xml:space="preserve">A workflow can be a runbook/playbook/SOP. It should clarify who reviews, what evidence is needed, and when to involve HR/Legal/Privacy.</x:t>
        </x:is>
      </x:c>
      <x:c r="L367" t="inlineStr">
        <x:is>
          <x:t xml:space="preserve">OPS_STD</x:t>
        </x:is>
      </x:c>
      <x:c r="M367" t="n">
        <x:v>1.2</x:v>
      </x:c>
      <x:c r="N367" t="n">
        <x:v>0.5</x:v>
      </x:c>
      <x:c r="P367" t="inlineStr">
        <x:is>
          <x:t xml:space="preserve">SEC-D1-Q03-A1</x:t>
        </x:is>
      </x:c>
      <x:c r="Q367" t="n">
        <x:v>1</x:v>
      </x:c>
      <x:c r="R367" t="inlineStr">
        <x:is>
          <x:t xml:space="preserve">No workflow; decisions are improvised each time.</x:t>
        </x:is>
      </x:c>
      <x:c r="S367" t="n">
        <x:v>0</x:v>
      </x:c>
      <x:c r="U367" t="inlineStr">
        <x:is>
          <x:t xml:space="preserve">Operating Model Gap</x:t>
        </x:is>
      </x:c>
      <x:c r="V367" t="inlineStr">
        <x:is>
          <x:t xml:space="preserve">Assess_Case_Model</x:t>
        </x:is>
      </x:c>
      <x:c r="W367" t="inlineStr">
        <x:is>
          <x:t xml:space="preserve">N</x:t>
        </x:is>
      </x:c>
      <x:c r="Y367">
        <x:f>(S367*IF(E367="G",F367,0))+(S367*IF(G367="G",H367,0))</x:f>
      </x:c>
      <x:c r="Z367">
        <x:f>(S367*IF(E367="E",F367,0))+(S367*IF(G367="E",H367,0))</x:f>
      </x:c>
      <x:c r="AA367">
        <x:f>(S367*IF(E367="T",F367,0))+(S367*IF(G367="T",H367,0))</x:f>
      </x:c>
      <x:c r="AB367">
        <x:f>(S367*IF(E367="L",F367,0))+(S367*IF(G367="L",H367,0))</x:f>
      </x:c>
      <x:c r="AC367">
        <x:f>(S367*IF(E367="H",F367,0))+(S367*IF(G367="H",H367,0))</x:f>
      </x:c>
      <x:c r="AD367">
        <x:f>(S367*IF(E367="V",F367,0))+(S367*IF(G367="V",H367,0))</x:f>
      </x:c>
      <x:c r="AE367">
        <x:f>(S367*IF(E367="R",F367,0))+(S367*IF(G367="R",H367,0))</x:f>
      </x:c>
      <x:c r="AF367">
        <x:f>(S367*IF(E367="F",F367,0))+(S367*IF(G367="F",H367,0))</x:f>
      </x:c>
      <x:c r="AG367">
        <x:f>(S367*IF(E367="W",F367,0))+(S367*IF(G367="W",H367,0))</x:f>
      </x:c>
      <x:c r="AH367" t="inlineStr">
        <x:is>
          <x:t xml:space="preserve">7. Behavioral Analytics &amp; Detection</x:t>
        </x:is>
      </x:c>
      <x:c r="AI367" t="inlineStr">
        <x:is>
          <x:t xml:space="preserve">Detection Engineering</x:t>
        </x:is>
      </x:c>
      <x:c r="AJ367" t="inlineStr">
        <x:is>
          <x:t xml:space="preserve">Alert triage workflow &amp; quality management</x:t>
        </x:is>
      </x:c>
    </x:row>
    <x:row r="368">
      <x:c r="A368" t="inlineStr">
        <x:is>
          <x:t xml:space="preserve">Security</x:t>
        </x:is>
      </x:c>
      <x:c r="B368" t="inlineStr">
        <x:is>
          <x:t xml:space="preserve">SEC-D1-Q03</x:t>
        </x:is>
      </x:c>
      <x:c r="C368" t="inlineStr">
        <x:is>
          <x:t xml:space="preserve">T2</x:t>
        </x:is>
      </x:c>
      <x:c r="D368" t="inlineStr">
        <x:is>
          <x:t xml:space="preserve">1. Security Operating Model</x:t>
        </x:is>
      </x:c>
      <x:c r="E368" t="inlineStr">
        <x:is>
          <x:t xml:space="preserve">E</x:t>
        </x:is>
      </x:c>
      <x:c r="F368" t="n">
        <x:v>0.6</x:v>
      </x:c>
      <x:c r="G368" t="inlineStr">
        <x:is>
          <x:t xml:space="preserve">R</x:t>
        </x:is>
      </x:c>
      <x:c r="H368" t="n">
        <x:v>0.4</x:v>
      </x:c>
      <x:c r="I368" t="inlineStr">
        <x:is>
          <x:t xml:space="preserve">Do you have a documented triage workflow for potential insider cases (from alert → decision → escalation)?</x:t>
        </x:is>
      </x:c>
      <x:c r="J368" t="inlineStr">
        <x:is>
          <x:t xml:space="preserve">A workflow can be a runbook/playbook/SOP. It should clarify who reviews, what evidence is needed, and when to involve HR/Legal/Privacy.</x:t>
        </x:is>
      </x:c>
      <x:c r="L368" t="inlineStr">
        <x:is>
          <x:t xml:space="preserve">OPS_STD</x:t>
        </x:is>
      </x:c>
      <x:c r="M368" t="n">
        <x:v>1.2</x:v>
      </x:c>
      <x:c r="N368" t="n">
        <x:v>0.5</x:v>
      </x:c>
      <x:c r="P368" t="inlineStr">
        <x:is>
          <x:t xml:space="preserve">SEC-D1-Q03-A2</x:t>
        </x:is>
      </x:c>
      <x:c r="Q368" t="n">
        <x:v>2</x:v>
      </x:c>
      <x:c r="R368" t="inlineStr">
        <x:is>
          <x:t xml:space="preserve">Some notes exist, but they are outdated or rarely followed.</x:t>
        </x:is>
      </x:c>
      <x:c r="S368" t="n">
        <x:v>1</x:v>
      </x:c>
      <x:c r="T368" t="inlineStr">
        <x:is>
          <x:t xml:space="preserve">paper_dragon_signal</x:t>
        </x:is>
      </x:c>
      <x:c r="U368" t="inlineStr">
        <x:is>
          <x:t xml:space="preserve">Paper Dragon</x:t>
        </x:is>
      </x:c>
      <x:c r="V368" t="inlineStr">
        <x:is>
          <x:t xml:space="preserve">Align_Policy_To_Reality</x:t>
        </x:is>
      </x:c>
      <x:c r="W368" t="inlineStr">
        <x:is>
          <x:t xml:space="preserve">N</x:t>
        </x:is>
      </x:c>
      <x:c r="Y368">
        <x:f>(S368*IF(E368="G",F368,0))+(S368*IF(G368="G",H368,0))</x:f>
      </x:c>
      <x:c r="Z368">
        <x:f>(S368*IF(E368="E",F368,0))+(S368*IF(G368="E",H368,0))</x:f>
      </x:c>
      <x:c r="AA368">
        <x:f>(S368*IF(E368="T",F368,0))+(S368*IF(G368="T",H368,0))</x:f>
      </x:c>
      <x:c r="AB368">
        <x:f>(S368*IF(E368="L",F368,0))+(S368*IF(G368="L",H368,0))</x:f>
      </x:c>
      <x:c r="AC368">
        <x:f>(S368*IF(E368="H",F368,0))+(S368*IF(G368="H",H368,0))</x:f>
      </x:c>
      <x:c r="AD368">
        <x:f>(S368*IF(E368="V",F368,0))+(S368*IF(G368="V",H368,0))</x:f>
      </x:c>
      <x:c r="AE368">
        <x:f>(S368*IF(E368="R",F368,0))+(S368*IF(G368="R",H368,0))</x:f>
      </x:c>
      <x:c r="AF368">
        <x:f>(S368*IF(E368="F",F368,0))+(S368*IF(G368="F",H368,0))</x:f>
      </x:c>
      <x:c r="AG368">
        <x:f>(S368*IF(E368="W",F368,0))+(S368*IF(G368="W",H368,0))</x:f>
      </x:c>
      <x:c r="AH368" t="inlineStr">
        <x:is>
          <x:t xml:space="preserve">7. Behavioral Analytics &amp; Detection</x:t>
        </x:is>
      </x:c>
      <x:c r="AI368" t="inlineStr">
        <x:is>
          <x:t xml:space="preserve">Detection Engineering</x:t>
        </x:is>
      </x:c>
      <x:c r="AJ368" t="inlineStr">
        <x:is>
          <x:t xml:space="preserve">Alert triage workflow &amp; quality management</x:t>
        </x:is>
      </x:c>
    </x:row>
    <x:row r="369">
      <x:c r="A369" t="inlineStr">
        <x:is>
          <x:t xml:space="preserve">Security</x:t>
        </x:is>
      </x:c>
      <x:c r="B369" t="inlineStr">
        <x:is>
          <x:t xml:space="preserve">SEC-D1-Q03</x:t>
        </x:is>
      </x:c>
      <x:c r="C369" t="inlineStr">
        <x:is>
          <x:t xml:space="preserve">T2</x:t>
        </x:is>
      </x:c>
      <x:c r="D369" t="inlineStr">
        <x:is>
          <x:t xml:space="preserve">1. Security Operating Model</x:t>
        </x:is>
      </x:c>
      <x:c r="E369" t="inlineStr">
        <x:is>
          <x:t xml:space="preserve">E</x:t>
        </x:is>
      </x:c>
      <x:c r="F369" t="n">
        <x:v>0.6</x:v>
      </x:c>
      <x:c r="G369" t="inlineStr">
        <x:is>
          <x:t xml:space="preserve">R</x:t>
        </x:is>
      </x:c>
      <x:c r="H369" t="n">
        <x:v>0.4</x:v>
      </x:c>
      <x:c r="I369" t="inlineStr">
        <x:is>
          <x:t xml:space="preserve">Do you have a documented triage workflow for potential insider cases (from alert → decision → escalation)?</x:t>
        </x:is>
      </x:c>
      <x:c r="J369" t="inlineStr">
        <x:is>
          <x:t xml:space="preserve">A workflow can be a runbook/playbook/SOP. It should clarify who reviews, what evidence is needed, and when to involve HR/Legal/Privacy.</x:t>
        </x:is>
      </x:c>
      <x:c r="L369" t="inlineStr">
        <x:is>
          <x:t xml:space="preserve">OPS_STD</x:t>
        </x:is>
      </x:c>
      <x:c r="M369" t="n">
        <x:v>1.2</x:v>
      </x:c>
      <x:c r="N369" t="n">
        <x:v>0.5</x:v>
      </x:c>
      <x:c r="P369" t="inlineStr">
        <x:is>
          <x:t xml:space="preserve">SEC-D1-Q03-A3</x:t>
        </x:is>
      </x:c>
      <x:c r="Q369" t="n">
        <x:v>3</x:v>
      </x:c>
      <x:c r="R369" t="inlineStr">
        <x:is>
          <x:t xml:space="preserve">Workflow exists and is used for most cases, but cross‑functional steps are unclear.</x:t>
        </x:is>
      </x:c>
      <x:c r="S369" t="n">
        <x:v>2</x:v>
      </x:c>
      <x:c r="U369" t="inlineStr">
        <x:is>
          <x:t xml:space="preserve">Operating Model Gap</x:t>
        </x:is>
      </x:c>
      <x:c r="V369" t="inlineStr">
        <x:is>
          <x:t xml:space="preserve">Assess_Case_Model</x:t>
        </x:is>
      </x:c>
      <x:c r="W369" t="inlineStr">
        <x:is>
          <x:t xml:space="preserve">Y</x:t>
        </x:is>
      </x:c>
      <x:c r="X369" t="inlineStr">
        <x:is>
          <x:t xml:space="preserve">Workflow + 1 recent example case (redacted).</x:t>
        </x:is>
      </x:c>
      <x:c r="Y369">
        <x:f>(S369*IF(E369="G",F369,0))+(S369*IF(G369="G",H369,0))</x:f>
      </x:c>
      <x:c r="Z369">
        <x:f>(S369*IF(E369="E",F369,0))+(S369*IF(G369="E",H369,0))</x:f>
      </x:c>
      <x:c r="AA369">
        <x:f>(S369*IF(E369="T",F369,0))+(S369*IF(G369="T",H369,0))</x:f>
      </x:c>
      <x:c r="AB369">
        <x:f>(S369*IF(E369="L",F369,0))+(S369*IF(G369="L",H369,0))</x:f>
      </x:c>
      <x:c r="AC369">
        <x:f>(S369*IF(E369="H",F369,0))+(S369*IF(G369="H",H369,0))</x:f>
      </x:c>
      <x:c r="AD369">
        <x:f>(S369*IF(E369="V",F369,0))+(S369*IF(G369="V",H369,0))</x:f>
      </x:c>
      <x:c r="AE369">
        <x:f>(S369*IF(E369="R",F369,0))+(S369*IF(G369="R",H369,0))</x:f>
      </x:c>
      <x:c r="AF369">
        <x:f>(S369*IF(E369="F",F369,0))+(S369*IF(G369="F",H369,0))</x:f>
      </x:c>
      <x:c r="AG369">
        <x:f>(S369*IF(E369="W",F369,0))+(S369*IF(G369="W",H369,0))</x:f>
      </x:c>
      <x:c r="AH369" t="inlineStr">
        <x:is>
          <x:t xml:space="preserve">7. Behavioral Analytics &amp; Detection</x:t>
        </x:is>
      </x:c>
      <x:c r="AI369" t="inlineStr">
        <x:is>
          <x:t xml:space="preserve">Detection Engineering</x:t>
        </x:is>
      </x:c>
      <x:c r="AJ369" t="inlineStr">
        <x:is>
          <x:t xml:space="preserve">Alert triage workflow &amp; quality management</x:t>
        </x:is>
      </x:c>
    </x:row>
    <x:row r="370">
      <x:c r="A370" t="inlineStr">
        <x:is>
          <x:t xml:space="preserve">Security</x:t>
        </x:is>
      </x:c>
      <x:c r="B370" t="inlineStr">
        <x:is>
          <x:t xml:space="preserve">SEC-D1-Q03</x:t>
        </x:is>
      </x:c>
      <x:c r="C370" t="inlineStr">
        <x:is>
          <x:t xml:space="preserve">T2</x:t>
        </x:is>
      </x:c>
      <x:c r="D370" t="inlineStr">
        <x:is>
          <x:t xml:space="preserve">1. Security Operating Model</x:t>
        </x:is>
      </x:c>
      <x:c r="E370" t="inlineStr">
        <x:is>
          <x:t xml:space="preserve">E</x:t>
        </x:is>
      </x:c>
      <x:c r="F370" t="n">
        <x:v>0.6</x:v>
      </x:c>
      <x:c r="G370" t="inlineStr">
        <x:is>
          <x:t xml:space="preserve">R</x:t>
        </x:is>
      </x:c>
      <x:c r="H370" t="n">
        <x:v>0.4</x:v>
      </x:c>
      <x:c r="I370" t="inlineStr">
        <x:is>
          <x:t xml:space="preserve">Do you have a documented triage workflow for potential insider cases (from alert → decision → escalation)?</x:t>
        </x:is>
      </x:c>
      <x:c r="J370" t="inlineStr">
        <x:is>
          <x:t xml:space="preserve">A workflow can be a runbook/playbook/SOP. It should clarify who reviews, what evidence is needed, and when to involve HR/Legal/Privacy.</x:t>
        </x:is>
      </x:c>
      <x:c r="L370" t="inlineStr">
        <x:is>
          <x:t xml:space="preserve">OPS_STD</x:t>
        </x:is>
      </x:c>
      <x:c r="M370" t="n">
        <x:v>1.2</x:v>
      </x:c>
      <x:c r="N370" t="n">
        <x:v>0.5</x:v>
      </x:c>
      <x:c r="P370" t="inlineStr">
        <x:is>
          <x:t xml:space="preserve">SEC-D1-Q03-A4</x:t>
        </x:is>
      </x:c>
      <x:c r="Q370" t="n">
        <x:v>4</x:v>
      </x:c>
      <x:c r="R370" t="inlineStr">
        <x:is>
          <x:t xml:space="preserve">Workflow is documented, trained, and includes clear HR/Legal touchpoints and time targets.</x:t>
        </x:is>
      </x:c>
      <x:c r="S370" t="n">
        <x:v>3</x:v>
      </x:c>
      <x:c r="U370" t="inlineStr">
        <x:is>
          <x:t xml:space="preserve">Resilience Gap</x:t>
        </x:is>
      </x:c>
      <x:c r="V370" t="inlineStr">
        <x:is>
          <x:t xml:space="preserve">Insider_Playbooks</x:t>
        </x:is>
      </x:c>
      <x:c r="W370" t="inlineStr">
        <x:is>
          <x:t xml:space="preserve">Y</x:t>
        </x:is>
      </x:c>
      <x:c r="X370" t="inlineStr">
        <x:is>
          <x:t xml:space="preserve">Workflow + training record + sample case.</x:t>
        </x:is>
      </x:c>
      <x:c r="Y370">
        <x:f>(S370*IF(E370="G",F370,0))+(S370*IF(G370="G",H370,0))</x:f>
      </x:c>
      <x:c r="Z370">
        <x:f>(S370*IF(E370="E",F370,0))+(S370*IF(G370="E",H370,0))</x:f>
      </x:c>
      <x:c r="AA370">
        <x:f>(S370*IF(E370="T",F370,0))+(S370*IF(G370="T",H370,0))</x:f>
      </x:c>
      <x:c r="AB370">
        <x:f>(S370*IF(E370="L",F370,0))+(S370*IF(G370="L",H370,0))</x:f>
      </x:c>
      <x:c r="AC370">
        <x:f>(S370*IF(E370="H",F370,0))+(S370*IF(G370="H",H370,0))</x:f>
      </x:c>
      <x:c r="AD370">
        <x:f>(S370*IF(E370="V",F370,0))+(S370*IF(G370="V",H370,0))</x:f>
      </x:c>
      <x:c r="AE370">
        <x:f>(S370*IF(E370="R",F370,0))+(S370*IF(G370="R",H370,0))</x:f>
      </x:c>
      <x:c r="AF370">
        <x:f>(S370*IF(E370="F",F370,0))+(S370*IF(G370="F",H370,0))</x:f>
      </x:c>
      <x:c r="AG370">
        <x:f>(S370*IF(E370="W",F370,0))+(S370*IF(G370="W",H370,0))</x:f>
      </x:c>
      <x:c r="AH370" t="inlineStr">
        <x:is>
          <x:t xml:space="preserve">7. Behavioral Analytics &amp; Detection</x:t>
        </x:is>
      </x:c>
      <x:c r="AI370" t="inlineStr">
        <x:is>
          <x:t xml:space="preserve">Detection Engineering</x:t>
        </x:is>
      </x:c>
      <x:c r="AJ370" t="inlineStr">
        <x:is>
          <x:t xml:space="preserve">Alert triage workflow &amp; quality management</x:t>
        </x:is>
      </x:c>
    </x:row>
    <x:row r="371">
      <x:c r="A371" t="inlineStr">
        <x:is>
          <x:t xml:space="preserve">Security</x:t>
        </x:is>
      </x:c>
      <x:c r="B371" t="inlineStr">
        <x:is>
          <x:t xml:space="preserve">SEC-D1-Q03</x:t>
        </x:is>
      </x:c>
      <x:c r="C371" t="inlineStr">
        <x:is>
          <x:t xml:space="preserve">T2</x:t>
        </x:is>
      </x:c>
      <x:c r="D371" t="inlineStr">
        <x:is>
          <x:t xml:space="preserve">1. Security Operating Model</x:t>
        </x:is>
      </x:c>
      <x:c r="E371" t="inlineStr">
        <x:is>
          <x:t xml:space="preserve">E</x:t>
        </x:is>
      </x:c>
      <x:c r="F371" t="n">
        <x:v>0.6</x:v>
      </x:c>
      <x:c r="G371" t="inlineStr">
        <x:is>
          <x:t xml:space="preserve">R</x:t>
        </x:is>
      </x:c>
      <x:c r="H371" t="n">
        <x:v>0.4</x:v>
      </x:c>
      <x:c r="I371" t="inlineStr">
        <x:is>
          <x:t xml:space="preserve">Do you have a documented triage workflow for potential insider cases (from alert → decision → escalation)?</x:t>
        </x:is>
      </x:c>
      <x:c r="J371" t="inlineStr">
        <x:is>
          <x:t xml:space="preserve">A workflow can be a runbook/playbook/SOP. It should clarify who reviews, what evidence is needed, and when to involve HR/Legal/Privacy.</x:t>
        </x:is>
      </x:c>
      <x:c r="L371" t="inlineStr">
        <x:is>
          <x:t xml:space="preserve">OPS_STD</x:t>
        </x:is>
      </x:c>
      <x:c r="M371" t="n">
        <x:v>1.2</x:v>
      </x:c>
      <x:c r="N371" t="n">
        <x:v>0.5</x:v>
      </x:c>
      <x:c r="P371" t="inlineStr">
        <x:is>
          <x:t xml:space="preserve">SEC-D1-Q03-A5</x:t>
        </x:is>
      </x:c>
      <x:c r="Q371" t="n">
        <x:v>5</x:v>
      </x:c>
      <x:c r="R371" t="inlineStr">
        <x:is>
          <x:t xml:space="preserve">Workflow is integrated into case management with metrics and periodic quality reviews.</x:t>
        </x:is>
      </x:c>
      <x:c r="S371" t="n">
        <x:v>4</x:v>
      </x:c>
      <x:c r="U371" t="inlineStr">
        <x:is>
          <x:t xml:space="preserve">Resilience Gap</x:t>
        </x:is>
      </x:c>
      <x:c r="V371" t="inlineStr">
        <x:is>
          <x:t xml:space="preserve">Improve_Metrics</x:t>
        </x:is>
      </x:c>
      <x:c r="W371" t="inlineStr">
        <x:is>
          <x:t xml:space="preserve">Y</x:t>
        </x:is>
      </x:c>
      <x:c r="X371" t="inlineStr">
        <x:is>
          <x:t xml:space="preserve">Dashboard screenshot (redacted).</x:t>
        </x:is>
      </x:c>
      <x:c r="Y371">
        <x:f>(S371*IF(E371="G",F371,0))+(S371*IF(G371="G",H371,0))</x:f>
      </x:c>
      <x:c r="Z371">
        <x:f>(S371*IF(E371="E",F371,0))+(S371*IF(G371="E",H371,0))</x:f>
      </x:c>
      <x:c r="AA371">
        <x:f>(S371*IF(E371="T",F371,0))+(S371*IF(G371="T",H371,0))</x:f>
      </x:c>
      <x:c r="AB371">
        <x:f>(S371*IF(E371="L",F371,0))+(S371*IF(G371="L",H371,0))</x:f>
      </x:c>
      <x:c r="AC371">
        <x:f>(S371*IF(E371="H",F371,0))+(S371*IF(G371="H",H371,0))</x:f>
      </x:c>
      <x:c r="AD371">
        <x:f>(S371*IF(E371="V",F371,0))+(S371*IF(G371="V",H371,0))</x:f>
      </x:c>
      <x:c r="AE371">
        <x:f>(S371*IF(E371="R",F371,0))+(S371*IF(G371="R",H371,0))</x:f>
      </x:c>
      <x:c r="AF371">
        <x:f>(S371*IF(E371="F",F371,0))+(S371*IF(G371="F",H371,0))</x:f>
      </x:c>
      <x:c r="AG371">
        <x:f>(S371*IF(E371="W",F371,0))+(S371*IF(G371="W",H371,0))</x:f>
      </x:c>
      <x:c r="AH371" t="inlineStr">
        <x:is>
          <x:t xml:space="preserve">7. Behavioral Analytics &amp; Detection</x:t>
        </x:is>
      </x:c>
      <x:c r="AI371" t="inlineStr">
        <x:is>
          <x:t xml:space="preserve">Detection Engineering</x:t>
        </x:is>
      </x:c>
      <x:c r="AJ371" t="inlineStr">
        <x:is>
          <x:t xml:space="preserve">Alert triage workflow &amp; quality management</x:t>
        </x:is>
      </x:c>
    </x:row>
    <x:row r="372">
      <x:c r="A372" t="inlineStr">
        <x:is>
          <x:t xml:space="preserve">Security</x:t>
        </x:is>
      </x:c>
      <x:c r="B372" t="inlineStr">
        <x:is>
          <x:t xml:space="preserve">SEC-D2-Q04</x:t>
        </x:is>
      </x:c>
      <x:c r="C372" t="inlineStr">
        <x:is>
          <x:t xml:space="preserve">T1</x:t>
        </x:is>
      </x:c>
      <x:c r="D372" t="inlineStr">
        <x:is>
          <x:t xml:space="preserve">2. Monitoring Coverage &amp; Logging</x:t>
        </x:is>
      </x:c>
      <x:c r="E372" t="inlineStr">
        <x:is>
          <x:t xml:space="preserve">T</x:t>
        </x:is>
      </x:c>
      <x:c r="F372" t="n">
        <x:v>0.6</x:v>
      </x:c>
      <x:c r="G372" t="inlineStr">
        <x:is>
          <x:t xml:space="preserve">V</x:t>
        </x:is>
      </x:c>
      <x:c r="H372" t="n">
        <x:v>0.4</x:v>
      </x:c>
      <x:c r="I372" t="inlineStr">
        <x:is>
          <x:t xml:space="preserve">Do you collect and retain logs for the systems where the most sensitive data is stored/shared (e.g., email, file shares, cloud storage)?</x:t>
        </x:is>
      </x:c>
      <x:c r="J372" t="inlineStr">
        <x:is>
          <x:t xml:space="preserve">You don't need perfect coverage. We are checking whether you can reconstruct what happened on the systems that matter most.</x:t>
        </x:is>
      </x:c>
      <x:c r="L372" t="inlineStr">
        <x:is>
          <x:t xml:space="preserve">RISK_STD</x:t>
        </x:is>
      </x:c>
      <x:c r="M372" t="n">
        <x:v>1.5</x:v>
      </x:c>
      <x:c r="N372" t="n">
        <x:v>0.5</x:v>
      </x:c>
      <x:c r="P372" t="inlineStr">
        <x:is>
          <x:t xml:space="preserve">SEC-D2-Q04-A0</x:t>
        </x:is>
      </x:c>
      <x:c r="Q372" t="n">
        <x:v>1</x:v>
      </x:c>
      <x:c r="R372" t="inlineStr">
        <x:is>
          <x:t xml:space="preserve">I don't know / not sure.</x:t>
        </x:is>
      </x:c>
      <x:c r="S372" t="n">
        <x:v>0</x:v>
      </x:c>
      <x:c r="T372" t="inlineStr">
        <x:is>
          <x:t xml:space="preserve">unknown</x:t>
        </x:is>
      </x:c>
      <x:c r="U372" t="inlineStr">
        <x:is>
          <x:t xml:space="preserve">Unknown</x:t>
        </x:is>
      </x:c>
      <x:c r="V372" t="inlineStr">
        <x:is>
          <x:t xml:space="preserve">Improve_Visibility</x:t>
        </x:is>
      </x:c>
      <x:c r="W372" t="inlineStr">
        <x:is>
          <x:t xml:space="preserve">N</x:t>
        </x:is>
      </x:c>
      <x:c r="Y372">
        <x:f>(S372*IF(E372="G",F372,0))+(S372*IF(G372="G",H372,0))</x:f>
      </x:c>
      <x:c r="Z372">
        <x:f>(S372*IF(E372="E",F372,0))+(S372*IF(G372="E",H372,0))</x:f>
      </x:c>
      <x:c r="AA372">
        <x:f>(S372*IF(E372="T",F372,0))+(S372*IF(G372="T",H372,0))</x:f>
      </x:c>
      <x:c r="AB372">
        <x:f>(S372*IF(E372="L",F372,0))+(S372*IF(G372="L",H372,0))</x:f>
      </x:c>
      <x:c r="AC372">
        <x:f>(S372*IF(E372="H",F372,0))+(S372*IF(G372="H",H372,0))</x:f>
      </x:c>
      <x:c r="AD372">
        <x:f>(S372*IF(E372="V",F372,0))+(S372*IF(G372="V",H372,0))</x:f>
      </x:c>
      <x:c r="AE372">
        <x:f>(S372*IF(E372="R",F372,0))+(S372*IF(G372="R",H372,0))</x:f>
      </x:c>
      <x:c r="AF372">
        <x:f>(S372*IF(E372="F",F372,0))+(S372*IF(G372="F",H372,0))</x:f>
      </x:c>
      <x:c r="AG372">
        <x:f>(S372*IF(E372="W",F372,0))+(S372*IF(G372="W",H372,0))</x:f>
      </x:c>
      <x:c r="AH372" t="inlineStr">
        <x:is>
          <x:t xml:space="preserve">3. Risk Management</x:t>
        </x:is>
      </x:c>
      <x:c r="AI372" t="inlineStr">
        <x:is>
          <x:t xml:space="preserve">Inventory &amp; Scope</x:t>
        </x:is>
      </x:c>
      <x:c r="AJ372" t="inlineStr">
        <x:is>
          <x:t xml:space="preserve">Crown jewels/HVA identification</x:t>
        </x:is>
      </x:c>
    </x:row>
    <x:row r="373">
      <x:c r="A373" t="inlineStr">
        <x:is>
          <x:t xml:space="preserve">Security</x:t>
        </x:is>
      </x:c>
      <x:c r="B373" t="inlineStr">
        <x:is>
          <x:t xml:space="preserve">SEC-D2-Q04</x:t>
        </x:is>
      </x:c>
      <x:c r="C373" t="inlineStr">
        <x:is>
          <x:t xml:space="preserve">T1</x:t>
        </x:is>
      </x:c>
      <x:c r="D373" t="inlineStr">
        <x:is>
          <x:t xml:space="preserve">2. Monitoring Coverage &amp; Logging</x:t>
        </x:is>
      </x:c>
      <x:c r="E373" t="inlineStr">
        <x:is>
          <x:t xml:space="preserve">T</x:t>
        </x:is>
      </x:c>
      <x:c r="F373" t="n">
        <x:v>0.6</x:v>
      </x:c>
      <x:c r="G373" t="inlineStr">
        <x:is>
          <x:t xml:space="preserve">V</x:t>
        </x:is>
      </x:c>
      <x:c r="H373" t="n">
        <x:v>0.4</x:v>
      </x:c>
      <x:c r="I373" t="inlineStr">
        <x:is>
          <x:t xml:space="preserve">Do you collect and retain logs for the systems where the most sensitive data is stored/shared (e.g., email, file shares, cloud storage)?</x:t>
        </x:is>
      </x:c>
      <x:c r="J373" t="inlineStr">
        <x:is>
          <x:t xml:space="preserve">You don't need perfect coverage. We are checking whether you can reconstruct what happened on the systems that matter most.</x:t>
        </x:is>
      </x:c>
      <x:c r="L373" t="inlineStr">
        <x:is>
          <x:t xml:space="preserve">RISK_STD</x:t>
        </x:is>
      </x:c>
      <x:c r="M373" t="n">
        <x:v>1.5</x:v>
      </x:c>
      <x:c r="N373" t="n">
        <x:v>0.5</x:v>
      </x:c>
      <x:c r="P373" t="inlineStr">
        <x:is>
          <x:t xml:space="preserve">SEC-D2-Q04-A1</x:t>
        </x:is>
      </x:c>
      <x:c r="Q373" t="n">
        <x:v>2</x:v>
      </x:c>
      <x:c r="R373" t="inlineStr">
        <x:is>
          <x:t xml:space="preserve">No — we cannot reliably see access/sharing for key systems.</x:t>
        </x:is>
      </x:c>
      <x:c r="S373" t="n">
        <x:v>0</x:v>
      </x:c>
      <x:c r="T373" t="inlineStr">
        <x:is>
          <x:t xml:space="preserve">visibility_gap</x:t>
        </x:is>
      </x:c>
      <x:c r="U373" t="inlineStr">
        <x:is>
          <x:t xml:space="preserve">Visibility Gap</x:t>
        </x:is>
      </x:c>
      <x:c r="V373" t="inlineStr">
        <x:is>
          <x:t xml:space="preserve">Improve_Visibility</x:t>
        </x:is>
      </x:c>
      <x:c r="W373" t="inlineStr">
        <x:is>
          <x:t xml:space="preserve">N</x:t>
        </x:is>
      </x:c>
      <x:c r="Y373">
        <x:f>(S373*IF(E373="G",F373,0))+(S373*IF(G373="G",H373,0))</x:f>
      </x:c>
      <x:c r="Z373">
        <x:f>(S373*IF(E373="E",F373,0))+(S373*IF(G373="E",H373,0))</x:f>
      </x:c>
      <x:c r="AA373">
        <x:f>(S373*IF(E373="T",F373,0))+(S373*IF(G373="T",H373,0))</x:f>
      </x:c>
      <x:c r="AB373">
        <x:f>(S373*IF(E373="L",F373,0))+(S373*IF(G373="L",H373,0))</x:f>
      </x:c>
      <x:c r="AC373">
        <x:f>(S373*IF(E373="H",F373,0))+(S373*IF(G373="H",H373,0))</x:f>
      </x:c>
      <x:c r="AD373">
        <x:f>(S373*IF(E373="V",F373,0))+(S373*IF(G373="V",H373,0))</x:f>
      </x:c>
      <x:c r="AE373">
        <x:f>(S373*IF(E373="R",F373,0))+(S373*IF(G373="R",H373,0))</x:f>
      </x:c>
      <x:c r="AF373">
        <x:f>(S373*IF(E373="F",F373,0))+(S373*IF(G373="F",H373,0))</x:f>
      </x:c>
      <x:c r="AG373">
        <x:f>(S373*IF(E373="W",F373,0))+(S373*IF(G373="W",H373,0))</x:f>
      </x:c>
      <x:c r="AH373" t="inlineStr">
        <x:is>
          <x:t xml:space="preserve">3. Risk Management</x:t>
        </x:is>
      </x:c>
      <x:c r="AI373" t="inlineStr">
        <x:is>
          <x:t xml:space="preserve">Inventory &amp; Scope</x:t>
        </x:is>
      </x:c>
      <x:c r="AJ373" t="inlineStr">
        <x:is>
          <x:t xml:space="preserve">Crown jewels/HVA identification</x:t>
        </x:is>
      </x:c>
    </x:row>
    <x:row r="374">
      <x:c r="A374" t="inlineStr">
        <x:is>
          <x:t xml:space="preserve">Security</x:t>
        </x:is>
      </x:c>
      <x:c r="B374" t="inlineStr">
        <x:is>
          <x:t xml:space="preserve">SEC-D2-Q04</x:t>
        </x:is>
      </x:c>
      <x:c r="C374" t="inlineStr">
        <x:is>
          <x:t xml:space="preserve">T1</x:t>
        </x:is>
      </x:c>
      <x:c r="D374" t="inlineStr">
        <x:is>
          <x:t xml:space="preserve">2. Monitoring Coverage &amp; Logging</x:t>
        </x:is>
      </x:c>
      <x:c r="E374" t="inlineStr">
        <x:is>
          <x:t xml:space="preserve">T</x:t>
        </x:is>
      </x:c>
      <x:c r="F374" t="n">
        <x:v>0.6</x:v>
      </x:c>
      <x:c r="G374" t="inlineStr">
        <x:is>
          <x:t xml:space="preserve">V</x:t>
        </x:is>
      </x:c>
      <x:c r="H374" t="n">
        <x:v>0.4</x:v>
      </x:c>
      <x:c r="I374" t="inlineStr">
        <x:is>
          <x:t xml:space="preserve">Do you collect and retain logs for the systems where the most sensitive data is stored/shared (e.g., email, file shares, cloud storage)?</x:t>
        </x:is>
      </x:c>
      <x:c r="J374" t="inlineStr">
        <x:is>
          <x:t xml:space="preserve">You don't need perfect coverage. We are checking whether you can reconstruct what happened on the systems that matter most.</x:t>
        </x:is>
      </x:c>
      <x:c r="L374" t="inlineStr">
        <x:is>
          <x:t xml:space="preserve">RISK_STD</x:t>
        </x:is>
      </x:c>
      <x:c r="M374" t="n">
        <x:v>1.5</x:v>
      </x:c>
      <x:c r="N374" t="n">
        <x:v>0.5</x:v>
      </x:c>
      <x:c r="P374" t="inlineStr">
        <x:is>
          <x:t xml:space="preserve">SEC-D2-Q04-A2</x:t>
        </x:is>
      </x:c>
      <x:c r="Q374" t="n">
        <x:v>3</x:v>
      </x:c>
      <x:c r="R374" t="inlineStr">
        <x:is>
          <x:t xml:space="preserve">Partial — logs exist for some systems, but retention is short or inconsistent.</x:t>
        </x:is>
      </x:c>
      <x:c r="S374" t="n">
        <x:v>2</x:v>
      </x:c>
      <x:c r="U374" t="inlineStr">
        <x:is>
          <x:t xml:space="preserve">Visibility Gap</x:t>
        </x:is>
      </x:c>
      <x:c r="V374" t="inlineStr">
        <x:is>
          <x:t xml:space="preserve">Assess_Detection</x:t>
        </x:is>
      </x:c>
      <x:c r="W374" t="inlineStr">
        <x:is>
          <x:t xml:space="preserve">N</x:t>
        </x:is>
      </x:c>
      <x:c r="X374" t="inlineStr">
        <x:is>
          <x:t xml:space="preserve">List covered systems + retention.</x:t>
        </x:is>
      </x:c>
      <x:c r="Y374">
        <x:f>(S374*IF(E374="G",F374,0))+(S374*IF(G374="G",H374,0))</x:f>
      </x:c>
      <x:c r="Z374">
        <x:f>(S374*IF(E374="E",F374,0))+(S374*IF(G374="E",H374,0))</x:f>
      </x:c>
      <x:c r="AA374">
        <x:f>(S374*IF(E374="T",F374,0))+(S374*IF(G374="T",H374,0))</x:f>
      </x:c>
      <x:c r="AB374">
        <x:f>(S374*IF(E374="L",F374,0))+(S374*IF(G374="L",H374,0))</x:f>
      </x:c>
      <x:c r="AC374">
        <x:f>(S374*IF(E374="H",F374,0))+(S374*IF(G374="H",H374,0))</x:f>
      </x:c>
      <x:c r="AD374">
        <x:f>(S374*IF(E374="V",F374,0))+(S374*IF(G374="V",H374,0))</x:f>
      </x:c>
      <x:c r="AE374">
        <x:f>(S374*IF(E374="R",F374,0))+(S374*IF(G374="R",H374,0))</x:f>
      </x:c>
      <x:c r="AF374">
        <x:f>(S374*IF(E374="F",F374,0))+(S374*IF(G374="F",H374,0))</x:f>
      </x:c>
      <x:c r="AG374">
        <x:f>(S374*IF(E374="W",F374,0))+(S374*IF(G374="W",H374,0))</x:f>
      </x:c>
      <x:c r="AH374" t="inlineStr">
        <x:is>
          <x:t xml:space="preserve">3. Risk Management</x:t>
        </x:is>
      </x:c>
      <x:c r="AI374" t="inlineStr">
        <x:is>
          <x:t xml:space="preserve">Inventory &amp; Scope</x:t>
        </x:is>
      </x:c>
      <x:c r="AJ374" t="inlineStr">
        <x:is>
          <x:t xml:space="preserve">Crown jewels/HVA identification</x:t>
        </x:is>
      </x:c>
    </x:row>
    <x:row r="375">
      <x:c r="A375" t="inlineStr">
        <x:is>
          <x:t xml:space="preserve">Security</x:t>
        </x:is>
      </x:c>
      <x:c r="B375" t="inlineStr">
        <x:is>
          <x:t xml:space="preserve">SEC-D2-Q04</x:t>
        </x:is>
      </x:c>
      <x:c r="C375" t="inlineStr">
        <x:is>
          <x:t xml:space="preserve">T1</x:t>
        </x:is>
      </x:c>
      <x:c r="D375" t="inlineStr">
        <x:is>
          <x:t xml:space="preserve">2. Monitoring Coverage &amp; Logging</x:t>
        </x:is>
      </x:c>
      <x:c r="E375" t="inlineStr">
        <x:is>
          <x:t xml:space="preserve">T</x:t>
        </x:is>
      </x:c>
      <x:c r="F375" t="n">
        <x:v>0.6</x:v>
      </x:c>
      <x:c r="G375" t="inlineStr">
        <x:is>
          <x:t xml:space="preserve">V</x:t>
        </x:is>
      </x:c>
      <x:c r="H375" t="n">
        <x:v>0.4</x:v>
      </x:c>
      <x:c r="I375" t="inlineStr">
        <x:is>
          <x:t xml:space="preserve">Do you collect and retain logs for the systems where the most sensitive data is stored/shared (e.g., email, file shares, cloud storage)?</x:t>
        </x:is>
      </x:c>
      <x:c r="J375" t="inlineStr">
        <x:is>
          <x:t xml:space="preserve">You don't need perfect coverage. We are checking whether you can reconstruct what happened on the systems that matter most.</x:t>
        </x:is>
      </x:c>
      <x:c r="L375" t="inlineStr">
        <x:is>
          <x:t xml:space="preserve">RISK_STD</x:t>
        </x:is>
      </x:c>
      <x:c r="M375" t="n">
        <x:v>1.5</x:v>
      </x:c>
      <x:c r="N375" t="n">
        <x:v>0.5</x:v>
      </x:c>
      <x:c r="P375" t="inlineStr">
        <x:is>
          <x:t xml:space="preserve">SEC-D2-Q04-A3</x:t>
        </x:is>
      </x:c>
      <x:c r="Q375" t="n">
        <x:v>4</x:v>
      </x:c>
      <x:c r="R375" t="inlineStr">
        <x:is>
          <x:t xml:space="preserve">Yes — agreed critical systems are covered with defined retention and access controls.</x:t>
        </x:is>
      </x:c>
      <x:c r="S375" t="n">
        <x:v>3</x:v>
      </x:c>
      <x:c r="U375" t="inlineStr">
        <x:is>
          <x:t xml:space="preserve">Visibility Gap</x:t>
        </x:is>
      </x:c>
      <x:c r="V375" t="inlineStr">
        <x:is>
          <x:t xml:space="preserve">Plan_Assurance</x:t>
        </x:is>
      </x:c>
      <x:c r="W375" t="inlineStr">
        <x:is>
          <x:t xml:space="preserve">Y</x:t>
        </x:is>
      </x:c>
      <x:c r="X375" t="inlineStr">
        <x:is>
          <x:t xml:space="preserve">Log source list + retention policy excerpt.</x:t>
        </x:is>
      </x:c>
      <x:c r="Y375">
        <x:f>(S375*IF(E375="G",F375,0))+(S375*IF(G375="G",H375,0))</x:f>
      </x:c>
      <x:c r="Z375">
        <x:f>(S375*IF(E375="E",F375,0))+(S375*IF(G375="E",H375,0))</x:f>
      </x:c>
      <x:c r="AA375">
        <x:f>(S375*IF(E375="T",F375,0))+(S375*IF(G375="T",H375,0))</x:f>
      </x:c>
      <x:c r="AB375">
        <x:f>(S375*IF(E375="L",F375,0))+(S375*IF(G375="L",H375,0))</x:f>
      </x:c>
      <x:c r="AC375">
        <x:f>(S375*IF(E375="H",F375,0))+(S375*IF(G375="H",H375,0))</x:f>
      </x:c>
      <x:c r="AD375">
        <x:f>(S375*IF(E375="V",F375,0))+(S375*IF(G375="V",H375,0))</x:f>
      </x:c>
      <x:c r="AE375">
        <x:f>(S375*IF(E375="R",F375,0))+(S375*IF(G375="R",H375,0))</x:f>
      </x:c>
      <x:c r="AF375">
        <x:f>(S375*IF(E375="F",F375,0))+(S375*IF(G375="F",H375,0))</x:f>
      </x:c>
      <x:c r="AG375">
        <x:f>(S375*IF(E375="W",F375,0))+(S375*IF(G375="W",H375,0))</x:f>
      </x:c>
      <x:c r="AH375" t="inlineStr">
        <x:is>
          <x:t xml:space="preserve">3. Risk Management</x:t>
        </x:is>
      </x:c>
      <x:c r="AI375" t="inlineStr">
        <x:is>
          <x:t xml:space="preserve">Inventory &amp; Scope</x:t>
        </x:is>
      </x:c>
      <x:c r="AJ375" t="inlineStr">
        <x:is>
          <x:t xml:space="preserve">Crown jewels/HVA identification</x:t>
        </x:is>
      </x:c>
    </x:row>
    <x:row r="376">
      <x:c r="A376" t="inlineStr">
        <x:is>
          <x:t xml:space="preserve">Security</x:t>
        </x:is>
      </x:c>
      <x:c r="B376" t="inlineStr">
        <x:is>
          <x:t xml:space="preserve">SEC-D2-Q04</x:t>
        </x:is>
      </x:c>
      <x:c r="C376" t="inlineStr">
        <x:is>
          <x:t xml:space="preserve">T1</x:t>
        </x:is>
      </x:c>
      <x:c r="D376" t="inlineStr">
        <x:is>
          <x:t xml:space="preserve">2. Monitoring Coverage &amp; Logging</x:t>
        </x:is>
      </x:c>
      <x:c r="E376" t="inlineStr">
        <x:is>
          <x:t xml:space="preserve">T</x:t>
        </x:is>
      </x:c>
      <x:c r="F376" t="n">
        <x:v>0.6</x:v>
      </x:c>
      <x:c r="G376" t="inlineStr">
        <x:is>
          <x:t xml:space="preserve">V</x:t>
        </x:is>
      </x:c>
      <x:c r="H376" t="n">
        <x:v>0.4</x:v>
      </x:c>
      <x:c r="I376" t="inlineStr">
        <x:is>
          <x:t xml:space="preserve">Do you collect and retain logs for the systems where the most sensitive data is stored/shared (e.g., email, file shares, cloud storage)?</x:t>
        </x:is>
      </x:c>
      <x:c r="J376" t="inlineStr">
        <x:is>
          <x:t xml:space="preserve">You don't need perfect coverage. We are checking whether you can reconstruct what happened on the systems that matter most.</x:t>
        </x:is>
      </x:c>
      <x:c r="L376" t="inlineStr">
        <x:is>
          <x:t xml:space="preserve">RISK_STD</x:t>
        </x:is>
      </x:c>
      <x:c r="M376" t="n">
        <x:v>1.5</x:v>
      </x:c>
      <x:c r="N376" t="n">
        <x:v>0.5</x:v>
      </x:c>
      <x:c r="P376" t="inlineStr">
        <x:is>
          <x:t xml:space="preserve">SEC-D2-Q04-A4</x:t>
        </x:is>
      </x:c>
      <x:c r="Q376" t="n">
        <x:v>5</x:v>
      </x:c>
      <x:c r="R376" t="inlineStr">
        <x:is>
          <x:t xml:space="preserve">Optimized — coverage is monitored (health checks), identity is normalized, and gaps trigger remediation.</x:t>
        </x:is>
      </x:c>
      <x:c r="S376" t="n">
        <x:v>4</x:v>
      </x:c>
      <x:c r="U376" t="inlineStr">
        <x:is>
          <x:t xml:space="preserve">Visibility Gap</x:t>
        </x:is>
      </x:c>
      <x:c r="V376" t="inlineStr">
        <x:is>
          <x:t xml:space="preserve">Plan_Assurance</x:t>
        </x:is>
      </x:c>
      <x:c r="W376" t="inlineStr">
        <x:is>
          <x:t xml:space="preserve">Y</x:t>
        </x:is>
      </x:c>
      <x:c r="X376" t="inlineStr">
        <x:is>
          <x:t xml:space="preserve">Logging health/coverage report.</x:t>
        </x:is>
      </x:c>
      <x:c r="Y376">
        <x:f>(S376*IF(E376="G",F376,0))+(S376*IF(G376="G",H376,0))</x:f>
      </x:c>
      <x:c r="Z376">
        <x:f>(S376*IF(E376="E",F376,0))+(S376*IF(G376="E",H376,0))</x:f>
      </x:c>
      <x:c r="AA376">
        <x:f>(S376*IF(E376="T",F376,0))+(S376*IF(G376="T",H376,0))</x:f>
      </x:c>
      <x:c r="AB376">
        <x:f>(S376*IF(E376="L",F376,0))+(S376*IF(G376="L",H376,0))</x:f>
      </x:c>
      <x:c r="AC376">
        <x:f>(S376*IF(E376="H",F376,0))+(S376*IF(G376="H",H376,0))</x:f>
      </x:c>
      <x:c r="AD376">
        <x:f>(S376*IF(E376="V",F376,0))+(S376*IF(G376="V",H376,0))</x:f>
      </x:c>
      <x:c r="AE376">
        <x:f>(S376*IF(E376="R",F376,0))+(S376*IF(G376="R",H376,0))</x:f>
      </x:c>
      <x:c r="AF376">
        <x:f>(S376*IF(E376="F",F376,0))+(S376*IF(G376="F",H376,0))</x:f>
      </x:c>
      <x:c r="AG376">
        <x:f>(S376*IF(E376="W",F376,0))+(S376*IF(G376="W",H376,0))</x:f>
      </x:c>
      <x:c r="AH376" t="inlineStr">
        <x:is>
          <x:t xml:space="preserve">3. Risk Management</x:t>
        </x:is>
      </x:c>
      <x:c r="AI376" t="inlineStr">
        <x:is>
          <x:t xml:space="preserve">Inventory &amp; Scope</x:t>
        </x:is>
      </x:c>
      <x:c r="AJ376" t="inlineStr">
        <x:is>
          <x:t xml:space="preserve">Crown jewels/HVA identification</x:t>
        </x:is>
      </x:c>
    </x:row>
    <x:row r="377">
      <x:c r="A377" t="inlineStr">
        <x:is>
          <x:t xml:space="preserve">Security</x:t>
        </x:is>
      </x:c>
      <x:c r="B377" t="inlineStr">
        <x:is>
          <x:t xml:space="preserve">SEC-D2-Q05</x:t>
        </x:is>
      </x:c>
      <x:c r="C377" t="inlineStr">
        <x:is>
          <x:t xml:space="preserve">T2</x:t>
        </x:is>
      </x:c>
      <x:c r="D377" t="inlineStr">
        <x:is>
          <x:t xml:space="preserve">2. Monitoring Coverage &amp; Logging</x:t>
        </x:is>
      </x:c>
      <x:c r="E377" t="inlineStr">
        <x:is>
          <x:t xml:space="preserve">V</x:t>
        </x:is>
      </x:c>
      <x:c r="F377" t="n">
        <x:v>1</x:v>
      </x:c>
      <x:c r="I377" t="inlineStr">
        <x:is>
          <x:t xml:space="preserve">(Shadow probe) Even without a formal 'crown jewels' list, can you name the top 3 places where sensitive business data lives today?</x:t>
        </x:is>
      </x:c>
      <x:c r="J377" t="inlineStr">
        <x:is>
          <x:t xml:space="preserve">Examples: SharePoint/OneDrive, shared drives, email, Git repos, CRM/ERP, finance systems, design tools. This checks practical awareness.</x:t>
        </x:is>
      </x:c>
      <x:c r="L377" t="inlineStr">
        <x:is>
          <x:t xml:space="preserve">RISK_STD</x:t>
        </x:is>
      </x:c>
      <x:c r="M377" t="n">
        <x:v>1</x:v>
      </x:c>
      <x:c r="P377" t="inlineStr">
        <x:is>
          <x:t xml:space="preserve">SEC-D2-Q05-A1</x:t>
        </x:is>
      </x:c>
      <x:c r="Q377" t="n">
        <x:v>1</x:v>
      </x:c>
      <x:c r="R377" t="inlineStr">
        <x:is>
          <x:t xml:space="preserve">No — we don’t have a clear view of where sensitive data lives.</x:t>
        </x:is>
      </x:c>
      <x:c r="S377" t="n">
        <x:v>0</x:v>
      </x:c>
      <x:c r="T377" t="inlineStr">
        <x:is>
          <x:t xml:space="preserve">visibility_gap</x:t>
        </x:is>
      </x:c>
      <x:c r="U377" t="inlineStr">
        <x:is>
          <x:t xml:space="preserve">Visibility Gap</x:t>
        </x:is>
      </x:c>
      <x:c r="V377" t="inlineStr">
        <x:is>
          <x:t xml:space="preserve">Improve_Visibility</x:t>
        </x:is>
      </x:c>
      <x:c r="W377" t="inlineStr">
        <x:is>
          <x:t xml:space="preserve">N</x:t>
        </x:is>
      </x:c>
      <x:c r="Y377">
        <x:f>(S377*IF(E377="G",F377,0))+(S377*IF(G377="G",H377,0))</x:f>
      </x:c>
      <x:c r="Z377">
        <x:f>(S377*IF(E377="E",F377,0))+(S377*IF(G377="E",H377,0))</x:f>
      </x:c>
      <x:c r="AA377">
        <x:f>(S377*IF(E377="T",F377,0))+(S377*IF(G377="T",H377,0))</x:f>
      </x:c>
      <x:c r="AB377">
        <x:f>(S377*IF(E377="L",F377,0))+(S377*IF(G377="L",H377,0))</x:f>
      </x:c>
      <x:c r="AC377">
        <x:f>(S377*IF(E377="H",F377,0))+(S377*IF(G377="H",H377,0))</x:f>
      </x:c>
      <x:c r="AD377">
        <x:f>(S377*IF(E377="V",F377,0))+(S377*IF(G377="V",H377,0))</x:f>
      </x:c>
      <x:c r="AE377">
        <x:f>(S377*IF(E377="R",F377,0))+(S377*IF(G377="R",H377,0))</x:f>
      </x:c>
      <x:c r="AF377">
        <x:f>(S377*IF(E377="F",F377,0))+(S377*IF(G377="F",H377,0))</x:f>
      </x:c>
      <x:c r="AG377">
        <x:f>(S377*IF(E377="W",F377,0))+(S377*IF(G377="W",H377,0))</x:f>
      </x:c>
      <x:c r="AH377" t="inlineStr">
        <x:is>
          <x:t xml:space="preserve">3. Risk Management</x:t>
        </x:is>
      </x:c>
      <x:c r="AI377" t="inlineStr">
        <x:is>
          <x:t xml:space="preserve">Inventory &amp; Scope</x:t>
        </x:is>
      </x:c>
      <x:c r="AJ377" t="inlineStr">
        <x:is>
          <x:t xml:space="preserve">Crown jewels/HVA identification</x:t>
        </x:is>
      </x:c>
    </x:row>
    <x:row r="378">
      <x:c r="A378" t="inlineStr">
        <x:is>
          <x:t xml:space="preserve">Security</x:t>
        </x:is>
      </x:c>
      <x:c r="B378" t="inlineStr">
        <x:is>
          <x:t xml:space="preserve">SEC-D2-Q05</x:t>
        </x:is>
      </x:c>
      <x:c r="C378" t="inlineStr">
        <x:is>
          <x:t xml:space="preserve">T2</x:t>
        </x:is>
      </x:c>
      <x:c r="D378" t="inlineStr">
        <x:is>
          <x:t xml:space="preserve">2. Monitoring Coverage &amp; Logging</x:t>
        </x:is>
      </x:c>
      <x:c r="E378" t="inlineStr">
        <x:is>
          <x:t xml:space="preserve">V</x:t>
        </x:is>
      </x:c>
      <x:c r="F378" t="n">
        <x:v>1</x:v>
      </x:c>
      <x:c r="I378" t="inlineStr">
        <x:is>
          <x:t xml:space="preserve">(Shadow probe) Even without a formal 'crown jewels' list, can you name the top 3 places where sensitive business data lives today?</x:t>
        </x:is>
      </x:c>
      <x:c r="J378" t="inlineStr">
        <x:is>
          <x:t xml:space="preserve">Examples: SharePoint/OneDrive, shared drives, email, Git repos, CRM/ERP, finance systems, design tools. This checks practical awareness.</x:t>
        </x:is>
      </x:c>
      <x:c r="L378" t="inlineStr">
        <x:is>
          <x:t xml:space="preserve">RISK_STD</x:t>
        </x:is>
      </x:c>
      <x:c r="M378" t="n">
        <x:v>1</x:v>
      </x:c>
      <x:c r="P378" t="inlineStr">
        <x:is>
          <x:t xml:space="preserve">SEC-D2-Q05-A2</x:t>
        </x:is>
      </x:c>
      <x:c r="Q378" t="n">
        <x:v>2</x:v>
      </x:c>
      <x:c r="R378" t="inlineStr">
        <x:is>
          <x:t xml:space="preserve">Partially — we can list some areas, but it changes and is not tracked.</x:t>
        </x:is>
      </x:c>
      <x:c r="S378" t="n">
        <x:v>2</x:v>
      </x:c>
      <x:c r="T378" t="inlineStr">
        <x:is>
          <x:t xml:space="preserve">shadow_mature_signal</x:t>
        </x:is>
      </x:c>
      <x:c r="U378" t="inlineStr">
        <x:is>
          <x:t xml:space="preserve">Visibility Gap</x:t>
        </x:is>
      </x:c>
      <x:c r="V378" t="inlineStr">
        <x:is>
          <x:t xml:space="preserve">Align_On_Crown_Jewels</x:t>
        </x:is>
      </x:c>
      <x:c r="W378" t="inlineStr">
        <x:is>
          <x:t xml:space="preserve">N</x:t>
        </x:is>
      </x:c>
      <x:c r="X378" t="inlineStr">
        <x:is>
          <x:t xml:space="preserve">Provide the list and likely gaps.</x:t>
        </x:is>
      </x:c>
      <x:c r="Y378">
        <x:f>(S378*IF(E378="G",F378,0))+(S378*IF(G378="G",H378,0))</x:f>
      </x:c>
      <x:c r="Z378">
        <x:f>(S378*IF(E378="E",F378,0))+(S378*IF(G378="E",H378,0))</x:f>
      </x:c>
      <x:c r="AA378">
        <x:f>(S378*IF(E378="T",F378,0))+(S378*IF(G378="T",H378,0))</x:f>
      </x:c>
      <x:c r="AB378">
        <x:f>(S378*IF(E378="L",F378,0))+(S378*IF(G378="L",H378,0))</x:f>
      </x:c>
      <x:c r="AC378">
        <x:f>(S378*IF(E378="H",F378,0))+(S378*IF(G378="H",H378,0))</x:f>
      </x:c>
      <x:c r="AD378">
        <x:f>(S378*IF(E378="V",F378,0))+(S378*IF(G378="V",H378,0))</x:f>
      </x:c>
      <x:c r="AE378">
        <x:f>(S378*IF(E378="R",F378,0))+(S378*IF(G378="R",H378,0))</x:f>
      </x:c>
      <x:c r="AF378">
        <x:f>(S378*IF(E378="F",F378,0))+(S378*IF(G378="F",H378,0))</x:f>
      </x:c>
      <x:c r="AG378">
        <x:f>(S378*IF(E378="W",F378,0))+(S378*IF(G378="W",H378,0))</x:f>
      </x:c>
      <x:c r="AH378" t="inlineStr">
        <x:is>
          <x:t xml:space="preserve">3. Risk Management</x:t>
        </x:is>
      </x:c>
      <x:c r="AI378" t="inlineStr">
        <x:is>
          <x:t xml:space="preserve">Inventory &amp; Scope</x:t>
        </x:is>
      </x:c>
      <x:c r="AJ378" t="inlineStr">
        <x:is>
          <x:t xml:space="preserve">Crown jewels/HVA identification</x:t>
        </x:is>
      </x:c>
    </x:row>
    <x:row r="379">
      <x:c r="A379" t="inlineStr">
        <x:is>
          <x:t xml:space="preserve">Security</x:t>
        </x:is>
      </x:c>
      <x:c r="B379" t="inlineStr">
        <x:is>
          <x:t xml:space="preserve">SEC-D2-Q05</x:t>
        </x:is>
      </x:c>
      <x:c r="C379" t="inlineStr">
        <x:is>
          <x:t xml:space="preserve">T2</x:t>
        </x:is>
      </x:c>
      <x:c r="D379" t="inlineStr">
        <x:is>
          <x:t xml:space="preserve">2. Monitoring Coverage &amp; Logging</x:t>
        </x:is>
      </x:c>
      <x:c r="E379" t="inlineStr">
        <x:is>
          <x:t xml:space="preserve">V</x:t>
        </x:is>
      </x:c>
      <x:c r="F379" t="n">
        <x:v>1</x:v>
      </x:c>
      <x:c r="I379" t="inlineStr">
        <x:is>
          <x:t xml:space="preserve">(Shadow probe) Even without a formal 'crown jewels' list, can you name the top 3 places where sensitive business data lives today?</x:t>
        </x:is>
      </x:c>
      <x:c r="J379" t="inlineStr">
        <x:is>
          <x:t xml:space="preserve">Examples: SharePoint/OneDrive, shared drives, email, Git repos, CRM/ERP, finance systems, design tools. This checks practical awareness.</x:t>
        </x:is>
      </x:c>
      <x:c r="L379" t="inlineStr">
        <x:is>
          <x:t xml:space="preserve">RISK_STD</x:t>
        </x:is>
      </x:c>
      <x:c r="M379" t="n">
        <x:v>1</x:v>
      </x:c>
      <x:c r="P379" t="inlineStr">
        <x:is>
          <x:t xml:space="preserve">SEC-D2-Q05-A3</x:t>
        </x:is>
      </x:c>
      <x:c r="Q379" t="n">
        <x:v>3</x:v>
      </x:c>
      <x:c r="R379" t="inlineStr">
        <x:is>
          <x:t xml:space="preserve">Yes — we maintain at least a simple inventory that is updated.</x:t>
        </x:is>
      </x:c>
      <x:c r="S379" t="n">
        <x:v>3</x:v>
      </x:c>
      <x:c r="U379" t="inlineStr">
        <x:is>
          <x:t xml:space="preserve">Visibility Gap</x:t>
        </x:is>
      </x:c>
      <x:c r="V379" t="inlineStr">
        <x:is>
          <x:t xml:space="preserve">Align_On_Crown_Jewels</x:t>
        </x:is>
      </x:c>
      <x:c r="W379" t="inlineStr">
        <x:is>
          <x:t xml:space="preserve">Y</x:t>
        </x:is>
      </x:c>
      <x:c r="X379" t="inlineStr">
        <x:is>
          <x:t xml:space="preserve">Provide the inventory (redacted).</x:t>
        </x:is>
      </x:c>
      <x:c r="Y379">
        <x:f>(S379*IF(E379="G",F379,0))+(S379*IF(G379="G",H379,0))</x:f>
      </x:c>
      <x:c r="Z379">
        <x:f>(S379*IF(E379="E",F379,0))+(S379*IF(G379="E",H379,0))</x:f>
      </x:c>
      <x:c r="AA379">
        <x:f>(S379*IF(E379="T",F379,0))+(S379*IF(G379="T",H379,0))</x:f>
      </x:c>
      <x:c r="AB379">
        <x:f>(S379*IF(E379="L",F379,0))+(S379*IF(G379="L",H379,0))</x:f>
      </x:c>
      <x:c r="AC379">
        <x:f>(S379*IF(E379="H",F379,0))+(S379*IF(G379="H",H379,0))</x:f>
      </x:c>
      <x:c r="AD379">
        <x:f>(S379*IF(E379="V",F379,0))+(S379*IF(G379="V",H379,0))</x:f>
      </x:c>
      <x:c r="AE379">
        <x:f>(S379*IF(E379="R",F379,0))+(S379*IF(G379="R",H379,0))</x:f>
      </x:c>
      <x:c r="AF379">
        <x:f>(S379*IF(E379="F",F379,0))+(S379*IF(G379="F",H379,0))</x:f>
      </x:c>
      <x:c r="AG379">
        <x:f>(S379*IF(E379="W",F379,0))+(S379*IF(G379="W",H379,0))</x:f>
      </x:c>
      <x:c r="AH379" t="inlineStr">
        <x:is>
          <x:t xml:space="preserve">3. Risk Management</x:t>
        </x:is>
      </x:c>
      <x:c r="AI379" t="inlineStr">
        <x:is>
          <x:t xml:space="preserve">Inventory &amp; Scope</x:t>
        </x:is>
      </x:c>
      <x:c r="AJ379" t="inlineStr">
        <x:is>
          <x:t xml:space="preserve">Crown jewels/HVA identification</x:t>
        </x:is>
      </x:c>
    </x:row>
    <x:row r="380">
      <x:c r="A380" t="inlineStr">
        <x:is>
          <x:t xml:space="preserve">Security</x:t>
        </x:is>
      </x:c>
      <x:c r="B380" t="inlineStr">
        <x:is>
          <x:t xml:space="preserve">SEC-D2-Q06</x:t>
        </x:is>
      </x:c>
      <x:c r="C380" t="inlineStr">
        <x:is>
          <x:t xml:space="preserve">T2</x:t>
        </x:is>
      </x:c>
      <x:c r="D380" t="inlineStr">
        <x:is>
          <x:t xml:space="preserve">2. Monitoring Coverage &amp; Logging</x:t>
        </x:is>
      </x:c>
      <x:c r="E380" t="inlineStr">
        <x:is>
          <x:t xml:space="preserve">T</x:t>
        </x:is>
      </x:c>
      <x:c r="F380" t="n">
        <x:v>1</x:v>
      </x:c>
      <x:c r="I380" t="inlineStr">
        <x:is>
          <x:t xml:space="preserve">Is log collection centralized enough that you can investigate across systems without manual log pulling from many tools?</x:t>
        </x:is>
      </x:c>
      <x:c r="J380" t="inlineStr">
        <x:is>
          <x:t xml:space="preserve">Centralization could be a SIEM/log platform or consistent API exports. Key test: can you correlate user + device + data activity efficiently.</x:t>
        </x:is>
      </x:c>
      <x:c r="L380" t="inlineStr">
        <x:is>
          <x:t xml:space="preserve">OPS_STD</x:t>
        </x:is>
      </x:c>
      <x:c r="M380" t="n">
        <x:v>1.3</x:v>
      </x:c>
      <x:c r="N380" t="n">
        <x:v>0.5</x:v>
      </x:c>
      <x:c r="P380" t="inlineStr">
        <x:is>
          <x:t xml:space="preserve">SEC-D2-Q06-A1</x:t>
        </x:is>
      </x:c>
      <x:c r="Q380" t="n">
        <x:v>1</x:v>
      </x:c>
      <x:c r="R380" t="inlineStr">
        <x:is>
          <x:t xml:space="preserve">No — investigations require manual log pulls from many systems.</x:t>
        </x:is>
      </x:c>
      <x:c r="S380" t="n">
        <x:v>0</x:v>
      </x:c>
      <x:c r="T380" t="inlineStr">
        <x:is>
          <x:t xml:space="preserve">bypass_pressure</x:t>
        </x:is>
      </x:c>
      <x:c r="U380" t="inlineStr">
        <x:is>
          <x:t xml:space="preserve">Operating Model Gap</x:t>
        </x:is>
      </x:c>
      <x:c r="V380" t="inlineStr">
        <x:is>
          <x:t xml:space="preserve">Assess_Case_Model</x:t>
        </x:is>
      </x:c>
      <x:c r="W380" t="inlineStr">
        <x:is>
          <x:t xml:space="preserve">N</x:t>
        </x:is>
      </x:c>
      <x:c r="Y380">
        <x:f>(S380*IF(E380="G",F380,0))+(S380*IF(G380="G",H380,0))</x:f>
      </x:c>
      <x:c r="Z380">
        <x:f>(S380*IF(E380="E",F380,0))+(S380*IF(G380="E",H380,0))</x:f>
      </x:c>
      <x:c r="AA380">
        <x:f>(S380*IF(E380="T",F380,0))+(S380*IF(G380="T",H380,0))</x:f>
      </x:c>
      <x:c r="AB380">
        <x:f>(S380*IF(E380="L",F380,0))+(S380*IF(G380="L",H380,0))</x:f>
      </x:c>
      <x:c r="AC380">
        <x:f>(S380*IF(E380="H",F380,0))+(S380*IF(G380="H",H380,0))</x:f>
      </x:c>
      <x:c r="AD380">
        <x:f>(S380*IF(E380="V",F380,0))+(S380*IF(G380="V",H380,0))</x:f>
      </x:c>
      <x:c r="AE380">
        <x:f>(S380*IF(E380="R",F380,0))+(S380*IF(G380="R",H380,0))</x:f>
      </x:c>
      <x:c r="AF380">
        <x:f>(S380*IF(E380="F",F380,0))+(S380*IF(G380="F",H380,0))</x:f>
      </x:c>
      <x:c r="AG380">
        <x:f>(S380*IF(E380="W",F380,0))+(S380*IF(G380="W",H380,0))</x:f>
      </x:c>
      <x:c r="AH380" t="inlineStr">
        <x:is>
          <x:t xml:space="preserve">4. Legal, Privacy &amp; Ethics</x:t>
        </x:is>
      </x:c>
      <x:c r="AI380" t="inlineStr">
        <x:is>
          <x:t xml:space="preserve">Privacy Engineering</x:t>
        </x:is>
      </x:c>
      <x:c r="AJ380" t="inlineStr">
        <x:is>
          <x:t xml:space="preserve">Data Minimization &amp; Purpose Limitation</x:t>
        </x:is>
      </x:c>
    </x:row>
    <x:row r="381">
      <x:c r="A381" t="inlineStr">
        <x:is>
          <x:t xml:space="preserve">Security</x:t>
        </x:is>
      </x:c>
      <x:c r="B381" t="inlineStr">
        <x:is>
          <x:t xml:space="preserve">SEC-D2-Q06</x:t>
        </x:is>
      </x:c>
      <x:c r="C381" t="inlineStr">
        <x:is>
          <x:t xml:space="preserve">T2</x:t>
        </x:is>
      </x:c>
      <x:c r="D381" t="inlineStr">
        <x:is>
          <x:t xml:space="preserve">2. Monitoring Coverage &amp; Logging</x:t>
        </x:is>
      </x:c>
      <x:c r="E381" t="inlineStr">
        <x:is>
          <x:t xml:space="preserve">T</x:t>
        </x:is>
      </x:c>
      <x:c r="F381" t="n">
        <x:v>1</x:v>
      </x:c>
      <x:c r="I381" t="inlineStr">
        <x:is>
          <x:t xml:space="preserve">Is log collection centralized enough that you can investigate across systems without manual log pulling from many tools?</x:t>
        </x:is>
      </x:c>
      <x:c r="J381" t="inlineStr">
        <x:is>
          <x:t xml:space="preserve">Centralization could be a SIEM/log platform or consistent API exports. Key test: can you correlate user + device + data activity efficiently.</x:t>
        </x:is>
      </x:c>
      <x:c r="L381" t="inlineStr">
        <x:is>
          <x:t xml:space="preserve">OPS_STD</x:t>
        </x:is>
      </x:c>
      <x:c r="M381" t="n">
        <x:v>1.3</x:v>
      </x:c>
      <x:c r="N381" t="n">
        <x:v>0.5</x:v>
      </x:c>
      <x:c r="P381" t="inlineStr">
        <x:is>
          <x:t xml:space="preserve">SEC-D2-Q06-A2</x:t>
        </x:is>
      </x:c>
      <x:c r="Q381" t="n">
        <x:v>2</x:v>
      </x:c>
      <x:c r="R381" t="inlineStr">
        <x:is>
          <x:t xml:space="preserve">Some — a few sources are centralized, but many are still manual.</x:t>
        </x:is>
      </x:c>
      <x:c r="S381" t="n">
        <x:v>2</x:v>
      </x:c>
      <x:c r="U381" t="inlineStr">
        <x:is>
          <x:t xml:space="preserve">Operating Model Gap</x:t>
        </x:is>
      </x:c>
      <x:c r="V381" t="inlineStr">
        <x:is>
          <x:t xml:space="preserve">Assess_Detection</x:t>
        </x:is>
      </x:c>
      <x:c r="W381" t="inlineStr">
        <x:is>
          <x:t xml:space="preserve">N</x:t>
        </x:is>
      </x:c>
      <x:c r="X381" t="inlineStr">
        <x:is>
          <x:t xml:space="preserve">List centralized vs manual sources.</x:t>
        </x:is>
      </x:c>
      <x:c r="Y381">
        <x:f>(S381*IF(E381="G",F381,0))+(S381*IF(G381="G",H381,0))</x:f>
      </x:c>
      <x:c r="Z381">
        <x:f>(S381*IF(E381="E",F381,0))+(S381*IF(G381="E",H381,0))</x:f>
      </x:c>
      <x:c r="AA381">
        <x:f>(S381*IF(E381="T",F381,0))+(S381*IF(G381="T",H381,0))</x:f>
      </x:c>
      <x:c r="AB381">
        <x:f>(S381*IF(E381="L",F381,0))+(S381*IF(G381="L",H381,0))</x:f>
      </x:c>
      <x:c r="AC381">
        <x:f>(S381*IF(E381="H",F381,0))+(S381*IF(G381="H",H381,0))</x:f>
      </x:c>
      <x:c r="AD381">
        <x:f>(S381*IF(E381="V",F381,0))+(S381*IF(G381="V",H381,0))</x:f>
      </x:c>
      <x:c r="AE381">
        <x:f>(S381*IF(E381="R",F381,0))+(S381*IF(G381="R",H381,0))</x:f>
      </x:c>
      <x:c r="AF381">
        <x:f>(S381*IF(E381="F",F381,0))+(S381*IF(G381="F",H381,0))</x:f>
      </x:c>
      <x:c r="AG381">
        <x:f>(S381*IF(E381="W",F381,0))+(S381*IF(G381="W",H381,0))</x:f>
      </x:c>
      <x:c r="AH381" t="inlineStr">
        <x:is>
          <x:t xml:space="preserve">4. Legal, Privacy &amp; Ethics</x:t>
        </x:is>
      </x:c>
      <x:c r="AI381" t="inlineStr">
        <x:is>
          <x:t xml:space="preserve">Privacy Engineering</x:t>
        </x:is>
      </x:c>
      <x:c r="AJ381" t="inlineStr">
        <x:is>
          <x:t xml:space="preserve">Data Minimization &amp; Purpose Limitation</x:t>
        </x:is>
      </x:c>
    </x:row>
    <x:row r="382">
      <x:c r="A382" t="inlineStr">
        <x:is>
          <x:t xml:space="preserve">Security</x:t>
        </x:is>
      </x:c>
      <x:c r="B382" t="inlineStr">
        <x:is>
          <x:t xml:space="preserve">SEC-D2-Q06</x:t>
        </x:is>
      </x:c>
      <x:c r="C382" t="inlineStr">
        <x:is>
          <x:t xml:space="preserve">T2</x:t>
        </x:is>
      </x:c>
      <x:c r="D382" t="inlineStr">
        <x:is>
          <x:t xml:space="preserve">2. Monitoring Coverage &amp; Logging</x:t>
        </x:is>
      </x:c>
      <x:c r="E382" t="inlineStr">
        <x:is>
          <x:t xml:space="preserve">T</x:t>
        </x:is>
      </x:c>
      <x:c r="F382" t="n">
        <x:v>1</x:v>
      </x:c>
      <x:c r="I382" t="inlineStr">
        <x:is>
          <x:t xml:space="preserve">Is log collection centralized enough that you can investigate across systems without manual log pulling from many tools?</x:t>
        </x:is>
      </x:c>
      <x:c r="J382" t="inlineStr">
        <x:is>
          <x:t xml:space="preserve">Centralization could be a SIEM/log platform or consistent API exports. Key test: can you correlate user + device + data activity efficiently.</x:t>
        </x:is>
      </x:c>
      <x:c r="L382" t="inlineStr">
        <x:is>
          <x:t xml:space="preserve">OPS_STD</x:t>
        </x:is>
      </x:c>
      <x:c r="M382" t="n">
        <x:v>1.3</x:v>
      </x:c>
      <x:c r="N382" t="n">
        <x:v>0.5</x:v>
      </x:c>
      <x:c r="P382" t="inlineStr">
        <x:is>
          <x:t xml:space="preserve">SEC-D2-Q06-A3</x:t>
        </x:is>
      </x:c>
      <x:c r="Q382" t="n">
        <x:v>3</x:v>
      </x:c>
      <x:c r="R382" t="inlineStr">
        <x:is>
          <x:t xml:space="preserve">Yes — most critical sources are centralized with consistent identity mapping.</x:t>
        </x:is>
      </x:c>
      <x:c r="S382" t="n">
        <x:v>3</x:v>
      </x:c>
      <x:c r="U382" t="inlineStr">
        <x:is>
          <x:t xml:space="preserve">Operating Model Gap</x:t>
        </x:is>
      </x:c>
      <x:c r="V382" t="inlineStr">
        <x:is>
          <x:t xml:space="preserve">Assess_Detection</x:t>
        </x:is>
      </x:c>
      <x:c r="W382" t="inlineStr">
        <x:is>
          <x:t xml:space="preserve">Y</x:t>
        </x:is>
      </x:c>
      <x:c r="X382" t="inlineStr">
        <x:is>
          <x:t xml:space="preserve">SIEM source list + identity mapping approach.</x:t>
        </x:is>
      </x:c>
      <x:c r="Y382">
        <x:f>(S382*IF(E382="G",F382,0))+(S382*IF(G382="G",H382,0))</x:f>
      </x:c>
      <x:c r="Z382">
        <x:f>(S382*IF(E382="E",F382,0))+(S382*IF(G382="E",H382,0))</x:f>
      </x:c>
      <x:c r="AA382">
        <x:f>(S382*IF(E382="T",F382,0))+(S382*IF(G382="T",H382,0))</x:f>
      </x:c>
      <x:c r="AB382">
        <x:f>(S382*IF(E382="L",F382,0))+(S382*IF(G382="L",H382,0))</x:f>
      </x:c>
      <x:c r="AC382">
        <x:f>(S382*IF(E382="H",F382,0))+(S382*IF(G382="H",H382,0))</x:f>
      </x:c>
      <x:c r="AD382">
        <x:f>(S382*IF(E382="V",F382,0))+(S382*IF(G382="V",H382,0))</x:f>
      </x:c>
      <x:c r="AE382">
        <x:f>(S382*IF(E382="R",F382,0))+(S382*IF(G382="R",H382,0))</x:f>
      </x:c>
      <x:c r="AF382">
        <x:f>(S382*IF(E382="F",F382,0))+(S382*IF(G382="F",H382,0))</x:f>
      </x:c>
      <x:c r="AG382">
        <x:f>(S382*IF(E382="W",F382,0))+(S382*IF(G382="W",H382,0))</x:f>
      </x:c>
      <x:c r="AH382" t="inlineStr">
        <x:is>
          <x:t xml:space="preserve">4. Legal, Privacy &amp; Ethics</x:t>
        </x:is>
      </x:c>
      <x:c r="AI382" t="inlineStr">
        <x:is>
          <x:t xml:space="preserve">Privacy Engineering</x:t>
        </x:is>
      </x:c>
      <x:c r="AJ382" t="inlineStr">
        <x:is>
          <x:t xml:space="preserve">Data Minimization &amp; Purpose Limitation</x:t>
        </x:is>
      </x:c>
    </x:row>
    <x:row r="383">
      <x:c r="A383" t="inlineStr">
        <x:is>
          <x:t xml:space="preserve">Security</x:t>
        </x:is>
      </x:c>
      <x:c r="B383" t="inlineStr">
        <x:is>
          <x:t xml:space="preserve">SEC-D2-Q06</x:t>
        </x:is>
      </x:c>
      <x:c r="C383" t="inlineStr">
        <x:is>
          <x:t xml:space="preserve">T2</x:t>
        </x:is>
      </x:c>
      <x:c r="D383" t="inlineStr">
        <x:is>
          <x:t xml:space="preserve">2. Monitoring Coverage &amp; Logging</x:t>
        </x:is>
      </x:c>
      <x:c r="E383" t="inlineStr">
        <x:is>
          <x:t xml:space="preserve">T</x:t>
        </x:is>
      </x:c>
      <x:c r="F383" t="n">
        <x:v>1</x:v>
      </x:c>
      <x:c r="I383" t="inlineStr">
        <x:is>
          <x:t xml:space="preserve">Is log collection centralized enough that you can investigate across systems without manual log pulling from many tools?</x:t>
        </x:is>
      </x:c>
      <x:c r="J383" t="inlineStr">
        <x:is>
          <x:t xml:space="preserve">Centralization could be a SIEM/log platform or consistent API exports. Key test: can you correlate user + device + data activity efficiently.</x:t>
        </x:is>
      </x:c>
      <x:c r="L383" t="inlineStr">
        <x:is>
          <x:t xml:space="preserve">OPS_STD</x:t>
        </x:is>
      </x:c>
      <x:c r="M383" t="n">
        <x:v>1.3</x:v>
      </x:c>
      <x:c r="N383" t="n">
        <x:v>0.5</x:v>
      </x:c>
      <x:c r="P383" t="inlineStr">
        <x:is>
          <x:t xml:space="preserve">SEC-D2-Q06-A4</x:t>
        </x:is>
      </x:c>
      <x:c r="Q383" t="n">
        <x:v>4</x:v>
      </x:c>
      <x:c r="R383" t="inlineStr">
        <x:is>
          <x:t xml:space="preserve">Optimized — centralized with enrichment (role/privilege) and automated correlation.</x:t>
        </x:is>
      </x:c>
      <x:c r="S383" t="n">
        <x:v>4</x:v>
      </x:c>
      <x:c r="U383" t="inlineStr">
        <x:is>
          <x:t xml:space="preserve">Resilience Gap</x:t>
        </x:is>
      </x:c>
      <x:c r="V383" t="inlineStr">
        <x:is>
          <x:t xml:space="preserve">Build_Detection_Strategy</x:t>
        </x:is>
      </x:c>
      <x:c r="W383" t="inlineStr">
        <x:is>
          <x:t xml:space="preserve">Y</x:t>
        </x:is>
      </x:c>
      <x:c r="X383" t="inlineStr">
        <x:is>
          <x:t xml:space="preserve">Correlation/enrichment examples (redacted).</x:t>
        </x:is>
      </x:c>
      <x:c r="Y383">
        <x:f>(S383*IF(E383="G",F383,0))+(S383*IF(G383="G",H383,0))</x:f>
      </x:c>
      <x:c r="Z383">
        <x:f>(S383*IF(E383="E",F383,0))+(S383*IF(G383="E",H383,0))</x:f>
      </x:c>
      <x:c r="AA383">
        <x:f>(S383*IF(E383="T",F383,0))+(S383*IF(G383="T",H383,0))</x:f>
      </x:c>
      <x:c r="AB383">
        <x:f>(S383*IF(E383="L",F383,0))+(S383*IF(G383="L",H383,0))</x:f>
      </x:c>
      <x:c r="AC383">
        <x:f>(S383*IF(E383="H",F383,0))+(S383*IF(G383="H",H383,0))</x:f>
      </x:c>
      <x:c r="AD383">
        <x:f>(S383*IF(E383="V",F383,0))+(S383*IF(G383="V",H383,0))</x:f>
      </x:c>
      <x:c r="AE383">
        <x:f>(S383*IF(E383="R",F383,0))+(S383*IF(G383="R",H383,0))</x:f>
      </x:c>
      <x:c r="AF383">
        <x:f>(S383*IF(E383="F",F383,0))+(S383*IF(G383="F",H383,0))</x:f>
      </x:c>
      <x:c r="AG383">
        <x:f>(S383*IF(E383="W",F383,0))+(S383*IF(G383="W",H383,0))</x:f>
      </x:c>
      <x:c r="AH383" t="inlineStr">
        <x:is>
          <x:t xml:space="preserve">4. Legal, Privacy &amp; Ethics</x:t>
        </x:is>
      </x:c>
      <x:c r="AI383" t="inlineStr">
        <x:is>
          <x:t xml:space="preserve">Privacy Engineering</x:t>
        </x:is>
      </x:c>
      <x:c r="AJ383" t="inlineStr">
        <x:is>
          <x:t xml:space="preserve">Data Minimization &amp; Purpose Limitation</x:t>
        </x:is>
      </x:c>
    </x:row>
    <x:row r="384">
      <x:c r="A384" t="inlineStr">
        <x:is>
          <x:t xml:space="preserve">Security</x:t>
        </x:is>
      </x:c>
      <x:c r="B384" t="inlineStr">
        <x:is>
          <x:t xml:space="preserve">SEC-D3-Q07</x:t>
        </x:is>
      </x:c>
      <x:c r="C384" t="inlineStr">
        <x:is>
          <x:t xml:space="preserve">T1</x:t>
        </x:is>
      </x:c>
      <x:c r="D384" t="inlineStr">
        <x:is>
          <x:t xml:space="preserve">3. Detection Use Cases &amp; Tuning</x:t>
        </x:is>
      </x:c>
      <x:c r="E384" t="inlineStr">
        <x:is>
          <x:t xml:space="preserve">T</x:t>
        </x:is>
      </x:c>
      <x:c r="F384" t="n">
        <x:v>0.6</x:v>
      </x:c>
      <x:c r="G384" t="inlineStr">
        <x:is>
          <x:t xml:space="preserve">E</x:t>
        </x:is>
      </x:c>
      <x:c r="H384" t="n">
        <x:v>0.4</x:v>
      </x:c>
      <x:c r="I384" t="inlineStr">
        <x:is>
          <x:t xml:space="preserve">Do you have a small set of high‑value internal misuse detections that are actively monitored (not just enabled)?</x:t>
        </x:is>
      </x:c>
      <x:c r="J384" t="inlineStr">
        <x:is>
          <x:t xml:space="preserve">Examples: large downloads from sensitive repositories, mass deletions, exports of customer lists, unusual admin actions, unusual access to HR/finance folders.</x:t>
        </x:is>
      </x:c>
      <x:c r="L384" t="inlineStr">
        <x:is>
          <x:t xml:space="preserve">OPS_STD</x:t>
        </x:is>
      </x:c>
      <x:c r="M384" t="n">
        <x:v>1.4</x:v>
      </x:c>
      <x:c r="N384" t="n">
        <x:v>0.5</x:v>
      </x:c>
      <x:c r="P384" t="inlineStr">
        <x:is>
          <x:t xml:space="preserve">SEC-D3-Q07-A1</x:t>
        </x:is>
      </x:c>
      <x:c r="Q384" t="n">
        <x:v>1</x:v>
      </x:c>
      <x:c r="R384" t="inlineStr">
        <x:is>
          <x:t xml:space="preserve">No — we rely on generic alerts not tailored to internal misuse.</x:t>
        </x:is>
      </x:c>
      <x:c r="S384" t="n">
        <x:v>0</x:v>
      </x:c>
      <x:c r="T384" t="inlineStr">
        <x:is>
          <x:t xml:space="preserve">paper_dragon_signal</x:t>
        </x:is>
      </x:c>
      <x:c r="U384" t="inlineStr">
        <x:is>
          <x:t xml:space="preserve">Paper Dragon</x:t>
        </x:is>
      </x:c>
      <x:c r="V384" t="inlineStr">
        <x:is>
          <x:t xml:space="preserve">Build_Detection_Strategy</x:t>
        </x:is>
      </x:c>
      <x:c r="W384" t="inlineStr">
        <x:is>
          <x:t xml:space="preserve">N</x:t>
        </x:is>
      </x:c>
      <x:c r="Y384">
        <x:f>(S384*IF(E384="G",F384,0))+(S384*IF(G384="G",H384,0))</x:f>
      </x:c>
      <x:c r="Z384">
        <x:f>(S384*IF(E384="E",F384,0))+(S384*IF(G384="E",H384,0))</x:f>
      </x:c>
      <x:c r="AA384">
        <x:f>(S384*IF(E384="T",F384,0))+(S384*IF(G384="T",H384,0))</x:f>
      </x:c>
      <x:c r="AB384">
        <x:f>(S384*IF(E384="L",F384,0))+(S384*IF(G384="L",H384,0))</x:f>
      </x:c>
      <x:c r="AC384">
        <x:f>(S384*IF(E384="H",F384,0))+(S384*IF(G384="H",H384,0))</x:f>
      </x:c>
      <x:c r="AD384">
        <x:f>(S384*IF(E384="V",F384,0))+(S384*IF(G384="V",H384,0))</x:f>
      </x:c>
      <x:c r="AE384">
        <x:f>(S384*IF(E384="R",F384,0))+(S384*IF(G384="R",H384,0))</x:f>
      </x:c>
      <x:c r="AF384">
        <x:f>(S384*IF(E384="F",F384,0))+(S384*IF(G384="F",H384,0))</x:f>
      </x:c>
      <x:c r="AG384">
        <x:f>(S384*IF(E384="W",F384,0))+(S384*IF(G384="W",H384,0))</x:f>
      </x:c>
      <x:c r="AH384" t="inlineStr">
        <x:is>
          <x:t xml:space="preserve">8. Investigation &amp; Response</x:t>
        </x:is>
      </x:c>
      <x:c r="AI384" t="inlineStr">
        <x:is>
          <x:t xml:space="preserve">Incident Action</x:t>
        </x:is>
      </x:c>
      <x:c r="AJ384" t="inlineStr">
        <x:is>
          <x:t xml:space="preserve">Containment &amp; eradication actions</x:t>
        </x:is>
      </x:c>
    </x:row>
    <x:row r="385">
      <x:c r="A385" t="inlineStr">
        <x:is>
          <x:t xml:space="preserve">Security</x:t>
        </x:is>
      </x:c>
      <x:c r="B385" t="inlineStr">
        <x:is>
          <x:t xml:space="preserve">SEC-D3-Q07</x:t>
        </x:is>
      </x:c>
      <x:c r="C385" t="inlineStr">
        <x:is>
          <x:t xml:space="preserve">T1</x:t>
        </x:is>
      </x:c>
      <x:c r="D385" t="inlineStr">
        <x:is>
          <x:t xml:space="preserve">3. Detection Use Cases &amp; Tuning</x:t>
        </x:is>
      </x:c>
      <x:c r="E385" t="inlineStr">
        <x:is>
          <x:t xml:space="preserve">T</x:t>
        </x:is>
      </x:c>
      <x:c r="F385" t="n">
        <x:v>0.6</x:v>
      </x:c>
      <x:c r="G385" t="inlineStr">
        <x:is>
          <x:t xml:space="preserve">E</x:t>
        </x:is>
      </x:c>
      <x:c r="H385" t="n">
        <x:v>0.4</x:v>
      </x:c>
      <x:c r="I385" t="inlineStr">
        <x:is>
          <x:t xml:space="preserve">Do you have a small set of high‑value internal misuse detections that are actively monitored (not just enabled)?</x:t>
        </x:is>
      </x:c>
      <x:c r="J385" t="inlineStr">
        <x:is>
          <x:t xml:space="preserve">Examples: large downloads from sensitive repositories, mass deletions, exports of customer lists, unusual admin actions, unusual access to HR/finance folders.</x:t>
        </x:is>
      </x:c>
      <x:c r="L385" t="inlineStr">
        <x:is>
          <x:t xml:space="preserve">OPS_STD</x:t>
        </x:is>
      </x:c>
      <x:c r="M385" t="n">
        <x:v>1.4</x:v>
      </x:c>
      <x:c r="N385" t="n">
        <x:v>0.5</x:v>
      </x:c>
      <x:c r="P385" t="inlineStr">
        <x:is>
          <x:t xml:space="preserve">SEC-D3-Q07-A2</x:t>
        </x:is>
      </x:c>
      <x:c r="Q385" t="n">
        <x:v>2</x:v>
      </x:c>
      <x:c r="R385" t="inlineStr">
        <x:is>
          <x:t xml:space="preserve">A few rules exist, but no one owns tuning and alerts are often ignored.</x:t>
        </x:is>
      </x:c>
      <x:c r="S385" t="n">
        <x:v>1</x:v>
      </x:c>
      <x:c r="T385" t="inlineStr">
        <x:is>
          <x:t xml:space="preserve">paper_dragon_signal</x:t>
        </x:is>
      </x:c>
      <x:c r="U385" t="inlineStr">
        <x:is>
          <x:t xml:space="preserve">Paper Dragon</x:t>
        </x:is>
      </x:c>
      <x:c r="V385" t="inlineStr">
        <x:is>
          <x:t xml:space="preserve">Assess_Detection</x:t>
        </x:is>
      </x:c>
      <x:c r="W385" t="inlineStr">
        <x:is>
          <x:t xml:space="preserve">N</x:t>
        </x:is>
      </x:c>
      <x:c r="Y385">
        <x:f>(S385*IF(E385="G",F385,0))+(S385*IF(G385="G",H385,0))</x:f>
      </x:c>
      <x:c r="Z385">
        <x:f>(S385*IF(E385="E",F385,0))+(S385*IF(G385="E",H385,0))</x:f>
      </x:c>
      <x:c r="AA385">
        <x:f>(S385*IF(E385="T",F385,0))+(S385*IF(G385="T",H385,0))</x:f>
      </x:c>
      <x:c r="AB385">
        <x:f>(S385*IF(E385="L",F385,0))+(S385*IF(G385="L",H385,0))</x:f>
      </x:c>
      <x:c r="AC385">
        <x:f>(S385*IF(E385="H",F385,0))+(S385*IF(G385="H",H385,0))</x:f>
      </x:c>
      <x:c r="AD385">
        <x:f>(S385*IF(E385="V",F385,0))+(S385*IF(G385="V",H385,0))</x:f>
      </x:c>
      <x:c r="AE385">
        <x:f>(S385*IF(E385="R",F385,0))+(S385*IF(G385="R",H385,0))</x:f>
      </x:c>
      <x:c r="AF385">
        <x:f>(S385*IF(E385="F",F385,0))+(S385*IF(G385="F",H385,0))</x:f>
      </x:c>
      <x:c r="AG385">
        <x:f>(S385*IF(E385="W",F385,0))+(S385*IF(G385="W",H385,0))</x:f>
      </x:c>
      <x:c r="AH385" t="inlineStr">
        <x:is>
          <x:t xml:space="preserve">8. Investigation &amp; Response</x:t>
        </x:is>
      </x:c>
      <x:c r="AI385" t="inlineStr">
        <x:is>
          <x:t xml:space="preserve">Incident Action</x:t>
        </x:is>
      </x:c>
      <x:c r="AJ385" t="inlineStr">
        <x:is>
          <x:t xml:space="preserve">Containment &amp; eradication actions</x:t>
        </x:is>
      </x:c>
    </x:row>
    <x:row r="386">
      <x:c r="A386" t="inlineStr">
        <x:is>
          <x:t xml:space="preserve">Security</x:t>
        </x:is>
      </x:c>
      <x:c r="B386" t="inlineStr">
        <x:is>
          <x:t xml:space="preserve">SEC-D3-Q07</x:t>
        </x:is>
      </x:c>
      <x:c r="C386" t="inlineStr">
        <x:is>
          <x:t xml:space="preserve">T1</x:t>
        </x:is>
      </x:c>
      <x:c r="D386" t="inlineStr">
        <x:is>
          <x:t xml:space="preserve">3. Detection Use Cases &amp; Tuning</x:t>
        </x:is>
      </x:c>
      <x:c r="E386" t="inlineStr">
        <x:is>
          <x:t xml:space="preserve">T</x:t>
        </x:is>
      </x:c>
      <x:c r="F386" t="n">
        <x:v>0.6</x:v>
      </x:c>
      <x:c r="G386" t="inlineStr">
        <x:is>
          <x:t xml:space="preserve">E</x:t>
        </x:is>
      </x:c>
      <x:c r="H386" t="n">
        <x:v>0.4</x:v>
      </x:c>
      <x:c r="I386" t="inlineStr">
        <x:is>
          <x:t xml:space="preserve">Do you have a small set of high‑value internal misuse detections that are actively monitored (not just enabled)?</x:t>
        </x:is>
      </x:c>
      <x:c r="J386" t="inlineStr">
        <x:is>
          <x:t xml:space="preserve">Examples: large downloads from sensitive repositories, mass deletions, exports of customer lists, unusual admin actions, unusual access to HR/finance folders.</x:t>
        </x:is>
      </x:c>
      <x:c r="L386" t="inlineStr">
        <x:is>
          <x:t xml:space="preserve">OPS_STD</x:t>
        </x:is>
      </x:c>
      <x:c r="M386" t="n">
        <x:v>1.4</x:v>
      </x:c>
      <x:c r="N386" t="n">
        <x:v>0.5</x:v>
      </x:c>
      <x:c r="P386" t="inlineStr">
        <x:is>
          <x:t xml:space="preserve">SEC-D3-Q07-A3</x:t>
        </x:is>
      </x:c>
      <x:c r="Q386" t="n">
        <x:v>3</x:v>
      </x:c>
      <x:c r="R386" t="inlineStr">
        <x:is>
          <x:t xml:space="preserve">Yes — we monitor a short list, but it’s not tied to the most sensitive assets/roles.</x:t>
        </x:is>
      </x:c>
      <x:c r="S386" t="n">
        <x:v>2</x:v>
      </x:c>
      <x:c r="U386" t="inlineStr">
        <x:is>
          <x:t xml:space="preserve">Visibility Gap</x:t>
        </x:is>
      </x:c>
      <x:c r="V386" t="inlineStr">
        <x:is>
          <x:t xml:space="preserve">Align_On_Scenarios</x:t>
        </x:is>
      </x:c>
      <x:c r="W386" t="inlineStr">
        <x:is>
          <x:t xml:space="preserve">N</x:t>
        </x:is>
      </x:c>
      <x:c r="X386" t="inlineStr">
        <x:is>
          <x:t xml:space="preserve">List of detections and coverage notes.</x:t>
        </x:is>
      </x:c>
      <x:c r="Y386">
        <x:f>(S386*IF(E386="G",F386,0))+(S386*IF(G386="G",H386,0))</x:f>
      </x:c>
      <x:c r="Z386">
        <x:f>(S386*IF(E386="E",F386,0))+(S386*IF(G386="E",H386,0))</x:f>
      </x:c>
      <x:c r="AA386">
        <x:f>(S386*IF(E386="T",F386,0))+(S386*IF(G386="T",H386,0))</x:f>
      </x:c>
      <x:c r="AB386">
        <x:f>(S386*IF(E386="L",F386,0))+(S386*IF(G386="L",H386,0))</x:f>
      </x:c>
      <x:c r="AC386">
        <x:f>(S386*IF(E386="H",F386,0))+(S386*IF(G386="H",H386,0))</x:f>
      </x:c>
      <x:c r="AD386">
        <x:f>(S386*IF(E386="V",F386,0))+(S386*IF(G386="V",H386,0))</x:f>
      </x:c>
      <x:c r="AE386">
        <x:f>(S386*IF(E386="R",F386,0))+(S386*IF(G386="R",H386,0))</x:f>
      </x:c>
      <x:c r="AF386">
        <x:f>(S386*IF(E386="F",F386,0))+(S386*IF(G386="F",H386,0))</x:f>
      </x:c>
      <x:c r="AG386">
        <x:f>(S386*IF(E386="W",F386,0))+(S386*IF(G386="W",H386,0))</x:f>
      </x:c>
      <x:c r="AH386" t="inlineStr">
        <x:is>
          <x:t xml:space="preserve">8. Investigation &amp; Response</x:t>
        </x:is>
      </x:c>
      <x:c r="AI386" t="inlineStr">
        <x:is>
          <x:t xml:space="preserve">Incident Action</x:t>
        </x:is>
      </x:c>
      <x:c r="AJ386" t="inlineStr">
        <x:is>
          <x:t xml:space="preserve">Containment &amp; eradication actions</x:t>
        </x:is>
      </x:c>
    </x:row>
    <x:row r="387">
      <x:c r="A387" t="inlineStr">
        <x:is>
          <x:t xml:space="preserve">Security</x:t>
        </x:is>
      </x:c>
      <x:c r="B387" t="inlineStr">
        <x:is>
          <x:t xml:space="preserve">SEC-D3-Q07</x:t>
        </x:is>
      </x:c>
      <x:c r="C387" t="inlineStr">
        <x:is>
          <x:t xml:space="preserve">T1</x:t>
        </x:is>
      </x:c>
      <x:c r="D387" t="inlineStr">
        <x:is>
          <x:t xml:space="preserve">3. Detection Use Cases &amp; Tuning</x:t>
        </x:is>
      </x:c>
      <x:c r="E387" t="inlineStr">
        <x:is>
          <x:t xml:space="preserve">T</x:t>
        </x:is>
      </x:c>
      <x:c r="F387" t="n">
        <x:v>0.6</x:v>
      </x:c>
      <x:c r="G387" t="inlineStr">
        <x:is>
          <x:t xml:space="preserve">E</x:t>
        </x:is>
      </x:c>
      <x:c r="H387" t="n">
        <x:v>0.4</x:v>
      </x:c>
      <x:c r="I387" t="inlineStr">
        <x:is>
          <x:t xml:space="preserve">Do you have a small set of high‑value internal misuse detections that are actively monitored (not just enabled)?</x:t>
        </x:is>
      </x:c>
      <x:c r="J387" t="inlineStr">
        <x:is>
          <x:t xml:space="preserve">Examples: large downloads from sensitive repositories, mass deletions, exports of customer lists, unusual admin actions, unusual access to HR/finance folders.</x:t>
        </x:is>
      </x:c>
      <x:c r="L387" t="inlineStr">
        <x:is>
          <x:t xml:space="preserve">OPS_STD</x:t>
        </x:is>
      </x:c>
      <x:c r="M387" t="n">
        <x:v>1.4</x:v>
      </x:c>
      <x:c r="N387" t="n">
        <x:v>0.5</x:v>
      </x:c>
      <x:c r="P387" t="inlineStr">
        <x:is>
          <x:t xml:space="preserve">SEC-D3-Q07-A4</x:t>
        </x:is>
      </x:c>
      <x:c r="Q387" t="n">
        <x:v>4</x:v>
      </x:c>
      <x:c r="R387" t="inlineStr">
        <x:is>
          <x:t xml:space="preserve">Yes — detections are mapped to sensitive assets/roles and reviewed on a schedule.</x:t>
        </x:is>
      </x:c>
      <x:c r="S387" t="n">
        <x:v>3</x:v>
      </x:c>
      <x:c r="U387" t="inlineStr">
        <x:is>
          <x:t xml:space="preserve">Resilience Gap</x:t>
        </x:is>
      </x:c>
      <x:c r="V387" t="inlineStr">
        <x:is>
          <x:t xml:space="preserve">Assess_Detection</x:t>
        </x:is>
      </x:c>
      <x:c r="W387" t="inlineStr">
        <x:is>
          <x:t xml:space="preserve">Y</x:t>
        </x:is>
      </x:c>
      <x:c r="X387" t="inlineStr">
        <x:is>
          <x:t xml:space="preserve">Mapping + review cadence evidence.</x:t>
        </x:is>
      </x:c>
      <x:c r="Y387">
        <x:f>(S387*IF(E387="G",F387,0))+(S387*IF(G387="G",H387,0))</x:f>
      </x:c>
      <x:c r="Z387">
        <x:f>(S387*IF(E387="E",F387,0))+(S387*IF(G387="E",H387,0))</x:f>
      </x:c>
      <x:c r="AA387">
        <x:f>(S387*IF(E387="T",F387,0))+(S387*IF(G387="T",H387,0))</x:f>
      </x:c>
      <x:c r="AB387">
        <x:f>(S387*IF(E387="L",F387,0))+(S387*IF(G387="L",H387,0))</x:f>
      </x:c>
      <x:c r="AC387">
        <x:f>(S387*IF(E387="H",F387,0))+(S387*IF(G387="H",H387,0))</x:f>
      </x:c>
      <x:c r="AD387">
        <x:f>(S387*IF(E387="V",F387,0))+(S387*IF(G387="V",H387,0))</x:f>
      </x:c>
      <x:c r="AE387">
        <x:f>(S387*IF(E387="R",F387,0))+(S387*IF(G387="R",H387,0))</x:f>
      </x:c>
      <x:c r="AF387">
        <x:f>(S387*IF(E387="F",F387,0))+(S387*IF(G387="F",H387,0))</x:f>
      </x:c>
      <x:c r="AG387">
        <x:f>(S387*IF(E387="W",F387,0))+(S387*IF(G387="W",H387,0))</x:f>
      </x:c>
      <x:c r="AH387" t="inlineStr">
        <x:is>
          <x:t xml:space="preserve">8. Investigation &amp; Response</x:t>
        </x:is>
      </x:c>
      <x:c r="AI387" t="inlineStr">
        <x:is>
          <x:t xml:space="preserve">Incident Action</x:t>
        </x:is>
      </x:c>
      <x:c r="AJ387" t="inlineStr">
        <x:is>
          <x:t xml:space="preserve">Containment &amp; eradication actions</x:t>
        </x:is>
      </x:c>
    </x:row>
    <x:row r="388">
      <x:c r="A388" t="inlineStr">
        <x:is>
          <x:t xml:space="preserve">Security</x:t>
        </x:is>
      </x:c>
      <x:c r="B388" t="inlineStr">
        <x:is>
          <x:t xml:space="preserve">SEC-D3-Q07</x:t>
        </x:is>
      </x:c>
      <x:c r="C388" t="inlineStr">
        <x:is>
          <x:t xml:space="preserve">T1</x:t>
        </x:is>
      </x:c>
      <x:c r="D388" t="inlineStr">
        <x:is>
          <x:t xml:space="preserve">3. Detection Use Cases &amp; Tuning</x:t>
        </x:is>
      </x:c>
      <x:c r="E388" t="inlineStr">
        <x:is>
          <x:t xml:space="preserve">T</x:t>
        </x:is>
      </x:c>
      <x:c r="F388" t="n">
        <x:v>0.6</x:v>
      </x:c>
      <x:c r="G388" t="inlineStr">
        <x:is>
          <x:t xml:space="preserve">E</x:t>
        </x:is>
      </x:c>
      <x:c r="H388" t="n">
        <x:v>0.4</x:v>
      </x:c>
      <x:c r="I388" t="inlineStr">
        <x:is>
          <x:t xml:space="preserve">Do you have a small set of high‑value internal misuse detections that are actively monitored (not just enabled)?</x:t>
        </x:is>
      </x:c>
      <x:c r="J388" t="inlineStr">
        <x:is>
          <x:t xml:space="preserve">Examples: large downloads from sensitive repositories, mass deletions, exports of customer lists, unusual admin actions, unusual access to HR/finance folders.</x:t>
        </x:is>
      </x:c>
      <x:c r="L388" t="inlineStr">
        <x:is>
          <x:t xml:space="preserve">OPS_STD</x:t>
        </x:is>
      </x:c>
      <x:c r="M388" t="n">
        <x:v>1.4</x:v>
      </x:c>
      <x:c r="N388" t="n">
        <x:v>0.5</x:v>
      </x:c>
      <x:c r="P388" t="inlineStr">
        <x:is>
          <x:t xml:space="preserve">SEC-D3-Q07-A5</x:t>
        </x:is>
      </x:c>
      <x:c r="Q388" t="n">
        <x:v>5</x:v>
      </x:c>
      <x:c r="R388" t="inlineStr">
        <x:is>
          <x:t xml:space="preserve">Optimized — detections are scenario-driven, quality-measured, and continuously improved.</x:t>
        </x:is>
      </x:c>
      <x:c r="S388" t="n">
        <x:v>4</x:v>
      </x:c>
      <x:c r="U388" t="inlineStr">
        <x:is>
          <x:t xml:space="preserve">Resilience Gap</x:t>
        </x:is>
      </x:c>
      <x:c r="V388" t="inlineStr">
        <x:is>
          <x:t xml:space="preserve">Improve_Metrics</x:t>
        </x:is>
      </x:c>
      <x:c r="W388" t="inlineStr">
        <x:is>
          <x:t xml:space="preserve">Y</x:t>
        </x:is>
      </x:c>
      <x:c r="X388" t="inlineStr">
        <x:is>
          <x:t xml:space="preserve">Detection quality metrics (FP rate/precision).</x:t>
        </x:is>
      </x:c>
      <x:c r="Y388">
        <x:f>(S388*IF(E388="G",F388,0))+(S388*IF(G388="G",H388,0))</x:f>
      </x:c>
      <x:c r="Z388">
        <x:f>(S388*IF(E388="E",F388,0))+(S388*IF(G388="E",H388,0))</x:f>
      </x:c>
      <x:c r="AA388">
        <x:f>(S388*IF(E388="T",F388,0))+(S388*IF(G388="T",H388,0))</x:f>
      </x:c>
      <x:c r="AB388">
        <x:f>(S388*IF(E388="L",F388,0))+(S388*IF(G388="L",H388,0))</x:f>
      </x:c>
      <x:c r="AC388">
        <x:f>(S388*IF(E388="H",F388,0))+(S388*IF(G388="H",H388,0))</x:f>
      </x:c>
      <x:c r="AD388">
        <x:f>(S388*IF(E388="V",F388,0))+(S388*IF(G388="V",H388,0))</x:f>
      </x:c>
      <x:c r="AE388">
        <x:f>(S388*IF(E388="R",F388,0))+(S388*IF(G388="R",H388,0))</x:f>
      </x:c>
      <x:c r="AF388">
        <x:f>(S388*IF(E388="F",F388,0))+(S388*IF(G388="F",H388,0))</x:f>
      </x:c>
      <x:c r="AG388">
        <x:f>(S388*IF(E388="W",F388,0))+(S388*IF(G388="W",H388,0))</x:f>
      </x:c>
      <x:c r="AH388" t="inlineStr">
        <x:is>
          <x:t xml:space="preserve">8. Investigation &amp; Response</x:t>
        </x:is>
      </x:c>
      <x:c r="AI388" t="inlineStr">
        <x:is>
          <x:t xml:space="preserve">Incident Action</x:t>
        </x:is>
      </x:c>
      <x:c r="AJ388" t="inlineStr">
        <x:is>
          <x:t xml:space="preserve">Containment &amp; eradication actions</x:t>
        </x:is>
      </x:c>
    </x:row>
    <x:row r="389">
      <x:c r="A389" t="inlineStr">
        <x:is>
          <x:t xml:space="preserve">Security</x:t>
        </x:is>
      </x:c>
      <x:c r="B389" t="inlineStr">
        <x:is>
          <x:t xml:space="preserve">SEC-D3-Q08</x:t>
        </x:is>
      </x:c>
      <x:c r="C389" t="inlineStr">
        <x:is>
          <x:t xml:space="preserve">T2</x:t>
        </x:is>
      </x:c>
      <x:c r="D389" t="inlineStr">
        <x:is>
          <x:t xml:space="preserve">3. Detection Use Cases &amp; Tuning</x:t>
        </x:is>
      </x:c>
      <x:c r="E389" t="inlineStr">
        <x:is>
          <x:t xml:space="preserve">E</x:t>
        </x:is>
      </x:c>
      <x:c r="F389" t="n">
        <x:v>1</x:v>
      </x:c>
      <x:c r="I389" t="inlineStr">
        <x:is>
          <x:t xml:space="preserve">(Shadow probe) When an alert fires, do analysts have time and guidance to investigate, or do alerts pile up?</x:t>
        </x:is>
      </x:c>
      <x:c r="J389" t="inlineStr">
        <x:is>
          <x:t xml:space="preserve">We are checking operational reality: backlog and whether the team can act on signals.</x:t>
        </x:is>
      </x:c>
      <x:c r="L389" t="inlineStr">
        <x:is>
          <x:t xml:space="preserve">OPS_STD</x:t>
        </x:is>
      </x:c>
      <x:c r="M389" t="n">
        <x:v>1</x:v>
      </x:c>
      <x:c r="P389" t="inlineStr">
        <x:is>
          <x:t xml:space="preserve">SEC-D3-Q08-A1</x:t>
        </x:is>
      </x:c>
      <x:c r="Q389" t="n">
        <x:v>1</x:v>
      </x:c>
      <x:c r="R389" t="inlineStr">
        <x:is>
          <x:t xml:space="preserve">Alerts mostly pile up; we focus on outages and external threats.</x:t>
        </x:is>
      </x:c>
      <x:c r="S389" t="n">
        <x:v>0</x:v>
      </x:c>
      <x:c r="T389" t="inlineStr">
        <x:is>
          <x:t xml:space="preserve">paper_dragon_signal</x:t>
        </x:is>
      </x:c>
      <x:c r="U389" t="inlineStr">
        <x:is>
          <x:t xml:space="preserve">Paper Dragon</x:t>
        </x:is>
      </x:c>
      <x:c r="V389" t="inlineStr">
        <x:is>
          <x:t xml:space="preserve">Assess_Detection</x:t>
        </x:is>
      </x:c>
      <x:c r="W389" t="inlineStr">
        <x:is>
          <x:t xml:space="preserve">N</x:t>
        </x:is>
      </x:c>
      <x:c r="Y389">
        <x:f>(S389*IF(E389="G",F389,0))+(S389*IF(G389="G",H389,0))</x:f>
      </x:c>
      <x:c r="Z389">
        <x:f>(S389*IF(E389="E",F389,0))+(S389*IF(G389="E",H389,0))</x:f>
      </x:c>
      <x:c r="AA389">
        <x:f>(S389*IF(E389="T",F389,0))+(S389*IF(G389="T",H389,0))</x:f>
      </x:c>
      <x:c r="AB389">
        <x:f>(S389*IF(E389="L",F389,0))+(S389*IF(G389="L",H389,0))</x:f>
      </x:c>
      <x:c r="AC389">
        <x:f>(S389*IF(E389="H",F389,0))+(S389*IF(G389="H",H389,0))</x:f>
      </x:c>
      <x:c r="AD389">
        <x:f>(S389*IF(E389="V",F389,0))+(S389*IF(G389="V",H389,0))</x:f>
      </x:c>
      <x:c r="AE389">
        <x:f>(S389*IF(E389="R",F389,0))+(S389*IF(G389="R",H389,0))</x:f>
      </x:c>
      <x:c r="AF389">
        <x:f>(S389*IF(E389="F",F389,0))+(S389*IF(G389="F",H389,0))</x:f>
      </x:c>
      <x:c r="AG389">
        <x:f>(S389*IF(E389="W",F389,0))+(S389*IF(G389="W",H389,0))</x:f>
      </x:c>
      <x:c r="AH389" t="inlineStr">
        <x:is>
          <x:t xml:space="preserve">1. Strategy &amp; Governance</x:t>
        </x:is>
      </x:c>
      <x:c r="AI389" t="inlineStr">
        <x:is>
          <x:t xml:space="preserve">Organization &amp; RACI</x:t>
        </x:is>
      </x:c>
      <x:c r="AJ389" t="inlineStr">
        <x:is>
          <x:t xml:space="preserve">Operational working group (ITWG/triage cell)</x:t>
        </x:is>
      </x:c>
    </x:row>
    <x:row r="390">
      <x:c r="A390" t="inlineStr">
        <x:is>
          <x:t xml:space="preserve">Security</x:t>
        </x:is>
      </x:c>
      <x:c r="B390" t="inlineStr">
        <x:is>
          <x:t xml:space="preserve">SEC-D3-Q08</x:t>
        </x:is>
      </x:c>
      <x:c r="C390" t="inlineStr">
        <x:is>
          <x:t xml:space="preserve">T2</x:t>
        </x:is>
      </x:c>
      <x:c r="D390" t="inlineStr">
        <x:is>
          <x:t xml:space="preserve">3. Detection Use Cases &amp; Tuning</x:t>
        </x:is>
      </x:c>
      <x:c r="E390" t="inlineStr">
        <x:is>
          <x:t xml:space="preserve">E</x:t>
        </x:is>
      </x:c>
      <x:c r="F390" t="n">
        <x:v>1</x:v>
      </x:c>
      <x:c r="I390" t="inlineStr">
        <x:is>
          <x:t xml:space="preserve">(Shadow probe) When an alert fires, do analysts have time and guidance to investigate, or do alerts pile up?</x:t>
        </x:is>
      </x:c>
      <x:c r="J390" t="inlineStr">
        <x:is>
          <x:t xml:space="preserve">We are checking operational reality: backlog and whether the team can act on signals.</x:t>
        </x:is>
      </x:c>
      <x:c r="L390" t="inlineStr">
        <x:is>
          <x:t xml:space="preserve">OPS_STD</x:t>
        </x:is>
      </x:c>
      <x:c r="M390" t="n">
        <x:v>1</x:v>
      </x:c>
      <x:c r="P390" t="inlineStr">
        <x:is>
          <x:t xml:space="preserve">SEC-D3-Q08-A2</x:t>
        </x:is>
      </x:c>
      <x:c r="Q390" t="n">
        <x:v>2</x:v>
      </x:c>
      <x:c r="R390" t="inlineStr">
        <x:is>
          <x:t xml:space="preserve">Some alerts are investigated; many are closed quickly due to lack of context.</x:t>
        </x:is>
      </x:c>
      <x:c r="S390" t="n">
        <x:v>2</x:v>
      </x:c>
      <x:c r="U390" t="inlineStr">
        <x:is>
          <x:t xml:space="preserve">Operating Model Gap</x:t>
        </x:is>
      </x:c>
      <x:c r="V390" t="inlineStr">
        <x:is>
          <x:t xml:space="preserve">Assess_Case_Model</x:t>
        </x:is>
      </x:c>
      <x:c r="W390" t="inlineStr">
        <x:is>
          <x:t xml:space="preserve">N</x:t>
        </x:is>
      </x:c>
      <x:c r="Y390">
        <x:f>(S390*IF(E390="G",F390,0))+(S390*IF(G390="G",H390,0))</x:f>
      </x:c>
      <x:c r="Z390">
        <x:f>(S390*IF(E390="E",F390,0))+(S390*IF(G390="E",H390,0))</x:f>
      </x:c>
      <x:c r="AA390">
        <x:f>(S390*IF(E390="T",F390,0))+(S390*IF(G390="T",H390,0))</x:f>
      </x:c>
      <x:c r="AB390">
        <x:f>(S390*IF(E390="L",F390,0))+(S390*IF(G390="L",H390,0))</x:f>
      </x:c>
      <x:c r="AC390">
        <x:f>(S390*IF(E390="H",F390,0))+(S390*IF(G390="H",H390,0))</x:f>
      </x:c>
      <x:c r="AD390">
        <x:f>(S390*IF(E390="V",F390,0))+(S390*IF(G390="V",H390,0))</x:f>
      </x:c>
      <x:c r="AE390">
        <x:f>(S390*IF(E390="R",F390,0))+(S390*IF(G390="R",H390,0))</x:f>
      </x:c>
      <x:c r="AF390">
        <x:f>(S390*IF(E390="F",F390,0))+(S390*IF(G390="F",H390,0))</x:f>
      </x:c>
      <x:c r="AG390">
        <x:f>(S390*IF(E390="W",F390,0))+(S390*IF(G390="W",H390,0))</x:f>
      </x:c>
      <x:c r="AH390" t="inlineStr">
        <x:is>
          <x:t xml:space="preserve">1. Strategy &amp; Governance</x:t>
        </x:is>
      </x:c>
      <x:c r="AI390" t="inlineStr">
        <x:is>
          <x:t xml:space="preserve">Organization &amp; RACI</x:t>
        </x:is>
      </x:c>
      <x:c r="AJ390" t="inlineStr">
        <x:is>
          <x:t xml:space="preserve">Operational working group (ITWG/triage cell)</x:t>
        </x:is>
      </x:c>
    </x:row>
    <x:row r="391">
      <x:c r="A391" t="inlineStr">
        <x:is>
          <x:t xml:space="preserve">Security</x:t>
        </x:is>
      </x:c>
      <x:c r="B391" t="inlineStr">
        <x:is>
          <x:t xml:space="preserve">SEC-D3-Q08</x:t>
        </x:is>
      </x:c>
      <x:c r="C391" t="inlineStr">
        <x:is>
          <x:t xml:space="preserve">T2</x:t>
        </x:is>
      </x:c>
      <x:c r="D391" t="inlineStr">
        <x:is>
          <x:t xml:space="preserve">3. Detection Use Cases &amp; Tuning</x:t>
        </x:is>
      </x:c>
      <x:c r="E391" t="inlineStr">
        <x:is>
          <x:t xml:space="preserve">E</x:t>
        </x:is>
      </x:c>
      <x:c r="F391" t="n">
        <x:v>1</x:v>
      </x:c>
      <x:c r="I391" t="inlineStr">
        <x:is>
          <x:t xml:space="preserve">(Shadow probe) When an alert fires, do analysts have time and guidance to investigate, or do alerts pile up?</x:t>
        </x:is>
      </x:c>
      <x:c r="J391" t="inlineStr">
        <x:is>
          <x:t xml:space="preserve">We are checking operational reality: backlog and whether the team can act on signals.</x:t>
        </x:is>
      </x:c>
      <x:c r="L391" t="inlineStr">
        <x:is>
          <x:t xml:space="preserve">OPS_STD</x:t>
        </x:is>
      </x:c>
      <x:c r="M391" t="n">
        <x:v>1</x:v>
      </x:c>
      <x:c r="P391" t="inlineStr">
        <x:is>
          <x:t xml:space="preserve">SEC-D3-Q08-A3</x:t>
        </x:is>
      </x:c>
      <x:c r="Q391" t="n">
        <x:v>3</x:v>
      </x:c>
      <x:c r="R391" t="inlineStr">
        <x:is>
          <x:t xml:space="preserve">Alerts are generally triaged with time-boxing and escalation paths for high risk.</x:t>
        </x:is>
      </x:c>
      <x:c r="S391" t="n">
        <x:v>3</x:v>
      </x:c>
      <x:c r="U391" t="inlineStr">
        <x:is>
          <x:t xml:space="preserve">Resilience Gap</x:t>
        </x:is>
      </x:c>
      <x:c r="V391" t="inlineStr">
        <x:is>
          <x:t xml:space="preserve">Assess_Case_Model</x:t>
        </x:is>
      </x:c>
      <x:c r="W391" t="inlineStr">
        <x:is>
          <x:t xml:space="preserve">Y</x:t>
        </x:is>
      </x:c>
      <x:c r="X391" t="inlineStr">
        <x:is>
          <x:t xml:space="preserve">Backlog/MTTT snapshot (redacted).</x:t>
        </x:is>
      </x:c>
      <x:c r="Y391">
        <x:f>(S391*IF(E391="G",F391,0))+(S391*IF(G391="G",H391,0))</x:f>
      </x:c>
      <x:c r="Z391">
        <x:f>(S391*IF(E391="E",F391,0))+(S391*IF(G391="E",H391,0))</x:f>
      </x:c>
      <x:c r="AA391">
        <x:f>(S391*IF(E391="T",F391,0))+(S391*IF(G391="T",H391,0))</x:f>
      </x:c>
      <x:c r="AB391">
        <x:f>(S391*IF(E391="L",F391,0))+(S391*IF(G391="L",H391,0))</x:f>
      </x:c>
      <x:c r="AC391">
        <x:f>(S391*IF(E391="H",F391,0))+(S391*IF(G391="H",H391,0))</x:f>
      </x:c>
      <x:c r="AD391">
        <x:f>(S391*IF(E391="V",F391,0))+(S391*IF(G391="V",H391,0))</x:f>
      </x:c>
      <x:c r="AE391">
        <x:f>(S391*IF(E391="R",F391,0))+(S391*IF(G391="R",H391,0))</x:f>
      </x:c>
      <x:c r="AF391">
        <x:f>(S391*IF(E391="F",F391,0))+(S391*IF(G391="F",H391,0))</x:f>
      </x:c>
      <x:c r="AG391">
        <x:f>(S391*IF(E391="W",F391,0))+(S391*IF(G391="W",H391,0))</x:f>
      </x:c>
      <x:c r="AH391" t="inlineStr">
        <x:is>
          <x:t xml:space="preserve">1. Strategy &amp; Governance</x:t>
        </x:is>
      </x:c>
      <x:c r="AI391" t="inlineStr">
        <x:is>
          <x:t xml:space="preserve">Organization &amp; RACI</x:t>
        </x:is>
      </x:c>
      <x:c r="AJ391" t="inlineStr">
        <x:is>
          <x:t xml:space="preserve">Operational working group (ITWG/triage cell)</x:t>
        </x:is>
      </x:c>
    </x:row>
    <x:row r="392">
      <x:c r="A392" t="inlineStr">
        <x:is>
          <x:t xml:space="preserve">Security</x:t>
        </x:is>
      </x:c>
      <x:c r="B392" t="inlineStr">
        <x:is>
          <x:t xml:space="preserve">SEC-D3-Q09</x:t>
        </x:is>
      </x:c>
      <x:c r="C392" t="inlineStr">
        <x:is>
          <x:t xml:space="preserve">T2</x:t>
        </x:is>
      </x:c>
      <x:c r="D392" t="inlineStr">
        <x:is>
          <x:t xml:space="preserve">3. Detection Use Cases &amp; Tuning</x:t>
        </x:is>
      </x:c>
      <x:c r="E392" t="inlineStr">
        <x:is>
          <x:t xml:space="preserve">T</x:t>
        </x:is>
      </x:c>
      <x:c r="F392" t="n">
        <x:v>0.7</x:v>
      </x:c>
      <x:c r="G392" t="inlineStr">
        <x:is>
          <x:t xml:space="preserve">F</x:t>
        </x:is>
      </x:c>
      <x:c r="H392" t="n">
        <x:v>0.3</x:v>
      </x:c>
      <x:c r="I392" t="inlineStr">
        <x:is>
          <x:t xml:space="preserve">How do you manage false positives and business disruption caused by monitoring controls (so teams don’t create workarounds)?</x:t>
        </x:is>
      </x:c>
      <x:c r="J392" t="inlineStr">
        <x:is>
          <x:t xml:space="preserve">This is 'friction management': tuning, exception paths, and measuring bypass behavior.</x:t>
        </x:is>
      </x:c>
      <x:c r="L392" t="inlineStr">
        <x:is>
          <x:t xml:space="preserve">OPS_STD</x:t>
        </x:is>
      </x:c>
      <x:c r="M392" t="n">
        <x:v>1</x:v>
      </x:c>
      <x:c r="P392" t="inlineStr">
        <x:is>
          <x:t xml:space="preserve">SEC-D3-Q09-A1</x:t>
        </x:is>
      </x:c>
      <x:c r="Q392" t="n">
        <x:v>1</x:v>
      </x:c>
      <x:c r="R392" t="inlineStr">
        <x:is>
          <x:t xml:space="preserve">We don’t measure it; users complain and find workarounds.</x:t>
        </x:is>
      </x:c>
      <x:c r="S392" t="n">
        <x:v>0</x:v>
      </x:c>
      <x:c r="T392" t="inlineStr">
        <x:is>
          <x:t xml:space="preserve">bypass_pressure</x:t>
        </x:is>
      </x:c>
      <x:c r="U392" t="inlineStr">
        <x:is>
          <x:t xml:space="preserve">Bypass Pressure</x:t>
        </x:is>
      </x:c>
      <x:c r="V392" t="inlineStr">
        <x:is>
          <x:t xml:space="preserve">Assess_Friction</x:t>
        </x:is>
      </x:c>
      <x:c r="W392" t="inlineStr">
        <x:is>
          <x:t xml:space="preserve">N</x:t>
        </x:is>
      </x:c>
      <x:c r="Y392">
        <x:f>(S392*IF(E392="G",F392,0))+(S392*IF(G392="G",H392,0))</x:f>
      </x:c>
      <x:c r="Z392">
        <x:f>(S392*IF(E392="E",F392,0))+(S392*IF(G392="E",H392,0))</x:f>
      </x:c>
      <x:c r="AA392">
        <x:f>(S392*IF(E392="T",F392,0))+(S392*IF(G392="T",H392,0))</x:f>
      </x:c>
      <x:c r="AB392">
        <x:f>(S392*IF(E392="L",F392,0))+(S392*IF(G392="L",H392,0))</x:f>
      </x:c>
      <x:c r="AC392">
        <x:f>(S392*IF(E392="H",F392,0))+(S392*IF(G392="H",H392,0))</x:f>
      </x:c>
      <x:c r="AD392">
        <x:f>(S392*IF(E392="V",F392,0))+(S392*IF(G392="V",H392,0))</x:f>
      </x:c>
      <x:c r="AE392">
        <x:f>(S392*IF(E392="R",F392,0))+(S392*IF(G392="R",H392,0))</x:f>
      </x:c>
      <x:c r="AF392">
        <x:f>(S392*IF(E392="F",F392,0))+(S392*IF(G392="F",H392,0))</x:f>
      </x:c>
      <x:c r="AG392">
        <x:f>(S392*IF(E392="W",F392,0))+(S392*IF(G392="W",H392,0))</x:f>
      </x:c>
      <x:c r="AH392" t="inlineStr">
        <x:is>
          <x:t xml:space="preserve">1. Strategy &amp; Governance</x:t>
        </x:is>
      </x:c>
      <x:c r="AI392" t="inlineStr">
        <x:is>
          <x:t xml:space="preserve">Scope &amp; Boundaries</x:t>
        </x:is>
      </x:c>
      <x:c r="AJ392" t="inlineStr">
        <x:is>
          <x:t xml:space="preserve">Exceptions &amp; risk acceptance</x:t>
        </x:is>
      </x:c>
    </x:row>
    <x:row r="393">
      <x:c r="A393" t="inlineStr">
        <x:is>
          <x:t xml:space="preserve">Security</x:t>
        </x:is>
      </x:c>
      <x:c r="B393" t="inlineStr">
        <x:is>
          <x:t xml:space="preserve">SEC-D3-Q09</x:t>
        </x:is>
      </x:c>
      <x:c r="C393" t="inlineStr">
        <x:is>
          <x:t xml:space="preserve">T2</x:t>
        </x:is>
      </x:c>
      <x:c r="D393" t="inlineStr">
        <x:is>
          <x:t xml:space="preserve">3. Detection Use Cases &amp; Tuning</x:t>
        </x:is>
      </x:c>
      <x:c r="E393" t="inlineStr">
        <x:is>
          <x:t xml:space="preserve">T</x:t>
        </x:is>
      </x:c>
      <x:c r="F393" t="n">
        <x:v>0.7</x:v>
      </x:c>
      <x:c r="G393" t="inlineStr">
        <x:is>
          <x:t xml:space="preserve">F</x:t>
        </x:is>
      </x:c>
      <x:c r="H393" t="n">
        <x:v>0.3</x:v>
      </x:c>
      <x:c r="I393" t="inlineStr">
        <x:is>
          <x:t xml:space="preserve">How do you manage false positives and business disruption caused by monitoring controls (so teams don’t create workarounds)?</x:t>
        </x:is>
      </x:c>
      <x:c r="J393" t="inlineStr">
        <x:is>
          <x:t xml:space="preserve">This is 'friction management': tuning, exception paths, and measuring bypass behavior.</x:t>
        </x:is>
      </x:c>
      <x:c r="L393" t="inlineStr">
        <x:is>
          <x:t xml:space="preserve">OPS_STD</x:t>
        </x:is>
      </x:c>
      <x:c r="M393" t="n">
        <x:v>1</x:v>
      </x:c>
      <x:c r="P393" t="inlineStr">
        <x:is>
          <x:t xml:space="preserve">SEC-D3-Q09-A2</x:t>
        </x:is>
      </x:c>
      <x:c r="Q393" t="n">
        <x:v>2</x:v>
      </x:c>
      <x:c r="R393" t="inlineStr">
        <x:is>
          <x:t xml:space="preserve">We tune occasionally after major complaints or incidents.</x:t>
        </x:is>
      </x:c>
      <x:c r="S393" t="n">
        <x:v>1</x:v>
      </x:c>
      <x:c r="T393" t="inlineStr">
        <x:is>
          <x:t xml:space="preserve">bypass_pressure</x:t>
        </x:is>
      </x:c>
      <x:c r="U393" t="inlineStr">
        <x:is>
          <x:t xml:space="preserve">Bypass Pressure</x:t>
        </x:is>
      </x:c>
      <x:c r="V393" t="inlineStr">
        <x:is>
          <x:t xml:space="preserve">Measure_Friction</x:t>
        </x:is>
      </x:c>
      <x:c r="W393" t="inlineStr">
        <x:is>
          <x:t xml:space="preserve">N</x:t>
        </x:is>
      </x:c>
      <x:c r="Y393">
        <x:f>(S393*IF(E393="G",F393,0))+(S393*IF(G393="G",H393,0))</x:f>
      </x:c>
      <x:c r="Z393">
        <x:f>(S393*IF(E393="E",F393,0))+(S393*IF(G393="E",H393,0))</x:f>
      </x:c>
      <x:c r="AA393">
        <x:f>(S393*IF(E393="T",F393,0))+(S393*IF(G393="T",H393,0))</x:f>
      </x:c>
      <x:c r="AB393">
        <x:f>(S393*IF(E393="L",F393,0))+(S393*IF(G393="L",H393,0))</x:f>
      </x:c>
      <x:c r="AC393">
        <x:f>(S393*IF(E393="H",F393,0))+(S393*IF(G393="H",H393,0))</x:f>
      </x:c>
      <x:c r="AD393">
        <x:f>(S393*IF(E393="V",F393,0))+(S393*IF(G393="V",H393,0))</x:f>
      </x:c>
      <x:c r="AE393">
        <x:f>(S393*IF(E393="R",F393,0))+(S393*IF(G393="R",H393,0))</x:f>
      </x:c>
      <x:c r="AF393">
        <x:f>(S393*IF(E393="F",F393,0))+(S393*IF(G393="F",H393,0))</x:f>
      </x:c>
      <x:c r="AG393">
        <x:f>(S393*IF(E393="W",F393,0))+(S393*IF(G393="W",H393,0))</x:f>
      </x:c>
      <x:c r="AH393" t="inlineStr">
        <x:is>
          <x:t xml:space="preserve">1. Strategy &amp; Governance</x:t>
        </x:is>
      </x:c>
      <x:c r="AI393" t="inlineStr">
        <x:is>
          <x:t xml:space="preserve">Scope &amp; Boundaries</x:t>
        </x:is>
      </x:c>
      <x:c r="AJ393" t="inlineStr">
        <x:is>
          <x:t xml:space="preserve">Exceptions &amp; risk acceptance</x:t>
        </x:is>
      </x:c>
    </x:row>
    <x:row r="394">
      <x:c r="A394" t="inlineStr">
        <x:is>
          <x:t xml:space="preserve">Security</x:t>
        </x:is>
      </x:c>
      <x:c r="B394" t="inlineStr">
        <x:is>
          <x:t xml:space="preserve">SEC-D3-Q09</x:t>
        </x:is>
      </x:c>
      <x:c r="C394" t="inlineStr">
        <x:is>
          <x:t xml:space="preserve">T2</x:t>
        </x:is>
      </x:c>
      <x:c r="D394" t="inlineStr">
        <x:is>
          <x:t xml:space="preserve">3. Detection Use Cases &amp; Tuning</x:t>
        </x:is>
      </x:c>
      <x:c r="E394" t="inlineStr">
        <x:is>
          <x:t xml:space="preserve">T</x:t>
        </x:is>
      </x:c>
      <x:c r="F394" t="n">
        <x:v>0.7</x:v>
      </x:c>
      <x:c r="G394" t="inlineStr">
        <x:is>
          <x:t xml:space="preserve">F</x:t>
        </x:is>
      </x:c>
      <x:c r="H394" t="n">
        <x:v>0.3</x:v>
      </x:c>
      <x:c r="I394" t="inlineStr">
        <x:is>
          <x:t xml:space="preserve">How do you manage false positives and business disruption caused by monitoring controls (so teams don’t create workarounds)?</x:t>
        </x:is>
      </x:c>
      <x:c r="J394" t="inlineStr">
        <x:is>
          <x:t xml:space="preserve">This is 'friction management': tuning, exception paths, and measuring bypass behavior.</x:t>
        </x:is>
      </x:c>
      <x:c r="L394" t="inlineStr">
        <x:is>
          <x:t xml:space="preserve">OPS_STD</x:t>
        </x:is>
      </x:c>
      <x:c r="M394" t="n">
        <x:v>1</x:v>
      </x:c>
      <x:c r="P394" t="inlineStr">
        <x:is>
          <x:t xml:space="preserve">SEC-D3-Q09-A3</x:t>
        </x:is>
      </x:c>
      <x:c r="Q394" t="n">
        <x:v>3</x:v>
      </x:c>
      <x:c r="R394" t="inlineStr">
        <x:is>
          <x:t xml:space="preserve">We track exceptions/false positives and tune on a schedule.</x:t>
        </x:is>
      </x:c>
      <x:c r="S394" t="n">
        <x:v>3</x:v>
      </x:c>
      <x:c r="U394" t="inlineStr">
        <x:is>
          <x:t xml:space="preserve">Bypass Pressure</x:t>
        </x:is>
      </x:c>
      <x:c r="V394" t="inlineStr">
        <x:is>
          <x:t xml:space="preserve">Measure_Friction</x:t>
        </x:is>
      </x:c>
      <x:c r="W394" t="inlineStr">
        <x:is>
          <x:t xml:space="preserve">Y</x:t>
        </x:is>
      </x:c>
      <x:c r="X394" t="inlineStr">
        <x:is>
          <x:t xml:space="preserve">Exception log or tuning backlog.</x:t>
        </x:is>
      </x:c>
      <x:c r="Y394">
        <x:f>(S394*IF(E394="G",F394,0))+(S394*IF(G394="G",H394,0))</x:f>
      </x:c>
      <x:c r="Z394">
        <x:f>(S394*IF(E394="E",F394,0))+(S394*IF(G394="E",H394,0))</x:f>
      </x:c>
      <x:c r="AA394">
        <x:f>(S394*IF(E394="T",F394,0))+(S394*IF(G394="T",H394,0))</x:f>
      </x:c>
      <x:c r="AB394">
        <x:f>(S394*IF(E394="L",F394,0))+(S394*IF(G394="L",H394,0))</x:f>
      </x:c>
      <x:c r="AC394">
        <x:f>(S394*IF(E394="H",F394,0))+(S394*IF(G394="H",H394,0))</x:f>
      </x:c>
      <x:c r="AD394">
        <x:f>(S394*IF(E394="V",F394,0))+(S394*IF(G394="V",H394,0))</x:f>
      </x:c>
      <x:c r="AE394">
        <x:f>(S394*IF(E394="R",F394,0))+(S394*IF(G394="R",H394,0))</x:f>
      </x:c>
      <x:c r="AF394">
        <x:f>(S394*IF(E394="F",F394,0))+(S394*IF(G394="F",H394,0))</x:f>
      </x:c>
      <x:c r="AG394">
        <x:f>(S394*IF(E394="W",F394,0))+(S394*IF(G394="W",H394,0))</x:f>
      </x:c>
      <x:c r="AH394" t="inlineStr">
        <x:is>
          <x:t xml:space="preserve">1. Strategy &amp; Governance</x:t>
        </x:is>
      </x:c>
      <x:c r="AI394" t="inlineStr">
        <x:is>
          <x:t xml:space="preserve">Scope &amp; Boundaries</x:t>
        </x:is>
      </x:c>
      <x:c r="AJ394" t="inlineStr">
        <x:is>
          <x:t xml:space="preserve">Exceptions &amp; risk acceptance</x:t>
        </x:is>
      </x:c>
    </x:row>
    <x:row r="395">
      <x:c r="A395" t="inlineStr">
        <x:is>
          <x:t xml:space="preserve">Security</x:t>
        </x:is>
      </x:c>
      <x:c r="B395" t="inlineStr">
        <x:is>
          <x:t xml:space="preserve">SEC-D3-Q09</x:t>
        </x:is>
      </x:c>
      <x:c r="C395" t="inlineStr">
        <x:is>
          <x:t xml:space="preserve">T2</x:t>
        </x:is>
      </x:c>
      <x:c r="D395" t="inlineStr">
        <x:is>
          <x:t xml:space="preserve">3. Detection Use Cases &amp; Tuning</x:t>
        </x:is>
      </x:c>
      <x:c r="E395" t="inlineStr">
        <x:is>
          <x:t xml:space="preserve">T</x:t>
        </x:is>
      </x:c>
      <x:c r="F395" t="n">
        <x:v>0.7</x:v>
      </x:c>
      <x:c r="G395" t="inlineStr">
        <x:is>
          <x:t xml:space="preserve">F</x:t>
        </x:is>
      </x:c>
      <x:c r="H395" t="n">
        <x:v>0.3</x:v>
      </x:c>
      <x:c r="I395" t="inlineStr">
        <x:is>
          <x:t xml:space="preserve">How do you manage false positives and business disruption caused by monitoring controls (so teams don’t create workarounds)?</x:t>
        </x:is>
      </x:c>
      <x:c r="J395" t="inlineStr">
        <x:is>
          <x:t xml:space="preserve">This is 'friction management': tuning, exception paths, and measuring bypass behavior.</x:t>
        </x:is>
      </x:c>
      <x:c r="L395" t="inlineStr">
        <x:is>
          <x:t xml:space="preserve">OPS_STD</x:t>
        </x:is>
      </x:c>
      <x:c r="M395" t="n">
        <x:v>1</x:v>
      </x:c>
      <x:c r="P395" t="inlineStr">
        <x:is>
          <x:t xml:space="preserve">SEC-D3-Q09-A4</x:t>
        </x:is>
      </x:c>
      <x:c r="Q395" t="n">
        <x:v>4</x:v>
      </x:c>
      <x:c r="R395" t="inlineStr">
        <x:is>
          <x:t xml:space="preserve">Optimized: we measure disruption, reduce bypass drivers, and have fast exception paths with oversight.</x:t>
        </x:is>
      </x:c>
      <x:c r="S395" t="n">
        <x:v>4</x:v>
      </x:c>
      <x:c r="U395" t="inlineStr">
        <x:is>
          <x:t xml:space="preserve">Bypass Pressure</x:t>
        </x:is>
      </x:c>
      <x:c r="V395" t="inlineStr">
        <x:is>
          <x:t xml:space="preserve">Measure_Friction</x:t>
        </x:is>
      </x:c>
      <x:c r="W395" t="inlineStr">
        <x:is>
          <x:t xml:space="preserve">Y</x:t>
        </x:is>
      </x:c>
      <x:c r="X395" t="inlineStr">
        <x:is>
          <x:t xml:space="preserve">Metrics + exception governance.</x:t>
        </x:is>
      </x:c>
      <x:c r="Y395">
        <x:f>(S395*IF(E395="G",F395,0))+(S395*IF(G395="G",H395,0))</x:f>
      </x:c>
      <x:c r="Z395">
        <x:f>(S395*IF(E395="E",F395,0))+(S395*IF(G395="E",H395,0))</x:f>
      </x:c>
      <x:c r="AA395">
        <x:f>(S395*IF(E395="T",F395,0))+(S395*IF(G395="T",H395,0))</x:f>
      </x:c>
      <x:c r="AB395">
        <x:f>(S395*IF(E395="L",F395,0))+(S395*IF(G395="L",H395,0))</x:f>
      </x:c>
      <x:c r="AC395">
        <x:f>(S395*IF(E395="H",F395,0))+(S395*IF(G395="H",H395,0))</x:f>
      </x:c>
      <x:c r="AD395">
        <x:f>(S395*IF(E395="V",F395,0))+(S395*IF(G395="V",H395,0))</x:f>
      </x:c>
      <x:c r="AE395">
        <x:f>(S395*IF(E395="R",F395,0))+(S395*IF(G395="R",H395,0))</x:f>
      </x:c>
      <x:c r="AF395">
        <x:f>(S395*IF(E395="F",F395,0))+(S395*IF(G395="F",H395,0))</x:f>
      </x:c>
      <x:c r="AG395">
        <x:f>(S395*IF(E395="W",F395,0))+(S395*IF(G395="W",H395,0))</x:f>
      </x:c>
      <x:c r="AH395" t="inlineStr">
        <x:is>
          <x:t xml:space="preserve">1. Strategy &amp; Governance</x:t>
        </x:is>
      </x:c>
      <x:c r="AI395" t="inlineStr">
        <x:is>
          <x:t xml:space="preserve">Scope &amp; Boundaries</x:t>
        </x:is>
      </x:c>
      <x:c r="AJ395" t="inlineStr">
        <x:is>
          <x:t xml:space="preserve">Exceptions &amp; risk acceptance</x:t>
        </x:is>
      </x:c>
    </x:row>
    <x:row r="396">
      <x:c r="A396" t="inlineStr">
        <x:is>
          <x:t xml:space="preserve">Security</x:t>
        </x:is>
      </x:c>
      <x:c r="B396" t="inlineStr">
        <x:is>
          <x:t xml:space="preserve">SEC-D4-Q10</x:t>
        </x:is>
      </x:c>
      <x:c r="C396" t="inlineStr">
        <x:is>
          <x:t xml:space="preserve">T1</x:t>
        </x:is>
      </x:c>
      <x:c r="D396" t="inlineStr">
        <x:is>
          <x:t xml:space="preserve">4. High‑Risk Roles &amp; Privileged Monitoring</x:t>
        </x:is>
      </x:c>
      <x:c r="E396" t="inlineStr">
        <x:is>
          <x:t xml:space="preserve">V</x:t>
        </x:is>
      </x:c>
      <x:c r="F396" t="n">
        <x:v>0.6</x:v>
      </x:c>
      <x:c r="G396" t="inlineStr">
        <x:is>
          <x:t xml:space="preserve">T</x:t>
        </x:is>
      </x:c>
      <x:c r="H396" t="n">
        <x:v>0.4</x:v>
      </x:c>
      <x:c r="I396" t="inlineStr">
        <x:is>
          <x:t xml:space="preserve">Do you know which roles/accounts have the highest ability to cause harm (admins, finance approvers, HR admins), and are they monitored differently?</x:t>
        </x:is>
      </x:c>
      <x:c r="J396" t="inlineStr">
        <x:is>
          <x:t xml:space="preserve">Includes privileged IT accounts and business roles with high-impact actions (approve payments, change payroll, export customer lists).</x:t>
        </x:is>
      </x:c>
      <x:c r="L396" t="inlineStr">
        <x:is>
          <x:t xml:space="preserve">RISK_STD</x:t>
        </x:is>
      </x:c>
      <x:c r="M396" t="n">
        <x:v>1.5</x:v>
      </x:c>
      <x:c r="N396" t="n">
        <x:v>0.5</x:v>
      </x:c>
      <x:c r="P396" t="inlineStr">
        <x:is>
          <x:t xml:space="preserve">SEC-D4-Q10-A1</x:t>
        </x:is>
      </x:c>
      <x:c r="Q396" t="n">
        <x:v>1</x:v>
      </x:c>
      <x:c r="R396" t="inlineStr">
        <x:is>
          <x:t xml:space="preserve">No — high‑risk roles are not mapped; all users are treated the same.</x:t>
        </x:is>
      </x:c>
      <x:c r="S396" t="n">
        <x:v>0</x:v>
      </x:c>
      <x:c r="T396" t="inlineStr">
        <x:is>
          <x:t xml:space="preserve">visibility_gap</x:t>
        </x:is>
      </x:c>
      <x:c r="U396" t="inlineStr">
        <x:is>
          <x:t xml:space="preserve">Visibility Gap</x:t>
        </x:is>
      </x:c>
      <x:c r="V396" t="inlineStr">
        <x:is>
          <x:t xml:space="preserve">Improve_Visibility</x:t>
        </x:is>
      </x:c>
      <x:c r="W396" t="inlineStr">
        <x:is>
          <x:t xml:space="preserve">N</x:t>
        </x:is>
      </x:c>
      <x:c r="Y396">
        <x:f>(S396*IF(E396="G",F396,0))+(S396*IF(G396="G",H396,0))</x:f>
      </x:c>
      <x:c r="Z396">
        <x:f>(S396*IF(E396="E",F396,0))+(S396*IF(G396="E",H396,0))</x:f>
      </x:c>
      <x:c r="AA396">
        <x:f>(S396*IF(E396="T",F396,0))+(S396*IF(G396="T",H396,0))</x:f>
      </x:c>
      <x:c r="AB396">
        <x:f>(S396*IF(E396="L",F396,0))+(S396*IF(G396="L",H396,0))</x:f>
      </x:c>
      <x:c r="AC396">
        <x:f>(S396*IF(E396="H",F396,0))+(S396*IF(G396="H",H396,0))</x:f>
      </x:c>
      <x:c r="AD396">
        <x:f>(S396*IF(E396="V",F396,0))+(S396*IF(G396="V",H396,0))</x:f>
      </x:c>
      <x:c r="AE396">
        <x:f>(S396*IF(E396="R",F396,0))+(S396*IF(G396="R",H396,0))</x:f>
      </x:c>
      <x:c r="AF396">
        <x:f>(S396*IF(E396="F",F396,0))+(S396*IF(G396="F",H396,0))</x:f>
      </x:c>
      <x:c r="AG396">
        <x:f>(S396*IF(E396="W",F396,0))+(S396*IF(G396="W",H396,0))</x:f>
      </x:c>
      <x:c r="AH396" t="inlineStr">
        <x:is>
          <x:t xml:space="preserve">6. Technical Controls</x:t>
        </x:is>
      </x:c>
      <x:c r="AI396" t="inlineStr">
        <x:is>
          <x:t xml:space="preserve">Identity &amp; Access</x:t>
        </x:is>
      </x:c>
      <x:c r="AJ396" t="inlineStr">
        <x:is>
          <x:t xml:space="preserve">PAM &amp; privileged session governance</x:t>
        </x:is>
      </x:c>
    </x:row>
    <x:row r="397">
      <x:c r="A397" t="inlineStr">
        <x:is>
          <x:t xml:space="preserve">Security</x:t>
        </x:is>
      </x:c>
      <x:c r="B397" t="inlineStr">
        <x:is>
          <x:t xml:space="preserve">SEC-D4-Q10</x:t>
        </x:is>
      </x:c>
      <x:c r="C397" t="inlineStr">
        <x:is>
          <x:t xml:space="preserve">T1</x:t>
        </x:is>
      </x:c>
      <x:c r="D397" t="inlineStr">
        <x:is>
          <x:t xml:space="preserve">4. High‑Risk Roles &amp; Privileged Monitoring</x:t>
        </x:is>
      </x:c>
      <x:c r="E397" t="inlineStr">
        <x:is>
          <x:t xml:space="preserve">V</x:t>
        </x:is>
      </x:c>
      <x:c r="F397" t="n">
        <x:v>0.6</x:v>
      </x:c>
      <x:c r="G397" t="inlineStr">
        <x:is>
          <x:t xml:space="preserve">T</x:t>
        </x:is>
      </x:c>
      <x:c r="H397" t="n">
        <x:v>0.4</x:v>
      </x:c>
      <x:c r="I397" t="inlineStr">
        <x:is>
          <x:t xml:space="preserve">Do you know which roles/accounts have the highest ability to cause harm (admins, finance approvers, HR admins), and are they monitored differently?</x:t>
        </x:is>
      </x:c>
      <x:c r="J397" t="inlineStr">
        <x:is>
          <x:t xml:space="preserve">Includes privileged IT accounts and business roles with high-impact actions (approve payments, change payroll, export customer lists).</x:t>
        </x:is>
      </x:c>
      <x:c r="L397" t="inlineStr">
        <x:is>
          <x:t xml:space="preserve">RISK_STD</x:t>
        </x:is>
      </x:c>
      <x:c r="M397" t="n">
        <x:v>1.5</x:v>
      </x:c>
      <x:c r="N397" t="n">
        <x:v>0.5</x:v>
      </x:c>
      <x:c r="P397" t="inlineStr">
        <x:is>
          <x:t xml:space="preserve">SEC-D4-Q10-A2</x:t>
        </x:is>
      </x:c>
      <x:c r="Q397" t="n">
        <x:v>2</x:v>
      </x:c>
      <x:c r="R397" t="inlineStr">
        <x:is>
          <x:t xml:space="preserve">Partially — IT admins are known, but high‑risk business roles are not mapped.</x:t>
        </x:is>
      </x:c>
      <x:c r="S397" t="n">
        <x:v>2</x:v>
      </x:c>
      <x:c r="U397" t="inlineStr">
        <x:is>
          <x:t xml:space="preserve">Visibility Gap</x:t>
        </x:is>
      </x:c>
      <x:c r="V397" t="inlineStr">
        <x:is>
          <x:t xml:space="preserve">Improve_Visibility</x:t>
        </x:is>
      </x:c>
      <x:c r="W397" t="inlineStr">
        <x:is>
          <x:t xml:space="preserve">N</x:t>
        </x:is>
      </x:c>
      <x:c r="Y397">
        <x:f>(S397*IF(E397="G",F397,0))+(S397*IF(G397="G",H397,0))</x:f>
      </x:c>
      <x:c r="Z397">
        <x:f>(S397*IF(E397="E",F397,0))+(S397*IF(G397="E",H397,0))</x:f>
      </x:c>
      <x:c r="AA397">
        <x:f>(S397*IF(E397="T",F397,0))+(S397*IF(G397="T",H397,0))</x:f>
      </x:c>
      <x:c r="AB397">
        <x:f>(S397*IF(E397="L",F397,0))+(S397*IF(G397="L",H397,0))</x:f>
      </x:c>
      <x:c r="AC397">
        <x:f>(S397*IF(E397="H",F397,0))+(S397*IF(G397="H",H397,0))</x:f>
      </x:c>
      <x:c r="AD397">
        <x:f>(S397*IF(E397="V",F397,0))+(S397*IF(G397="V",H397,0))</x:f>
      </x:c>
      <x:c r="AE397">
        <x:f>(S397*IF(E397="R",F397,0))+(S397*IF(G397="R",H397,0))</x:f>
      </x:c>
      <x:c r="AF397">
        <x:f>(S397*IF(E397="F",F397,0))+(S397*IF(G397="F",H397,0))</x:f>
      </x:c>
      <x:c r="AG397">
        <x:f>(S397*IF(E397="W",F397,0))+(S397*IF(G397="W",H397,0))</x:f>
      </x:c>
      <x:c r="AH397" t="inlineStr">
        <x:is>
          <x:t xml:space="preserve">6. Technical Controls</x:t>
        </x:is>
      </x:c>
      <x:c r="AI397" t="inlineStr">
        <x:is>
          <x:t xml:space="preserve">Identity &amp; Access</x:t>
        </x:is>
      </x:c>
      <x:c r="AJ397" t="inlineStr">
        <x:is>
          <x:t xml:space="preserve">PAM &amp; privileged session governance</x:t>
        </x:is>
      </x:c>
    </x:row>
    <x:row r="398">
      <x:c r="A398" t="inlineStr">
        <x:is>
          <x:t xml:space="preserve">Security</x:t>
        </x:is>
      </x:c>
      <x:c r="B398" t="inlineStr">
        <x:is>
          <x:t xml:space="preserve">SEC-D4-Q10</x:t>
        </x:is>
      </x:c>
      <x:c r="C398" t="inlineStr">
        <x:is>
          <x:t xml:space="preserve">T1</x:t>
        </x:is>
      </x:c>
      <x:c r="D398" t="inlineStr">
        <x:is>
          <x:t xml:space="preserve">4. High‑Risk Roles &amp; Privileged Monitoring</x:t>
        </x:is>
      </x:c>
      <x:c r="E398" t="inlineStr">
        <x:is>
          <x:t xml:space="preserve">V</x:t>
        </x:is>
      </x:c>
      <x:c r="F398" t="n">
        <x:v>0.6</x:v>
      </x:c>
      <x:c r="G398" t="inlineStr">
        <x:is>
          <x:t xml:space="preserve">T</x:t>
        </x:is>
      </x:c>
      <x:c r="H398" t="n">
        <x:v>0.4</x:v>
      </x:c>
      <x:c r="I398" t="inlineStr">
        <x:is>
          <x:t xml:space="preserve">Do you know which roles/accounts have the highest ability to cause harm (admins, finance approvers, HR admins), and are they monitored differently?</x:t>
        </x:is>
      </x:c>
      <x:c r="J398" t="inlineStr">
        <x:is>
          <x:t xml:space="preserve">Includes privileged IT accounts and business roles with high-impact actions (approve payments, change payroll, export customer lists).</x:t>
        </x:is>
      </x:c>
      <x:c r="L398" t="inlineStr">
        <x:is>
          <x:t xml:space="preserve">RISK_STD</x:t>
        </x:is>
      </x:c>
      <x:c r="M398" t="n">
        <x:v>1.5</x:v>
      </x:c>
      <x:c r="N398" t="n">
        <x:v>0.5</x:v>
      </x:c>
      <x:c r="P398" t="inlineStr">
        <x:is>
          <x:t xml:space="preserve">SEC-D4-Q10-A3</x:t>
        </x:is>
      </x:c>
      <x:c r="Q398" t="n">
        <x:v>3</x:v>
      </x:c>
      <x:c r="R398" t="inlineStr">
        <x:is>
          <x:t xml:space="preserve">Yes — a list exists and extra monitoring/review is applied.</x:t>
        </x:is>
      </x:c>
      <x:c r="S398" t="n">
        <x:v>3</x:v>
      </x:c>
      <x:c r="U398" t="inlineStr">
        <x:is>
          <x:t xml:space="preserve">Visibility Gap</x:t>
        </x:is>
      </x:c>
      <x:c r="V398" t="inlineStr">
        <x:is>
          <x:t xml:space="preserve">Assess_Detection</x:t>
        </x:is>
      </x:c>
      <x:c r="W398" t="inlineStr">
        <x:is>
          <x:t xml:space="preserve">Y</x:t>
        </x:is>
      </x:c>
      <x:c r="X398" t="inlineStr">
        <x:is>
          <x:t xml:space="preserve">Role list (redacted) + monitoring approach.</x:t>
        </x:is>
      </x:c>
      <x:c r="Y398">
        <x:f>(S398*IF(E398="G",F398,0))+(S398*IF(G398="G",H398,0))</x:f>
      </x:c>
      <x:c r="Z398">
        <x:f>(S398*IF(E398="E",F398,0))+(S398*IF(G398="E",H398,0))</x:f>
      </x:c>
      <x:c r="AA398">
        <x:f>(S398*IF(E398="T",F398,0))+(S398*IF(G398="T",H398,0))</x:f>
      </x:c>
      <x:c r="AB398">
        <x:f>(S398*IF(E398="L",F398,0))+(S398*IF(G398="L",H398,0))</x:f>
      </x:c>
      <x:c r="AC398">
        <x:f>(S398*IF(E398="H",F398,0))+(S398*IF(G398="H",H398,0))</x:f>
      </x:c>
      <x:c r="AD398">
        <x:f>(S398*IF(E398="V",F398,0))+(S398*IF(G398="V",H398,0))</x:f>
      </x:c>
      <x:c r="AE398">
        <x:f>(S398*IF(E398="R",F398,0))+(S398*IF(G398="R",H398,0))</x:f>
      </x:c>
      <x:c r="AF398">
        <x:f>(S398*IF(E398="F",F398,0))+(S398*IF(G398="F",H398,0))</x:f>
      </x:c>
      <x:c r="AG398">
        <x:f>(S398*IF(E398="W",F398,0))+(S398*IF(G398="W",H398,0))</x:f>
      </x:c>
      <x:c r="AH398" t="inlineStr">
        <x:is>
          <x:t xml:space="preserve">6. Technical Controls</x:t>
        </x:is>
      </x:c>
      <x:c r="AI398" t="inlineStr">
        <x:is>
          <x:t xml:space="preserve">Identity &amp; Access</x:t>
        </x:is>
      </x:c>
      <x:c r="AJ398" t="inlineStr">
        <x:is>
          <x:t xml:space="preserve">PAM &amp; privileged session governance</x:t>
        </x:is>
      </x:c>
    </x:row>
    <x:row r="399">
      <x:c r="A399" t="inlineStr">
        <x:is>
          <x:t xml:space="preserve">Security</x:t>
        </x:is>
      </x:c>
      <x:c r="B399" t="inlineStr">
        <x:is>
          <x:t xml:space="preserve">SEC-D4-Q10</x:t>
        </x:is>
      </x:c>
      <x:c r="C399" t="inlineStr">
        <x:is>
          <x:t xml:space="preserve">T1</x:t>
        </x:is>
      </x:c>
      <x:c r="D399" t="inlineStr">
        <x:is>
          <x:t xml:space="preserve">4. High‑Risk Roles &amp; Privileged Monitoring</x:t>
        </x:is>
      </x:c>
      <x:c r="E399" t="inlineStr">
        <x:is>
          <x:t xml:space="preserve">V</x:t>
        </x:is>
      </x:c>
      <x:c r="F399" t="n">
        <x:v>0.6</x:v>
      </x:c>
      <x:c r="G399" t="inlineStr">
        <x:is>
          <x:t xml:space="preserve">T</x:t>
        </x:is>
      </x:c>
      <x:c r="H399" t="n">
        <x:v>0.4</x:v>
      </x:c>
      <x:c r="I399" t="inlineStr">
        <x:is>
          <x:t xml:space="preserve">Do you know which roles/accounts have the highest ability to cause harm (admins, finance approvers, HR admins), and are they monitored differently?</x:t>
        </x:is>
      </x:c>
      <x:c r="J399" t="inlineStr">
        <x:is>
          <x:t xml:space="preserve">Includes privileged IT accounts and business roles with high-impact actions (approve payments, change payroll, export customer lists).</x:t>
        </x:is>
      </x:c>
      <x:c r="L399" t="inlineStr">
        <x:is>
          <x:t xml:space="preserve">RISK_STD</x:t>
        </x:is>
      </x:c>
      <x:c r="M399" t="n">
        <x:v>1.5</x:v>
      </x:c>
      <x:c r="N399" t="n">
        <x:v>0.5</x:v>
      </x:c>
      <x:c r="P399" t="inlineStr">
        <x:is>
          <x:t xml:space="preserve">SEC-D4-Q10-A4</x:t>
        </x:is>
      </x:c>
      <x:c r="Q399" t="n">
        <x:v>4</x:v>
      </x:c>
      <x:c r="R399" t="inlineStr">
        <x:is>
          <x:t xml:space="preserve">Optimized — risk-tiered role model linked to access reviews and detections.</x:t>
        </x:is>
      </x:c>
      <x:c r="S399" t="n">
        <x:v>4</x:v>
      </x:c>
      <x:c r="U399" t="inlineStr">
        <x:is>
          <x:t xml:space="preserve">Visibility Gap</x:t>
        </x:is>
      </x:c>
      <x:c r="V399" t="inlineStr">
        <x:is>
          <x:t xml:space="preserve">Plan_Assurance</x:t>
        </x:is>
      </x:c>
      <x:c r="W399" t="inlineStr">
        <x:is>
          <x:t xml:space="preserve">Y</x:t>
        </x:is>
      </x:c>
      <x:c r="X399" t="inlineStr">
        <x:is>
          <x:t xml:space="preserve">Latest access review output (redacted).</x:t>
        </x:is>
      </x:c>
      <x:c r="Y399">
        <x:f>(S399*IF(E399="G",F399,0))+(S399*IF(G399="G",H399,0))</x:f>
      </x:c>
      <x:c r="Z399">
        <x:f>(S399*IF(E399="E",F399,0))+(S399*IF(G399="E",H399,0))</x:f>
      </x:c>
      <x:c r="AA399">
        <x:f>(S399*IF(E399="T",F399,0))+(S399*IF(G399="T",H399,0))</x:f>
      </x:c>
      <x:c r="AB399">
        <x:f>(S399*IF(E399="L",F399,0))+(S399*IF(G399="L",H399,0))</x:f>
      </x:c>
      <x:c r="AC399">
        <x:f>(S399*IF(E399="H",F399,0))+(S399*IF(G399="H",H399,0))</x:f>
      </x:c>
      <x:c r="AD399">
        <x:f>(S399*IF(E399="V",F399,0))+(S399*IF(G399="V",H399,0))</x:f>
      </x:c>
      <x:c r="AE399">
        <x:f>(S399*IF(E399="R",F399,0))+(S399*IF(G399="R",H399,0))</x:f>
      </x:c>
      <x:c r="AF399">
        <x:f>(S399*IF(E399="F",F399,0))+(S399*IF(G399="F",H399,0))</x:f>
      </x:c>
      <x:c r="AG399">
        <x:f>(S399*IF(E399="W",F399,0))+(S399*IF(G399="W",H399,0))</x:f>
      </x:c>
      <x:c r="AH399" t="inlineStr">
        <x:is>
          <x:t xml:space="preserve">6. Technical Controls</x:t>
        </x:is>
      </x:c>
      <x:c r="AI399" t="inlineStr">
        <x:is>
          <x:t xml:space="preserve">Identity &amp; Access</x:t>
        </x:is>
      </x:c>
      <x:c r="AJ399" t="inlineStr">
        <x:is>
          <x:t xml:space="preserve">PAM &amp; privileged session governance</x:t>
        </x:is>
      </x:c>
    </x:row>
    <x:row r="400">
      <x:c r="A400" t="inlineStr">
        <x:is>
          <x:t xml:space="preserve">Security</x:t>
        </x:is>
      </x:c>
      <x:c r="B400" t="inlineStr">
        <x:is>
          <x:t xml:space="preserve">SEC-D4-Q11</x:t>
        </x:is>
      </x:c>
      <x:c r="C400" t="inlineStr">
        <x:is>
          <x:t xml:space="preserve">T2</x:t>
        </x:is>
      </x:c>
      <x:c r="D400" t="inlineStr">
        <x:is>
          <x:t xml:space="preserve">4. High‑Risk Roles &amp; Privileged Monitoring</x:t>
        </x:is>
      </x:c>
      <x:c r="E400" t="inlineStr">
        <x:is>
          <x:t xml:space="preserve">E</x:t>
        </x:is>
      </x:c>
      <x:c r="F400" t="n">
        <x:v>0.5</x:v>
      </x:c>
      <x:c r="G400" t="inlineStr">
        <x:is>
          <x:t xml:space="preserve">V</x:t>
        </x:is>
      </x:c>
      <x:c r="H400" t="n">
        <x:v>0.5</x:v>
      </x:c>
      <x:c r="I400" t="inlineStr">
        <x:is>
          <x:t xml:space="preserve">(Shadow probe) If asked today, could you quickly identify the top 10 people with broad access to sensitive systems?</x:t>
        </x:is>
      </x:c>
      <x:c r="J400" t="inlineStr">
        <x:is>
          <x:t xml:space="preserve">Checks whether 'key holders' can be found quickly (even if the process is informal).</x:t>
        </x:is>
      </x:c>
      <x:c r="L400" t="inlineStr">
        <x:is>
          <x:t xml:space="preserve">RISK_STD</x:t>
        </x:is>
      </x:c>
      <x:c r="M400" t="n">
        <x:v>1</x:v>
      </x:c>
      <x:c r="P400" t="inlineStr">
        <x:is>
          <x:t xml:space="preserve">SEC-D4-Q11-A1</x:t>
        </x:is>
      </x:c>
      <x:c r="Q400" t="n">
        <x:v>1</x:v>
      </x:c>
      <x:c r="R400" t="inlineStr">
        <x:is>
          <x:t xml:space="preserve">No — it would take weeks or would be guesswork.</x:t>
        </x:is>
      </x:c>
      <x:c r="S400" t="n">
        <x:v>0</x:v>
      </x:c>
      <x:c r="T400" t="inlineStr">
        <x:is>
          <x:t xml:space="preserve">visibility_gap</x:t>
        </x:is>
      </x:c>
      <x:c r="U400" t="inlineStr">
        <x:is>
          <x:t xml:space="preserve">Visibility Gap</x:t>
        </x:is>
      </x:c>
      <x:c r="V400" t="inlineStr">
        <x:is>
          <x:t xml:space="preserve">Improve_Visibility</x:t>
        </x:is>
      </x:c>
      <x:c r="W400" t="inlineStr">
        <x:is>
          <x:t xml:space="preserve">N</x:t>
        </x:is>
      </x:c>
      <x:c r="Y400">
        <x:f>(S400*IF(E400="G",F400,0))+(S400*IF(G400="G",H400,0))</x:f>
      </x:c>
      <x:c r="Z400">
        <x:f>(S400*IF(E400="E",F400,0))+(S400*IF(G400="E",H400,0))</x:f>
      </x:c>
      <x:c r="AA400">
        <x:f>(S400*IF(E400="T",F400,0))+(S400*IF(G400="T",H400,0))</x:f>
      </x:c>
      <x:c r="AB400">
        <x:f>(S400*IF(E400="L",F400,0))+(S400*IF(G400="L",H400,0))</x:f>
      </x:c>
      <x:c r="AC400">
        <x:f>(S400*IF(E400="H",F400,0))+(S400*IF(G400="H",H400,0))</x:f>
      </x:c>
      <x:c r="AD400">
        <x:f>(S400*IF(E400="V",F400,0))+(S400*IF(G400="V",H400,0))</x:f>
      </x:c>
      <x:c r="AE400">
        <x:f>(S400*IF(E400="R",F400,0))+(S400*IF(G400="R",H400,0))</x:f>
      </x:c>
      <x:c r="AF400">
        <x:f>(S400*IF(E400="F",F400,0))+(S400*IF(G400="F",H400,0))</x:f>
      </x:c>
      <x:c r="AG400">
        <x:f>(S400*IF(E400="W",F400,0))+(S400*IF(G400="W",H400,0))</x:f>
      </x:c>
      <x:c r="AH400" t="inlineStr">
        <x:is>
          <x:t xml:space="preserve">6. Technical Controls</x:t>
        </x:is>
      </x:c>
      <x:c r="AI400" t="inlineStr">
        <x:is>
          <x:t xml:space="preserve">Physical/OT Overlay</x:t>
        </x:is>
      </x:c>
      <x:c r="AJ400" t="inlineStr">
        <x:is>
          <x:t xml:space="preserve">Physical access governance (critical areas)</x:t>
        </x:is>
      </x:c>
    </x:row>
    <x:row r="401">
      <x:c r="A401" t="inlineStr">
        <x:is>
          <x:t xml:space="preserve">Security</x:t>
        </x:is>
      </x:c>
      <x:c r="B401" t="inlineStr">
        <x:is>
          <x:t xml:space="preserve">SEC-D4-Q11</x:t>
        </x:is>
      </x:c>
      <x:c r="C401" t="inlineStr">
        <x:is>
          <x:t xml:space="preserve">T2</x:t>
        </x:is>
      </x:c>
      <x:c r="D401" t="inlineStr">
        <x:is>
          <x:t xml:space="preserve">4. High‑Risk Roles &amp; Privileged Monitoring</x:t>
        </x:is>
      </x:c>
      <x:c r="E401" t="inlineStr">
        <x:is>
          <x:t xml:space="preserve">E</x:t>
        </x:is>
      </x:c>
      <x:c r="F401" t="n">
        <x:v>0.5</x:v>
      </x:c>
      <x:c r="G401" t="inlineStr">
        <x:is>
          <x:t xml:space="preserve">V</x:t>
        </x:is>
      </x:c>
      <x:c r="H401" t="n">
        <x:v>0.5</x:v>
      </x:c>
      <x:c r="I401" t="inlineStr">
        <x:is>
          <x:t xml:space="preserve">(Shadow probe) If asked today, could you quickly identify the top 10 people with broad access to sensitive systems?</x:t>
        </x:is>
      </x:c>
      <x:c r="J401" t="inlineStr">
        <x:is>
          <x:t xml:space="preserve">Checks whether 'key holders' can be found quickly (even if the process is informal).</x:t>
        </x:is>
      </x:c>
      <x:c r="L401" t="inlineStr">
        <x:is>
          <x:t xml:space="preserve">RISK_STD</x:t>
        </x:is>
      </x:c>
      <x:c r="M401" t="n">
        <x:v>1</x:v>
      </x:c>
      <x:c r="P401" t="inlineStr">
        <x:is>
          <x:t xml:space="preserve">SEC-D4-Q11-A2</x:t>
        </x:is>
      </x:c>
      <x:c r="Q401" t="n">
        <x:v>2</x:v>
      </x:c>
      <x:c r="R401" t="inlineStr">
        <x:is>
          <x:t xml:space="preserve">Some managers know informally, but there is no reliable list.</x:t>
        </x:is>
      </x:c>
      <x:c r="S401" t="n">
        <x:v>2</x:v>
      </x:c>
      <x:c r="T401" t="inlineStr">
        <x:is>
          <x:t xml:space="preserve">shadow_mature_signal</x:t>
        </x:is>
      </x:c>
      <x:c r="U401" t="inlineStr">
        <x:is>
          <x:t xml:space="preserve">Visibility Gap</x:t>
        </x:is>
      </x:c>
      <x:c r="V401" t="inlineStr">
        <x:is>
          <x:t xml:space="preserve">Align_On_Crown_Jewels</x:t>
        </x:is>
      </x:c>
      <x:c r="W401" t="inlineStr">
        <x:is>
          <x:t xml:space="preserve">N</x:t>
        </x:is>
      </x:c>
      <x:c r="Y401">
        <x:f>(S401*IF(E401="G",F401,0))+(S401*IF(G401="G",H401,0))</x:f>
      </x:c>
      <x:c r="Z401">
        <x:f>(S401*IF(E401="E",F401,0))+(S401*IF(G401="E",H401,0))</x:f>
      </x:c>
      <x:c r="AA401">
        <x:f>(S401*IF(E401="T",F401,0))+(S401*IF(G401="T",H401,0))</x:f>
      </x:c>
      <x:c r="AB401">
        <x:f>(S401*IF(E401="L",F401,0))+(S401*IF(G401="L",H401,0))</x:f>
      </x:c>
      <x:c r="AC401">
        <x:f>(S401*IF(E401="H",F401,0))+(S401*IF(G401="H",H401,0))</x:f>
      </x:c>
      <x:c r="AD401">
        <x:f>(S401*IF(E401="V",F401,0))+(S401*IF(G401="V",H401,0))</x:f>
      </x:c>
      <x:c r="AE401">
        <x:f>(S401*IF(E401="R",F401,0))+(S401*IF(G401="R",H401,0))</x:f>
      </x:c>
      <x:c r="AF401">
        <x:f>(S401*IF(E401="F",F401,0))+(S401*IF(G401="F",H401,0))</x:f>
      </x:c>
      <x:c r="AG401">
        <x:f>(S401*IF(E401="W",F401,0))+(S401*IF(G401="W",H401,0))</x:f>
      </x:c>
      <x:c r="AH401" t="inlineStr">
        <x:is>
          <x:t xml:space="preserve">6. Technical Controls</x:t>
        </x:is>
      </x:c>
      <x:c r="AI401" t="inlineStr">
        <x:is>
          <x:t xml:space="preserve">Physical/OT Overlay</x:t>
        </x:is>
      </x:c>
      <x:c r="AJ401" t="inlineStr">
        <x:is>
          <x:t xml:space="preserve">Physical access governance (critical areas)</x:t>
        </x:is>
      </x:c>
    </x:row>
    <x:row r="402">
      <x:c r="A402" t="inlineStr">
        <x:is>
          <x:t xml:space="preserve">Security</x:t>
        </x:is>
      </x:c>
      <x:c r="B402" t="inlineStr">
        <x:is>
          <x:t xml:space="preserve">SEC-D4-Q11</x:t>
        </x:is>
      </x:c>
      <x:c r="C402" t="inlineStr">
        <x:is>
          <x:t xml:space="preserve">T2</x:t>
        </x:is>
      </x:c>
      <x:c r="D402" t="inlineStr">
        <x:is>
          <x:t xml:space="preserve">4. High‑Risk Roles &amp; Privileged Monitoring</x:t>
        </x:is>
      </x:c>
      <x:c r="E402" t="inlineStr">
        <x:is>
          <x:t xml:space="preserve">E</x:t>
        </x:is>
      </x:c>
      <x:c r="F402" t="n">
        <x:v>0.5</x:v>
      </x:c>
      <x:c r="G402" t="inlineStr">
        <x:is>
          <x:t xml:space="preserve">V</x:t>
        </x:is>
      </x:c>
      <x:c r="H402" t="n">
        <x:v>0.5</x:v>
      </x:c>
      <x:c r="I402" t="inlineStr">
        <x:is>
          <x:t xml:space="preserve">(Shadow probe) If asked today, could you quickly identify the top 10 people with broad access to sensitive systems?</x:t>
        </x:is>
      </x:c>
      <x:c r="J402" t="inlineStr">
        <x:is>
          <x:t xml:space="preserve">Checks whether 'key holders' can be found quickly (even if the process is informal).</x:t>
        </x:is>
      </x:c>
      <x:c r="L402" t="inlineStr">
        <x:is>
          <x:t xml:space="preserve">RISK_STD</x:t>
        </x:is>
      </x:c>
      <x:c r="M402" t="n">
        <x:v>1</x:v>
      </x:c>
      <x:c r="P402" t="inlineStr">
        <x:is>
          <x:t xml:space="preserve">SEC-D4-Q11-A3</x:t>
        </x:is>
      </x:c>
      <x:c r="Q402" t="n">
        <x:v>3</x:v>
      </x:c>
      <x:c r="R402" t="inlineStr">
        <x:is>
          <x:t xml:space="preserve">Yes — we can produce a list quickly from IAM/audit data.</x:t>
        </x:is>
      </x:c>
      <x:c r="S402" t="n">
        <x:v>3</x:v>
      </x:c>
      <x:c r="U402" t="inlineStr">
        <x:is>
          <x:t xml:space="preserve">Visibility Gap</x:t>
        </x:is>
      </x:c>
      <x:c r="V402" t="inlineStr">
        <x:is>
          <x:t xml:space="preserve">Improve_Visibility</x:t>
        </x:is>
      </x:c>
      <x:c r="W402" t="inlineStr">
        <x:is>
          <x:t xml:space="preserve">Y</x:t>
        </x:is>
      </x:c>
      <x:c r="X402" t="inlineStr">
        <x:is>
          <x:t xml:space="preserve">Sample access export (redacted).</x:t>
        </x:is>
      </x:c>
      <x:c r="Y402">
        <x:f>(S402*IF(E402="G",F402,0))+(S402*IF(G402="G",H402,0))</x:f>
      </x:c>
      <x:c r="Z402">
        <x:f>(S402*IF(E402="E",F402,0))+(S402*IF(G402="E",H402,0))</x:f>
      </x:c>
      <x:c r="AA402">
        <x:f>(S402*IF(E402="T",F402,0))+(S402*IF(G402="T",H402,0))</x:f>
      </x:c>
      <x:c r="AB402">
        <x:f>(S402*IF(E402="L",F402,0))+(S402*IF(G402="L",H402,0))</x:f>
      </x:c>
      <x:c r="AC402">
        <x:f>(S402*IF(E402="H",F402,0))+(S402*IF(G402="H",H402,0))</x:f>
      </x:c>
      <x:c r="AD402">
        <x:f>(S402*IF(E402="V",F402,0))+(S402*IF(G402="V",H402,0))</x:f>
      </x:c>
      <x:c r="AE402">
        <x:f>(S402*IF(E402="R",F402,0))+(S402*IF(G402="R",H402,0))</x:f>
      </x:c>
      <x:c r="AF402">
        <x:f>(S402*IF(E402="F",F402,0))+(S402*IF(G402="F",H402,0))</x:f>
      </x:c>
      <x:c r="AG402">
        <x:f>(S402*IF(E402="W",F402,0))+(S402*IF(G402="W",H402,0))</x:f>
      </x:c>
      <x:c r="AH402" t="inlineStr">
        <x:is>
          <x:t xml:space="preserve">6. Technical Controls</x:t>
        </x:is>
      </x:c>
      <x:c r="AI402" t="inlineStr">
        <x:is>
          <x:t xml:space="preserve">Physical/OT Overlay</x:t>
        </x:is>
      </x:c>
      <x:c r="AJ402" t="inlineStr">
        <x:is>
          <x:t xml:space="preserve">Physical access governance (critical areas)</x:t>
        </x:is>
      </x:c>
    </x:row>
    <x:row r="403">
      <x:c r="A403" t="inlineStr">
        <x:is>
          <x:t xml:space="preserve">Security</x:t>
        </x:is>
      </x:c>
      <x:c r="B403" t="inlineStr">
        <x:is>
          <x:t xml:space="preserve">SEC-D4-Q12</x:t>
        </x:is>
      </x:c>
      <x:c r="C403" t="inlineStr">
        <x:is>
          <x:t xml:space="preserve">T2</x:t>
        </x:is>
      </x:c>
      <x:c r="D403" t="inlineStr">
        <x:is>
          <x:t xml:space="preserve">4. High‑Risk Roles &amp; Privileged Monitoring</x:t>
        </x:is>
      </x:c>
      <x:c r="E403" t="inlineStr">
        <x:is>
          <x:t xml:space="preserve">T</x:t>
        </x:is>
      </x:c>
      <x:c r="F403" t="n">
        <x:v>1</x:v>
      </x:c>
      <x:c r="I403" t="inlineStr">
        <x:is>
          <x:t xml:space="preserve">How are privileged/admin actions monitored and reviewed (e.g., creating accounts, changing permissions, exporting data)?</x:t>
        </x:is>
      </x:c>
      <x:c r="J403" t="inlineStr">
        <x:is>
          <x:t xml:space="preserve">We’re looking for coverage and independent review for the highest‑risk actions.</x:t>
        </x:is>
      </x:c>
      <x:c r="L403" t="inlineStr">
        <x:is>
          <x:t xml:space="preserve">OPS_STD</x:t>
        </x:is>
      </x:c>
      <x:c r="M403" t="n">
        <x:v>1.4</x:v>
      </x:c>
      <x:c r="N403" t="n">
        <x:v>0.5</x:v>
      </x:c>
      <x:c r="P403" t="inlineStr">
        <x:is>
          <x:t xml:space="preserve">SEC-D4-Q12-A1</x:t>
        </x:is>
      </x:c>
      <x:c r="Q403" t="n">
        <x:v>1</x:v>
      </x:c>
      <x:c r="R403" t="inlineStr">
        <x:is>
          <x:t xml:space="preserve">Privileged logs are not reviewed; admins are effectively exempt.</x:t>
        </x:is>
      </x:c>
      <x:c r="S403" t="n">
        <x:v>0</x:v>
      </x:c>
      <x:c r="T403" t="inlineStr">
        <x:is>
          <x:t xml:space="preserve">paper_dragon_signal</x:t>
        </x:is>
      </x:c>
      <x:c r="U403" t="inlineStr">
        <x:is>
          <x:t xml:space="preserve">Paper Dragon</x:t>
        </x:is>
      </x:c>
      <x:c r="V403" t="inlineStr">
        <x:is>
          <x:t xml:space="preserve">Assess_Detection</x:t>
        </x:is>
      </x:c>
      <x:c r="W403" t="inlineStr">
        <x:is>
          <x:t xml:space="preserve">N</x:t>
        </x:is>
      </x:c>
      <x:c r="Y403">
        <x:f>(S403*IF(E403="G",F403,0))+(S403*IF(G403="G",H403,0))</x:f>
      </x:c>
      <x:c r="Z403">
        <x:f>(S403*IF(E403="E",F403,0))+(S403*IF(G403="E",H403,0))</x:f>
      </x:c>
      <x:c r="AA403">
        <x:f>(S403*IF(E403="T",F403,0))+(S403*IF(G403="T",H403,0))</x:f>
      </x:c>
      <x:c r="AB403">
        <x:f>(S403*IF(E403="L",F403,0))+(S403*IF(G403="L",H403,0))</x:f>
      </x:c>
      <x:c r="AC403">
        <x:f>(S403*IF(E403="H",F403,0))+(S403*IF(G403="H",H403,0))</x:f>
      </x:c>
      <x:c r="AD403">
        <x:f>(S403*IF(E403="V",F403,0))+(S403*IF(G403="V",H403,0))</x:f>
      </x:c>
      <x:c r="AE403">
        <x:f>(S403*IF(E403="R",F403,0))+(S403*IF(G403="R",H403,0))</x:f>
      </x:c>
      <x:c r="AF403">
        <x:f>(S403*IF(E403="F",F403,0))+(S403*IF(G403="F",H403,0))</x:f>
      </x:c>
      <x:c r="AG403">
        <x:f>(S403*IF(E403="W",F403,0))+(S403*IF(G403="W",H403,0))</x:f>
      </x:c>
      <x:c r="AH403" t="inlineStr">
        <x:is>
          <x:t xml:space="preserve">6. Technical Controls</x:t>
        </x:is>
      </x:c>
      <x:c r="AI403" t="inlineStr">
        <x:is>
          <x:t xml:space="preserve">Identity &amp; Access</x:t>
        </x:is>
      </x:c>
      <x:c r="AJ403" t="inlineStr">
        <x:is>
          <x:t xml:space="preserve">PAM &amp; privileged session governance</x:t>
        </x:is>
      </x:c>
    </x:row>
    <x:row r="404">
      <x:c r="A404" t="inlineStr">
        <x:is>
          <x:t xml:space="preserve">Security</x:t>
        </x:is>
      </x:c>
      <x:c r="B404" t="inlineStr">
        <x:is>
          <x:t xml:space="preserve">SEC-D4-Q12</x:t>
        </x:is>
      </x:c>
      <x:c r="C404" t="inlineStr">
        <x:is>
          <x:t xml:space="preserve">T2</x:t>
        </x:is>
      </x:c>
      <x:c r="D404" t="inlineStr">
        <x:is>
          <x:t xml:space="preserve">4. High‑Risk Roles &amp; Privileged Monitoring</x:t>
        </x:is>
      </x:c>
      <x:c r="E404" t="inlineStr">
        <x:is>
          <x:t xml:space="preserve">T</x:t>
        </x:is>
      </x:c>
      <x:c r="F404" t="n">
        <x:v>1</x:v>
      </x:c>
      <x:c r="I404" t="inlineStr">
        <x:is>
          <x:t xml:space="preserve">How are privileged/admin actions monitored and reviewed (e.g., creating accounts, changing permissions, exporting data)?</x:t>
        </x:is>
      </x:c>
      <x:c r="J404" t="inlineStr">
        <x:is>
          <x:t xml:space="preserve">We’re looking for coverage and independent review for the highest‑risk actions.</x:t>
        </x:is>
      </x:c>
      <x:c r="L404" t="inlineStr">
        <x:is>
          <x:t xml:space="preserve">OPS_STD</x:t>
        </x:is>
      </x:c>
      <x:c r="M404" t="n">
        <x:v>1.4</x:v>
      </x:c>
      <x:c r="N404" t="n">
        <x:v>0.5</x:v>
      </x:c>
      <x:c r="P404" t="inlineStr">
        <x:is>
          <x:t xml:space="preserve">SEC-D4-Q12-A2</x:t>
        </x:is>
      </x:c>
      <x:c r="Q404" t="n">
        <x:v>2</x:v>
      </x:c>
      <x:c r="R404" t="inlineStr">
        <x:is>
          <x:t xml:space="preserve">Logs exist but are reviewed only after incidents.</x:t>
        </x:is>
      </x:c>
      <x:c r="S404" t="n">
        <x:v>1</x:v>
      </x:c>
      <x:c r="T404" t="inlineStr">
        <x:is>
          <x:t xml:space="preserve">paper_dragon_signal</x:t>
        </x:is>
      </x:c>
      <x:c r="U404" t="inlineStr">
        <x:is>
          <x:t xml:space="preserve">Paper Dragon</x:t>
        </x:is>
      </x:c>
      <x:c r="V404" t="inlineStr">
        <x:is>
          <x:t xml:space="preserve">Assess_Detection</x:t>
        </x:is>
      </x:c>
      <x:c r="W404" t="inlineStr">
        <x:is>
          <x:t xml:space="preserve">N</x:t>
        </x:is>
      </x:c>
      <x:c r="Y404">
        <x:f>(S404*IF(E404="G",F404,0))+(S404*IF(G404="G",H404,0))</x:f>
      </x:c>
      <x:c r="Z404">
        <x:f>(S404*IF(E404="E",F404,0))+(S404*IF(G404="E",H404,0))</x:f>
      </x:c>
      <x:c r="AA404">
        <x:f>(S404*IF(E404="T",F404,0))+(S404*IF(G404="T",H404,0))</x:f>
      </x:c>
      <x:c r="AB404">
        <x:f>(S404*IF(E404="L",F404,0))+(S404*IF(G404="L",H404,0))</x:f>
      </x:c>
      <x:c r="AC404">
        <x:f>(S404*IF(E404="H",F404,0))+(S404*IF(G404="H",H404,0))</x:f>
      </x:c>
      <x:c r="AD404">
        <x:f>(S404*IF(E404="V",F404,0))+(S404*IF(G404="V",H404,0))</x:f>
      </x:c>
      <x:c r="AE404">
        <x:f>(S404*IF(E404="R",F404,0))+(S404*IF(G404="R",H404,0))</x:f>
      </x:c>
      <x:c r="AF404">
        <x:f>(S404*IF(E404="F",F404,0))+(S404*IF(G404="F",H404,0))</x:f>
      </x:c>
      <x:c r="AG404">
        <x:f>(S404*IF(E404="W",F404,0))+(S404*IF(G404="W",H404,0))</x:f>
      </x:c>
      <x:c r="AH404" t="inlineStr">
        <x:is>
          <x:t xml:space="preserve">6. Technical Controls</x:t>
        </x:is>
      </x:c>
      <x:c r="AI404" t="inlineStr">
        <x:is>
          <x:t xml:space="preserve">Identity &amp; Access</x:t>
        </x:is>
      </x:c>
      <x:c r="AJ404" t="inlineStr">
        <x:is>
          <x:t xml:space="preserve">PAM &amp; privileged session governance</x:t>
        </x:is>
      </x:c>
    </x:row>
    <x:row r="405">
      <x:c r="A405" t="inlineStr">
        <x:is>
          <x:t xml:space="preserve">Security</x:t>
        </x:is>
      </x:c>
      <x:c r="B405" t="inlineStr">
        <x:is>
          <x:t xml:space="preserve">SEC-D4-Q12</x:t>
        </x:is>
      </x:c>
      <x:c r="C405" t="inlineStr">
        <x:is>
          <x:t xml:space="preserve">T2</x:t>
        </x:is>
      </x:c>
      <x:c r="D405" t="inlineStr">
        <x:is>
          <x:t xml:space="preserve">4. High‑Risk Roles &amp; Privileged Monitoring</x:t>
        </x:is>
      </x:c>
      <x:c r="E405" t="inlineStr">
        <x:is>
          <x:t xml:space="preserve">T</x:t>
        </x:is>
      </x:c>
      <x:c r="F405" t="n">
        <x:v>1</x:v>
      </x:c>
      <x:c r="I405" t="inlineStr">
        <x:is>
          <x:t xml:space="preserve">How are privileged/admin actions monitored and reviewed (e.g., creating accounts, changing permissions, exporting data)?</x:t>
        </x:is>
      </x:c>
      <x:c r="J405" t="inlineStr">
        <x:is>
          <x:t xml:space="preserve">We’re looking for coverage and independent review for the highest‑risk actions.</x:t>
        </x:is>
      </x:c>
      <x:c r="L405" t="inlineStr">
        <x:is>
          <x:t xml:space="preserve">OPS_STD</x:t>
        </x:is>
      </x:c>
      <x:c r="M405" t="n">
        <x:v>1.4</x:v>
      </x:c>
      <x:c r="N405" t="n">
        <x:v>0.5</x:v>
      </x:c>
      <x:c r="P405" t="inlineStr">
        <x:is>
          <x:t xml:space="preserve">SEC-D4-Q12-A3</x:t>
        </x:is>
      </x:c>
      <x:c r="Q405" t="n">
        <x:v>3</x:v>
      </x:c>
      <x:c r="R405" t="inlineStr">
        <x:is>
          <x:t xml:space="preserve">Regular review exists, but it depends on the same admins who have the access.</x:t>
        </x:is>
      </x:c>
      <x:c r="S405" t="n">
        <x:v>2</x:v>
      </x:c>
      <x:c r="U405" t="inlineStr">
        <x:is>
          <x:t xml:space="preserve">Operating Model Gap</x:t>
        </x:is>
      </x:c>
      <x:c r="V405" t="inlineStr">
        <x:is>
          <x:t xml:space="preserve">Align_Policy_To_Reality</x:t>
        </x:is>
      </x:c>
      <x:c r="W405" t="inlineStr">
        <x:is>
          <x:t xml:space="preserve">N</x:t>
        </x:is>
      </x:c>
      <x:c r="Y405">
        <x:f>(S405*IF(E405="G",F405,0))+(S405*IF(G405="G",H405,0))</x:f>
      </x:c>
      <x:c r="Z405">
        <x:f>(S405*IF(E405="E",F405,0))+(S405*IF(G405="E",H405,0))</x:f>
      </x:c>
      <x:c r="AA405">
        <x:f>(S405*IF(E405="T",F405,0))+(S405*IF(G405="T",H405,0))</x:f>
      </x:c>
      <x:c r="AB405">
        <x:f>(S405*IF(E405="L",F405,0))+(S405*IF(G405="L",H405,0))</x:f>
      </x:c>
      <x:c r="AC405">
        <x:f>(S405*IF(E405="H",F405,0))+(S405*IF(G405="H",H405,0))</x:f>
      </x:c>
      <x:c r="AD405">
        <x:f>(S405*IF(E405="V",F405,0))+(S405*IF(G405="V",H405,0))</x:f>
      </x:c>
      <x:c r="AE405">
        <x:f>(S405*IF(E405="R",F405,0))+(S405*IF(G405="R",H405,0))</x:f>
      </x:c>
      <x:c r="AF405">
        <x:f>(S405*IF(E405="F",F405,0))+(S405*IF(G405="F",H405,0))</x:f>
      </x:c>
      <x:c r="AG405">
        <x:f>(S405*IF(E405="W",F405,0))+(S405*IF(G405="W",H405,0))</x:f>
      </x:c>
      <x:c r="AH405" t="inlineStr">
        <x:is>
          <x:t xml:space="preserve">6. Technical Controls</x:t>
        </x:is>
      </x:c>
      <x:c r="AI405" t="inlineStr">
        <x:is>
          <x:t xml:space="preserve">Identity &amp; Access</x:t>
        </x:is>
      </x:c>
      <x:c r="AJ405" t="inlineStr">
        <x:is>
          <x:t xml:space="preserve">PAM &amp; privileged session governance</x:t>
        </x:is>
      </x:c>
    </x:row>
    <x:row r="406">
      <x:c r="A406" t="inlineStr">
        <x:is>
          <x:t xml:space="preserve">Security</x:t>
        </x:is>
      </x:c>
      <x:c r="B406" t="inlineStr">
        <x:is>
          <x:t xml:space="preserve">SEC-D4-Q12</x:t>
        </x:is>
      </x:c>
      <x:c r="C406" t="inlineStr">
        <x:is>
          <x:t xml:space="preserve">T2</x:t>
        </x:is>
      </x:c>
      <x:c r="D406" t="inlineStr">
        <x:is>
          <x:t xml:space="preserve">4. High‑Risk Roles &amp; Privileged Monitoring</x:t>
        </x:is>
      </x:c>
      <x:c r="E406" t="inlineStr">
        <x:is>
          <x:t xml:space="preserve">T</x:t>
        </x:is>
      </x:c>
      <x:c r="F406" t="n">
        <x:v>1</x:v>
      </x:c>
      <x:c r="I406" t="inlineStr">
        <x:is>
          <x:t xml:space="preserve">How are privileged/admin actions monitored and reviewed (e.g., creating accounts, changing permissions, exporting data)?</x:t>
        </x:is>
      </x:c>
      <x:c r="J406" t="inlineStr">
        <x:is>
          <x:t xml:space="preserve">We’re looking for coverage and independent review for the highest‑risk actions.</x:t>
        </x:is>
      </x:c>
      <x:c r="L406" t="inlineStr">
        <x:is>
          <x:t xml:space="preserve">OPS_STD</x:t>
        </x:is>
      </x:c>
      <x:c r="M406" t="n">
        <x:v>1.4</x:v>
      </x:c>
      <x:c r="N406" t="n">
        <x:v>0.5</x:v>
      </x:c>
      <x:c r="P406" t="inlineStr">
        <x:is>
          <x:t xml:space="preserve">SEC-D4-Q12-A4</x:t>
        </x:is>
      </x:c>
      <x:c r="Q406" t="n">
        <x:v>4</x:v>
      </x:c>
      <x:c r="R406" t="inlineStr">
        <x:is>
          <x:t xml:space="preserve">Independent review by Security (or separate team) for high‑risk privileged actions.</x:t>
        </x:is>
      </x:c>
      <x:c r="S406" t="n">
        <x:v>3</x:v>
      </x:c>
      <x:c r="U406" t="inlineStr">
        <x:is>
          <x:t xml:space="preserve">Resilience Gap</x:t>
        </x:is>
      </x:c>
      <x:c r="V406" t="inlineStr">
        <x:is>
          <x:t xml:space="preserve">Plan_Assurance</x:t>
        </x:is>
      </x:c>
      <x:c r="W406" t="inlineStr">
        <x:is>
          <x:t xml:space="preserve">Y</x:t>
        </x:is>
      </x:c>
      <x:c r="X406" t="inlineStr">
        <x:is>
          <x:t xml:space="preserve">Review evidence (redacted).</x:t>
        </x:is>
      </x:c>
      <x:c r="Y406">
        <x:f>(S406*IF(E406="G",F406,0))+(S406*IF(G406="G",H406,0))</x:f>
      </x:c>
      <x:c r="Z406">
        <x:f>(S406*IF(E406="E",F406,0))+(S406*IF(G406="E",H406,0))</x:f>
      </x:c>
      <x:c r="AA406">
        <x:f>(S406*IF(E406="T",F406,0))+(S406*IF(G406="T",H406,0))</x:f>
      </x:c>
      <x:c r="AB406">
        <x:f>(S406*IF(E406="L",F406,0))+(S406*IF(G406="L",H406,0))</x:f>
      </x:c>
      <x:c r="AC406">
        <x:f>(S406*IF(E406="H",F406,0))+(S406*IF(G406="H",H406,0))</x:f>
      </x:c>
      <x:c r="AD406">
        <x:f>(S406*IF(E406="V",F406,0))+(S406*IF(G406="V",H406,0))</x:f>
      </x:c>
      <x:c r="AE406">
        <x:f>(S406*IF(E406="R",F406,0))+(S406*IF(G406="R",H406,0))</x:f>
      </x:c>
      <x:c r="AF406">
        <x:f>(S406*IF(E406="F",F406,0))+(S406*IF(G406="F",H406,0))</x:f>
      </x:c>
      <x:c r="AG406">
        <x:f>(S406*IF(E406="W",F406,0))+(S406*IF(G406="W",H406,0))</x:f>
      </x:c>
      <x:c r="AH406" t="inlineStr">
        <x:is>
          <x:t xml:space="preserve">6. Technical Controls</x:t>
        </x:is>
      </x:c>
      <x:c r="AI406" t="inlineStr">
        <x:is>
          <x:t xml:space="preserve">Identity &amp; Access</x:t>
        </x:is>
      </x:c>
      <x:c r="AJ406" t="inlineStr">
        <x:is>
          <x:t xml:space="preserve">PAM &amp; privileged session governance</x:t>
        </x:is>
      </x:c>
    </x:row>
    <x:row r="407">
      <x:c r="A407" t="inlineStr">
        <x:is>
          <x:t xml:space="preserve">Security</x:t>
        </x:is>
      </x:c>
      <x:c r="B407" t="inlineStr">
        <x:is>
          <x:t xml:space="preserve">SEC-D4-Q12</x:t>
        </x:is>
      </x:c>
      <x:c r="C407" t="inlineStr">
        <x:is>
          <x:t xml:space="preserve">T2</x:t>
        </x:is>
      </x:c>
      <x:c r="D407" t="inlineStr">
        <x:is>
          <x:t xml:space="preserve">4. High‑Risk Roles &amp; Privileged Monitoring</x:t>
        </x:is>
      </x:c>
      <x:c r="E407" t="inlineStr">
        <x:is>
          <x:t xml:space="preserve">T</x:t>
        </x:is>
      </x:c>
      <x:c r="F407" t="n">
        <x:v>1</x:v>
      </x:c>
      <x:c r="I407" t="inlineStr">
        <x:is>
          <x:t xml:space="preserve">How are privileged/admin actions monitored and reviewed (e.g., creating accounts, changing permissions, exporting data)?</x:t>
        </x:is>
      </x:c>
      <x:c r="J407" t="inlineStr">
        <x:is>
          <x:t xml:space="preserve">We’re looking for coverage and independent review for the highest‑risk actions.</x:t>
        </x:is>
      </x:c>
      <x:c r="L407" t="inlineStr">
        <x:is>
          <x:t xml:space="preserve">OPS_STD</x:t>
        </x:is>
      </x:c>
      <x:c r="M407" t="n">
        <x:v>1.4</x:v>
      </x:c>
      <x:c r="N407" t="n">
        <x:v>0.5</x:v>
      </x:c>
      <x:c r="P407" t="inlineStr">
        <x:is>
          <x:t xml:space="preserve">SEC-D4-Q12-A5</x:t>
        </x:is>
      </x:c>
      <x:c r="Q407" t="n">
        <x:v>5</x:v>
      </x:c>
      <x:c r="R407" t="inlineStr">
        <x:is>
          <x:t xml:space="preserve">Optimized: tiered privileged monitoring + 'four‑eyes' for critical actions + anomaly alerting.</x:t>
        </x:is>
      </x:c>
      <x:c r="S407" t="n">
        <x:v>4</x:v>
      </x:c>
      <x:c r="U407" t="inlineStr">
        <x:is>
          <x:t xml:space="preserve">Resilience Gap</x:t>
        </x:is>
      </x:c>
      <x:c r="V407" t="inlineStr">
        <x:is>
          <x:t xml:space="preserve">Plan_Assurance</x:t>
        </x:is>
      </x:c>
      <x:c r="W407" t="inlineStr">
        <x:is>
          <x:t xml:space="preserve">Y</x:t>
        </x:is>
      </x:c>
      <x:c r="X407" t="inlineStr">
        <x:is>
          <x:t xml:space="preserve">Covered actions list + sample alert.</x:t>
        </x:is>
      </x:c>
      <x:c r="Y407">
        <x:f>(S407*IF(E407="G",F407,0))+(S407*IF(G407="G",H407,0))</x:f>
      </x:c>
      <x:c r="Z407">
        <x:f>(S407*IF(E407="E",F407,0))+(S407*IF(G407="E",H407,0))</x:f>
      </x:c>
      <x:c r="AA407">
        <x:f>(S407*IF(E407="T",F407,0))+(S407*IF(G407="T",H407,0))</x:f>
      </x:c>
      <x:c r="AB407">
        <x:f>(S407*IF(E407="L",F407,0))+(S407*IF(G407="L",H407,0))</x:f>
      </x:c>
      <x:c r="AC407">
        <x:f>(S407*IF(E407="H",F407,0))+(S407*IF(G407="H",H407,0))</x:f>
      </x:c>
      <x:c r="AD407">
        <x:f>(S407*IF(E407="V",F407,0))+(S407*IF(G407="V",H407,0))</x:f>
      </x:c>
      <x:c r="AE407">
        <x:f>(S407*IF(E407="R",F407,0))+(S407*IF(G407="R",H407,0))</x:f>
      </x:c>
      <x:c r="AF407">
        <x:f>(S407*IF(E407="F",F407,0))+(S407*IF(G407="F",H407,0))</x:f>
      </x:c>
      <x:c r="AG407">
        <x:f>(S407*IF(E407="W",F407,0))+(S407*IF(G407="W",H407,0))</x:f>
      </x:c>
      <x:c r="AH407" t="inlineStr">
        <x:is>
          <x:t xml:space="preserve">6. Technical Controls</x:t>
        </x:is>
      </x:c>
      <x:c r="AI407" t="inlineStr">
        <x:is>
          <x:t xml:space="preserve">Identity &amp; Access</x:t>
        </x:is>
      </x:c>
      <x:c r="AJ407" t="inlineStr">
        <x:is>
          <x:t xml:space="preserve">PAM &amp; privileged session governance</x:t>
        </x:is>
      </x:c>
    </x:row>
    <x:row r="408">
      <x:c r="A408" t="inlineStr">
        <x:is>
          <x:t xml:space="preserve">Security</x:t>
        </x:is>
      </x:c>
      <x:c r="B408" t="inlineStr">
        <x:is>
          <x:t xml:space="preserve">SEC-D5-Q13</x:t>
        </x:is>
      </x:c>
      <x:c r="C408" t="inlineStr">
        <x:is>
          <x:t xml:space="preserve">T1</x:t>
        </x:is>
      </x:c>
      <x:c r="D408" t="inlineStr">
        <x:is>
          <x:t xml:space="preserve">5. Investigations &amp; Case Management</x:t>
        </x:is>
      </x:c>
      <x:c r="E408" t="inlineStr">
        <x:is>
          <x:t xml:space="preserve">R</x:t>
        </x:is>
      </x:c>
      <x:c r="F408" t="n">
        <x:v>0.6</x:v>
      </x:c>
      <x:c r="G408" t="inlineStr">
        <x:is>
          <x:t xml:space="preserve">E</x:t>
        </x:is>
      </x:c>
      <x:c r="H408" t="n">
        <x:v>0.4</x:v>
      </x:c>
      <x:c r="I408" t="inlineStr">
        <x:is>
          <x:t xml:space="preserve">When an internal misuse concern is raised, do you have a consistent cross‑functional investigation process (Security + HR + Legal/Privacy)?</x:t>
        </x:is>
      </x:c>
      <x:c r="J408" t="inlineStr">
        <x:is>
          <x:t xml:space="preserve">We mean a repeatable process with clear steps, not necessarily a separate insider threat team.</x:t>
        </x:is>
      </x:c>
      <x:c r="L408" t="inlineStr">
        <x:is>
          <x:t xml:space="preserve">OPS_STD</x:t>
        </x:is>
      </x:c>
      <x:c r="M408" t="n">
        <x:v>1.5</x:v>
      </x:c>
      <x:c r="N408" t="n">
        <x:v>0.5</x:v>
      </x:c>
      <x:c r="P408" t="inlineStr">
        <x:is>
          <x:t xml:space="preserve">SEC-D5-Q13-A1</x:t>
        </x:is>
      </x:c>
      <x:c r="Q408" t="n">
        <x:v>1</x:v>
      </x:c>
      <x:c r="R408" t="inlineStr">
        <x:is>
          <x:t xml:space="preserve">No — each case is handled differently and coordination is ad‑hoc.</x:t>
        </x:is>
      </x:c>
      <x:c r="S408" t="n">
        <x:v>0</x:v>
      </x:c>
      <x:c r="U408" t="inlineStr">
        <x:is>
          <x:t xml:space="preserve">Operating Model Gap</x:t>
        </x:is>
      </x:c>
      <x:c r="V408" t="inlineStr">
        <x:is>
          <x:t xml:space="preserve">Assess_Case_Model</x:t>
        </x:is>
      </x:c>
      <x:c r="W408" t="inlineStr">
        <x:is>
          <x:t xml:space="preserve">N</x:t>
        </x:is>
      </x:c>
      <x:c r="Y408">
        <x:f>(S408*IF(E408="G",F408,0))+(S408*IF(G408="G",H408,0))</x:f>
      </x:c>
      <x:c r="Z408">
        <x:f>(S408*IF(E408="E",F408,0))+(S408*IF(G408="E",H408,0))</x:f>
      </x:c>
      <x:c r="AA408">
        <x:f>(S408*IF(E408="T",F408,0))+(S408*IF(G408="T",H408,0))</x:f>
      </x:c>
      <x:c r="AB408">
        <x:f>(S408*IF(E408="L",F408,0))+(S408*IF(G408="L",H408,0))</x:f>
      </x:c>
      <x:c r="AC408">
        <x:f>(S408*IF(E408="H",F408,0))+(S408*IF(G408="H",H408,0))</x:f>
      </x:c>
      <x:c r="AD408">
        <x:f>(S408*IF(E408="V",F408,0))+(S408*IF(G408="V",H408,0))</x:f>
      </x:c>
      <x:c r="AE408">
        <x:f>(S408*IF(E408="R",F408,0))+(S408*IF(G408="R",H408,0))</x:f>
      </x:c>
      <x:c r="AF408">
        <x:f>(S408*IF(E408="F",F408,0))+(S408*IF(G408="F",H408,0))</x:f>
      </x:c>
      <x:c r="AG408">
        <x:f>(S408*IF(E408="W",F408,0))+(S408*IF(G408="W",H408,0))</x:f>
      </x:c>
      <x:c r="AH408" t="inlineStr">
        <x:is>
          <x:t xml:space="preserve">1. Strategy &amp; Governance</x:t>
        </x:is>
      </x:c>
      <x:c r="AI408" t="inlineStr">
        <x:is>
          <x:t xml:space="preserve">Organization &amp; RACI</x:t>
        </x:is>
      </x:c>
      <x:c r="AJ408" t="inlineStr">
        <x:is>
          <x:t xml:space="preserve">Cross-functional steering committee</x:t>
        </x:is>
      </x:c>
    </x:row>
    <x:row r="409">
      <x:c r="A409" t="inlineStr">
        <x:is>
          <x:t xml:space="preserve">Security</x:t>
        </x:is>
      </x:c>
      <x:c r="B409" t="inlineStr">
        <x:is>
          <x:t xml:space="preserve">SEC-D5-Q13</x:t>
        </x:is>
      </x:c>
      <x:c r="C409" t="inlineStr">
        <x:is>
          <x:t xml:space="preserve">T1</x:t>
        </x:is>
      </x:c>
      <x:c r="D409" t="inlineStr">
        <x:is>
          <x:t xml:space="preserve">5. Investigations &amp; Case Management</x:t>
        </x:is>
      </x:c>
      <x:c r="E409" t="inlineStr">
        <x:is>
          <x:t xml:space="preserve">R</x:t>
        </x:is>
      </x:c>
      <x:c r="F409" t="n">
        <x:v>0.6</x:v>
      </x:c>
      <x:c r="G409" t="inlineStr">
        <x:is>
          <x:t xml:space="preserve">E</x:t>
        </x:is>
      </x:c>
      <x:c r="H409" t="n">
        <x:v>0.4</x:v>
      </x:c>
      <x:c r="I409" t="inlineStr">
        <x:is>
          <x:t xml:space="preserve">When an internal misuse concern is raised, do you have a consistent cross‑functional investigation process (Security + HR + Legal/Privacy)?</x:t>
        </x:is>
      </x:c>
      <x:c r="J409" t="inlineStr">
        <x:is>
          <x:t xml:space="preserve">We mean a repeatable process with clear steps, not necessarily a separate insider threat team.</x:t>
        </x:is>
      </x:c>
      <x:c r="L409" t="inlineStr">
        <x:is>
          <x:t xml:space="preserve">OPS_STD</x:t>
        </x:is>
      </x:c>
      <x:c r="M409" t="n">
        <x:v>1.5</x:v>
      </x:c>
      <x:c r="N409" t="n">
        <x:v>0.5</x:v>
      </x:c>
      <x:c r="P409" t="inlineStr">
        <x:is>
          <x:t xml:space="preserve">SEC-D5-Q13-A2</x:t>
        </x:is>
      </x:c>
      <x:c r="Q409" t="n">
        <x:v>2</x:v>
      </x:c>
      <x:c r="R409" t="inlineStr">
        <x:is>
          <x:t xml:space="preserve">Some coordination happens, but roles/timelines are unclear and decisions stall.</x:t>
        </x:is>
      </x:c>
      <x:c r="S409" t="n">
        <x:v>2</x:v>
      </x:c>
      <x:c r="U409" t="inlineStr">
        <x:is>
          <x:t xml:space="preserve">Operating Model Gap</x:t>
        </x:is>
      </x:c>
      <x:c r="V409" t="inlineStr">
        <x:is>
          <x:t xml:space="preserve">Assess_Case_Model</x:t>
        </x:is>
      </x:c>
      <x:c r="W409" t="inlineStr">
        <x:is>
          <x:t xml:space="preserve">N</x:t>
        </x:is>
      </x:c>
      <x:c r="Y409">
        <x:f>(S409*IF(E409="G",F409,0))+(S409*IF(G409="G",H409,0))</x:f>
      </x:c>
      <x:c r="Z409">
        <x:f>(S409*IF(E409="E",F409,0))+(S409*IF(G409="E",H409,0))</x:f>
      </x:c>
      <x:c r="AA409">
        <x:f>(S409*IF(E409="T",F409,0))+(S409*IF(G409="T",H409,0))</x:f>
      </x:c>
      <x:c r="AB409">
        <x:f>(S409*IF(E409="L",F409,0))+(S409*IF(G409="L",H409,0))</x:f>
      </x:c>
      <x:c r="AC409">
        <x:f>(S409*IF(E409="H",F409,0))+(S409*IF(G409="H",H409,0))</x:f>
      </x:c>
      <x:c r="AD409">
        <x:f>(S409*IF(E409="V",F409,0))+(S409*IF(G409="V",H409,0))</x:f>
      </x:c>
      <x:c r="AE409">
        <x:f>(S409*IF(E409="R",F409,0))+(S409*IF(G409="R",H409,0))</x:f>
      </x:c>
      <x:c r="AF409">
        <x:f>(S409*IF(E409="F",F409,0))+(S409*IF(G409="F",H409,0))</x:f>
      </x:c>
      <x:c r="AG409">
        <x:f>(S409*IF(E409="W",F409,0))+(S409*IF(G409="W",H409,0))</x:f>
      </x:c>
      <x:c r="AH409" t="inlineStr">
        <x:is>
          <x:t xml:space="preserve">1. Strategy &amp; Governance</x:t>
        </x:is>
      </x:c>
      <x:c r="AI409" t="inlineStr">
        <x:is>
          <x:t xml:space="preserve">Organization &amp; RACI</x:t>
        </x:is>
      </x:c>
      <x:c r="AJ409" t="inlineStr">
        <x:is>
          <x:t xml:space="preserve">Cross-functional steering committee</x:t>
        </x:is>
      </x:c>
    </x:row>
    <x:row r="410">
      <x:c r="A410" t="inlineStr">
        <x:is>
          <x:t xml:space="preserve">Security</x:t>
        </x:is>
      </x:c>
      <x:c r="B410" t="inlineStr">
        <x:is>
          <x:t xml:space="preserve">SEC-D5-Q13</x:t>
        </x:is>
      </x:c>
      <x:c r="C410" t="inlineStr">
        <x:is>
          <x:t xml:space="preserve">T1</x:t>
        </x:is>
      </x:c>
      <x:c r="D410" t="inlineStr">
        <x:is>
          <x:t xml:space="preserve">5. Investigations &amp; Case Management</x:t>
        </x:is>
      </x:c>
      <x:c r="E410" t="inlineStr">
        <x:is>
          <x:t xml:space="preserve">R</x:t>
        </x:is>
      </x:c>
      <x:c r="F410" t="n">
        <x:v>0.6</x:v>
      </x:c>
      <x:c r="G410" t="inlineStr">
        <x:is>
          <x:t xml:space="preserve">E</x:t>
        </x:is>
      </x:c>
      <x:c r="H410" t="n">
        <x:v>0.4</x:v>
      </x:c>
      <x:c r="I410" t="inlineStr">
        <x:is>
          <x:t xml:space="preserve">When an internal misuse concern is raised, do you have a consistent cross‑functional investigation process (Security + HR + Legal/Privacy)?</x:t>
        </x:is>
      </x:c>
      <x:c r="J410" t="inlineStr">
        <x:is>
          <x:t xml:space="preserve">We mean a repeatable process with clear steps, not necessarily a separate insider threat team.</x:t>
        </x:is>
      </x:c>
      <x:c r="L410" t="inlineStr">
        <x:is>
          <x:t xml:space="preserve">OPS_STD</x:t>
        </x:is>
      </x:c>
      <x:c r="M410" t="n">
        <x:v>1.5</x:v>
      </x:c>
      <x:c r="N410" t="n">
        <x:v>0.5</x:v>
      </x:c>
      <x:c r="P410" t="inlineStr">
        <x:is>
          <x:t xml:space="preserve">SEC-D5-Q13-A3</x:t>
        </x:is>
      </x:c>
      <x:c r="Q410" t="n">
        <x:v>3</x:v>
      </x:c>
      <x:c r="R410" t="inlineStr">
        <x:is>
          <x:t xml:space="preserve">Yes — defined process and named contacts exist and are used for most cases.</x:t>
        </x:is>
      </x:c>
      <x:c r="S410" t="n">
        <x:v>3</x:v>
      </x:c>
      <x:c r="U410" t="inlineStr">
        <x:is>
          <x:t xml:space="preserve">Resilience Gap</x:t>
        </x:is>
      </x:c>
      <x:c r="V410" t="inlineStr">
        <x:is>
          <x:t xml:space="preserve">Insider_Playbooks</x:t>
        </x:is>
      </x:c>
      <x:c r="W410" t="inlineStr">
        <x:is>
          <x:t xml:space="preserve">Y</x:t>
        </x:is>
      </x:c>
      <x:c r="X410" t="inlineStr">
        <x:is>
          <x:t xml:space="preserve">Process doc + recent case timeline (redacted).</x:t>
        </x:is>
      </x:c>
      <x:c r="Y410">
        <x:f>(S410*IF(E410="G",F410,0))+(S410*IF(G410="G",H410,0))</x:f>
      </x:c>
      <x:c r="Z410">
        <x:f>(S410*IF(E410="E",F410,0))+(S410*IF(G410="E",H410,0))</x:f>
      </x:c>
      <x:c r="AA410">
        <x:f>(S410*IF(E410="T",F410,0))+(S410*IF(G410="T",H410,0))</x:f>
      </x:c>
      <x:c r="AB410">
        <x:f>(S410*IF(E410="L",F410,0))+(S410*IF(G410="L",H410,0))</x:f>
      </x:c>
      <x:c r="AC410">
        <x:f>(S410*IF(E410="H",F410,0))+(S410*IF(G410="H",H410,0))</x:f>
      </x:c>
      <x:c r="AD410">
        <x:f>(S410*IF(E410="V",F410,0))+(S410*IF(G410="V",H410,0))</x:f>
      </x:c>
      <x:c r="AE410">
        <x:f>(S410*IF(E410="R",F410,0))+(S410*IF(G410="R",H410,0))</x:f>
      </x:c>
      <x:c r="AF410">
        <x:f>(S410*IF(E410="F",F410,0))+(S410*IF(G410="F",H410,0))</x:f>
      </x:c>
      <x:c r="AG410">
        <x:f>(S410*IF(E410="W",F410,0))+(S410*IF(G410="W",H410,0))</x:f>
      </x:c>
      <x:c r="AH410" t="inlineStr">
        <x:is>
          <x:t xml:space="preserve">1. Strategy &amp; Governance</x:t>
        </x:is>
      </x:c>
      <x:c r="AI410" t="inlineStr">
        <x:is>
          <x:t xml:space="preserve">Organization &amp; RACI</x:t>
        </x:is>
      </x:c>
      <x:c r="AJ410" t="inlineStr">
        <x:is>
          <x:t xml:space="preserve">Cross-functional steering committee</x:t>
        </x:is>
      </x:c>
    </x:row>
    <x:row r="411">
      <x:c r="A411" t="inlineStr">
        <x:is>
          <x:t xml:space="preserve">Security</x:t>
        </x:is>
      </x:c>
      <x:c r="B411" t="inlineStr">
        <x:is>
          <x:t xml:space="preserve">SEC-D5-Q13</x:t>
        </x:is>
      </x:c>
      <x:c r="C411" t="inlineStr">
        <x:is>
          <x:t xml:space="preserve">T1</x:t>
        </x:is>
      </x:c>
      <x:c r="D411" t="inlineStr">
        <x:is>
          <x:t xml:space="preserve">5. Investigations &amp; Case Management</x:t>
        </x:is>
      </x:c>
      <x:c r="E411" t="inlineStr">
        <x:is>
          <x:t xml:space="preserve">R</x:t>
        </x:is>
      </x:c>
      <x:c r="F411" t="n">
        <x:v>0.6</x:v>
      </x:c>
      <x:c r="G411" t="inlineStr">
        <x:is>
          <x:t xml:space="preserve">E</x:t>
        </x:is>
      </x:c>
      <x:c r="H411" t="n">
        <x:v>0.4</x:v>
      </x:c>
      <x:c r="I411" t="inlineStr">
        <x:is>
          <x:t xml:space="preserve">When an internal misuse concern is raised, do you have a consistent cross‑functional investigation process (Security + HR + Legal/Privacy)?</x:t>
        </x:is>
      </x:c>
      <x:c r="J411" t="inlineStr">
        <x:is>
          <x:t xml:space="preserve">We mean a repeatable process with clear steps, not necessarily a separate insider threat team.</x:t>
        </x:is>
      </x:c>
      <x:c r="L411" t="inlineStr">
        <x:is>
          <x:t xml:space="preserve">OPS_STD</x:t>
        </x:is>
      </x:c>
      <x:c r="M411" t="n">
        <x:v>1.5</x:v>
      </x:c>
      <x:c r="N411" t="n">
        <x:v>0.5</x:v>
      </x:c>
      <x:c r="P411" t="inlineStr">
        <x:is>
          <x:t xml:space="preserve">SEC-D5-Q13-A4</x:t>
        </x:is>
      </x:c>
      <x:c r="Q411" t="n">
        <x:v>4</x:v>
      </x:c>
      <x:c r="R411" t="inlineStr">
        <x:is>
          <x:t xml:space="preserve">Optimized: unified case management with auditable decisions and periodic reviews.</x:t>
        </x:is>
      </x:c>
      <x:c r="S411" t="n">
        <x:v>4</x:v>
      </x:c>
      <x:c r="U411" t="inlineStr">
        <x:is>
          <x:t xml:space="preserve">Resilience Gap</x:t>
        </x:is>
      </x:c>
      <x:c r="V411" t="inlineStr">
        <x:is>
          <x:t xml:space="preserve">Improve_Metrics</x:t>
        </x:is>
      </x:c>
      <x:c r="W411" t="inlineStr">
        <x:is>
          <x:t xml:space="preserve">Y</x:t>
        </x:is>
      </x:c>
      <x:c r="X411" t="inlineStr">
        <x:is>
          <x:t xml:space="preserve">Case system screenshot (redacted).</x:t>
        </x:is>
      </x:c>
      <x:c r="Y411">
        <x:f>(S411*IF(E411="G",F411,0))+(S411*IF(G411="G",H411,0))</x:f>
      </x:c>
      <x:c r="Z411">
        <x:f>(S411*IF(E411="E",F411,0))+(S411*IF(G411="E",H411,0))</x:f>
      </x:c>
      <x:c r="AA411">
        <x:f>(S411*IF(E411="T",F411,0))+(S411*IF(G411="T",H411,0))</x:f>
      </x:c>
      <x:c r="AB411">
        <x:f>(S411*IF(E411="L",F411,0))+(S411*IF(G411="L",H411,0))</x:f>
      </x:c>
      <x:c r="AC411">
        <x:f>(S411*IF(E411="H",F411,0))+(S411*IF(G411="H",H411,0))</x:f>
      </x:c>
      <x:c r="AD411">
        <x:f>(S411*IF(E411="V",F411,0))+(S411*IF(G411="V",H411,0))</x:f>
      </x:c>
      <x:c r="AE411">
        <x:f>(S411*IF(E411="R",F411,0))+(S411*IF(G411="R",H411,0))</x:f>
      </x:c>
      <x:c r="AF411">
        <x:f>(S411*IF(E411="F",F411,0))+(S411*IF(G411="F",H411,0))</x:f>
      </x:c>
      <x:c r="AG411">
        <x:f>(S411*IF(E411="W",F411,0))+(S411*IF(G411="W",H411,0))</x:f>
      </x:c>
      <x:c r="AH411" t="inlineStr">
        <x:is>
          <x:t xml:space="preserve">1. Strategy &amp; Governance</x:t>
        </x:is>
      </x:c>
      <x:c r="AI411" t="inlineStr">
        <x:is>
          <x:t xml:space="preserve">Organization &amp; RACI</x:t>
        </x:is>
      </x:c>
      <x:c r="AJ411" t="inlineStr">
        <x:is>
          <x:t xml:space="preserve">Cross-functional steering committee</x:t>
        </x:is>
      </x:c>
    </x:row>
    <x:row r="412">
      <x:c r="A412" t="inlineStr">
        <x:is>
          <x:t xml:space="preserve">Security</x:t>
        </x:is>
      </x:c>
      <x:c r="B412" t="inlineStr">
        <x:is>
          <x:t xml:space="preserve">SEC-D5-Q14</x:t>
        </x:is>
      </x:c>
      <x:c r="C412" t="inlineStr">
        <x:is>
          <x:t xml:space="preserve">T2</x:t>
        </x:is>
      </x:c>
      <x:c r="D412" t="inlineStr">
        <x:is>
          <x:t xml:space="preserve">5. Investigations &amp; Case Management</x:t>
        </x:is>
      </x:c>
      <x:c r="E412" t="inlineStr">
        <x:is>
          <x:t xml:space="preserve">E</x:t>
        </x:is>
      </x:c>
      <x:c r="F412" t="n">
        <x:v>1</x:v>
      </x:c>
      <x:c r="I412" t="inlineStr">
        <x:is>
          <x:t xml:space="preserve">(Shadow probe) Even without a formal process, do Security/HR/Legal know who to call and respond quickly when a serious concern arises?</x:t>
        </x:is>
      </x:c>
      <x:c r="J412" t="inlineStr">
        <x:is>
          <x:t xml:space="preserve">Checks response speed and clarity: 'who is on point' for internal cases.</x:t>
        </x:is>
      </x:c>
      <x:c r="L412" t="inlineStr">
        <x:is>
          <x:t xml:space="preserve">OPS_STD</x:t>
        </x:is>
      </x:c>
      <x:c r="M412" t="n">
        <x:v>1</x:v>
      </x:c>
      <x:c r="P412" t="inlineStr">
        <x:is>
          <x:t xml:space="preserve">SEC-D5-Q14-A1</x:t>
        </x:is>
      </x:c>
      <x:c r="Q412" t="n">
        <x:v>1</x:v>
      </x:c>
      <x:c r="R412" t="inlineStr">
        <x:is>
          <x:t xml:space="preserve">No — it depends on personal networks and availability.</x:t>
        </x:is>
      </x:c>
      <x:c r="S412" t="n">
        <x:v>0</x:v>
      </x:c>
      <x:c r="T412" t="inlineStr">
        <x:is>
          <x:t xml:space="preserve">shadow_mature_signal</x:t>
        </x:is>
      </x:c>
      <x:c r="U412" t="inlineStr">
        <x:is>
          <x:t xml:space="preserve">Shadow Mature</x:t>
        </x:is>
      </x:c>
      <x:c r="V412" t="inlineStr">
        <x:is>
          <x:t xml:space="preserve">Capture_Informal_Practices</x:t>
        </x:is>
      </x:c>
      <x:c r="W412" t="inlineStr">
        <x:is>
          <x:t xml:space="preserve">N</x:t>
        </x:is>
      </x:c>
      <x:c r="Y412">
        <x:f>(S412*IF(E412="G",F412,0))+(S412*IF(G412="G",H412,0))</x:f>
      </x:c>
      <x:c r="Z412">
        <x:f>(S412*IF(E412="E",F412,0))+(S412*IF(G412="E",H412,0))</x:f>
      </x:c>
      <x:c r="AA412">
        <x:f>(S412*IF(E412="T",F412,0))+(S412*IF(G412="T",H412,0))</x:f>
      </x:c>
      <x:c r="AB412">
        <x:f>(S412*IF(E412="L",F412,0))+(S412*IF(G412="L",H412,0))</x:f>
      </x:c>
      <x:c r="AC412">
        <x:f>(S412*IF(E412="H",F412,0))+(S412*IF(G412="H",H412,0))</x:f>
      </x:c>
      <x:c r="AD412">
        <x:f>(S412*IF(E412="V",F412,0))+(S412*IF(G412="V",H412,0))</x:f>
      </x:c>
      <x:c r="AE412">
        <x:f>(S412*IF(E412="R",F412,0))+(S412*IF(G412="R",H412,0))</x:f>
      </x:c>
      <x:c r="AF412">
        <x:f>(S412*IF(E412="F",F412,0))+(S412*IF(G412="F",H412,0))</x:f>
      </x:c>
      <x:c r="AG412">
        <x:f>(S412*IF(E412="W",F412,0))+(S412*IF(G412="W",H412,0))</x:f>
      </x:c>
      <x:c r="AH412" t="inlineStr">
        <x:is>
          <x:t xml:space="preserve">1. Strategy &amp; Governance</x:t>
        </x:is>
      </x:c>
      <x:c r="AI412" t="inlineStr">
        <x:is>
          <x:t xml:space="preserve">Scope &amp; Boundaries</x:t>
        </x:is>
      </x:c>
      <x:c r="AJ412" t="inlineStr">
        <x:is>
          <x:t xml:space="preserve">Exceptions &amp; risk acceptance</x:t>
        </x:is>
      </x:c>
    </x:row>
    <x:row r="413">
      <x:c r="A413" t="inlineStr">
        <x:is>
          <x:t xml:space="preserve">Security</x:t>
        </x:is>
      </x:c>
      <x:c r="B413" t="inlineStr">
        <x:is>
          <x:t xml:space="preserve">SEC-D5-Q14</x:t>
        </x:is>
      </x:c>
      <x:c r="C413" t="inlineStr">
        <x:is>
          <x:t xml:space="preserve">T2</x:t>
        </x:is>
      </x:c>
      <x:c r="D413" t="inlineStr">
        <x:is>
          <x:t xml:space="preserve">5. Investigations &amp; Case Management</x:t>
        </x:is>
      </x:c>
      <x:c r="E413" t="inlineStr">
        <x:is>
          <x:t xml:space="preserve">E</x:t>
        </x:is>
      </x:c>
      <x:c r="F413" t="n">
        <x:v>1</x:v>
      </x:c>
      <x:c r="I413" t="inlineStr">
        <x:is>
          <x:t xml:space="preserve">(Shadow probe) Even without a formal process, do Security/HR/Legal know who to call and respond quickly when a serious concern arises?</x:t>
        </x:is>
      </x:c>
      <x:c r="J413" t="inlineStr">
        <x:is>
          <x:t xml:space="preserve">Checks response speed and clarity: 'who is on point' for internal cases.</x:t>
        </x:is>
      </x:c>
      <x:c r="L413" t="inlineStr">
        <x:is>
          <x:t xml:space="preserve">OPS_STD</x:t>
        </x:is>
      </x:c>
      <x:c r="M413" t="n">
        <x:v>1</x:v>
      </x:c>
      <x:c r="P413" t="inlineStr">
        <x:is>
          <x:t xml:space="preserve">SEC-D5-Q14-A2</x:t>
        </x:is>
      </x:c>
      <x:c r="Q413" t="n">
        <x:v>2</x:v>
      </x:c>
      <x:c r="R413" t="inlineStr">
        <x:is>
          <x:t xml:space="preserve">Sometimes — key people exist, but coverage is inconsistent.</x:t>
        </x:is>
      </x:c>
      <x:c r="S413" t="n">
        <x:v>2</x:v>
      </x:c>
      <x:c r="T413" t="inlineStr">
        <x:is>
          <x:t xml:space="preserve">shadow_mature_signal</x:t>
        </x:is>
      </x:c>
      <x:c r="U413" t="inlineStr">
        <x:is>
          <x:t xml:space="preserve">Shadow Mature</x:t>
        </x:is>
      </x:c>
      <x:c r="V413" t="inlineStr">
        <x:is>
          <x:t xml:space="preserve">Align_Policy_To_Reality</x:t>
        </x:is>
      </x:c>
      <x:c r="W413" t="inlineStr">
        <x:is>
          <x:t xml:space="preserve">N</x:t>
        </x:is>
      </x:c>
      <x:c r="Y413">
        <x:f>(S413*IF(E413="G",F413,0))+(S413*IF(G413="G",H413,0))</x:f>
      </x:c>
      <x:c r="Z413">
        <x:f>(S413*IF(E413="E",F413,0))+(S413*IF(G413="E",H413,0))</x:f>
      </x:c>
      <x:c r="AA413">
        <x:f>(S413*IF(E413="T",F413,0))+(S413*IF(G413="T",H413,0))</x:f>
      </x:c>
      <x:c r="AB413">
        <x:f>(S413*IF(E413="L",F413,0))+(S413*IF(G413="L",H413,0))</x:f>
      </x:c>
      <x:c r="AC413">
        <x:f>(S413*IF(E413="H",F413,0))+(S413*IF(G413="H",H413,0))</x:f>
      </x:c>
      <x:c r="AD413">
        <x:f>(S413*IF(E413="V",F413,0))+(S413*IF(G413="V",H413,0))</x:f>
      </x:c>
      <x:c r="AE413">
        <x:f>(S413*IF(E413="R",F413,0))+(S413*IF(G413="R",H413,0))</x:f>
      </x:c>
      <x:c r="AF413">
        <x:f>(S413*IF(E413="F",F413,0))+(S413*IF(G413="F",H413,0))</x:f>
      </x:c>
      <x:c r="AG413">
        <x:f>(S413*IF(E413="W",F413,0))+(S413*IF(G413="W",H413,0))</x:f>
      </x:c>
      <x:c r="AH413" t="inlineStr">
        <x:is>
          <x:t xml:space="preserve">1. Strategy &amp; Governance</x:t>
        </x:is>
      </x:c>
      <x:c r="AI413" t="inlineStr">
        <x:is>
          <x:t xml:space="preserve">Scope &amp; Boundaries</x:t>
        </x:is>
      </x:c>
      <x:c r="AJ413" t="inlineStr">
        <x:is>
          <x:t xml:space="preserve">Exceptions &amp; risk acceptance</x:t>
        </x:is>
      </x:c>
    </x:row>
    <x:row r="414">
      <x:c r="A414" t="inlineStr">
        <x:is>
          <x:t xml:space="preserve">Security</x:t>
        </x:is>
      </x:c>
      <x:c r="B414" t="inlineStr">
        <x:is>
          <x:t xml:space="preserve">SEC-D5-Q14</x:t>
        </x:is>
      </x:c>
      <x:c r="C414" t="inlineStr">
        <x:is>
          <x:t xml:space="preserve">T2</x:t>
        </x:is>
      </x:c>
      <x:c r="D414" t="inlineStr">
        <x:is>
          <x:t xml:space="preserve">5. Investigations &amp; Case Management</x:t>
        </x:is>
      </x:c>
      <x:c r="E414" t="inlineStr">
        <x:is>
          <x:t xml:space="preserve">E</x:t>
        </x:is>
      </x:c>
      <x:c r="F414" t="n">
        <x:v>1</x:v>
      </x:c>
      <x:c r="I414" t="inlineStr">
        <x:is>
          <x:t xml:space="preserve">(Shadow probe) Even without a formal process, do Security/HR/Legal know who to call and respond quickly when a serious concern arises?</x:t>
        </x:is>
      </x:c>
      <x:c r="J414" t="inlineStr">
        <x:is>
          <x:t xml:space="preserve">Checks response speed and clarity: 'who is on point' for internal cases.</x:t>
        </x:is>
      </x:c>
      <x:c r="L414" t="inlineStr">
        <x:is>
          <x:t xml:space="preserve">OPS_STD</x:t>
        </x:is>
      </x:c>
      <x:c r="M414" t="n">
        <x:v>1</x:v>
      </x:c>
      <x:c r="P414" t="inlineStr">
        <x:is>
          <x:t xml:space="preserve">SEC-D5-Q14-A3</x:t>
        </x:is>
      </x:c>
      <x:c r="Q414" t="n">
        <x:v>3</x:v>
      </x:c>
      <x:c r="R414" t="inlineStr">
        <x:is>
          <x:t xml:space="preserve">Yes — an informal but reliable contact pattern exists (e.g., on‑call list).</x:t>
        </x:is>
      </x:c>
      <x:c r="S414" t="n">
        <x:v>3</x:v>
      </x:c>
      <x:c r="T414" t="inlineStr">
        <x:is>
          <x:t xml:space="preserve">shadow_mature_signal</x:t>
        </x:is>
      </x:c>
      <x:c r="U414" t="inlineStr">
        <x:is>
          <x:t xml:space="preserve">Shadow Mature</x:t>
        </x:is>
      </x:c>
      <x:c r="V414" t="inlineStr">
        <x:is>
          <x:t xml:space="preserve">Capture_Informal_Practices</x:t>
        </x:is>
      </x:c>
      <x:c r="W414" t="inlineStr">
        <x:is>
          <x:t xml:space="preserve">Y</x:t>
        </x:is>
      </x:c>
      <x:c r="X414" t="inlineStr">
        <x:is>
          <x:t xml:space="preserve">Contact list/on‑call rota (redacted).</x:t>
        </x:is>
      </x:c>
      <x:c r="Y414">
        <x:f>(S414*IF(E414="G",F414,0))+(S414*IF(G414="G",H414,0))</x:f>
      </x:c>
      <x:c r="Z414">
        <x:f>(S414*IF(E414="E",F414,0))+(S414*IF(G414="E",H414,0))</x:f>
      </x:c>
      <x:c r="AA414">
        <x:f>(S414*IF(E414="T",F414,0))+(S414*IF(G414="T",H414,0))</x:f>
      </x:c>
      <x:c r="AB414">
        <x:f>(S414*IF(E414="L",F414,0))+(S414*IF(G414="L",H414,0))</x:f>
      </x:c>
      <x:c r="AC414">
        <x:f>(S414*IF(E414="H",F414,0))+(S414*IF(G414="H",H414,0))</x:f>
      </x:c>
      <x:c r="AD414">
        <x:f>(S414*IF(E414="V",F414,0))+(S414*IF(G414="V",H414,0))</x:f>
      </x:c>
      <x:c r="AE414">
        <x:f>(S414*IF(E414="R",F414,0))+(S414*IF(G414="R",H414,0))</x:f>
      </x:c>
      <x:c r="AF414">
        <x:f>(S414*IF(E414="F",F414,0))+(S414*IF(G414="F",H414,0))</x:f>
      </x:c>
      <x:c r="AG414">
        <x:f>(S414*IF(E414="W",F414,0))+(S414*IF(G414="W",H414,0))</x:f>
      </x:c>
      <x:c r="AH414" t="inlineStr">
        <x:is>
          <x:t xml:space="preserve">1. Strategy &amp; Governance</x:t>
        </x:is>
      </x:c>
      <x:c r="AI414" t="inlineStr">
        <x:is>
          <x:t xml:space="preserve">Scope &amp; Boundaries</x:t>
        </x:is>
      </x:c>
      <x:c r="AJ414" t="inlineStr">
        <x:is>
          <x:t xml:space="preserve">Exceptions &amp; risk acceptance</x:t>
        </x:is>
      </x:c>
    </x:row>
    <x:row r="415">
      <x:c r="A415" t="inlineStr">
        <x:is>
          <x:t xml:space="preserve">Security</x:t>
        </x:is>
      </x:c>
      <x:c r="B415" t="inlineStr">
        <x:is>
          <x:t xml:space="preserve">SEC-D5-Q15</x:t>
        </x:is>
      </x:c>
      <x:c r="C415" t="inlineStr">
        <x:is>
          <x:t xml:space="preserve">T2</x:t>
        </x:is>
      </x:c>
      <x:c r="D415" t="inlineStr">
        <x:is>
          <x:t xml:space="preserve">5. Investigations &amp; Case Management</x:t>
        </x:is>
      </x:c>
      <x:c r="E415" t="inlineStr">
        <x:is>
          <x:t xml:space="preserve">R</x:t>
        </x:is>
      </x:c>
      <x:c r="F415" t="n">
        <x:v>1</x:v>
      </x:c>
      <x:c r="I415" t="inlineStr">
        <x:is>
          <x:t xml:space="preserve">How do you ensure investigation decisions are consistent and defensible (not based on rumors or personal conflicts)?</x:t>
        </x:is>
      </x:c>
      <x:c r="J415" t="inlineStr">
        <x:is>
          <x:t xml:space="preserve">Procedural fairness: documented decisions, separation of duties, and review/appeal paths for higher‑impact actions.</x:t>
        </x:is>
      </x:c>
      <x:c r="L415" t="inlineStr">
        <x:is>
          <x:t xml:space="preserve">LEG_STRICT</x:t>
        </x:is>
      </x:c>
      <x:c r="M415" t="n">
        <x:v>1.3</x:v>
      </x:c>
      <x:c r="N415" t="n">
        <x:v>0.5</x:v>
      </x:c>
      <x:c r="P415" t="inlineStr">
        <x:is>
          <x:t xml:space="preserve">SEC-D5-Q15-A1</x:t>
        </x:is>
      </x:c>
      <x:c r="Q415" t="n">
        <x:v>1</x:v>
      </x:c>
      <x:c r="R415" t="inlineStr">
        <x:is>
          <x:t xml:space="preserve">We don’t have safeguards; decisions are made by whoever raises the concern.</x:t>
        </x:is>
      </x:c>
      <x:c r="S415" t="n">
        <x:v>0</x:v>
      </x:c>
      <x:c r="T415" t="inlineStr">
        <x:is>
          <x:t xml:space="preserve">toxic_enforcer_signal</x:t>
        </x:is>
      </x:c>
      <x:c r="U415" t="inlineStr">
        <x:is>
          <x:t xml:space="preserve">Toxic Enforcer</x:t>
        </x:is>
      </x:c>
      <x:c r="V415" t="inlineStr">
        <x:is>
          <x:t xml:space="preserve">Add_Appeals_Process</x:t>
        </x:is>
      </x:c>
      <x:c r="W415" t="inlineStr">
        <x:is>
          <x:t xml:space="preserve">N</x:t>
        </x:is>
      </x:c>
      <x:c r="Y415">
        <x:f>(S415*IF(E415="G",F415,0))+(S415*IF(G415="G",H415,0))</x:f>
      </x:c>
      <x:c r="Z415">
        <x:f>(S415*IF(E415="E",F415,0))+(S415*IF(G415="E",H415,0))</x:f>
      </x:c>
      <x:c r="AA415">
        <x:f>(S415*IF(E415="T",F415,0))+(S415*IF(G415="T",H415,0))</x:f>
      </x:c>
      <x:c r="AB415">
        <x:f>(S415*IF(E415="L",F415,0))+(S415*IF(G415="L",H415,0))</x:f>
      </x:c>
      <x:c r="AC415">
        <x:f>(S415*IF(E415="H",F415,0))+(S415*IF(G415="H",H415,0))</x:f>
      </x:c>
      <x:c r="AD415">
        <x:f>(S415*IF(E415="V",F415,0))+(S415*IF(G415="V",H415,0))</x:f>
      </x:c>
      <x:c r="AE415">
        <x:f>(S415*IF(E415="R",F415,0))+(S415*IF(G415="R",H415,0))</x:f>
      </x:c>
      <x:c r="AF415">
        <x:f>(S415*IF(E415="F",F415,0))+(S415*IF(G415="F",H415,0))</x:f>
      </x:c>
      <x:c r="AG415">
        <x:f>(S415*IF(E415="W",F415,0))+(S415*IF(G415="W",H415,0))</x:f>
      </x:c>
      <x:c r="AH415" t="inlineStr">
        <x:is>
          <x:t xml:space="preserve">4. Legal, Privacy &amp; Ethics</x:t>
        </x:is>
      </x:c>
      <x:c r="AI415" t="inlineStr">
        <x:is>
          <x:t xml:space="preserve">Oversight &amp; Safeguards</x:t>
        </x:is>
      </x:c>
      <x:c r="AJ415" t="inlineStr">
        <x:is>
          <x:t xml:space="preserve">Review, Redress &amp; Assurance</x:t>
        </x:is>
      </x:c>
    </x:row>
    <x:row r="416">
      <x:c r="A416" t="inlineStr">
        <x:is>
          <x:t xml:space="preserve">Security</x:t>
        </x:is>
      </x:c>
      <x:c r="B416" t="inlineStr">
        <x:is>
          <x:t xml:space="preserve">SEC-D5-Q15</x:t>
        </x:is>
      </x:c>
      <x:c r="C416" t="inlineStr">
        <x:is>
          <x:t xml:space="preserve">T2</x:t>
        </x:is>
      </x:c>
      <x:c r="D416" t="inlineStr">
        <x:is>
          <x:t xml:space="preserve">5. Investigations &amp; Case Management</x:t>
        </x:is>
      </x:c>
      <x:c r="E416" t="inlineStr">
        <x:is>
          <x:t xml:space="preserve">R</x:t>
        </x:is>
      </x:c>
      <x:c r="F416" t="n">
        <x:v>1</x:v>
      </x:c>
      <x:c r="I416" t="inlineStr">
        <x:is>
          <x:t xml:space="preserve">How do you ensure investigation decisions are consistent and defensible (not based on rumors or personal conflicts)?</x:t>
        </x:is>
      </x:c>
      <x:c r="J416" t="inlineStr">
        <x:is>
          <x:t xml:space="preserve">Procedural fairness: documented decisions, separation of duties, and review/appeal paths for higher‑impact actions.</x:t>
        </x:is>
      </x:c>
      <x:c r="L416" t="inlineStr">
        <x:is>
          <x:t xml:space="preserve">LEG_STRICT</x:t>
        </x:is>
      </x:c>
      <x:c r="M416" t="n">
        <x:v>1.3</x:v>
      </x:c>
      <x:c r="N416" t="n">
        <x:v>0.5</x:v>
      </x:c>
      <x:c r="P416" t="inlineStr">
        <x:is>
          <x:t xml:space="preserve">SEC-D5-Q15-A2</x:t>
        </x:is>
      </x:c>
      <x:c r="Q416" t="n">
        <x:v>2</x:v>
      </x:c>
      <x:c r="R416" t="inlineStr">
        <x:is>
          <x:t xml:space="preserve">Some safeguards exist, but they are informal and not documented.</x:t>
        </x:is>
      </x:c>
      <x:c r="S416" t="n">
        <x:v>1</x:v>
      </x:c>
      <x:c r="U416" t="inlineStr">
        <x:is>
          <x:t xml:space="preserve">Operating Model Gap</x:t>
        </x:is>
      </x:c>
      <x:c r="V416" t="inlineStr">
        <x:is>
          <x:t xml:space="preserve">Add_Appeals_Process</x:t>
        </x:is>
      </x:c>
      <x:c r="W416" t="inlineStr">
        <x:is>
          <x:t xml:space="preserve">N</x:t>
        </x:is>
      </x:c>
      <x:c r="Y416">
        <x:f>(S416*IF(E416="G",F416,0))+(S416*IF(G416="G",H416,0))</x:f>
      </x:c>
      <x:c r="Z416">
        <x:f>(S416*IF(E416="E",F416,0))+(S416*IF(G416="E",H416,0))</x:f>
      </x:c>
      <x:c r="AA416">
        <x:f>(S416*IF(E416="T",F416,0))+(S416*IF(G416="T",H416,0))</x:f>
      </x:c>
      <x:c r="AB416">
        <x:f>(S416*IF(E416="L",F416,0))+(S416*IF(G416="L",H416,0))</x:f>
      </x:c>
      <x:c r="AC416">
        <x:f>(S416*IF(E416="H",F416,0))+(S416*IF(G416="H",H416,0))</x:f>
      </x:c>
      <x:c r="AD416">
        <x:f>(S416*IF(E416="V",F416,0))+(S416*IF(G416="V",H416,0))</x:f>
      </x:c>
      <x:c r="AE416">
        <x:f>(S416*IF(E416="R",F416,0))+(S416*IF(G416="R",H416,0))</x:f>
      </x:c>
      <x:c r="AF416">
        <x:f>(S416*IF(E416="F",F416,0))+(S416*IF(G416="F",H416,0))</x:f>
      </x:c>
      <x:c r="AG416">
        <x:f>(S416*IF(E416="W",F416,0))+(S416*IF(G416="W",H416,0))</x:f>
      </x:c>
      <x:c r="AH416" t="inlineStr">
        <x:is>
          <x:t xml:space="preserve">4. Legal, Privacy &amp; Ethics</x:t>
        </x:is>
      </x:c>
      <x:c r="AI416" t="inlineStr">
        <x:is>
          <x:t xml:space="preserve">Oversight &amp; Safeguards</x:t>
        </x:is>
      </x:c>
      <x:c r="AJ416" t="inlineStr">
        <x:is>
          <x:t xml:space="preserve">Review, Redress &amp; Assurance</x:t>
        </x:is>
      </x:c>
    </x:row>
    <x:row r="417">
      <x:c r="A417" t="inlineStr">
        <x:is>
          <x:t xml:space="preserve">Security</x:t>
        </x:is>
      </x:c>
      <x:c r="B417" t="inlineStr">
        <x:is>
          <x:t xml:space="preserve">SEC-D5-Q15</x:t>
        </x:is>
      </x:c>
      <x:c r="C417" t="inlineStr">
        <x:is>
          <x:t xml:space="preserve">T2</x:t>
        </x:is>
      </x:c>
      <x:c r="D417" t="inlineStr">
        <x:is>
          <x:t xml:space="preserve">5. Investigations &amp; Case Management</x:t>
        </x:is>
      </x:c>
      <x:c r="E417" t="inlineStr">
        <x:is>
          <x:t xml:space="preserve">R</x:t>
        </x:is>
      </x:c>
      <x:c r="F417" t="n">
        <x:v>1</x:v>
      </x:c>
      <x:c r="I417" t="inlineStr">
        <x:is>
          <x:t xml:space="preserve">How do you ensure investigation decisions are consistent and defensible (not based on rumors or personal conflicts)?</x:t>
        </x:is>
      </x:c>
      <x:c r="J417" t="inlineStr">
        <x:is>
          <x:t xml:space="preserve">Procedural fairness: documented decisions, separation of duties, and review/appeal paths for higher‑impact actions.</x:t>
        </x:is>
      </x:c>
      <x:c r="L417" t="inlineStr">
        <x:is>
          <x:t xml:space="preserve">LEG_STRICT</x:t>
        </x:is>
      </x:c>
      <x:c r="M417" t="n">
        <x:v>1.3</x:v>
      </x:c>
      <x:c r="N417" t="n">
        <x:v>0.5</x:v>
      </x:c>
      <x:c r="P417" t="inlineStr">
        <x:is>
          <x:t xml:space="preserve">SEC-D5-Q15-A3</x:t>
        </x:is>
      </x:c>
      <x:c r="Q417" t="n">
        <x:v>3</x:v>
      </x:c>
      <x:c r="R417" t="inlineStr">
        <x:is>
          <x:t xml:space="preserve">Decisions and evidence are documented; HR/Legal review is common for serious cases.</x:t>
        </x:is>
      </x:c>
      <x:c r="S417" t="n">
        <x:v>3</x:v>
      </x:c>
      <x:c r="U417" t="inlineStr">
        <x:is>
          <x:t xml:space="preserve">Legal Exposure</x:t>
        </x:is>
      </x:c>
      <x:c r="V417" t="inlineStr">
        <x:is>
          <x:t xml:space="preserve">Assess_Evidence_Handling</x:t>
        </x:is>
      </x:c>
      <x:c r="W417" t="inlineStr">
        <x:is>
          <x:t xml:space="preserve">Y</x:t>
        </x:is>
      </x:c>
      <x:c r="X417" t="inlineStr">
        <x:is>
          <x:t xml:space="preserve">Sample redacted decision memo.</x:t>
        </x:is>
      </x:c>
      <x:c r="Y417">
        <x:f>(S417*IF(E417="G",F417,0))+(S417*IF(G417="G",H417,0))</x:f>
      </x:c>
      <x:c r="Z417">
        <x:f>(S417*IF(E417="E",F417,0))+(S417*IF(G417="E",H417,0))</x:f>
      </x:c>
      <x:c r="AA417">
        <x:f>(S417*IF(E417="T",F417,0))+(S417*IF(G417="T",H417,0))</x:f>
      </x:c>
      <x:c r="AB417">
        <x:f>(S417*IF(E417="L",F417,0))+(S417*IF(G417="L",H417,0))</x:f>
      </x:c>
      <x:c r="AC417">
        <x:f>(S417*IF(E417="H",F417,0))+(S417*IF(G417="H",H417,0))</x:f>
      </x:c>
      <x:c r="AD417">
        <x:f>(S417*IF(E417="V",F417,0))+(S417*IF(G417="V",H417,0))</x:f>
      </x:c>
      <x:c r="AE417">
        <x:f>(S417*IF(E417="R",F417,0))+(S417*IF(G417="R",H417,0))</x:f>
      </x:c>
      <x:c r="AF417">
        <x:f>(S417*IF(E417="F",F417,0))+(S417*IF(G417="F",H417,0))</x:f>
      </x:c>
      <x:c r="AG417">
        <x:f>(S417*IF(E417="W",F417,0))+(S417*IF(G417="W",H417,0))</x:f>
      </x:c>
      <x:c r="AH417" t="inlineStr">
        <x:is>
          <x:t xml:space="preserve">4. Legal, Privacy &amp; Ethics</x:t>
        </x:is>
      </x:c>
      <x:c r="AI417" t="inlineStr">
        <x:is>
          <x:t xml:space="preserve">Oversight &amp; Safeguards</x:t>
        </x:is>
      </x:c>
      <x:c r="AJ417" t="inlineStr">
        <x:is>
          <x:t xml:space="preserve">Review, Redress &amp; Assurance</x:t>
        </x:is>
      </x:c>
    </x:row>
    <x:row r="418">
      <x:c r="A418" t="inlineStr">
        <x:is>
          <x:t xml:space="preserve">Security</x:t>
        </x:is>
      </x:c>
      <x:c r="B418" t="inlineStr">
        <x:is>
          <x:t xml:space="preserve">SEC-D5-Q15</x:t>
        </x:is>
      </x:c>
      <x:c r="C418" t="inlineStr">
        <x:is>
          <x:t xml:space="preserve">T2</x:t>
        </x:is>
      </x:c>
      <x:c r="D418" t="inlineStr">
        <x:is>
          <x:t xml:space="preserve">5. Investigations &amp; Case Management</x:t>
        </x:is>
      </x:c>
      <x:c r="E418" t="inlineStr">
        <x:is>
          <x:t xml:space="preserve">R</x:t>
        </x:is>
      </x:c>
      <x:c r="F418" t="n">
        <x:v>1</x:v>
      </x:c>
      <x:c r="I418" t="inlineStr">
        <x:is>
          <x:t xml:space="preserve">How do you ensure investigation decisions are consistent and defensible (not based on rumors or personal conflicts)?</x:t>
        </x:is>
      </x:c>
      <x:c r="J418" t="inlineStr">
        <x:is>
          <x:t xml:space="preserve">Procedural fairness: documented decisions, separation of duties, and review/appeal paths for higher‑impact actions.</x:t>
        </x:is>
      </x:c>
      <x:c r="L418" t="inlineStr">
        <x:is>
          <x:t xml:space="preserve">LEG_STRICT</x:t>
        </x:is>
      </x:c>
      <x:c r="M418" t="n">
        <x:v>1.3</x:v>
      </x:c>
      <x:c r="N418" t="n">
        <x:v>0.5</x:v>
      </x:c>
      <x:c r="P418" t="inlineStr">
        <x:is>
          <x:t xml:space="preserve">SEC-D5-Q15-A4</x:t>
        </x:is>
      </x:c>
      <x:c r="Q418" t="n">
        <x:v>4</x:v>
      </x:c>
      <x:c r="R418" t="inlineStr">
        <x:is>
          <x:t xml:space="preserve">Optimized: standardized criteria, auditable approvals, and independent review for higher‑impact actions.</x:t>
        </x:is>
      </x:c>
      <x:c r="S418" t="n">
        <x:v>4</x:v>
      </x:c>
      <x:c r="U418" t="inlineStr">
        <x:is>
          <x:t xml:space="preserve">Legal Exposure</x:t>
        </x:is>
      </x:c>
      <x:c r="V418" t="inlineStr">
        <x:is>
          <x:t xml:space="preserve">Legal_Defensibility_Audit</x:t>
        </x:is>
      </x:c>
      <x:c r="W418" t="inlineStr">
        <x:is>
          <x:t xml:space="preserve">Y</x:t>
        </x:is>
      </x:c>
      <x:c r="X418" t="inlineStr">
        <x:is>
          <x:t xml:space="preserve">Criteria + audit evidence.</x:t>
        </x:is>
      </x:c>
      <x:c r="Y418">
        <x:f>(S418*IF(E418="G",F418,0))+(S418*IF(G418="G",H418,0))</x:f>
      </x:c>
      <x:c r="Z418">
        <x:f>(S418*IF(E418="E",F418,0))+(S418*IF(G418="E",H418,0))</x:f>
      </x:c>
      <x:c r="AA418">
        <x:f>(S418*IF(E418="T",F418,0))+(S418*IF(G418="T",H418,0))</x:f>
      </x:c>
      <x:c r="AB418">
        <x:f>(S418*IF(E418="L",F418,0))+(S418*IF(G418="L",H418,0))</x:f>
      </x:c>
      <x:c r="AC418">
        <x:f>(S418*IF(E418="H",F418,0))+(S418*IF(G418="H",H418,0))</x:f>
      </x:c>
      <x:c r="AD418">
        <x:f>(S418*IF(E418="V",F418,0))+(S418*IF(G418="V",H418,0))</x:f>
      </x:c>
      <x:c r="AE418">
        <x:f>(S418*IF(E418="R",F418,0))+(S418*IF(G418="R",H418,0))</x:f>
      </x:c>
      <x:c r="AF418">
        <x:f>(S418*IF(E418="F",F418,0))+(S418*IF(G418="F",H418,0))</x:f>
      </x:c>
      <x:c r="AG418">
        <x:f>(S418*IF(E418="W",F418,0))+(S418*IF(G418="W",H418,0))</x:f>
      </x:c>
      <x:c r="AH418" t="inlineStr">
        <x:is>
          <x:t xml:space="preserve">4. Legal, Privacy &amp; Ethics</x:t>
        </x:is>
      </x:c>
      <x:c r="AI418" t="inlineStr">
        <x:is>
          <x:t xml:space="preserve">Oversight &amp; Safeguards</x:t>
        </x:is>
      </x:c>
      <x:c r="AJ418" t="inlineStr">
        <x:is>
          <x:t xml:space="preserve">Review, Redress &amp; Assurance</x:t>
        </x:is>
      </x:c>
    </x:row>
    <x:row r="419">
      <x:c r="A419" t="inlineStr">
        <x:is>
          <x:t xml:space="preserve">Security</x:t>
        </x:is>
      </x:c>
      <x:c r="B419" t="inlineStr">
        <x:is>
          <x:t xml:space="preserve">SEC-D6-Q16</x:t>
        </x:is>
      </x:c>
      <x:c r="C419" t="inlineStr">
        <x:is>
          <x:t xml:space="preserve">T1</x:t>
        </x:is>
      </x:c>
      <x:c r="D419" t="inlineStr">
        <x:is>
          <x:t xml:space="preserve">6. Containment &amp; Response Automation</x:t>
        </x:is>
      </x:c>
      <x:c r="E419" t="inlineStr">
        <x:is>
          <x:t xml:space="preserve">T</x:t>
        </x:is>
      </x:c>
      <x:c r="F419" t="n">
        <x:v>0.6</x:v>
      </x:c>
      <x:c r="G419" t="inlineStr">
        <x:is>
          <x:t xml:space="preserve">R</x:t>
        </x:is>
      </x:c>
      <x:c r="H419" t="n">
        <x:v>0.4</x:v>
      </x:c>
      <x:c r="I419" t="inlineStr">
        <x:is>
          <x:t xml:space="preserve">If you see a credible insider risk, can you quickly reduce risk (revoke access, block sharing, isolate a device) in a controlled way?</x:t>
        </x:is>
      </x:c>
      <x:c r="J419" t="inlineStr">
        <x:is>
          <x:t xml:space="preserve">'Controlled' means approvals, logging, and minimizing unnecessary business disruption.</x:t>
        </x:is>
      </x:c>
      <x:c r="L419" t="inlineStr">
        <x:is>
          <x:t xml:space="preserve">OPS_STD</x:t>
        </x:is>
      </x:c>
      <x:c r="M419" t="n">
        <x:v>1.5</x:v>
      </x:c>
      <x:c r="N419" t="n">
        <x:v>0.5</x:v>
      </x:c>
      <x:c r="P419" t="inlineStr">
        <x:is>
          <x:t xml:space="preserve">SEC-D6-Q16-A1</x:t>
        </x:is>
      </x:c>
      <x:c r="Q419" t="n">
        <x:v>1</x:v>
      </x:c>
      <x:c r="R419" t="inlineStr">
        <x:is>
          <x:t xml:space="preserve">No — steps are manual and slow; approvals are unclear.</x:t>
        </x:is>
      </x:c>
      <x:c r="S419" t="n">
        <x:v>0</x:v>
      </x:c>
      <x:c r="U419" t="inlineStr">
        <x:is>
          <x:t xml:space="preserve">Resilience Gap</x:t>
        </x:is>
      </x:c>
      <x:c r="V419" t="inlineStr">
        <x:is>
          <x:t xml:space="preserve">Insider_Playbooks</x:t>
        </x:is>
      </x:c>
      <x:c r="W419" t="inlineStr">
        <x:is>
          <x:t xml:space="preserve">N</x:t>
        </x:is>
      </x:c>
      <x:c r="Y419">
        <x:f>(S419*IF(E419="G",F419,0))+(S419*IF(G419="G",H419,0))</x:f>
      </x:c>
      <x:c r="Z419">
        <x:f>(S419*IF(E419="E",F419,0))+(S419*IF(G419="E",H419,0))</x:f>
      </x:c>
      <x:c r="AA419">
        <x:f>(S419*IF(E419="T",F419,0))+(S419*IF(G419="T",H419,0))</x:f>
      </x:c>
      <x:c r="AB419">
        <x:f>(S419*IF(E419="L",F419,0))+(S419*IF(G419="L",H419,0))</x:f>
      </x:c>
      <x:c r="AC419">
        <x:f>(S419*IF(E419="H",F419,0))+(S419*IF(G419="H",H419,0))</x:f>
      </x:c>
      <x:c r="AD419">
        <x:f>(S419*IF(E419="V",F419,0))+(S419*IF(G419="V",H419,0))</x:f>
      </x:c>
      <x:c r="AE419">
        <x:f>(S419*IF(E419="R",F419,0))+(S419*IF(G419="R",H419,0))</x:f>
      </x:c>
      <x:c r="AF419">
        <x:f>(S419*IF(E419="F",F419,0))+(S419*IF(G419="F",H419,0))</x:f>
      </x:c>
      <x:c r="AG419">
        <x:f>(S419*IF(E419="W",F419,0))+(S419*IF(G419="W",H419,0))</x:f>
      </x:c>
      <x:c r="AH419" t="inlineStr">
        <x:is>
          <x:t xml:space="preserve">3. Risk Management</x:t>
        </x:is>
      </x:c>
      <x:c r="AI419" t="inlineStr">
        <x:is>
          <x:t xml:space="preserve">Inventory &amp; Scope</x:t>
        </x:is>
      </x:c>
      <x:c r="AJ419" t="inlineStr">
        <x:is>
          <x:t xml:space="preserve">Critical process mapping</x:t>
        </x:is>
      </x:c>
    </x:row>
    <x:row r="420">
      <x:c r="A420" t="inlineStr">
        <x:is>
          <x:t xml:space="preserve">Security</x:t>
        </x:is>
      </x:c>
      <x:c r="B420" t="inlineStr">
        <x:is>
          <x:t xml:space="preserve">SEC-D6-Q16</x:t>
        </x:is>
      </x:c>
      <x:c r="C420" t="inlineStr">
        <x:is>
          <x:t xml:space="preserve">T1</x:t>
        </x:is>
      </x:c>
      <x:c r="D420" t="inlineStr">
        <x:is>
          <x:t xml:space="preserve">6. Containment &amp; Response Automation</x:t>
        </x:is>
      </x:c>
      <x:c r="E420" t="inlineStr">
        <x:is>
          <x:t xml:space="preserve">T</x:t>
        </x:is>
      </x:c>
      <x:c r="F420" t="n">
        <x:v>0.6</x:v>
      </x:c>
      <x:c r="G420" t="inlineStr">
        <x:is>
          <x:t xml:space="preserve">R</x:t>
        </x:is>
      </x:c>
      <x:c r="H420" t="n">
        <x:v>0.4</x:v>
      </x:c>
      <x:c r="I420" t="inlineStr">
        <x:is>
          <x:t xml:space="preserve">If you see a credible insider risk, can you quickly reduce risk (revoke access, block sharing, isolate a device) in a controlled way?</x:t>
        </x:is>
      </x:c>
      <x:c r="J420" t="inlineStr">
        <x:is>
          <x:t xml:space="preserve">'Controlled' means approvals, logging, and minimizing unnecessary business disruption.</x:t>
        </x:is>
      </x:c>
      <x:c r="L420" t="inlineStr">
        <x:is>
          <x:t xml:space="preserve">OPS_STD</x:t>
        </x:is>
      </x:c>
      <x:c r="M420" t="n">
        <x:v>1.5</x:v>
      </x:c>
      <x:c r="N420" t="n">
        <x:v>0.5</x:v>
      </x:c>
      <x:c r="P420" t="inlineStr">
        <x:is>
          <x:t xml:space="preserve">SEC-D6-Q16-A2</x:t>
        </x:is>
      </x:c>
      <x:c r="Q420" t="n">
        <x:v>2</x:v>
      </x:c>
      <x:c r="R420" t="inlineStr">
        <x:is>
          <x:t xml:space="preserve">Partially — we can disable accounts, but it is risky and may disrupt operations.</x:t>
        </x:is>
      </x:c>
      <x:c r="S420" t="n">
        <x:v>2</x:v>
      </x:c>
      <x:c r="U420" t="inlineStr">
        <x:is>
          <x:t xml:space="preserve">Resilience Gap</x:t>
        </x:is>
      </x:c>
      <x:c r="V420" t="inlineStr">
        <x:is>
          <x:t xml:space="preserve">Insider_Playbooks</x:t>
        </x:is>
      </x:c>
      <x:c r="W420" t="inlineStr">
        <x:is>
          <x:t xml:space="preserve">N</x:t>
        </x:is>
      </x:c>
      <x:c r="Y420">
        <x:f>(S420*IF(E420="G",F420,0))+(S420*IF(G420="G",H420,0))</x:f>
      </x:c>
      <x:c r="Z420">
        <x:f>(S420*IF(E420="E",F420,0))+(S420*IF(G420="E",H420,0))</x:f>
      </x:c>
      <x:c r="AA420">
        <x:f>(S420*IF(E420="T",F420,0))+(S420*IF(G420="T",H420,0))</x:f>
      </x:c>
      <x:c r="AB420">
        <x:f>(S420*IF(E420="L",F420,0))+(S420*IF(G420="L",H420,0))</x:f>
      </x:c>
      <x:c r="AC420">
        <x:f>(S420*IF(E420="H",F420,0))+(S420*IF(G420="H",H420,0))</x:f>
      </x:c>
      <x:c r="AD420">
        <x:f>(S420*IF(E420="V",F420,0))+(S420*IF(G420="V",H420,0))</x:f>
      </x:c>
      <x:c r="AE420">
        <x:f>(S420*IF(E420="R",F420,0))+(S420*IF(G420="R",H420,0))</x:f>
      </x:c>
      <x:c r="AF420">
        <x:f>(S420*IF(E420="F",F420,0))+(S420*IF(G420="F",H420,0))</x:f>
      </x:c>
      <x:c r="AG420">
        <x:f>(S420*IF(E420="W",F420,0))+(S420*IF(G420="W",H420,0))</x:f>
      </x:c>
      <x:c r="AH420" t="inlineStr">
        <x:is>
          <x:t xml:space="preserve">3. Risk Management</x:t>
        </x:is>
      </x:c>
      <x:c r="AI420" t="inlineStr">
        <x:is>
          <x:t xml:space="preserve">Inventory &amp; Scope</x:t>
        </x:is>
      </x:c>
      <x:c r="AJ420" t="inlineStr">
        <x:is>
          <x:t xml:space="preserve">Critical process mapping</x:t>
        </x:is>
      </x:c>
    </x:row>
    <x:row r="421">
      <x:c r="A421" t="inlineStr">
        <x:is>
          <x:t xml:space="preserve">Security</x:t>
        </x:is>
      </x:c>
      <x:c r="B421" t="inlineStr">
        <x:is>
          <x:t xml:space="preserve">SEC-D6-Q16</x:t>
        </x:is>
      </x:c>
      <x:c r="C421" t="inlineStr">
        <x:is>
          <x:t xml:space="preserve">T1</x:t>
        </x:is>
      </x:c>
      <x:c r="D421" t="inlineStr">
        <x:is>
          <x:t xml:space="preserve">6. Containment &amp; Response Automation</x:t>
        </x:is>
      </x:c>
      <x:c r="E421" t="inlineStr">
        <x:is>
          <x:t xml:space="preserve">T</x:t>
        </x:is>
      </x:c>
      <x:c r="F421" t="n">
        <x:v>0.6</x:v>
      </x:c>
      <x:c r="G421" t="inlineStr">
        <x:is>
          <x:t xml:space="preserve">R</x:t>
        </x:is>
      </x:c>
      <x:c r="H421" t="n">
        <x:v>0.4</x:v>
      </x:c>
      <x:c r="I421" t="inlineStr">
        <x:is>
          <x:t xml:space="preserve">If you see a credible insider risk, can you quickly reduce risk (revoke access, block sharing, isolate a device) in a controlled way?</x:t>
        </x:is>
      </x:c>
      <x:c r="J421" t="inlineStr">
        <x:is>
          <x:t xml:space="preserve">'Controlled' means approvals, logging, and minimizing unnecessary business disruption.</x:t>
        </x:is>
      </x:c>
      <x:c r="L421" t="inlineStr">
        <x:is>
          <x:t xml:space="preserve">OPS_STD</x:t>
        </x:is>
      </x:c>
      <x:c r="M421" t="n">
        <x:v>1.5</x:v>
      </x:c>
      <x:c r="N421" t="n">
        <x:v>0.5</x:v>
      </x:c>
      <x:c r="P421" t="inlineStr">
        <x:is>
          <x:t xml:space="preserve">SEC-D6-Q16-A3</x:t>
        </x:is>
      </x:c>
      <x:c r="Q421" t="n">
        <x:v>3</x:v>
      </x:c>
      <x:c r="R421" t="inlineStr">
        <x:is>
          <x:t xml:space="preserve">Yes — a documented rapid response path exists with audit logs and defined approvals.</x:t>
        </x:is>
      </x:c>
      <x:c r="S421" t="n">
        <x:v>3</x:v>
      </x:c>
      <x:c r="U421" t="inlineStr">
        <x:is>
          <x:t xml:space="preserve">Resilience Gap</x:t>
        </x:is>
      </x:c>
      <x:c r="V421" t="inlineStr">
        <x:is>
          <x:t xml:space="preserve">Insider_Playbooks</x:t>
        </x:is>
      </x:c>
      <x:c r="W421" t="inlineStr">
        <x:is>
          <x:t xml:space="preserve">Y</x:t>
        </x:is>
      </x:c>
      <x:c r="X421" t="inlineStr">
        <x:is>
          <x:t xml:space="preserve">Playbook excerpt + recent use (redacted).</x:t>
        </x:is>
      </x:c>
      <x:c r="Y421">
        <x:f>(S421*IF(E421="G",F421,0))+(S421*IF(G421="G",H421,0))</x:f>
      </x:c>
      <x:c r="Z421">
        <x:f>(S421*IF(E421="E",F421,0))+(S421*IF(G421="E",H421,0))</x:f>
      </x:c>
      <x:c r="AA421">
        <x:f>(S421*IF(E421="T",F421,0))+(S421*IF(G421="T",H421,0))</x:f>
      </x:c>
      <x:c r="AB421">
        <x:f>(S421*IF(E421="L",F421,0))+(S421*IF(G421="L",H421,0))</x:f>
      </x:c>
      <x:c r="AC421">
        <x:f>(S421*IF(E421="H",F421,0))+(S421*IF(G421="H",H421,0))</x:f>
      </x:c>
      <x:c r="AD421">
        <x:f>(S421*IF(E421="V",F421,0))+(S421*IF(G421="V",H421,0))</x:f>
      </x:c>
      <x:c r="AE421">
        <x:f>(S421*IF(E421="R",F421,0))+(S421*IF(G421="R",H421,0))</x:f>
      </x:c>
      <x:c r="AF421">
        <x:f>(S421*IF(E421="F",F421,0))+(S421*IF(G421="F",H421,0))</x:f>
      </x:c>
      <x:c r="AG421">
        <x:f>(S421*IF(E421="W",F421,0))+(S421*IF(G421="W",H421,0))</x:f>
      </x:c>
      <x:c r="AH421" t="inlineStr">
        <x:is>
          <x:t xml:space="preserve">3. Risk Management</x:t>
        </x:is>
      </x:c>
      <x:c r="AI421" t="inlineStr">
        <x:is>
          <x:t xml:space="preserve">Inventory &amp; Scope</x:t>
        </x:is>
      </x:c>
      <x:c r="AJ421" t="inlineStr">
        <x:is>
          <x:t xml:space="preserve">Critical process mapping</x:t>
        </x:is>
      </x:c>
    </x:row>
    <x:row r="422">
      <x:c r="A422" t="inlineStr">
        <x:is>
          <x:t xml:space="preserve">Security</x:t>
        </x:is>
      </x:c>
      <x:c r="B422" t="inlineStr">
        <x:is>
          <x:t xml:space="preserve">SEC-D6-Q16</x:t>
        </x:is>
      </x:c>
      <x:c r="C422" t="inlineStr">
        <x:is>
          <x:t xml:space="preserve">T1</x:t>
        </x:is>
      </x:c>
      <x:c r="D422" t="inlineStr">
        <x:is>
          <x:t xml:space="preserve">6. Containment &amp; Response Automation</x:t>
        </x:is>
      </x:c>
      <x:c r="E422" t="inlineStr">
        <x:is>
          <x:t xml:space="preserve">T</x:t>
        </x:is>
      </x:c>
      <x:c r="F422" t="n">
        <x:v>0.6</x:v>
      </x:c>
      <x:c r="G422" t="inlineStr">
        <x:is>
          <x:t xml:space="preserve">R</x:t>
        </x:is>
      </x:c>
      <x:c r="H422" t="n">
        <x:v>0.4</x:v>
      </x:c>
      <x:c r="I422" t="inlineStr">
        <x:is>
          <x:t xml:space="preserve">If you see a credible insider risk, can you quickly reduce risk (revoke access, block sharing, isolate a device) in a controlled way?</x:t>
        </x:is>
      </x:c>
      <x:c r="J422" t="inlineStr">
        <x:is>
          <x:t xml:space="preserve">'Controlled' means approvals, logging, and minimizing unnecessary business disruption.</x:t>
        </x:is>
      </x:c>
      <x:c r="L422" t="inlineStr">
        <x:is>
          <x:t xml:space="preserve">OPS_STD</x:t>
        </x:is>
      </x:c>
      <x:c r="M422" t="n">
        <x:v>1.5</x:v>
      </x:c>
      <x:c r="N422" t="n">
        <x:v>0.5</x:v>
      </x:c>
      <x:c r="P422" t="inlineStr">
        <x:is>
          <x:t xml:space="preserve">SEC-D6-Q16-A4</x:t>
        </x:is>
      </x:c>
      <x:c r="Q422" t="n">
        <x:v>4</x:v>
      </x:c>
      <x:c r="R422" t="inlineStr">
        <x:is>
          <x:t xml:space="preserve">Optimized — automated containment exists for defined scenarios with human oversight.</x:t>
        </x:is>
      </x:c>
      <x:c r="S422" t="n">
        <x:v>4</x:v>
      </x:c>
      <x:c r="U422" t="inlineStr">
        <x:is>
          <x:t xml:space="preserve">Resilience Gap</x:t>
        </x:is>
      </x:c>
      <x:c r="V422" t="inlineStr">
        <x:is>
          <x:t xml:space="preserve">Build_Detection_Strategy</x:t>
        </x:is>
      </x:c>
      <x:c r="W422" t="inlineStr">
        <x:is>
          <x:t xml:space="preserve">Y</x:t>
        </x:is>
      </x:c>
      <x:c r="X422" t="inlineStr">
        <x:is>
          <x:t xml:space="preserve">SOAR/playbook list.</x:t>
        </x:is>
      </x:c>
      <x:c r="Y422">
        <x:f>(S422*IF(E422="G",F422,0))+(S422*IF(G422="G",H422,0))</x:f>
      </x:c>
      <x:c r="Z422">
        <x:f>(S422*IF(E422="E",F422,0))+(S422*IF(G422="E",H422,0))</x:f>
      </x:c>
      <x:c r="AA422">
        <x:f>(S422*IF(E422="T",F422,0))+(S422*IF(G422="T",H422,0))</x:f>
      </x:c>
      <x:c r="AB422">
        <x:f>(S422*IF(E422="L",F422,0))+(S422*IF(G422="L",H422,0))</x:f>
      </x:c>
      <x:c r="AC422">
        <x:f>(S422*IF(E422="H",F422,0))+(S422*IF(G422="H",H422,0))</x:f>
      </x:c>
      <x:c r="AD422">
        <x:f>(S422*IF(E422="V",F422,0))+(S422*IF(G422="V",H422,0))</x:f>
      </x:c>
      <x:c r="AE422">
        <x:f>(S422*IF(E422="R",F422,0))+(S422*IF(G422="R",H422,0))</x:f>
      </x:c>
      <x:c r="AF422">
        <x:f>(S422*IF(E422="F",F422,0))+(S422*IF(G422="F",H422,0))</x:f>
      </x:c>
      <x:c r="AG422">
        <x:f>(S422*IF(E422="W",F422,0))+(S422*IF(G422="W",H422,0))</x:f>
      </x:c>
      <x:c r="AH422" t="inlineStr">
        <x:is>
          <x:t xml:space="preserve">3. Risk Management</x:t>
        </x:is>
      </x:c>
      <x:c r="AI422" t="inlineStr">
        <x:is>
          <x:t xml:space="preserve">Inventory &amp; Scope</x:t>
        </x:is>
      </x:c>
      <x:c r="AJ422" t="inlineStr">
        <x:is>
          <x:t xml:space="preserve">Critical process mapping</x:t>
        </x:is>
      </x:c>
    </x:row>
    <x:row r="423">
      <x:c r="A423" t="inlineStr">
        <x:is>
          <x:t xml:space="preserve">Security</x:t>
        </x:is>
      </x:c>
      <x:c r="B423" t="inlineStr">
        <x:is>
          <x:t xml:space="preserve">SEC-D6-Q17</x:t>
        </x:is>
      </x:c>
      <x:c r="C423" t="inlineStr">
        <x:is>
          <x:t xml:space="preserve">T2</x:t>
        </x:is>
      </x:c>
      <x:c r="D423" t="inlineStr">
        <x:is>
          <x:t xml:space="preserve">6. Containment &amp; Response Automation</x:t>
        </x:is>
      </x:c>
      <x:c r="E423" t="inlineStr">
        <x:is>
          <x:t xml:space="preserve">E</x:t>
        </x:is>
      </x:c>
      <x:c r="F423" t="n">
        <x:v>1</x:v>
      </x:c>
      <x:c r="I423" t="inlineStr">
        <x:is>
          <x:t xml:space="preserve">(Shadow probe) In practice, can you get quick business approval for containment without creating chaos or outages?</x:t>
        </x:is>
      </x:c>
      <x:c r="J423" t="inlineStr">
        <x:is>
          <x:t xml:space="preserve">Checks whether the organization can act fast without breaking critical operations.</x:t>
        </x:is>
      </x:c>
      <x:c r="L423" t="inlineStr">
        <x:is>
          <x:t xml:space="preserve">OPS_STD</x:t>
        </x:is>
      </x:c>
      <x:c r="M423" t="n">
        <x:v>1</x:v>
      </x:c>
      <x:c r="P423" t="inlineStr">
        <x:is>
          <x:t xml:space="preserve">SEC-D6-Q17-A1</x:t>
        </x:is>
      </x:c>
      <x:c r="Q423" t="n">
        <x:v>1</x:v>
      </x:c>
      <x:c r="R423" t="inlineStr">
        <x:is>
          <x:t xml:space="preserve">No — approvals are unclear; teams hesitate to act.</x:t>
        </x:is>
      </x:c>
      <x:c r="S423" t="n">
        <x:v>0</x:v>
      </x:c>
      <x:c r="T423" t="inlineStr">
        <x:is>
          <x:t xml:space="preserve">control_lag_high</x:t>
        </x:is>
      </x:c>
      <x:c r="U423" t="inlineStr">
        <x:is>
          <x:t xml:space="preserve">Control Lag</x:t>
        </x:is>
      </x:c>
      <x:c r="V423" t="inlineStr">
        <x:is>
          <x:t xml:space="preserve">Measure_Control_Lag</x:t>
        </x:is>
      </x:c>
      <x:c r="W423" t="inlineStr">
        <x:is>
          <x:t xml:space="preserve">N</x:t>
        </x:is>
      </x:c>
      <x:c r="Y423">
        <x:f>(S423*IF(E423="G",F423,0))+(S423*IF(G423="G",H423,0))</x:f>
      </x:c>
      <x:c r="Z423">
        <x:f>(S423*IF(E423="E",F423,0))+(S423*IF(G423="E",H423,0))</x:f>
      </x:c>
      <x:c r="AA423">
        <x:f>(S423*IF(E423="T",F423,0))+(S423*IF(G423="T",H423,0))</x:f>
      </x:c>
      <x:c r="AB423">
        <x:f>(S423*IF(E423="L",F423,0))+(S423*IF(G423="L",H423,0))</x:f>
      </x:c>
      <x:c r="AC423">
        <x:f>(S423*IF(E423="H",F423,0))+(S423*IF(G423="H",H423,0))</x:f>
      </x:c>
      <x:c r="AD423">
        <x:f>(S423*IF(E423="V",F423,0))+(S423*IF(G423="V",H423,0))</x:f>
      </x:c>
      <x:c r="AE423">
        <x:f>(S423*IF(E423="R",F423,0))+(S423*IF(G423="R",H423,0))</x:f>
      </x:c>
      <x:c r="AF423">
        <x:f>(S423*IF(E423="F",F423,0))+(S423*IF(G423="F",H423,0))</x:f>
      </x:c>
      <x:c r="AG423">
        <x:f>(S423*IF(E423="W",F423,0))+(S423*IF(G423="W",H423,0))</x:f>
      </x:c>
      <x:c r="AH423" t="inlineStr">
        <x:is>
          <x:t xml:space="preserve">8. Investigation &amp; Response</x:t>
        </x:is>
      </x:c>
      <x:c r="AI423" t="inlineStr">
        <x:is>
          <x:t xml:space="preserve">Incident Action</x:t>
        </x:is>
      </x:c>
      <x:c r="AJ423" t="inlineStr">
        <x:is>
          <x:t xml:space="preserve">Containment &amp; eradication actions</x:t>
        </x:is>
      </x:c>
    </x:row>
    <x:row r="424">
      <x:c r="A424" t="inlineStr">
        <x:is>
          <x:t xml:space="preserve">Security</x:t>
        </x:is>
      </x:c>
      <x:c r="B424" t="inlineStr">
        <x:is>
          <x:t xml:space="preserve">SEC-D6-Q17</x:t>
        </x:is>
      </x:c>
      <x:c r="C424" t="inlineStr">
        <x:is>
          <x:t xml:space="preserve">T2</x:t>
        </x:is>
      </x:c>
      <x:c r="D424" t="inlineStr">
        <x:is>
          <x:t xml:space="preserve">6. Containment &amp; Response Automation</x:t>
        </x:is>
      </x:c>
      <x:c r="E424" t="inlineStr">
        <x:is>
          <x:t xml:space="preserve">E</x:t>
        </x:is>
      </x:c>
      <x:c r="F424" t="n">
        <x:v>1</x:v>
      </x:c>
      <x:c r="I424" t="inlineStr">
        <x:is>
          <x:t xml:space="preserve">(Shadow probe) In practice, can you get quick business approval for containment without creating chaos or outages?</x:t>
        </x:is>
      </x:c>
      <x:c r="J424" t="inlineStr">
        <x:is>
          <x:t xml:space="preserve">Checks whether the organization can act fast without breaking critical operations.</x:t>
        </x:is>
      </x:c>
      <x:c r="L424" t="inlineStr">
        <x:is>
          <x:t xml:space="preserve">OPS_STD</x:t>
        </x:is>
      </x:c>
      <x:c r="M424" t="n">
        <x:v>1</x:v>
      </x:c>
      <x:c r="P424" t="inlineStr">
        <x:is>
          <x:t xml:space="preserve">SEC-D6-Q17-A2</x:t>
        </x:is>
      </x:c>
      <x:c r="Q424" t="n">
        <x:v>2</x:v>
      </x:c>
      <x:c r="R424" t="inlineStr">
        <x:is>
          <x:t xml:space="preserve">Sometimes — approval depends on who is available.</x:t>
        </x:is>
      </x:c>
      <x:c r="S424" t="n">
        <x:v>2</x:v>
      </x:c>
      <x:c r="T424" t="inlineStr">
        <x:is>
          <x:t xml:space="preserve">shadow_mature_signal</x:t>
        </x:is>
      </x:c>
      <x:c r="U424" t="inlineStr">
        <x:is>
          <x:t xml:space="preserve">Control Lag</x:t>
        </x:is>
      </x:c>
      <x:c r="V424" t="inlineStr">
        <x:is>
          <x:t xml:space="preserve">Capture_Informal_Practices</x:t>
        </x:is>
      </x:c>
      <x:c r="W424" t="inlineStr">
        <x:is>
          <x:t xml:space="preserve">N</x:t>
        </x:is>
      </x:c>
      <x:c r="Y424">
        <x:f>(S424*IF(E424="G",F424,0))+(S424*IF(G424="G",H424,0))</x:f>
      </x:c>
      <x:c r="Z424">
        <x:f>(S424*IF(E424="E",F424,0))+(S424*IF(G424="E",H424,0))</x:f>
      </x:c>
      <x:c r="AA424">
        <x:f>(S424*IF(E424="T",F424,0))+(S424*IF(G424="T",H424,0))</x:f>
      </x:c>
      <x:c r="AB424">
        <x:f>(S424*IF(E424="L",F424,0))+(S424*IF(G424="L",H424,0))</x:f>
      </x:c>
      <x:c r="AC424">
        <x:f>(S424*IF(E424="H",F424,0))+(S424*IF(G424="H",H424,0))</x:f>
      </x:c>
      <x:c r="AD424">
        <x:f>(S424*IF(E424="V",F424,0))+(S424*IF(G424="V",H424,0))</x:f>
      </x:c>
      <x:c r="AE424">
        <x:f>(S424*IF(E424="R",F424,0))+(S424*IF(G424="R",H424,0))</x:f>
      </x:c>
      <x:c r="AF424">
        <x:f>(S424*IF(E424="F",F424,0))+(S424*IF(G424="F",H424,0))</x:f>
      </x:c>
      <x:c r="AG424">
        <x:f>(S424*IF(E424="W",F424,0))+(S424*IF(G424="W",H424,0))</x:f>
      </x:c>
      <x:c r="AH424" t="inlineStr">
        <x:is>
          <x:t xml:space="preserve">8. Investigation &amp; Response</x:t>
        </x:is>
      </x:c>
      <x:c r="AI424" t="inlineStr">
        <x:is>
          <x:t xml:space="preserve">Incident Action</x:t>
        </x:is>
      </x:c>
      <x:c r="AJ424" t="inlineStr">
        <x:is>
          <x:t xml:space="preserve">Containment &amp; eradication actions</x:t>
        </x:is>
      </x:c>
    </x:row>
    <x:row r="425">
      <x:c r="A425" t="inlineStr">
        <x:is>
          <x:t xml:space="preserve">Security</x:t>
        </x:is>
      </x:c>
      <x:c r="B425" t="inlineStr">
        <x:is>
          <x:t xml:space="preserve">SEC-D6-Q17</x:t>
        </x:is>
      </x:c>
      <x:c r="C425" t="inlineStr">
        <x:is>
          <x:t xml:space="preserve">T2</x:t>
        </x:is>
      </x:c>
      <x:c r="D425" t="inlineStr">
        <x:is>
          <x:t xml:space="preserve">6. Containment &amp; Response Automation</x:t>
        </x:is>
      </x:c>
      <x:c r="E425" t="inlineStr">
        <x:is>
          <x:t xml:space="preserve">E</x:t>
        </x:is>
      </x:c>
      <x:c r="F425" t="n">
        <x:v>1</x:v>
      </x:c>
      <x:c r="I425" t="inlineStr">
        <x:is>
          <x:t xml:space="preserve">(Shadow probe) In practice, can you get quick business approval for containment without creating chaos or outages?</x:t>
        </x:is>
      </x:c>
      <x:c r="J425" t="inlineStr">
        <x:is>
          <x:t xml:space="preserve">Checks whether the organization can act fast without breaking critical operations.</x:t>
        </x:is>
      </x:c>
      <x:c r="L425" t="inlineStr">
        <x:is>
          <x:t xml:space="preserve">OPS_STD</x:t>
        </x:is>
      </x:c>
      <x:c r="M425" t="n">
        <x:v>1</x:v>
      </x:c>
      <x:c r="P425" t="inlineStr">
        <x:is>
          <x:t xml:space="preserve">SEC-D6-Q17-A3</x:t>
        </x:is>
      </x:c>
      <x:c r="Q425" t="n">
        <x:v>3</x:v>
      </x:c>
      <x:c r="R425" t="inlineStr">
        <x:is>
          <x:t xml:space="preserve">Yes — a clear fast approval route exists for high‑risk actions.</x:t>
        </x:is>
      </x:c>
      <x:c r="S425" t="n">
        <x:v>3</x:v>
      </x:c>
      <x:c r="U425" t="inlineStr">
        <x:is>
          <x:t xml:space="preserve">Control Lag</x:t>
        </x:is>
      </x:c>
      <x:c r="V425" t="inlineStr">
        <x:is>
          <x:t xml:space="preserve">Measure_Control_Lag</x:t>
        </x:is>
      </x:c>
      <x:c r="W425" t="inlineStr">
        <x:is>
          <x:t xml:space="preserve">Y</x:t>
        </x:is>
      </x:c>
      <x:c r="X425" t="inlineStr">
        <x:is>
          <x:t xml:space="preserve">On‑call approval chain (redacted).</x:t>
        </x:is>
      </x:c>
      <x:c r="Y425">
        <x:f>(S425*IF(E425="G",F425,0))+(S425*IF(G425="G",H425,0))</x:f>
      </x:c>
      <x:c r="Z425">
        <x:f>(S425*IF(E425="E",F425,0))+(S425*IF(G425="E",H425,0))</x:f>
      </x:c>
      <x:c r="AA425">
        <x:f>(S425*IF(E425="T",F425,0))+(S425*IF(G425="T",H425,0))</x:f>
      </x:c>
      <x:c r="AB425">
        <x:f>(S425*IF(E425="L",F425,0))+(S425*IF(G425="L",H425,0))</x:f>
      </x:c>
      <x:c r="AC425">
        <x:f>(S425*IF(E425="H",F425,0))+(S425*IF(G425="H",H425,0))</x:f>
      </x:c>
      <x:c r="AD425">
        <x:f>(S425*IF(E425="V",F425,0))+(S425*IF(G425="V",H425,0))</x:f>
      </x:c>
      <x:c r="AE425">
        <x:f>(S425*IF(E425="R",F425,0))+(S425*IF(G425="R",H425,0))</x:f>
      </x:c>
      <x:c r="AF425">
        <x:f>(S425*IF(E425="F",F425,0))+(S425*IF(G425="F",H425,0))</x:f>
      </x:c>
      <x:c r="AG425">
        <x:f>(S425*IF(E425="W",F425,0))+(S425*IF(G425="W",H425,0))</x:f>
      </x:c>
      <x:c r="AH425" t="inlineStr">
        <x:is>
          <x:t xml:space="preserve">8. Investigation &amp; Response</x:t>
        </x:is>
      </x:c>
      <x:c r="AI425" t="inlineStr">
        <x:is>
          <x:t xml:space="preserve">Incident Action</x:t>
        </x:is>
      </x:c>
      <x:c r="AJ425" t="inlineStr">
        <x:is>
          <x:t xml:space="preserve">Containment &amp; eradication actions</x:t>
        </x:is>
      </x:c>
    </x:row>
    <x:row r="426">
      <x:c r="A426" t="inlineStr">
        <x:is>
          <x:t xml:space="preserve">Security</x:t>
        </x:is>
      </x:c>
      <x:c r="B426" t="inlineStr">
        <x:is>
          <x:t xml:space="preserve">SEC-D6-Q18</x:t>
        </x:is>
      </x:c>
      <x:c r="C426" t="inlineStr">
        <x:is>
          <x:t xml:space="preserve">T2</x:t>
        </x:is>
      </x:c>
      <x:c r="D426" t="inlineStr">
        <x:is>
          <x:t xml:space="preserve">6. Containment &amp; Response Automation</x:t>
        </x:is>
      </x:c>
      <x:c r="E426" t="inlineStr">
        <x:is>
          <x:t xml:space="preserve">T</x:t>
        </x:is>
      </x:c>
      <x:c r="F426" t="n">
        <x:v>0.7</x:v>
      </x:c>
      <x:c r="G426" t="inlineStr">
        <x:is>
          <x:t xml:space="preserve">F</x:t>
        </x:is>
      </x:c>
      <x:c r="H426" t="n">
        <x:v>0.3</x:v>
      </x:c>
      <x:c r="I426" t="inlineStr">
        <x:is>
          <x:t xml:space="preserve">Do containment actions minimize unnecessary disruption (so teams don’t shift to shadow IT/workarounds)?</x:t>
        </x:is>
      </x:c>
      <x:c r="J426" t="inlineStr">
        <x:is>
          <x:t xml:space="preserve">Proportionate controls: strong where needed, tuned so legitimate work continues.</x:t>
        </x:is>
      </x:c>
      <x:c r="L426" t="inlineStr">
        <x:is>
          <x:t xml:space="preserve">OPS_STD</x:t>
        </x:is>
      </x:c>
      <x:c r="M426" t="n">
        <x:v>1</x:v>
      </x:c>
      <x:c r="P426" t="inlineStr">
        <x:is>
          <x:t xml:space="preserve">SEC-D6-Q18-A1</x:t>
        </x:is>
      </x:c>
      <x:c r="Q426" t="n">
        <x:v>1</x:v>
      </x:c>
      <x:c r="R426" t="inlineStr">
        <x:is>
          <x:t xml:space="preserve">Containment is heavy-handed and often disrupts normal work.</x:t>
        </x:is>
      </x:c>
      <x:c r="S426" t="n">
        <x:v>0</x:v>
      </x:c>
      <x:c r="T426" t="inlineStr">
        <x:is>
          <x:t xml:space="preserve">bypass_pressure,toxic_enforcer_signal</x:t>
        </x:is>
      </x:c>
      <x:c r="U426" t="inlineStr">
        <x:is>
          <x:t xml:space="preserve">Bypass Pressure</x:t>
        </x:is>
      </x:c>
      <x:c r="V426" t="inlineStr">
        <x:is>
          <x:t xml:space="preserve">Assess_Friction</x:t>
        </x:is>
      </x:c>
      <x:c r="W426" t="inlineStr">
        <x:is>
          <x:t xml:space="preserve">N</x:t>
        </x:is>
      </x:c>
      <x:c r="Y426">
        <x:f>(S426*IF(E426="G",F426,0))+(S426*IF(G426="G",H426,0))</x:f>
      </x:c>
      <x:c r="Z426">
        <x:f>(S426*IF(E426="E",F426,0))+(S426*IF(G426="E",H426,0))</x:f>
      </x:c>
      <x:c r="AA426">
        <x:f>(S426*IF(E426="T",F426,0))+(S426*IF(G426="T",H426,0))</x:f>
      </x:c>
      <x:c r="AB426">
        <x:f>(S426*IF(E426="L",F426,0))+(S426*IF(G426="L",H426,0))</x:f>
      </x:c>
      <x:c r="AC426">
        <x:f>(S426*IF(E426="H",F426,0))+(S426*IF(G426="H",H426,0))</x:f>
      </x:c>
      <x:c r="AD426">
        <x:f>(S426*IF(E426="V",F426,0))+(S426*IF(G426="V",H426,0))</x:f>
      </x:c>
      <x:c r="AE426">
        <x:f>(S426*IF(E426="R",F426,0))+(S426*IF(G426="R",H426,0))</x:f>
      </x:c>
      <x:c r="AF426">
        <x:f>(S426*IF(E426="F",F426,0))+(S426*IF(G426="F",H426,0))</x:f>
      </x:c>
      <x:c r="AG426">
        <x:f>(S426*IF(E426="W",F426,0))+(S426*IF(G426="W",H426,0))</x:f>
      </x:c>
      <x:c r="AH426" t="inlineStr">
        <x:is>
          <x:t xml:space="preserve">8. Investigation &amp; Response</x:t>
        </x:is>
      </x:c>
      <x:c r="AI426" t="inlineStr">
        <x:is>
          <x:t xml:space="preserve">Incident Action</x:t>
        </x:is>
      </x:c>
      <x:c r="AJ426" t="inlineStr">
        <x:is>
          <x:t xml:space="preserve">Containment &amp; eradication actions</x:t>
        </x:is>
      </x:c>
    </x:row>
    <x:row r="427">
      <x:c r="A427" t="inlineStr">
        <x:is>
          <x:t xml:space="preserve">Security</x:t>
        </x:is>
      </x:c>
      <x:c r="B427" t="inlineStr">
        <x:is>
          <x:t xml:space="preserve">SEC-D6-Q18</x:t>
        </x:is>
      </x:c>
      <x:c r="C427" t="inlineStr">
        <x:is>
          <x:t xml:space="preserve">T2</x:t>
        </x:is>
      </x:c>
      <x:c r="D427" t="inlineStr">
        <x:is>
          <x:t xml:space="preserve">6. Containment &amp; Response Automation</x:t>
        </x:is>
      </x:c>
      <x:c r="E427" t="inlineStr">
        <x:is>
          <x:t xml:space="preserve">T</x:t>
        </x:is>
      </x:c>
      <x:c r="F427" t="n">
        <x:v>0.7</x:v>
      </x:c>
      <x:c r="G427" t="inlineStr">
        <x:is>
          <x:t xml:space="preserve">F</x:t>
        </x:is>
      </x:c>
      <x:c r="H427" t="n">
        <x:v>0.3</x:v>
      </x:c>
      <x:c r="I427" t="inlineStr">
        <x:is>
          <x:t xml:space="preserve">Do containment actions minimize unnecessary disruption (so teams don’t shift to shadow IT/workarounds)?</x:t>
        </x:is>
      </x:c>
      <x:c r="J427" t="inlineStr">
        <x:is>
          <x:t xml:space="preserve">Proportionate controls: strong where needed, tuned so legitimate work continues.</x:t>
        </x:is>
      </x:c>
      <x:c r="L427" t="inlineStr">
        <x:is>
          <x:t xml:space="preserve">OPS_STD</x:t>
        </x:is>
      </x:c>
      <x:c r="M427" t="n">
        <x:v>1</x:v>
      </x:c>
      <x:c r="P427" t="inlineStr">
        <x:is>
          <x:t xml:space="preserve">SEC-D6-Q18-A2</x:t>
        </x:is>
      </x:c>
      <x:c r="Q427" t="n">
        <x:v>2</x:v>
      </x:c>
      <x:c r="R427" t="inlineStr">
        <x:is>
          <x:t xml:space="preserve">We avoid acting because disruption risk is high.</x:t>
        </x:is>
      </x:c>
      <x:c r="S427" t="n">
        <x:v>1</x:v>
      </x:c>
      <x:c r="T427" t="inlineStr">
        <x:is>
          <x:t xml:space="preserve">paper_dragon_signal</x:t>
        </x:is>
      </x:c>
      <x:c r="U427" t="inlineStr">
        <x:is>
          <x:t xml:space="preserve">Paper Dragon</x:t>
        </x:is>
      </x:c>
      <x:c r="V427" t="inlineStr">
        <x:is>
          <x:t xml:space="preserve">Assess_Friction</x:t>
        </x:is>
      </x:c>
      <x:c r="W427" t="inlineStr">
        <x:is>
          <x:t xml:space="preserve">N</x:t>
        </x:is>
      </x:c>
      <x:c r="Y427">
        <x:f>(S427*IF(E427="G",F427,0))+(S427*IF(G427="G",H427,0))</x:f>
      </x:c>
      <x:c r="Z427">
        <x:f>(S427*IF(E427="E",F427,0))+(S427*IF(G427="E",H427,0))</x:f>
      </x:c>
      <x:c r="AA427">
        <x:f>(S427*IF(E427="T",F427,0))+(S427*IF(G427="T",H427,0))</x:f>
      </x:c>
      <x:c r="AB427">
        <x:f>(S427*IF(E427="L",F427,0))+(S427*IF(G427="L",H427,0))</x:f>
      </x:c>
      <x:c r="AC427">
        <x:f>(S427*IF(E427="H",F427,0))+(S427*IF(G427="H",H427,0))</x:f>
      </x:c>
      <x:c r="AD427">
        <x:f>(S427*IF(E427="V",F427,0))+(S427*IF(G427="V",H427,0))</x:f>
      </x:c>
      <x:c r="AE427">
        <x:f>(S427*IF(E427="R",F427,0))+(S427*IF(G427="R",H427,0))</x:f>
      </x:c>
      <x:c r="AF427">
        <x:f>(S427*IF(E427="F",F427,0))+(S427*IF(G427="F",H427,0))</x:f>
      </x:c>
      <x:c r="AG427">
        <x:f>(S427*IF(E427="W",F427,0))+(S427*IF(G427="W",H427,0))</x:f>
      </x:c>
      <x:c r="AH427" t="inlineStr">
        <x:is>
          <x:t xml:space="preserve">8. Investigation &amp; Response</x:t>
        </x:is>
      </x:c>
      <x:c r="AI427" t="inlineStr">
        <x:is>
          <x:t xml:space="preserve">Incident Action</x:t>
        </x:is>
      </x:c>
      <x:c r="AJ427" t="inlineStr">
        <x:is>
          <x:t xml:space="preserve">Containment &amp; eradication actions</x:t>
        </x:is>
      </x:c>
    </x:row>
    <x:row r="428">
      <x:c r="A428" t="inlineStr">
        <x:is>
          <x:t xml:space="preserve">Security</x:t>
        </x:is>
      </x:c>
      <x:c r="B428" t="inlineStr">
        <x:is>
          <x:t xml:space="preserve">SEC-D6-Q18</x:t>
        </x:is>
      </x:c>
      <x:c r="C428" t="inlineStr">
        <x:is>
          <x:t xml:space="preserve">T2</x:t>
        </x:is>
      </x:c>
      <x:c r="D428" t="inlineStr">
        <x:is>
          <x:t xml:space="preserve">6. Containment &amp; Response Automation</x:t>
        </x:is>
      </x:c>
      <x:c r="E428" t="inlineStr">
        <x:is>
          <x:t xml:space="preserve">T</x:t>
        </x:is>
      </x:c>
      <x:c r="F428" t="n">
        <x:v>0.7</x:v>
      </x:c>
      <x:c r="G428" t="inlineStr">
        <x:is>
          <x:t xml:space="preserve">F</x:t>
        </x:is>
      </x:c>
      <x:c r="H428" t="n">
        <x:v>0.3</x:v>
      </x:c>
      <x:c r="I428" t="inlineStr">
        <x:is>
          <x:t xml:space="preserve">Do containment actions minimize unnecessary disruption (so teams don’t shift to shadow IT/workarounds)?</x:t>
        </x:is>
      </x:c>
      <x:c r="J428" t="inlineStr">
        <x:is>
          <x:t xml:space="preserve">Proportionate controls: strong where needed, tuned so legitimate work continues.</x:t>
        </x:is>
      </x:c>
      <x:c r="L428" t="inlineStr">
        <x:is>
          <x:t xml:space="preserve">OPS_STD</x:t>
        </x:is>
      </x:c>
      <x:c r="M428" t="n">
        <x:v>1</x:v>
      </x:c>
      <x:c r="P428" t="inlineStr">
        <x:is>
          <x:t xml:space="preserve">SEC-D6-Q18-A3</x:t>
        </x:is>
      </x:c>
      <x:c r="Q428" t="n">
        <x:v>3</x:v>
      </x:c>
      <x:c r="R428" t="inlineStr">
        <x:is>
          <x:t xml:space="preserve">We can act with minimal disruption for most scenarios due to tuning and clear comms.</x:t>
        </x:is>
      </x:c>
      <x:c r="S428" t="n">
        <x:v>3</x:v>
      </x:c>
      <x:c r="U428" t="inlineStr">
        <x:is>
          <x:t xml:space="preserve">Bypass Pressure</x:t>
        </x:is>
      </x:c>
      <x:c r="V428" t="inlineStr">
        <x:is>
          <x:t xml:space="preserve">Measure_Friction</x:t>
        </x:is>
      </x:c>
      <x:c r="W428" t="inlineStr">
        <x:is>
          <x:t xml:space="preserve">N</x:t>
        </x:is>
      </x:c>
      <x:c r="Y428">
        <x:f>(S428*IF(E428="G",F428,0))+(S428*IF(G428="G",H428,0))</x:f>
      </x:c>
      <x:c r="Z428">
        <x:f>(S428*IF(E428="E",F428,0))+(S428*IF(G428="E",H428,0))</x:f>
      </x:c>
      <x:c r="AA428">
        <x:f>(S428*IF(E428="T",F428,0))+(S428*IF(G428="T",H428,0))</x:f>
      </x:c>
      <x:c r="AB428">
        <x:f>(S428*IF(E428="L",F428,0))+(S428*IF(G428="L",H428,0))</x:f>
      </x:c>
      <x:c r="AC428">
        <x:f>(S428*IF(E428="H",F428,0))+(S428*IF(G428="H",H428,0))</x:f>
      </x:c>
      <x:c r="AD428">
        <x:f>(S428*IF(E428="V",F428,0))+(S428*IF(G428="V",H428,0))</x:f>
      </x:c>
      <x:c r="AE428">
        <x:f>(S428*IF(E428="R",F428,0))+(S428*IF(G428="R",H428,0))</x:f>
      </x:c>
      <x:c r="AF428">
        <x:f>(S428*IF(E428="F",F428,0))+(S428*IF(G428="F",H428,0))</x:f>
      </x:c>
      <x:c r="AG428">
        <x:f>(S428*IF(E428="W",F428,0))+(S428*IF(G428="W",H428,0))</x:f>
      </x:c>
      <x:c r="AH428" t="inlineStr">
        <x:is>
          <x:t xml:space="preserve">8. Investigation &amp; Response</x:t>
        </x:is>
      </x:c>
      <x:c r="AI428" t="inlineStr">
        <x:is>
          <x:t xml:space="preserve">Incident Action</x:t>
        </x:is>
      </x:c>
      <x:c r="AJ428" t="inlineStr">
        <x:is>
          <x:t xml:space="preserve">Containment &amp; eradication actions</x:t>
        </x:is>
      </x:c>
    </x:row>
    <x:row r="429">
      <x:c r="A429" t="inlineStr">
        <x:is>
          <x:t xml:space="preserve">Security</x:t>
        </x:is>
      </x:c>
      <x:c r="B429" t="inlineStr">
        <x:is>
          <x:t xml:space="preserve">SEC-D6-Q18</x:t>
        </x:is>
      </x:c>
      <x:c r="C429" t="inlineStr">
        <x:is>
          <x:t xml:space="preserve">T2</x:t>
        </x:is>
      </x:c>
      <x:c r="D429" t="inlineStr">
        <x:is>
          <x:t xml:space="preserve">6. Containment &amp; Response Automation</x:t>
        </x:is>
      </x:c>
      <x:c r="E429" t="inlineStr">
        <x:is>
          <x:t xml:space="preserve">T</x:t>
        </x:is>
      </x:c>
      <x:c r="F429" t="n">
        <x:v>0.7</x:v>
      </x:c>
      <x:c r="G429" t="inlineStr">
        <x:is>
          <x:t xml:space="preserve">F</x:t>
        </x:is>
      </x:c>
      <x:c r="H429" t="n">
        <x:v>0.3</x:v>
      </x:c>
      <x:c r="I429" t="inlineStr">
        <x:is>
          <x:t xml:space="preserve">Do containment actions minimize unnecessary disruption (so teams don’t shift to shadow IT/workarounds)?</x:t>
        </x:is>
      </x:c>
      <x:c r="J429" t="inlineStr">
        <x:is>
          <x:t xml:space="preserve">Proportionate controls: strong where needed, tuned so legitimate work continues.</x:t>
        </x:is>
      </x:c>
      <x:c r="L429" t="inlineStr">
        <x:is>
          <x:t xml:space="preserve">OPS_STD</x:t>
        </x:is>
      </x:c>
      <x:c r="M429" t="n">
        <x:v>1</x:v>
      </x:c>
      <x:c r="P429" t="inlineStr">
        <x:is>
          <x:t xml:space="preserve">SEC-D6-Q18-A4</x:t>
        </x:is>
      </x:c>
      <x:c r="Q429" t="n">
        <x:v>4</x:v>
      </x:c>
      <x:c r="R429" t="inlineStr">
        <x:is>
          <x:t xml:space="preserve">Optimized: tiered containment with measured business impact and continuous improvement.</x:t>
        </x:is>
      </x:c>
      <x:c r="S429" t="n">
        <x:v>4</x:v>
      </x:c>
      <x:c r="U429" t="inlineStr">
        <x:is>
          <x:t xml:space="preserve">Bypass Pressure</x:t>
        </x:is>
      </x:c>
      <x:c r="V429" t="inlineStr">
        <x:is>
          <x:t xml:space="preserve">Measure_Friction</x:t>
        </x:is>
      </x:c>
      <x:c r="W429" t="inlineStr">
        <x:is>
          <x:t xml:space="preserve">Y</x:t>
        </x:is>
      </x:c>
      <x:c r="X429" t="inlineStr">
        <x:is>
          <x:t xml:space="preserve">Examples of tiered actions.</x:t>
        </x:is>
      </x:c>
      <x:c r="Y429">
        <x:f>(S429*IF(E429="G",F429,0))+(S429*IF(G429="G",H429,0))</x:f>
      </x:c>
      <x:c r="Z429">
        <x:f>(S429*IF(E429="E",F429,0))+(S429*IF(G429="E",H429,0))</x:f>
      </x:c>
      <x:c r="AA429">
        <x:f>(S429*IF(E429="T",F429,0))+(S429*IF(G429="T",H429,0))</x:f>
      </x:c>
      <x:c r="AB429">
        <x:f>(S429*IF(E429="L",F429,0))+(S429*IF(G429="L",H429,0))</x:f>
      </x:c>
      <x:c r="AC429">
        <x:f>(S429*IF(E429="H",F429,0))+(S429*IF(G429="H",H429,0))</x:f>
      </x:c>
      <x:c r="AD429">
        <x:f>(S429*IF(E429="V",F429,0))+(S429*IF(G429="V",H429,0))</x:f>
      </x:c>
      <x:c r="AE429">
        <x:f>(S429*IF(E429="R",F429,0))+(S429*IF(G429="R",H429,0))</x:f>
      </x:c>
      <x:c r="AF429">
        <x:f>(S429*IF(E429="F",F429,0))+(S429*IF(G429="F",H429,0))</x:f>
      </x:c>
      <x:c r="AG429">
        <x:f>(S429*IF(E429="W",F429,0))+(S429*IF(G429="W",H429,0))</x:f>
      </x:c>
      <x:c r="AH429" t="inlineStr">
        <x:is>
          <x:t xml:space="preserve">8. Investigation &amp; Response</x:t>
        </x:is>
      </x:c>
      <x:c r="AI429" t="inlineStr">
        <x:is>
          <x:t xml:space="preserve">Incident Action</x:t>
        </x:is>
      </x:c>
      <x:c r="AJ429" t="inlineStr">
        <x:is>
          <x:t xml:space="preserve">Containment &amp; eradication actions</x:t>
        </x:is>
      </x:c>
    </x:row>
    <x:row r="430">
      <x:c r="A430" t="inlineStr">
        <x:is>
          <x:t xml:space="preserve">Security</x:t>
        </x:is>
      </x:c>
      <x:c r="B430" t="inlineStr">
        <x:is>
          <x:t xml:space="preserve">SEC-D7-Q19</x:t>
        </x:is>
      </x:c>
      <x:c r="C430" t="inlineStr">
        <x:is>
          <x:t xml:space="preserve">T1</x:t>
        </x:is>
      </x:c>
      <x:c r="D430" t="inlineStr">
        <x:is>
          <x:t xml:space="preserve">7. Evidence &amp; Forensics Readiness</x:t>
        </x:is>
      </x:c>
      <x:c r="E430" t="inlineStr">
        <x:is>
          <x:t xml:space="preserve">R</x:t>
        </x:is>
      </x:c>
      <x:c r="F430" t="n">
        <x:v>0.5</x:v>
      </x:c>
      <x:c r="G430" t="inlineStr">
        <x:is>
          <x:t xml:space="preserve">L</x:t>
        </x:is>
      </x:c>
      <x:c r="H430" t="n">
        <x:v>0.5</x:v>
      </x:c>
      <x:c r="I430" t="inlineStr">
        <x:is>
          <x:t xml:space="preserve">Can you preserve and present evidence from internal cases so HR/Legal can rely on it (chain of custody, tamper resistance)?</x:t>
        </x:is>
      </x:c>
      <x:c r="J430" t="inlineStr">
        <x:is>
          <x:t xml:space="preserve">This affects HR actions and legal disputes. Evidence should be traceable: who collected what, when, and whether it was altered.</x:t>
        </x:is>
      </x:c>
      <x:c r="L430" t="inlineStr">
        <x:is>
          <x:t xml:space="preserve">LEG_STRICT</x:t>
        </x:is>
      </x:c>
      <x:c r="M430" t="n">
        <x:v>1.5</x:v>
      </x:c>
      <x:c r="N430" t="n">
        <x:v>0.5</x:v>
      </x:c>
      <x:c r="P430" t="inlineStr">
        <x:is>
          <x:t xml:space="preserve">SEC-D7-Q19-A1</x:t>
        </x:is>
      </x:c>
      <x:c r="Q430" t="n">
        <x:v>1</x:v>
      </x:c>
      <x:c r="R430" t="inlineStr">
        <x:is>
          <x:t xml:space="preserve">No — evidence is collected informally (screenshots/copies) with limited traceability.</x:t>
        </x:is>
      </x:c>
      <x:c r="S430" t="n">
        <x:v>0</x:v>
      </x:c>
      <x:c r="T430" t="inlineStr">
        <x:is>
          <x:t xml:space="preserve">legal_exposure</x:t>
        </x:is>
      </x:c>
      <x:c r="U430" t="inlineStr">
        <x:is>
          <x:t xml:space="preserve">Legal Exposure</x:t>
        </x:is>
      </x:c>
      <x:c r="V430" t="inlineStr">
        <x:is>
          <x:t xml:space="preserve">Assess_Evidence_Handling</x:t>
        </x:is>
      </x:c>
      <x:c r="W430" t="inlineStr">
        <x:is>
          <x:t xml:space="preserve">N</x:t>
        </x:is>
      </x:c>
      <x:c r="Y430">
        <x:f>(S430*IF(E430="G",F430,0))+(S430*IF(G430="G",H430,0))</x:f>
      </x:c>
      <x:c r="Z430">
        <x:f>(S430*IF(E430="E",F430,0))+(S430*IF(G430="E",H430,0))</x:f>
      </x:c>
      <x:c r="AA430">
        <x:f>(S430*IF(E430="T",F430,0))+(S430*IF(G430="T",H430,0))</x:f>
      </x:c>
      <x:c r="AB430">
        <x:f>(S430*IF(E430="L",F430,0))+(S430*IF(G430="L",H430,0))</x:f>
      </x:c>
      <x:c r="AC430">
        <x:f>(S430*IF(E430="H",F430,0))+(S430*IF(G430="H",H430,0))</x:f>
      </x:c>
      <x:c r="AD430">
        <x:f>(S430*IF(E430="V",F430,0))+(S430*IF(G430="V",H430,0))</x:f>
      </x:c>
      <x:c r="AE430">
        <x:f>(S430*IF(E430="R",F430,0))+(S430*IF(G430="R",H430,0))</x:f>
      </x:c>
      <x:c r="AF430">
        <x:f>(S430*IF(E430="F",F430,0))+(S430*IF(G430="F",H430,0))</x:f>
      </x:c>
      <x:c r="AG430">
        <x:f>(S430*IF(E430="W",F430,0))+(S430*IF(G430="W",H430,0))</x:f>
      </x:c>
      <x:c r="AH430" t="inlineStr">
        <x:is>
          <x:t xml:space="preserve">8. Investigation &amp; Response</x:t>
        </x:is>
      </x:c>
      <x:c r="AI430" t="inlineStr">
        <x:is>
          <x:t xml:space="preserve">Operational Readiness</x:t>
        </x:is>
      </x:c>
      <x:c r="AJ430" t="inlineStr">
        <x:is>
          <x:t xml:space="preserve">Forensic readiness &amp; evidence preservation</x:t>
        </x:is>
      </x:c>
    </x:row>
    <x:row r="431">
      <x:c r="A431" t="inlineStr">
        <x:is>
          <x:t xml:space="preserve">Security</x:t>
        </x:is>
      </x:c>
      <x:c r="B431" t="inlineStr">
        <x:is>
          <x:t xml:space="preserve">SEC-D7-Q19</x:t>
        </x:is>
      </x:c>
      <x:c r="C431" t="inlineStr">
        <x:is>
          <x:t xml:space="preserve">T1</x:t>
        </x:is>
      </x:c>
      <x:c r="D431" t="inlineStr">
        <x:is>
          <x:t xml:space="preserve">7. Evidence &amp; Forensics Readiness</x:t>
        </x:is>
      </x:c>
      <x:c r="E431" t="inlineStr">
        <x:is>
          <x:t xml:space="preserve">R</x:t>
        </x:is>
      </x:c>
      <x:c r="F431" t="n">
        <x:v>0.5</x:v>
      </x:c>
      <x:c r="G431" t="inlineStr">
        <x:is>
          <x:t xml:space="preserve">L</x:t>
        </x:is>
      </x:c>
      <x:c r="H431" t="n">
        <x:v>0.5</x:v>
      </x:c>
      <x:c r="I431" t="inlineStr">
        <x:is>
          <x:t xml:space="preserve">Can you preserve and present evidence from internal cases so HR/Legal can rely on it (chain of custody, tamper resistance)?</x:t>
        </x:is>
      </x:c>
      <x:c r="J431" t="inlineStr">
        <x:is>
          <x:t xml:space="preserve">This affects HR actions and legal disputes. Evidence should be traceable: who collected what, when, and whether it was altered.</x:t>
        </x:is>
      </x:c>
      <x:c r="L431" t="inlineStr">
        <x:is>
          <x:t xml:space="preserve">LEG_STRICT</x:t>
        </x:is>
      </x:c>
      <x:c r="M431" t="n">
        <x:v>1.5</x:v>
      </x:c>
      <x:c r="N431" t="n">
        <x:v>0.5</x:v>
      </x:c>
      <x:c r="P431" t="inlineStr">
        <x:is>
          <x:t xml:space="preserve">SEC-D7-Q19-A2</x:t>
        </x:is>
      </x:c>
      <x:c r="Q431" t="n">
        <x:v>2</x:v>
      </x:c>
      <x:c r="R431" t="inlineStr">
        <x:is>
          <x:t xml:space="preserve">Partially — steps exist but are not consistent or not for all systems.</x:t>
        </x:is>
      </x:c>
      <x:c r="S431" t="n">
        <x:v>2</x:v>
      </x:c>
      <x:c r="U431" t="inlineStr">
        <x:is>
          <x:t xml:space="preserve">Legal Exposure</x:t>
        </x:is>
      </x:c>
      <x:c r="V431" t="inlineStr">
        <x:is>
          <x:t xml:space="preserve">Assess_Evidence_Handling</x:t>
        </x:is>
      </x:c>
      <x:c r="W431" t="inlineStr">
        <x:is>
          <x:t xml:space="preserve">N</x:t>
        </x:is>
      </x:c>
      <x:c r="Y431">
        <x:f>(S431*IF(E431="G",F431,0))+(S431*IF(G431="G",H431,0))</x:f>
      </x:c>
      <x:c r="Z431">
        <x:f>(S431*IF(E431="E",F431,0))+(S431*IF(G431="E",H431,0))</x:f>
      </x:c>
      <x:c r="AA431">
        <x:f>(S431*IF(E431="T",F431,0))+(S431*IF(G431="T",H431,0))</x:f>
      </x:c>
      <x:c r="AB431">
        <x:f>(S431*IF(E431="L",F431,0))+(S431*IF(G431="L",H431,0))</x:f>
      </x:c>
      <x:c r="AC431">
        <x:f>(S431*IF(E431="H",F431,0))+(S431*IF(G431="H",H431,0))</x:f>
      </x:c>
      <x:c r="AD431">
        <x:f>(S431*IF(E431="V",F431,0))+(S431*IF(G431="V",H431,0))</x:f>
      </x:c>
      <x:c r="AE431">
        <x:f>(S431*IF(E431="R",F431,0))+(S431*IF(G431="R",H431,0))</x:f>
      </x:c>
      <x:c r="AF431">
        <x:f>(S431*IF(E431="F",F431,0))+(S431*IF(G431="F",H431,0))</x:f>
      </x:c>
      <x:c r="AG431">
        <x:f>(S431*IF(E431="W",F431,0))+(S431*IF(G431="W",H431,0))</x:f>
      </x:c>
      <x:c r="AH431" t="inlineStr">
        <x:is>
          <x:t xml:space="preserve">8. Investigation &amp; Response</x:t>
        </x:is>
      </x:c>
      <x:c r="AI431" t="inlineStr">
        <x:is>
          <x:t xml:space="preserve">Operational Readiness</x:t>
        </x:is>
      </x:c>
      <x:c r="AJ431" t="inlineStr">
        <x:is>
          <x:t xml:space="preserve">Forensic readiness &amp; evidence preservation</x:t>
        </x:is>
      </x:c>
    </x:row>
    <x:row r="432">
      <x:c r="A432" t="inlineStr">
        <x:is>
          <x:t xml:space="preserve">Security</x:t>
        </x:is>
      </x:c>
      <x:c r="B432" t="inlineStr">
        <x:is>
          <x:t xml:space="preserve">SEC-D7-Q19</x:t>
        </x:is>
      </x:c>
      <x:c r="C432" t="inlineStr">
        <x:is>
          <x:t xml:space="preserve">T1</x:t>
        </x:is>
      </x:c>
      <x:c r="D432" t="inlineStr">
        <x:is>
          <x:t xml:space="preserve">7. Evidence &amp; Forensics Readiness</x:t>
        </x:is>
      </x:c>
      <x:c r="E432" t="inlineStr">
        <x:is>
          <x:t xml:space="preserve">R</x:t>
        </x:is>
      </x:c>
      <x:c r="F432" t="n">
        <x:v>0.5</x:v>
      </x:c>
      <x:c r="G432" t="inlineStr">
        <x:is>
          <x:t xml:space="preserve">L</x:t>
        </x:is>
      </x:c>
      <x:c r="H432" t="n">
        <x:v>0.5</x:v>
      </x:c>
      <x:c r="I432" t="inlineStr">
        <x:is>
          <x:t xml:space="preserve">Can you preserve and present evidence from internal cases so HR/Legal can rely on it (chain of custody, tamper resistance)?</x:t>
        </x:is>
      </x:c>
      <x:c r="J432" t="inlineStr">
        <x:is>
          <x:t xml:space="preserve">This affects HR actions and legal disputes. Evidence should be traceable: who collected what, when, and whether it was altered.</x:t>
        </x:is>
      </x:c>
      <x:c r="L432" t="inlineStr">
        <x:is>
          <x:t xml:space="preserve">LEG_STRICT</x:t>
        </x:is>
      </x:c>
      <x:c r="M432" t="n">
        <x:v>1.5</x:v>
      </x:c>
      <x:c r="N432" t="n">
        <x:v>0.5</x:v>
      </x:c>
      <x:c r="P432" t="inlineStr">
        <x:is>
          <x:t xml:space="preserve">SEC-D7-Q19-A3</x:t>
        </x:is>
      </x:c>
      <x:c r="Q432" t="n">
        <x:v>3</x:v>
      </x:c>
      <x:c r="R432" t="inlineStr">
        <x:is>
          <x:t xml:space="preserve">Yes — chain of custody is documented and used for serious cases.</x:t>
        </x:is>
      </x:c>
      <x:c r="S432" t="n">
        <x:v>3</x:v>
      </x:c>
      <x:c r="U432" t="inlineStr">
        <x:is>
          <x:t xml:space="preserve">Legal Exposure</x:t>
        </x:is>
      </x:c>
      <x:c r="V432" t="inlineStr">
        <x:is>
          <x:t xml:space="preserve">Legal_Defensibility_Audit</x:t>
        </x:is>
      </x:c>
      <x:c r="W432" t="inlineStr">
        <x:is>
          <x:t xml:space="preserve">Y</x:t>
        </x:is>
      </x:c>
      <x:c r="X432" t="inlineStr">
        <x:is>
          <x:t xml:space="preserve">Template + sample (redacted).</x:t>
        </x:is>
      </x:c>
      <x:c r="Y432">
        <x:f>(S432*IF(E432="G",F432,0))+(S432*IF(G432="G",H432,0))</x:f>
      </x:c>
      <x:c r="Z432">
        <x:f>(S432*IF(E432="E",F432,0))+(S432*IF(G432="E",H432,0))</x:f>
      </x:c>
      <x:c r="AA432">
        <x:f>(S432*IF(E432="T",F432,0))+(S432*IF(G432="T",H432,0))</x:f>
      </x:c>
      <x:c r="AB432">
        <x:f>(S432*IF(E432="L",F432,0))+(S432*IF(G432="L",H432,0))</x:f>
      </x:c>
      <x:c r="AC432">
        <x:f>(S432*IF(E432="H",F432,0))+(S432*IF(G432="H",H432,0))</x:f>
      </x:c>
      <x:c r="AD432">
        <x:f>(S432*IF(E432="V",F432,0))+(S432*IF(G432="V",H432,0))</x:f>
      </x:c>
      <x:c r="AE432">
        <x:f>(S432*IF(E432="R",F432,0))+(S432*IF(G432="R",H432,0))</x:f>
      </x:c>
      <x:c r="AF432">
        <x:f>(S432*IF(E432="F",F432,0))+(S432*IF(G432="F",H432,0))</x:f>
      </x:c>
      <x:c r="AG432">
        <x:f>(S432*IF(E432="W",F432,0))+(S432*IF(G432="W",H432,0))</x:f>
      </x:c>
      <x:c r="AH432" t="inlineStr">
        <x:is>
          <x:t xml:space="preserve">8. Investigation &amp; Response</x:t>
        </x:is>
      </x:c>
      <x:c r="AI432" t="inlineStr">
        <x:is>
          <x:t xml:space="preserve">Operational Readiness</x:t>
        </x:is>
      </x:c>
      <x:c r="AJ432" t="inlineStr">
        <x:is>
          <x:t xml:space="preserve">Forensic readiness &amp; evidence preservation</x:t>
        </x:is>
      </x:c>
    </x:row>
    <x:row r="433">
      <x:c r="A433" t="inlineStr">
        <x:is>
          <x:t xml:space="preserve">Security</x:t>
        </x:is>
      </x:c>
      <x:c r="B433" t="inlineStr">
        <x:is>
          <x:t xml:space="preserve">SEC-D7-Q19</x:t>
        </x:is>
      </x:c>
      <x:c r="C433" t="inlineStr">
        <x:is>
          <x:t xml:space="preserve">T1</x:t>
        </x:is>
      </x:c>
      <x:c r="D433" t="inlineStr">
        <x:is>
          <x:t xml:space="preserve">7. Evidence &amp; Forensics Readiness</x:t>
        </x:is>
      </x:c>
      <x:c r="E433" t="inlineStr">
        <x:is>
          <x:t xml:space="preserve">R</x:t>
        </x:is>
      </x:c>
      <x:c r="F433" t="n">
        <x:v>0.5</x:v>
      </x:c>
      <x:c r="G433" t="inlineStr">
        <x:is>
          <x:t xml:space="preserve">L</x:t>
        </x:is>
      </x:c>
      <x:c r="H433" t="n">
        <x:v>0.5</x:v>
      </x:c>
      <x:c r="I433" t="inlineStr">
        <x:is>
          <x:t xml:space="preserve">Can you preserve and present evidence from internal cases so HR/Legal can rely on it (chain of custody, tamper resistance)?</x:t>
        </x:is>
      </x:c>
      <x:c r="J433" t="inlineStr">
        <x:is>
          <x:t xml:space="preserve">This affects HR actions and legal disputes. Evidence should be traceable: who collected what, when, and whether it was altered.</x:t>
        </x:is>
      </x:c>
      <x:c r="L433" t="inlineStr">
        <x:is>
          <x:t xml:space="preserve">LEG_STRICT</x:t>
        </x:is>
      </x:c>
      <x:c r="M433" t="n">
        <x:v>1.5</x:v>
      </x:c>
      <x:c r="N433" t="n">
        <x:v>0.5</x:v>
      </x:c>
      <x:c r="P433" t="inlineStr">
        <x:is>
          <x:t xml:space="preserve">SEC-D7-Q19-A4</x:t>
        </x:is>
      </x:c>
      <x:c r="Q433" t="n">
        <x:v>4</x:v>
      </x:c>
      <x:c r="R433" t="inlineStr">
        <x:is>
          <x:t xml:space="preserve">Optimized — tamper‑resistant logs, controlled access, and periodic audits.</x:t>
        </x:is>
      </x:c>
      <x:c r="S433" t="n">
        <x:v>4</x:v>
      </x:c>
      <x:c r="U433" t="inlineStr">
        <x:is>
          <x:t xml:space="preserve">Legal Exposure</x:t>
        </x:is>
      </x:c>
      <x:c r="V433" t="inlineStr">
        <x:is>
          <x:t xml:space="preserve">Legal_Defensibility_Audit</x:t>
        </x:is>
      </x:c>
      <x:c r="W433" t="inlineStr">
        <x:is>
          <x:t xml:space="preserve">Y</x:t>
        </x:is>
      </x:c>
      <x:c r="X433" t="inlineStr">
        <x:is>
          <x:t xml:space="preserve">Audit evidence or control logs.</x:t>
        </x:is>
      </x:c>
      <x:c r="Y433">
        <x:f>(S433*IF(E433="G",F433,0))+(S433*IF(G433="G",H433,0))</x:f>
      </x:c>
      <x:c r="Z433">
        <x:f>(S433*IF(E433="E",F433,0))+(S433*IF(G433="E",H433,0))</x:f>
      </x:c>
      <x:c r="AA433">
        <x:f>(S433*IF(E433="T",F433,0))+(S433*IF(G433="T",H433,0))</x:f>
      </x:c>
      <x:c r="AB433">
        <x:f>(S433*IF(E433="L",F433,0))+(S433*IF(G433="L",H433,0))</x:f>
      </x:c>
      <x:c r="AC433">
        <x:f>(S433*IF(E433="H",F433,0))+(S433*IF(G433="H",H433,0))</x:f>
      </x:c>
      <x:c r="AD433">
        <x:f>(S433*IF(E433="V",F433,0))+(S433*IF(G433="V",H433,0))</x:f>
      </x:c>
      <x:c r="AE433">
        <x:f>(S433*IF(E433="R",F433,0))+(S433*IF(G433="R",H433,0))</x:f>
      </x:c>
      <x:c r="AF433">
        <x:f>(S433*IF(E433="F",F433,0))+(S433*IF(G433="F",H433,0))</x:f>
      </x:c>
      <x:c r="AG433">
        <x:f>(S433*IF(E433="W",F433,0))+(S433*IF(G433="W",H433,0))</x:f>
      </x:c>
      <x:c r="AH433" t="inlineStr">
        <x:is>
          <x:t xml:space="preserve">8. Investigation &amp; Response</x:t>
        </x:is>
      </x:c>
      <x:c r="AI433" t="inlineStr">
        <x:is>
          <x:t xml:space="preserve">Operational Readiness</x:t>
        </x:is>
      </x:c>
      <x:c r="AJ433" t="inlineStr">
        <x:is>
          <x:t xml:space="preserve">Forensic readiness &amp; evidence preservation</x:t>
        </x:is>
      </x:c>
    </x:row>
    <x:row r="434">
      <x:c r="A434" t="inlineStr">
        <x:is>
          <x:t xml:space="preserve">Security</x:t>
        </x:is>
      </x:c>
      <x:c r="B434" t="inlineStr">
        <x:is>
          <x:t xml:space="preserve">SEC-D7-Q20</x:t>
        </x:is>
      </x:c>
      <x:c r="C434" t="inlineStr">
        <x:is>
          <x:t xml:space="preserve">T2</x:t>
        </x:is>
      </x:c>
      <x:c r="D434" t="inlineStr">
        <x:is>
          <x:t xml:space="preserve">7. Evidence &amp; Forensics Readiness</x:t>
        </x:is>
      </x:c>
      <x:c r="E434" t="inlineStr">
        <x:is>
          <x:t xml:space="preserve">E</x:t>
        </x:is>
      </x:c>
      <x:c r="F434" t="n">
        <x:v>1</x:v>
      </x:c>
      <x:c r="I434" t="inlineStr">
        <x:is>
          <x:t xml:space="preserve">(Shadow probe) When HR/Legal ask for proof, can you retrieve it quickly and consistently (without best guesses)?</x:t>
        </x:is>
      </x:c>
      <x:c r="J434" t="inlineStr">
        <x:is>
          <x:t xml:space="preserve">Checks speed and repeatability of evidence retrieval for common case types.</x:t>
        </x:is>
      </x:c>
      <x:c r="L434" t="inlineStr">
        <x:is>
          <x:t xml:space="preserve">OPS_STD</x:t>
        </x:is>
      </x:c>
      <x:c r="M434" t="n">
        <x:v>1</x:v>
      </x:c>
      <x:c r="P434" t="inlineStr">
        <x:is>
          <x:t xml:space="preserve">SEC-D7-Q20-A1</x:t>
        </x:is>
      </x:c>
      <x:c r="Q434" t="n">
        <x:v>1</x:v>
      </x:c>
      <x:c r="R434" t="inlineStr">
        <x:is>
          <x:t xml:space="preserve">No — evidence gathering is slow and depends on who knows the systems.</x:t>
        </x:is>
      </x:c>
      <x:c r="S434" t="n">
        <x:v>0</x:v>
      </x:c>
      <x:c r="T434" t="inlineStr">
        <x:is>
          <x:t xml:space="preserve">shadow_mature_signal</x:t>
        </x:is>
      </x:c>
      <x:c r="U434" t="inlineStr">
        <x:is>
          <x:t xml:space="preserve">Shadow Mature</x:t>
        </x:is>
      </x:c>
      <x:c r="V434" t="inlineStr">
        <x:is>
          <x:t xml:space="preserve">Assess_Evidence_Handling</x:t>
        </x:is>
      </x:c>
      <x:c r="W434" t="inlineStr">
        <x:is>
          <x:t xml:space="preserve">N</x:t>
        </x:is>
      </x:c>
      <x:c r="Y434">
        <x:f>(S434*IF(E434="G",F434,0))+(S434*IF(G434="G",H434,0))</x:f>
      </x:c>
      <x:c r="Z434">
        <x:f>(S434*IF(E434="E",F434,0))+(S434*IF(G434="E",H434,0))</x:f>
      </x:c>
      <x:c r="AA434">
        <x:f>(S434*IF(E434="T",F434,0))+(S434*IF(G434="T",H434,0))</x:f>
      </x:c>
      <x:c r="AB434">
        <x:f>(S434*IF(E434="L",F434,0))+(S434*IF(G434="L",H434,0))</x:f>
      </x:c>
      <x:c r="AC434">
        <x:f>(S434*IF(E434="H",F434,0))+(S434*IF(G434="H",H434,0))</x:f>
      </x:c>
      <x:c r="AD434">
        <x:f>(S434*IF(E434="V",F434,0))+(S434*IF(G434="V",H434,0))</x:f>
      </x:c>
      <x:c r="AE434">
        <x:f>(S434*IF(E434="R",F434,0))+(S434*IF(G434="R",H434,0))</x:f>
      </x:c>
      <x:c r="AF434">
        <x:f>(S434*IF(E434="F",F434,0))+(S434*IF(G434="F",H434,0))</x:f>
      </x:c>
      <x:c r="AG434">
        <x:f>(S434*IF(E434="W",F434,0))+(S434*IF(G434="W",H434,0))</x:f>
      </x:c>
      <x:c r="AH434" t="inlineStr">
        <x:is>
          <x:t xml:space="preserve">8. Investigation &amp; Response</x:t>
        </x:is>
      </x:c>
      <x:c r="AI434" t="inlineStr">
        <x:is>
          <x:t xml:space="preserve">Operational Readiness</x:t>
        </x:is>
      </x:c>
      <x:c r="AJ434" t="inlineStr">
        <x:is>
          <x:t xml:space="preserve">Forensic readiness &amp; evidence preservation</x:t>
        </x:is>
      </x:c>
    </x:row>
    <x:row r="435">
      <x:c r="A435" t="inlineStr">
        <x:is>
          <x:t xml:space="preserve">Security</x:t>
        </x:is>
      </x:c>
      <x:c r="B435" t="inlineStr">
        <x:is>
          <x:t xml:space="preserve">SEC-D7-Q20</x:t>
        </x:is>
      </x:c>
      <x:c r="C435" t="inlineStr">
        <x:is>
          <x:t xml:space="preserve">T2</x:t>
        </x:is>
      </x:c>
      <x:c r="D435" t="inlineStr">
        <x:is>
          <x:t xml:space="preserve">7. Evidence &amp; Forensics Readiness</x:t>
        </x:is>
      </x:c>
      <x:c r="E435" t="inlineStr">
        <x:is>
          <x:t xml:space="preserve">E</x:t>
        </x:is>
      </x:c>
      <x:c r="F435" t="n">
        <x:v>1</x:v>
      </x:c>
      <x:c r="I435" t="inlineStr">
        <x:is>
          <x:t xml:space="preserve">(Shadow probe) When HR/Legal ask for proof, can you retrieve it quickly and consistently (without best guesses)?</x:t>
        </x:is>
      </x:c>
      <x:c r="J435" t="inlineStr">
        <x:is>
          <x:t xml:space="preserve">Checks speed and repeatability of evidence retrieval for common case types.</x:t>
        </x:is>
      </x:c>
      <x:c r="L435" t="inlineStr">
        <x:is>
          <x:t xml:space="preserve">OPS_STD</x:t>
        </x:is>
      </x:c>
      <x:c r="M435" t="n">
        <x:v>1</x:v>
      </x:c>
      <x:c r="P435" t="inlineStr">
        <x:is>
          <x:t xml:space="preserve">SEC-D7-Q20-A2</x:t>
        </x:is>
      </x:c>
      <x:c r="Q435" t="n">
        <x:v>2</x:v>
      </x:c>
      <x:c r="R435" t="inlineStr">
        <x:is>
          <x:t xml:space="preserve">Sometimes — we can retrieve evidence quickly for a few systems only.</x:t>
        </x:is>
      </x:c>
      <x:c r="S435" t="n">
        <x:v>2</x:v>
      </x:c>
      <x:c r="U435" t="inlineStr">
        <x:is>
          <x:t xml:space="preserve">Operating Model Gap</x:t>
        </x:is>
      </x:c>
      <x:c r="V435" t="inlineStr">
        <x:is>
          <x:t xml:space="preserve">Assess_Evidence_Handling</x:t>
        </x:is>
      </x:c>
      <x:c r="W435" t="inlineStr">
        <x:is>
          <x:t xml:space="preserve">N</x:t>
        </x:is>
      </x:c>
      <x:c r="Y435">
        <x:f>(S435*IF(E435="G",F435,0))+(S435*IF(G435="G",H435,0))</x:f>
      </x:c>
      <x:c r="Z435">
        <x:f>(S435*IF(E435="E",F435,0))+(S435*IF(G435="E",H435,0))</x:f>
      </x:c>
      <x:c r="AA435">
        <x:f>(S435*IF(E435="T",F435,0))+(S435*IF(G435="T",H435,0))</x:f>
      </x:c>
      <x:c r="AB435">
        <x:f>(S435*IF(E435="L",F435,0))+(S435*IF(G435="L",H435,0))</x:f>
      </x:c>
      <x:c r="AC435">
        <x:f>(S435*IF(E435="H",F435,0))+(S435*IF(G435="H",H435,0))</x:f>
      </x:c>
      <x:c r="AD435">
        <x:f>(S435*IF(E435="V",F435,0))+(S435*IF(G435="V",H435,0))</x:f>
      </x:c>
      <x:c r="AE435">
        <x:f>(S435*IF(E435="R",F435,0))+(S435*IF(G435="R",H435,0))</x:f>
      </x:c>
      <x:c r="AF435">
        <x:f>(S435*IF(E435="F",F435,0))+(S435*IF(G435="F",H435,0))</x:f>
      </x:c>
      <x:c r="AG435">
        <x:f>(S435*IF(E435="W",F435,0))+(S435*IF(G435="W",H435,0))</x:f>
      </x:c>
      <x:c r="AH435" t="inlineStr">
        <x:is>
          <x:t xml:space="preserve">8. Investigation &amp; Response</x:t>
        </x:is>
      </x:c>
      <x:c r="AI435" t="inlineStr">
        <x:is>
          <x:t xml:space="preserve">Operational Readiness</x:t>
        </x:is>
      </x:c>
      <x:c r="AJ435" t="inlineStr">
        <x:is>
          <x:t xml:space="preserve">Forensic readiness &amp; evidence preservation</x:t>
        </x:is>
      </x:c>
    </x:row>
    <x:row r="436">
      <x:c r="A436" t="inlineStr">
        <x:is>
          <x:t xml:space="preserve">Security</x:t>
        </x:is>
      </x:c>
      <x:c r="B436" t="inlineStr">
        <x:is>
          <x:t xml:space="preserve">SEC-D7-Q20</x:t>
        </x:is>
      </x:c>
      <x:c r="C436" t="inlineStr">
        <x:is>
          <x:t xml:space="preserve">T2</x:t>
        </x:is>
      </x:c>
      <x:c r="D436" t="inlineStr">
        <x:is>
          <x:t xml:space="preserve">7. Evidence &amp; Forensics Readiness</x:t>
        </x:is>
      </x:c>
      <x:c r="E436" t="inlineStr">
        <x:is>
          <x:t xml:space="preserve">E</x:t>
        </x:is>
      </x:c>
      <x:c r="F436" t="n">
        <x:v>1</x:v>
      </x:c>
      <x:c r="I436" t="inlineStr">
        <x:is>
          <x:t xml:space="preserve">(Shadow probe) When HR/Legal ask for proof, can you retrieve it quickly and consistently (without best guesses)?</x:t>
        </x:is>
      </x:c>
      <x:c r="J436" t="inlineStr">
        <x:is>
          <x:t xml:space="preserve">Checks speed and repeatability of evidence retrieval for common case types.</x:t>
        </x:is>
      </x:c>
      <x:c r="L436" t="inlineStr">
        <x:is>
          <x:t xml:space="preserve">OPS_STD</x:t>
        </x:is>
      </x:c>
      <x:c r="M436" t="n">
        <x:v>1</x:v>
      </x:c>
      <x:c r="P436" t="inlineStr">
        <x:is>
          <x:t xml:space="preserve">SEC-D7-Q20-A3</x:t>
        </x:is>
      </x:c>
      <x:c r="Q436" t="n">
        <x:v>3</x:v>
      </x:c>
      <x:c r="R436" t="inlineStr">
        <x:is>
          <x:t xml:space="preserve">Yes — repeatable retrieval steps exist for key systems and typical case types.</x:t>
        </x:is>
      </x:c>
      <x:c r="S436" t="n">
        <x:v>3</x:v>
      </x:c>
      <x:c r="U436" t="inlineStr">
        <x:is>
          <x:t xml:space="preserve">Resilience Gap</x:t>
        </x:is>
      </x:c>
      <x:c r="V436" t="inlineStr">
        <x:is>
          <x:t xml:space="preserve">Assess_Evidence_Handling</x:t>
        </x:is>
      </x:c>
      <x:c r="W436" t="inlineStr">
        <x:is>
          <x:t xml:space="preserve">Y</x:t>
        </x:is>
      </x:c>
      <x:c r="X436" t="inlineStr">
        <x:is>
          <x:t xml:space="preserve">Retrieval SOP for 1 system.</x:t>
        </x:is>
      </x:c>
      <x:c r="Y436">
        <x:f>(S436*IF(E436="G",F436,0))+(S436*IF(G436="G",H436,0))</x:f>
      </x:c>
      <x:c r="Z436">
        <x:f>(S436*IF(E436="E",F436,0))+(S436*IF(G436="E",H436,0))</x:f>
      </x:c>
      <x:c r="AA436">
        <x:f>(S436*IF(E436="T",F436,0))+(S436*IF(G436="T",H436,0))</x:f>
      </x:c>
      <x:c r="AB436">
        <x:f>(S436*IF(E436="L",F436,0))+(S436*IF(G436="L",H436,0))</x:f>
      </x:c>
      <x:c r="AC436">
        <x:f>(S436*IF(E436="H",F436,0))+(S436*IF(G436="H",H436,0))</x:f>
      </x:c>
      <x:c r="AD436">
        <x:f>(S436*IF(E436="V",F436,0))+(S436*IF(G436="V",H436,0))</x:f>
      </x:c>
      <x:c r="AE436">
        <x:f>(S436*IF(E436="R",F436,0))+(S436*IF(G436="R",H436,0))</x:f>
      </x:c>
      <x:c r="AF436">
        <x:f>(S436*IF(E436="F",F436,0))+(S436*IF(G436="F",H436,0))</x:f>
      </x:c>
      <x:c r="AG436">
        <x:f>(S436*IF(E436="W",F436,0))+(S436*IF(G436="W",H436,0))</x:f>
      </x:c>
      <x:c r="AH436" t="inlineStr">
        <x:is>
          <x:t xml:space="preserve">8. Investigation &amp; Response</x:t>
        </x:is>
      </x:c>
      <x:c r="AI436" t="inlineStr">
        <x:is>
          <x:t xml:space="preserve">Operational Readiness</x:t>
        </x:is>
      </x:c>
      <x:c r="AJ436" t="inlineStr">
        <x:is>
          <x:t xml:space="preserve">Forensic readiness &amp; evidence preservation</x:t>
        </x:is>
      </x:c>
    </x:row>
    <x:row r="437">
      <x:c r="A437" t="inlineStr">
        <x:is>
          <x:t xml:space="preserve">Security</x:t>
        </x:is>
      </x:c>
      <x:c r="B437" t="inlineStr">
        <x:is>
          <x:t xml:space="preserve">SEC-D7-Q21</x:t>
        </x:is>
      </x:c>
      <x:c r="C437" t="inlineStr">
        <x:is>
          <x:t xml:space="preserve">T3</x:t>
        </x:is>
      </x:c>
      <x:c r="D437" t="inlineStr">
        <x:is>
          <x:t xml:space="preserve">7. Evidence &amp; Forensics Readiness</x:t>
        </x:is>
      </x:c>
      <x:c r="E437" t="inlineStr">
        <x:is>
          <x:t xml:space="preserve">T</x:t>
        </x:is>
      </x:c>
      <x:c r="F437" t="n">
        <x:v>0.5</x:v>
      </x:c>
      <x:c r="G437" t="inlineStr">
        <x:is>
          <x:t xml:space="preserve">L</x:t>
        </x:is>
      </x:c>
      <x:c r="H437" t="n">
        <x:v>0.5</x:v>
      </x:c>
      <x:c r="I437" t="inlineStr">
        <x:is>
          <x:t xml:space="preserve">Are monitoring logs protected (restricted access + audits) and retained long enough for investigations and legal requirements?</x:t>
        </x:is>
      </x:c>
      <x:c r="J437" t="inlineStr">
        <x:is>
          <x:t xml:space="preserve">Checks governance of monitoring data itself to prevent misuse and support defensibility.</x:t>
        </x:is>
      </x:c>
      <x:c r="L437" t="inlineStr">
        <x:is>
          <x:t xml:space="preserve">LEG_STRICT</x:t>
        </x:is>
      </x:c>
      <x:c r="M437" t="n">
        <x:v>1.3</x:v>
      </x:c>
      <x:c r="N437" t="n">
        <x:v>0.5</x:v>
      </x:c>
      <x:c r="P437" t="inlineStr">
        <x:is>
          <x:t xml:space="preserve">SEC-D7-Q21-A1</x:t>
        </x:is>
      </x:c>
      <x:c r="Q437" t="n">
        <x:v>1</x:v>
      </x:c>
      <x:c r="R437" t="inlineStr">
        <x:is>
          <x:t xml:space="preserve">Logs are broadly accessible or retention is unpredictable.</x:t>
        </x:is>
      </x:c>
      <x:c r="S437" t="n">
        <x:v>0</x:v>
      </x:c>
      <x:c r="T437" t="inlineStr">
        <x:is>
          <x:t xml:space="preserve">legal_exposure</x:t>
        </x:is>
      </x:c>
      <x:c r="U437" t="inlineStr">
        <x:is>
          <x:t xml:space="preserve">Legal Exposure</x:t>
        </x:is>
      </x:c>
      <x:c r="V437" t="inlineStr">
        <x:is>
          <x:t xml:space="preserve">Assess_Evidence_Handling</x:t>
        </x:is>
      </x:c>
      <x:c r="W437" t="inlineStr">
        <x:is>
          <x:t xml:space="preserve">N</x:t>
        </x:is>
      </x:c>
      <x:c r="Y437">
        <x:f>(S437*IF(E437="G",F437,0))+(S437*IF(G437="G",H437,0))</x:f>
      </x:c>
      <x:c r="Z437">
        <x:f>(S437*IF(E437="E",F437,0))+(S437*IF(G437="E",H437,0))</x:f>
      </x:c>
      <x:c r="AA437">
        <x:f>(S437*IF(E437="T",F437,0))+(S437*IF(G437="T",H437,0))</x:f>
      </x:c>
      <x:c r="AB437">
        <x:f>(S437*IF(E437="L",F437,0))+(S437*IF(G437="L",H437,0))</x:f>
      </x:c>
      <x:c r="AC437">
        <x:f>(S437*IF(E437="H",F437,0))+(S437*IF(G437="H",H437,0))</x:f>
      </x:c>
      <x:c r="AD437">
        <x:f>(S437*IF(E437="V",F437,0))+(S437*IF(G437="V",H437,0))</x:f>
      </x:c>
      <x:c r="AE437">
        <x:f>(S437*IF(E437="R",F437,0))+(S437*IF(G437="R",H437,0))</x:f>
      </x:c>
      <x:c r="AF437">
        <x:f>(S437*IF(E437="F",F437,0))+(S437*IF(G437="F",H437,0))</x:f>
      </x:c>
      <x:c r="AG437">
        <x:f>(S437*IF(E437="W",F437,0))+(S437*IF(G437="W",H437,0))</x:f>
      </x:c>
      <x:c r="AH437" t="inlineStr">
        <x:is>
          <x:t xml:space="preserve">6. Technical Controls</x:t>
        </x:is>
      </x:c>
      <x:c r="AI437" t="inlineStr">
        <x:is>
          <x:t xml:space="preserve">Physical/OT Overlay</x:t>
        </x:is>
      </x:c>
      <x:c r="AJ437" t="inlineStr">
        <x:is>
          <x:t xml:space="preserve">OT privileged access &amp; engineering workstation governance</x:t>
        </x:is>
      </x:c>
    </x:row>
    <x:row r="438">
      <x:c r="A438" t="inlineStr">
        <x:is>
          <x:t xml:space="preserve">Security</x:t>
        </x:is>
      </x:c>
      <x:c r="B438" t="inlineStr">
        <x:is>
          <x:t xml:space="preserve">SEC-D7-Q21</x:t>
        </x:is>
      </x:c>
      <x:c r="C438" t="inlineStr">
        <x:is>
          <x:t xml:space="preserve">T3</x:t>
        </x:is>
      </x:c>
      <x:c r="D438" t="inlineStr">
        <x:is>
          <x:t xml:space="preserve">7. Evidence &amp; Forensics Readiness</x:t>
        </x:is>
      </x:c>
      <x:c r="E438" t="inlineStr">
        <x:is>
          <x:t xml:space="preserve">T</x:t>
        </x:is>
      </x:c>
      <x:c r="F438" t="n">
        <x:v>0.5</x:v>
      </x:c>
      <x:c r="G438" t="inlineStr">
        <x:is>
          <x:t xml:space="preserve">L</x:t>
        </x:is>
      </x:c>
      <x:c r="H438" t="n">
        <x:v>0.5</x:v>
      </x:c>
      <x:c r="I438" t="inlineStr">
        <x:is>
          <x:t xml:space="preserve">Are monitoring logs protected (restricted access + audits) and retained long enough for investigations and legal requirements?</x:t>
        </x:is>
      </x:c>
      <x:c r="J438" t="inlineStr">
        <x:is>
          <x:t xml:space="preserve">Checks governance of monitoring data itself to prevent misuse and support defensibility.</x:t>
        </x:is>
      </x:c>
      <x:c r="L438" t="inlineStr">
        <x:is>
          <x:t xml:space="preserve">LEG_STRICT</x:t>
        </x:is>
      </x:c>
      <x:c r="M438" t="n">
        <x:v>1.3</x:v>
      </x:c>
      <x:c r="N438" t="n">
        <x:v>0.5</x:v>
      </x:c>
      <x:c r="P438" t="inlineStr">
        <x:is>
          <x:t xml:space="preserve">SEC-D7-Q21-A2</x:t>
        </x:is>
      </x:c>
      <x:c r="Q438" t="n">
        <x:v>2</x:v>
      </x:c>
      <x:c r="R438" t="inlineStr">
        <x:is>
          <x:t xml:space="preserve">Retention/access controls exist, but audits are rare and some sources are excluded.</x:t>
        </x:is>
      </x:c>
      <x:c r="S438" t="n">
        <x:v>2</x:v>
      </x:c>
      <x:c r="U438" t="inlineStr">
        <x:is>
          <x:t xml:space="preserve">Legal Exposure</x:t>
        </x:is>
      </x:c>
      <x:c r="V438" t="inlineStr">
        <x:is>
          <x:t xml:space="preserve">Assess_Data_Residency</x:t>
        </x:is>
      </x:c>
      <x:c r="W438" t="inlineStr">
        <x:is>
          <x:t xml:space="preserve">N</x:t>
        </x:is>
      </x:c>
      <x:c r="Y438">
        <x:f>(S438*IF(E438="G",F438,0))+(S438*IF(G438="G",H438,0))</x:f>
      </x:c>
      <x:c r="Z438">
        <x:f>(S438*IF(E438="E",F438,0))+(S438*IF(G438="E",H438,0))</x:f>
      </x:c>
      <x:c r="AA438">
        <x:f>(S438*IF(E438="T",F438,0))+(S438*IF(G438="T",H438,0))</x:f>
      </x:c>
      <x:c r="AB438">
        <x:f>(S438*IF(E438="L",F438,0))+(S438*IF(G438="L",H438,0))</x:f>
      </x:c>
      <x:c r="AC438">
        <x:f>(S438*IF(E438="H",F438,0))+(S438*IF(G438="H",H438,0))</x:f>
      </x:c>
      <x:c r="AD438">
        <x:f>(S438*IF(E438="V",F438,0))+(S438*IF(G438="V",H438,0))</x:f>
      </x:c>
      <x:c r="AE438">
        <x:f>(S438*IF(E438="R",F438,0))+(S438*IF(G438="R",H438,0))</x:f>
      </x:c>
      <x:c r="AF438">
        <x:f>(S438*IF(E438="F",F438,0))+(S438*IF(G438="F",H438,0))</x:f>
      </x:c>
      <x:c r="AG438">
        <x:f>(S438*IF(E438="W",F438,0))+(S438*IF(G438="W",H438,0))</x:f>
      </x:c>
      <x:c r="AH438" t="inlineStr">
        <x:is>
          <x:t xml:space="preserve">6. Technical Controls</x:t>
        </x:is>
      </x:c>
      <x:c r="AI438" t="inlineStr">
        <x:is>
          <x:t xml:space="preserve">Physical/OT Overlay</x:t>
        </x:is>
      </x:c>
      <x:c r="AJ438" t="inlineStr">
        <x:is>
          <x:t xml:space="preserve">OT privileged access &amp; engineering workstation governance</x:t>
        </x:is>
      </x:c>
    </x:row>
    <x:row r="439">
      <x:c r="A439" t="inlineStr">
        <x:is>
          <x:t xml:space="preserve">Security</x:t>
        </x:is>
      </x:c>
      <x:c r="B439" t="inlineStr">
        <x:is>
          <x:t xml:space="preserve">SEC-D7-Q21</x:t>
        </x:is>
      </x:c>
      <x:c r="C439" t="inlineStr">
        <x:is>
          <x:t xml:space="preserve">T3</x:t>
        </x:is>
      </x:c>
      <x:c r="D439" t="inlineStr">
        <x:is>
          <x:t xml:space="preserve">7. Evidence &amp; Forensics Readiness</x:t>
        </x:is>
      </x:c>
      <x:c r="E439" t="inlineStr">
        <x:is>
          <x:t xml:space="preserve">T</x:t>
        </x:is>
      </x:c>
      <x:c r="F439" t="n">
        <x:v>0.5</x:v>
      </x:c>
      <x:c r="G439" t="inlineStr">
        <x:is>
          <x:t xml:space="preserve">L</x:t>
        </x:is>
      </x:c>
      <x:c r="H439" t="n">
        <x:v>0.5</x:v>
      </x:c>
      <x:c r="I439" t="inlineStr">
        <x:is>
          <x:t xml:space="preserve">Are monitoring logs protected (restricted access + audits) and retained long enough for investigations and legal requirements?</x:t>
        </x:is>
      </x:c>
      <x:c r="J439" t="inlineStr">
        <x:is>
          <x:t xml:space="preserve">Checks governance of monitoring data itself to prevent misuse and support defensibility.</x:t>
        </x:is>
      </x:c>
      <x:c r="L439" t="inlineStr">
        <x:is>
          <x:t xml:space="preserve">LEG_STRICT</x:t>
        </x:is>
      </x:c>
      <x:c r="M439" t="n">
        <x:v>1.3</x:v>
      </x:c>
      <x:c r="N439" t="n">
        <x:v>0.5</x:v>
      </x:c>
      <x:c r="P439" t="inlineStr">
        <x:is>
          <x:t xml:space="preserve">SEC-D7-Q21-A3</x:t>
        </x:is>
      </x:c>
      <x:c r="Q439" t="n">
        <x:v>3</x:v>
      </x:c>
      <x:c r="R439" t="inlineStr">
        <x:is>
          <x:t xml:space="preserve">Access is restricted and audited for most sources; retention meets defined requirements.</x:t>
        </x:is>
      </x:c>
      <x:c r="S439" t="n">
        <x:v>3</x:v>
      </x:c>
      <x:c r="U439" t="inlineStr">
        <x:is>
          <x:t xml:space="preserve">Legal Exposure</x:t>
        </x:is>
      </x:c>
      <x:c r="V439" t="inlineStr">
        <x:is>
          <x:t xml:space="preserve">Legal_Defensibility_Audit</x:t>
        </x:is>
      </x:c>
      <x:c r="W439" t="inlineStr">
        <x:is>
          <x:t xml:space="preserve">Y</x:t>
        </x:is>
      </x:c>
      <x:c r="X439" t="inlineStr">
        <x:is>
          <x:t xml:space="preserve">Access groups + retention settings summary.</x:t>
        </x:is>
      </x:c>
      <x:c r="Y439">
        <x:f>(S439*IF(E439="G",F439,0))+(S439*IF(G439="G",H439,0))</x:f>
      </x:c>
      <x:c r="Z439">
        <x:f>(S439*IF(E439="E",F439,0))+(S439*IF(G439="E",H439,0))</x:f>
      </x:c>
      <x:c r="AA439">
        <x:f>(S439*IF(E439="T",F439,0))+(S439*IF(G439="T",H439,0))</x:f>
      </x:c>
      <x:c r="AB439">
        <x:f>(S439*IF(E439="L",F439,0))+(S439*IF(G439="L",H439,0))</x:f>
      </x:c>
      <x:c r="AC439">
        <x:f>(S439*IF(E439="H",F439,0))+(S439*IF(G439="H",H439,0))</x:f>
      </x:c>
      <x:c r="AD439">
        <x:f>(S439*IF(E439="V",F439,0))+(S439*IF(G439="V",H439,0))</x:f>
      </x:c>
      <x:c r="AE439">
        <x:f>(S439*IF(E439="R",F439,0))+(S439*IF(G439="R",H439,0))</x:f>
      </x:c>
      <x:c r="AF439">
        <x:f>(S439*IF(E439="F",F439,0))+(S439*IF(G439="F",H439,0))</x:f>
      </x:c>
      <x:c r="AG439">
        <x:f>(S439*IF(E439="W",F439,0))+(S439*IF(G439="W",H439,0))</x:f>
      </x:c>
      <x:c r="AH439" t="inlineStr">
        <x:is>
          <x:t xml:space="preserve">6. Technical Controls</x:t>
        </x:is>
      </x:c>
      <x:c r="AI439" t="inlineStr">
        <x:is>
          <x:t xml:space="preserve">Physical/OT Overlay</x:t>
        </x:is>
      </x:c>
      <x:c r="AJ439" t="inlineStr">
        <x:is>
          <x:t xml:space="preserve">OT privileged access &amp; engineering workstation governance</x:t>
        </x:is>
      </x:c>
    </x:row>
    <x:row r="440">
      <x:c r="A440" t="inlineStr">
        <x:is>
          <x:t xml:space="preserve">Security</x:t>
        </x:is>
      </x:c>
      <x:c r="B440" t="inlineStr">
        <x:is>
          <x:t xml:space="preserve">SEC-D7-Q21</x:t>
        </x:is>
      </x:c>
      <x:c r="C440" t="inlineStr">
        <x:is>
          <x:t xml:space="preserve">T3</x:t>
        </x:is>
      </x:c>
      <x:c r="D440" t="inlineStr">
        <x:is>
          <x:t xml:space="preserve">7. Evidence &amp; Forensics Readiness</x:t>
        </x:is>
      </x:c>
      <x:c r="E440" t="inlineStr">
        <x:is>
          <x:t xml:space="preserve">T</x:t>
        </x:is>
      </x:c>
      <x:c r="F440" t="n">
        <x:v>0.5</x:v>
      </x:c>
      <x:c r="G440" t="inlineStr">
        <x:is>
          <x:t xml:space="preserve">L</x:t>
        </x:is>
      </x:c>
      <x:c r="H440" t="n">
        <x:v>0.5</x:v>
      </x:c>
      <x:c r="I440" t="inlineStr">
        <x:is>
          <x:t xml:space="preserve">Are monitoring logs protected (restricted access + audits) and retained long enough for investigations and legal requirements?</x:t>
        </x:is>
      </x:c>
      <x:c r="J440" t="inlineStr">
        <x:is>
          <x:t xml:space="preserve">Checks governance of monitoring data itself to prevent misuse and support defensibility.</x:t>
        </x:is>
      </x:c>
      <x:c r="L440" t="inlineStr">
        <x:is>
          <x:t xml:space="preserve">LEG_STRICT</x:t>
        </x:is>
      </x:c>
      <x:c r="M440" t="n">
        <x:v>1.3</x:v>
      </x:c>
      <x:c r="N440" t="n">
        <x:v>0.5</x:v>
      </x:c>
      <x:c r="P440" t="inlineStr">
        <x:is>
          <x:t xml:space="preserve">SEC-D7-Q21-A4</x:t>
        </x:is>
      </x:c>
      <x:c r="Q440" t="n">
        <x:v>4</x:v>
      </x:c>
      <x:c r="R440" t="inlineStr">
        <x:is>
          <x:t xml:space="preserve">Optimized: centralized governance of retention, geo/scope controls where needed, and periodic reviews.</x:t>
        </x:is>
      </x:c>
      <x:c r="S440" t="n">
        <x:v>4</x:v>
      </x:c>
      <x:c r="U440" t="inlineStr">
        <x:is>
          <x:t xml:space="preserve">Legal Exposure</x:t>
        </x:is>
      </x:c>
      <x:c r="V440" t="inlineStr">
        <x:is>
          <x:t xml:space="preserve">Legal_Defensibility_Audit</x:t>
        </x:is>
      </x:c>
      <x:c r="W440" t="inlineStr">
        <x:is>
          <x:t xml:space="preserve">Y</x:t>
        </x:is>
      </x:c>
      <x:c r="X440" t="inlineStr">
        <x:is>
          <x:t xml:space="preserve">Review record.</x:t>
        </x:is>
      </x:c>
      <x:c r="Y440">
        <x:f>(S440*IF(E440="G",F440,0))+(S440*IF(G440="G",H440,0))</x:f>
      </x:c>
      <x:c r="Z440">
        <x:f>(S440*IF(E440="E",F440,0))+(S440*IF(G440="E",H440,0))</x:f>
      </x:c>
      <x:c r="AA440">
        <x:f>(S440*IF(E440="T",F440,0))+(S440*IF(G440="T",H440,0))</x:f>
      </x:c>
      <x:c r="AB440">
        <x:f>(S440*IF(E440="L",F440,0))+(S440*IF(G440="L",H440,0))</x:f>
      </x:c>
      <x:c r="AC440">
        <x:f>(S440*IF(E440="H",F440,0))+(S440*IF(G440="H",H440,0))</x:f>
      </x:c>
      <x:c r="AD440">
        <x:f>(S440*IF(E440="V",F440,0))+(S440*IF(G440="V",H440,0))</x:f>
      </x:c>
      <x:c r="AE440">
        <x:f>(S440*IF(E440="R",F440,0))+(S440*IF(G440="R",H440,0))</x:f>
      </x:c>
      <x:c r="AF440">
        <x:f>(S440*IF(E440="F",F440,0))+(S440*IF(G440="F",H440,0))</x:f>
      </x:c>
      <x:c r="AG440">
        <x:f>(S440*IF(E440="W",F440,0))+(S440*IF(G440="W",H440,0))</x:f>
      </x:c>
      <x:c r="AH440" t="inlineStr">
        <x:is>
          <x:t xml:space="preserve">6. Technical Controls</x:t>
        </x:is>
      </x:c>
      <x:c r="AI440" t="inlineStr">
        <x:is>
          <x:t xml:space="preserve">Physical/OT Overlay</x:t>
        </x:is>
      </x:c>
      <x:c r="AJ440" t="inlineStr">
        <x:is>
          <x:t xml:space="preserve">OT privileged access &amp; engineering workstation governance</x:t>
        </x:is>
      </x:c>
    </x:row>
    <x:row r="441">
      <x:c r="A441" t="inlineStr">
        <x:is>
          <x:t xml:space="preserve">Security</x:t>
        </x:is>
      </x:c>
      <x:c r="B441" t="inlineStr">
        <x:is>
          <x:t xml:space="preserve">SEC-D8-Q22</x:t>
        </x:is>
      </x:c>
      <x:c r="C441" t="inlineStr">
        <x:is>
          <x:t xml:space="preserve">T1</x:t>
        </x:is>
      </x:c>
      <x:c r="D441" t="inlineStr">
        <x:is>
          <x:t xml:space="preserve">8. Third Parties &amp; Contractors</x:t>
        </x:is>
      </x:c>
      <x:c r="E441" t="inlineStr">
        <x:is>
          <x:t xml:space="preserve">V</x:t>
        </x:is>
      </x:c>
      <x:c r="F441" t="n">
        <x:v>0.6</x:v>
      </x:c>
      <x:c r="G441" t="inlineStr">
        <x:is>
          <x:t xml:space="preserve">T</x:t>
        </x:is>
      </x:c>
      <x:c r="H441" t="n">
        <x:v>0.4</x:v>
      </x:c>
      <x:c r="I441" t="inlineStr">
        <x:is>
          <x:t xml:space="preserve">Are contractors, vendors, and outsourced admins monitored with similar attention as employees when they access sensitive systems?</x:t>
        </x:is>
      </x:c>
      <x:c r="J441" t="inlineStr">
        <x:is>
          <x:t xml:space="preserve">Includes MSP/MSSP engineers, vendor developers, temporary staff, and BPOs with system access.</x:t>
        </x:is>
      </x:c>
      <x:c r="L441" t="inlineStr">
        <x:is>
          <x:t xml:space="preserve">RISK_STD</x:t>
        </x:is>
      </x:c>
      <x:c r="M441" t="n">
        <x:v>1.3</x:v>
      </x:c>
      <x:c r="N441" t="n">
        <x:v>0.5</x:v>
      </x:c>
      <x:c r="P441" t="inlineStr">
        <x:is>
          <x:t xml:space="preserve">SEC-D8-Q22-A1</x:t>
        </x:is>
      </x:c>
      <x:c r="Q441" t="n">
        <x:v>1</x:v>
      </x:c>
      <x:c r="R441" t="inlineStr">
        <x:is>
          <x:t xml:space="preserve">No — contractors are largely out of scope once they have access.</x:t>
        </x:is>
      </x:c>
      <x:c r="S441" t="n">
        <x:v>0</x:v>
      </x:c>
      <x:c r="T441" t="inlineStr">
        <x:is>
          <x:t xml:space="preserve">visibility_gap</x:t>
        </x:is>
      </x:c>
      <x:c r="U441" t="inlineStr">
        <x:is>
          <x:t xml:space="preserve">Visibility Gap</x:t>
        </x:is>
      </x:c>
      <x:c r="V441" t="inlineStr">
        <x:is>
          <x:t xml:space="preserve">Assess_ThirdParty</x:t>
        </x:is>
      </x:c>
      <x:c r="W441" t="inlineStr">
        <x:is>
          <x:t xml:space="preserve">N</x:t>
        </x:is>
      </x:c>
      <x:c r="Y441">
        <x:f>(S441*IF(E441="G",F441,0))+(S441*IF(G441="G",H441,0))</x:f>
      </x:c>
      <x:c r="Z441">
        <x:f>(S441*IF(E441="E",F441,0))+(S441*IF(G441="E",H441,0))</x:f>
      </x:c>
      <x:c r="AA441">
        <x:f>(S441*IF(E441="T",F441,0))+(S441*IF(G441="T",H441,0))</x:f>
      </x:c>
      <x:c r="AB441">
        <x:f>(S441*IF(E441="L",F441,0))+(S441*IF(G441="L",H441,0))</x:f>
      </x:c>
      <x:c r="AC441">
        <x:f>(S441*IF(E441="H",F441,0))+(S441*IF(G441="H",H441,0))</x:f>
      </x:c>
      <x:c r="AD441">
        <x:f>(S441*IF(E441="V",F441,0))+(S441*IF(G441="V",H441,0))</x:f>
      </x:c>
      <x:c r="AE441">
        <x:f>(S441*IF(E441="R",F441,0))+(S441*IF(G441="R",H441,0))</x:f>
      </x:c>
      <x:c r="AF441">
        <x:f>(S441*IF(E441="F",F441,0))+(S441*IF(G441="F",H441,0))</x:f>
      </x:c>
      <x:c r="AG441">
        <x:f>(S441*IF(E441="W",F441,0))+(S441*IF(G441="W",H441,0))</x:f>
      </x:c>
      <x:c r="AH441" t="inlineStr">
        <x:is>
          <x:t xml:space="preserve">6. Technical Controls</x:t>
        </x:is>
      </x:c>
      <x:c r="AI441" t="inlineStr">
        <x:is>
          <x:t xml:space="preserve">Physical/OT Overlay</x:t>
        </x:is>
      </x:c>
      <x:c r="AJ441" t="inlineStr">
        <x:is>
          <x:t xml:space="preserve">Physical access governance (critical areas)</x:t>
        </x:is>
      </x:c>
    </x:row>
    <x:row r="442">
      <x:c r="A442" t="inlineStr">
        <x:is>
          <x:t xml:space="preserve">Security</x:t>
        </x:is>
      </x:c>
      <x:c r="B442" t="inlineStr">
        <x:is>
          <x:t xml:space="preserve">SEC-D8-Q22</x:t>
        </x:is>
      </x:c>
      <x:c r="C442" t="inlineStr">
        <x:is>
          <x:t xml:space="preserve">T1</x:t>
        </x:is>
      </x:c>
      <x:c r="D442" t="inlineStr">
        <x:is>
          <x:t xml:space="preserve">8. Third Parties &amp; Contractors</x:t>
        </x:is>
      </x:c>
      <x:c r="E442" t="inlineStr">
        <x:is>
          <x:t xml:space="preserve">V</x:t>
        </x:is>
      </x:c>
      <x:c r="F442" t="n">
        <x:v>0.6</x:v>
      </x:c>
      <x:c r="G442" t="inlineStr">
        <x:is>
          <x:t xml:space="preserve">T</x:t>
        </x:is>
      </x:c>
      <x:c r="H442" t="n">
        <x:v>0.4</x:v>
      </x:c>
      <x:c r="I442" t="inlineStr">
        <x:is>
          <x:t xml:space="preserve">Are contractors, vendors, and outsourced admins monitored with similar attention as employees when they access sensitive systems?</x:t>
        </x:is>
      </x:c>
      <x:c r="J442" t="inlineStr">
        <x:is>
          <x:t xml:space="preserve">Includes MSP/MSSP engineers, vendor developers, temporary staff, and BPOs with system access.</x:t>
        </x:is>
      </x:c>
      <x:c r="L442" t="inlineStr">
        <x:is>
          <x:t xml:space="preserve">RISK_STD</x:t>
        </x:is>
      </x:c>
      <x:c r="M442" t="n">
        <x:v>1.3</x:v>
      </x:c>
      <x:c r="N442" t="n">
        <x:v>0.5</x:v>
      </x:c>
      <x:c r="P442" t="inlineStr">
        <x:is>
          <x:t xml:space="preserve">SEC-D8-Q22-A2</x:t>
        </x:is>
      </x:c>
      <x:c r="Q442" t="n">
        <x:v>2</x:v>
      </x:c>
      <x:c r="R442" t="inlineStr">
        <x:is>
          <x:t xml:space="preserve">Partial — some monitoring exists, but identity/tooling is inconsistent.</x:t>
        </x:is>
      </x:c>
      <x:c r="S442" t="n">
        <x:v>2</x:v>
      </x:c>
      <x:c r="U442" t="inlineStr">
        <x:is>
          <x:t xml:space="preserve">Visibility Gap</x:t>
        </x:is>
      </x:c>
      <x:c r="V442" t="inlineStr">
        <x:is>
          <x:t xml:space="preserve">Assess_ThirdParty</x:t>
        </x:is>
      </x:c>
      <x:c r="W442" t="inlineStr">
        <x:is>
          <x:t xml:space="preserve">N</x:t>
        </x:is>
      </x:c>
      <x:c r="Y442">
        <x:f>(S442*IF(E442="G",F442,0))+(S442*IF(G442="G",H442,0))</x:f>
      </x:c>
      <x:c r="Z442">
        <x:f>(S442*IF(E442="E",F442,0))+(S442*IF(G442="E",H442,0))</x:f>
      </x:c>
      <x:c r="AA442">
        <x:f>(S442*IF(E442="T",F442,0))+(S442*IF(G442="T",H442,0))</x:f>
      </x:c>
      <x:c r="AB442">
        <x:f>(S442*IF(E442="L",F442,0))+(S442*IF(G442="L",H442,0))</x:f>
      </x:c>
      <x:c r="AC442">
        <x:f>(S442*IF(E442="H",F442,0))+(S442*IF(G442="H",H442,0))</x:f>
      </x:c>
      <x:c r="AD442">
        <x:f>(S442*IF(E442="V",F442,0))+(S442*IF(G442="V",H442,0))</x:f>
      </x:c>
      <x:c r="AE442">
        <x:f>(S442*IF(E442="R",F442,0))+(S442*IF(G442="R",H442,0))</x:f>
      </x:c>
      <x:c r="AF442">
        <x:f>(S442*IF(E442="F",F442,0))+(S442*IF(G442="F",H442,0))</x:f>
      </x:c>
      <x:c r="AG442">
        <x:f>(S442*IF(E442="W",F442,0))+(S442*IF(G442="W",H442,0))</x:f>
      </x:c>
      <x:c r="AH442" t="inlineStr">
        <x:is>
          <x:t xml:space="preserve">6. Technical Controls</x:t>
        </x:is>
      </x:c>
      <x:c r="AI442" t="inlineStr">
        <x:is>
          <x:t xml:space="preserve">Physical/OT Overlay</x:t>
        </x:is>
      </x:c>
      <x:c r="AJ442" t="inlineStr">
        <x:is>
          <x:t xml:space="preserve">Physical access governance (critical areas)</x:t>
        </x:is>
      </x:c>
    </x:row>
    <x:row r="443">
      <x:c r="A443" t="inlineStr">
        <x:is>
          <x:t xml:space="preserve">Security</x:t>
        </x:is>
      </x:c>
      <x:c r="B443" t="inlineStr">
        <x:is>
          <x:t xml:space="preserve">SEC-D8-Q22</x:t>
        </x:is>
      </x:c>
      <x:c r="C443" t="inlineStr">
        <x:is>
          <x:t xml:space="preserve">T1</x:t>
        </x:is>
      </x:c>
      <x:c r="D443" t="inlineStr">
        <x:is>
          <x:t xml:space="preserve">8. Third Parties &amp; Contractors</x:t>
        </x:is>
      </x:c>
      <x:c r="E443" t="inlineStr">
        <x:is>
          <x:t xml:space="preserve">V</x:t>
        </x:is>
      </x:c>
      <x:c r="F443" t="n">
        <x:v>0.6</x:v>
      </x:c>
      <x:c r="G443" t="inlineStr">
        <x:is>
          <x:t xml:space="preserve">T</x:t>
        </x:is>
      </x:c>
      <x:c r="H443" t="n">
        <x:v>0.4</x:v>
      </x:c>
      <x:c r="I443" t="inlineStr">
        <x:is>
          <x:t xml:space="preserve">Are contractors, vendors, and outsourced admins monitored with similar attention as employees when they access sensitive systems?</x:t>
        </x:is>
      </x:c>
      <x:c r="J443" t="inlineStr">
        <x:is>
          <x:t xml:space="preserve">Includes MSP/MSSP engineers, vendor developers, temporary staff, and BPOs with system access.</x:t>
        </x:is>
      </x:c>
      <x:c r="L443" t="inlineStr">
        <x:is>
          <x:t xml:space="preserve">RISK_STD</x:t>
        </x:is>
      </x:c>
      <x:c r="M443" t="n">
        <x:v>1.3</x:v>
      </x:c>
      <x:c r="N443" t="n">
        <x:v>0.5</x:v>
      </x:c>
      <x:c r="P443" t="inlineStr">
        <x:is>
          <x:t xml:space="preserve">SEC-D8-Q22-A3</x:t>
        </x:is>
      </x:c>
      <x:c r="Q443" t="n">
        <x:v>3</x:v>
      </x:c>
      <x:c r="R443" t="inlineStr">
        <x:is>
          <x:t xml:space="preserve">Yes — contractors are included in monitoring for key systems and investigated similarly.</x:t>
        </x:is>
      </x:c>
      <x:c r="S443" t="n">
        <x:v>3</x:v>
      </x:c>
      <x:c r="U443" t="inlineStr">
        <x:is>
          <x:t xml:space="preserve">Visibility Gap</x:t>
        </x:is>
      </x:c>
      <x:c r="V443" t="inlineStr">
        <x:is>
          <x:t xml:space="preserve">Assess_ThirdParty</x:t>
        </x:is>
      </x:c>
      <x:c r="W443" t="inlineStr">
        <x:is>
          <x:t xml:space="preserve">Y</x:t>
        </x:is>
      </x:c>
      <x:c r="X443" t="inlineStr">
        <x:is>
          <x:t xml:space="preserve">Contractor access list + monitoring approach.</x:t>
        </x:is>
      </x:c>
      <x:c r="Y443">
        <x:f>(S443*IF(E443="G",F443,0))+(S443*IF(G443="G",H443,0))</x:f>
      </x:c>
      <x:c r="Z443">
        <x:f>(S443*IF(E443="E",F443,0))+(S443*IF(G443="E",H443,0))</x:f>
      </x:c>
      <x:c r="AA443">
        <x:f>(S443*IF(E443="T",F443,0))+(S443*IF(G443="T",H443,0))</x:f>
      </x:c>
      <x:c r="AB443">
        <x:f>(S443*IF(E443="L",F443,0))+(S443*IF(G443="L",H443,0))</x:f>
      </x:c>
      <x:c r="AC443">
        <x:f>(S443*IF(E443="H",F443,0))+(S443*IF(G443="H",H443,0))</x:f>
      </x:c>
      <x:c r="AD443">
        <x:f>(S443*IF(E443="V",F443,0))+(S443*IF(G443="V",H443,0))</x:f>
      </x:c>
      <x:c r="AE443">
        <x:f>(S443*IF(E443="R",F443,0))+(S443*IF(G443="R",H443,0))</x:f>
      </x:c>
      <x:c r="AF443">
        <x:f>(S443*IF(E443="F",F443,0))+(S443*IF(G443="F",H443,0))</x:f>
      </x:c>
      <x:c r="AG443">
        <x:f>(S443*IF(E443="W",F443,0))+(S443*IF(G443="W",H443,0))</x:f>
      </x:c>
      <x:c r="AH443" t="inlineStr">
        <x:is>
          <x:t xml:space="preserve">6. Technical Controls</x:t>
        </x:is>
      </x:c>
      <x:c r="AI443" t="inlineStr">
        <x:is>
          <x:t xml:space="preserve">Physical/OT Overlay</x:t>
        </x:is>
      </x:c>
      <x:c r="AJ443" t="inlineStr">
        <x:is>
          <x:t xml:space="preserve">Physical access governance (critical areas)</x:t>
        </x:is>
      </x:c>
    </x:row>
    <x:row r="444">
      <x:c r="A444" t="inlineStr">
        <x:is>
          <x:t xml:space="preserve">Security</x:t>
        </x:is>
      </x:c>
      <x:c r="B444" t="inlineStr">
        <x:is>
          <x:t xml:space="preserve">SEC-D8-Q22</x:t>
        </x:is>
      </x:c>
      <x:c r="C444" t="inlineStr">
        <x:is>
          <x:t xml:space="preserve">T1</x:t>
        </x:is>
      </x:c>
      <x:c r="D444" t="inlineStr">
        <x:is>
          <x:t xml:space="preserve">8. Third Parties &amp; Contractors</x:t>
        </x:is>
      </x:c>
      <x:c r="E444" t="inlineStr">
        <x:is>
          <x:t xml:space="preserve">V</x:t>
        </x:is>
      </x:c>
      <x:c r="F444" t="n">
        <x:v>0.6</x:v>
      </x:c>
      <x:c r="G444" t="inlineStr">
        <x:is>
          <x:t xml:space="preserve">T</x:t>
        </x:is>
      </x:c>
      <x:c r="H444" t="n">
        <x:v>0.4</x:v>
      </x:c>
      <x:c r="I444" t="inlineStr">
        <x:is>
          <x:t xml:space="preserve">Are contractors, vendors, and outsourced admins monitored with similar attention as employees when they access sensitive systems?</x:t>
        </x:is>
      </x:c>
      <x:c r="J444" t="inlineStr">
        <x:is>
          <x:t xml:space="preserve">Includes MSP/MSSP engineers, vendor developers, temporary staff, and BPOs with system access.</x:t>
        </x:is>
      </x:c>
      <x:c r="L444" t="inlineStr">
        <x:is>
          <x:t xml:space="preserve">RISK_STD</x:t>
        </x:is>
      </x:c>
      <x:c r="M444" t="n">
        <x:v>1.3</x:v>
      </x:c>
      <x:c r="N444" t="n">
        <x:v>0.5</x:v>
      </x:c>
      <x:c r="P444" t="inlineStr">
        <x:is>
          <x:t xml:space="preserve">SEC-D8-Q22-A4</x:t>
        </x:is>
      </x:c>
      <x:c r="Q444" t="n">
        <x:v>4</x:v>
      </x:c>
      <x:c r="R444" t="inlineStr">
        <x:is>
          <x:t xml:space="preserve">Optimized — third‑party risk tiers, scoped access, monitoring, and periodic reviews.</x:t>
        </x:is>
      </x:c>
      <x:c r="S444" t="n">
        <x:v>4</x:v>
      </x:c>
      <x:c r="U444" t="inlineStr">
        <x:is>
          <x:t xml:space="preserve">Visibility Gap</x:t>
        </x:is>
      </x:c>
      <x:c r="V444" t="inlineStr">
        <x:is>
          <x:t xml:space="preserve">Assess_ThirdParty</x:t>
        </x:is>
      </x:c>
      <x:c r="W444" t="inlineStr">
        <x:is>
          <x:t xml:space="preserve">Y</x:t>
        </x:is>
      </x:c>
      <x:c r="X444" t="inlineStr">
        <x:is>
          <x:t xml:space="preserve">Third‑party tiering approach.</x:t>
        </x:is>
      </x:c>
      <x:c r="Y444">
        <x:f>(S444*IF(E444="G",F444,0))+(S444*IF(G444="G",H444,0))</x:f>
      </x:c>
      <x:c r="Z444">
        <x:f>(S444*IF(E444="E",F444,0))+(S444*IF(G444="E",H444,0))</x:f>
      </x:c>
      <x:c r="AA444">
        <x:f>(S444*IF(E444="T",F444,0))+(S444*IF(G444="T",H444,0))</x:f>
      </x:c>
      <x:c r="AB444">
        <x:f>(S444*IF(E444="L",F444,0))+(S444*IF(G444="L",H444,0))</x:f>
      </x:c>
      <x:c r="AC444">
        <x:f>(S444*IF(E444="H",F444,0))+(S444*IF(G444="H",H444,0))</x:f>
      </x:c>
      <x:c r="AD444">
        <x:f>(S444*IF(E444="V",F444,0))+(S444*IF(G444="V",H444,0))</x:f>
      </x:c>
      <x:c r="AE444">
        <x:f>(S444*IF(E444="R",F444,0))+(S444*IF(G444="R",H444,0))</x:f>
      </x:c>
      <x:c r="AF444">
        <x:f>(S444*IF(E444="F",F444,0))+(S444*IF(G444="F",H444,0))</x:f>
      </x:c>
      <x:c r="AG444">
        <x:f>(S444*IF(E444="W",F444,0))+(S444*IF(G444="W",H444,0))</x:f>
      </x:c>
      <x:c r="AH444" t="inlineStr">
        <x:is>
          <x:t xml:space="preserve">6. Technical Controls</x:t>
        </x:is>
      </x:c>
      <x:c r="AI444" t="inlineStr">
        <x:is>
          <x:t xml:space="preserve">Physical/OT Overlay</x:t>
        </x:is>
      </x:c>
      <x:c r="AJ444" t="inlineStr">
        <x:is>
          <x:t xml:space="preserve">Physical access governance (critical areas)</x:t>
        </x:is>
      </x:c>
    </x:row>
    <x:row r="445">
      <x:c r="A445" t="inlineStr">
        <x:is>
          <x:t xml:space="preserve">Security</x:t>
        </x:is>
      </x:c>
      <x:c r="B445" t="inlineStr">
        <x:is>
          <x:t xml:space="preserve">SEC-D8-Q23</x:t>
        </x:is>
      </x:c>
      <x:c r="C445" t="inlineStr">
        <x:is>
          <x:t xml:space="preserve">T2</x:t>
        </x:is>
      </x:c>
      <x:c r="D445" t="inlineStr">
        <x:is>
          <x:t xml:space="preserve">8. Third Parties &amp; Contractors</x:t>
        </x:is>
      </x:c>
      <x:c r="E445" t="inlineStr">
        <x:is>
          <x:t xml:space="preserve">E</x:t>
        </x:is>
      </x:c>
      <x:c r="F445" t="n">
        <x:v>1</x:v>
      </x:c>
      <x:c r="I445" t="inlineStr">
        <x:is>
          <x:t xml:space="preserve">(Shadow probe) When a contractor/vendor engagement ends, is access reliably removed quickly across systems?</x:t>
        </x:is>
      </x:c>
      <x:c r="J445" t="inlineStr">
        <x:is>
          <x:t xml:space="preserve">Checks offboarding reality for non‑employees.</x:t>
        </x:is>
      </x:c>
      <x:c r="L445" t="inlineStr">
        <x:is>
          <x:t xml:space="preserve">OPS_STD</x:t>
        </x:is>
      </x:c>
      <x:c r="M445" t="n">
        <x:v>1.2</x:v>
      </x:c>
      <x:c r="N445" t="n">
        <x:v>0.5</x:v>
      </x:c>
      <x:c r="P445" t="inlineStr">
        <x:is>
          <x:t xml:space="preserve">SEC-D8-Q23-A1</x:t>
        </x:is>
      </x:c>
      <x:c r="Q445" t="n">
        <x:v>1</x:v>
      </x:c>
      <x:c r="R445" t="inlineStr">
        <x:is>
          <x:t xml:space="preserve">No — access removal is manual and often late.</x:t>
        </x:is>
      </x:c>
      <x:c r="S445" t="n">
        <x:v>0</x:v>
      </x:c>
      <x:c r="T445" t="inlineStr">
        <x:is>
          <x:t xml:space="preserve">control_lag_high</x:t>
        </x:is>
      </x:c>
      <x:c r="U445" t="inlineStr">
        <x:is>
          <x:t xml:space="preserve">Control Lag</x:t>
        </x:is>
      </x:c>
      <x:c r="V445" t="inlineStr">
        <x:is>
          <x:t xml:space="preserve">Assess_Control_Lag</x:t>
        </x:is>
      </x:c>
      <x:c r="W445" t="inlineStr">
        <x:is>
          <x:t xml:space="preserve">N</x:t>
        </x:is>
      </x:c>
      <x:c r="Y445">
        <x:f>(S445*IF(E445="G",F445,0))+(S445*IF(G445="G",H445,0))</x:f>
      </x:c>
      <x:c r="Z445">
        <x:f>(S445*IF(E445="E",F445,0))+(S445*IF(G445="E",H445,0))</x:f>
      </x:c>
      <x:c r="AA445">
        <x:f>(S445*IF(E445="T",F445,0))+(S445*IF(G445="T",H445,0))</x:f>
      </x:c>
      <x:c r="AB445">
        <x:f>(S445*IF(E445="L",F445,0))+(S445*IF(G445="L",H445,0))</x:f>
      </x:c>
      <x:c r="AC445">
        <x:f>(S445*IF(E445="H",F445,0))+(S445*IF(G445="H",H445,0))</x:f>
      </x:c>
      <x:c r="AD445">
        <x:f>(S445*IF(E445="V",F445,0))+(S445*IF(G445="V",H445,0))</x:f>
      </x:c>
      <x:c r="AE445">
        <x:f>(S445*IF(E445="R",F445,0))+(S445*IF(G445="R",H445,0))</x:f>
      </x:c>
      <x:c r="AF445">
        <x:f>(S445*IF(E445="F",F445,0))+(S445*IF(G445="F",H445,0))</x:f>
      </x:c>
      <x:c r="AG445">
        <x:f>(S445*IF(E445="W",F445,0))+(S445*IF(G445="W",H445,0))</x:f>
      </x:c>
      <x:c r="AH445" t="inlineStr">
        <x:is>
          <x:t xml:space="preserve">3. Risk Management</x:t>
        </x:is>
      </x:c>
      <x:c r="AI445" t="inlineStr">
        <x:is>
          <x:t xml:space="preserve">Inventory &amp; Scope</x:t>
        </x:is>
      </x:c>
      <x:c r="AJ445" t="inlineStr">
        <x:is>
          <x:t xml:space="preserve">Third-party/contractor scoping</x:t>
        </x:is>
      </x:c>
    </x:row>
    <x:row r="446">
      <x:c r="A446" t="inlineStr">
        <x:is>
          <x:t xml:space="preserve">Security</x:t>
        </x:is>
      </x:c>
      <x:c r="B446" t="inlineStr">
        <x:is>
          <x:t xml:space="preserve">SEC-D8-Q23</x:t>
        </x:is>
      </x:c>
      <x:c r="C446" t="inlineStr">
        <x:is>
          <x:t xml:space="preserve">T2</x:t>
        </x:is>
      </x:c>
      <x:c r="D446" t="inlineStr">
        <x:is>
          <x:t xml:space="preserve">8. Third Parties &amp; Contractors</x:t>
        </x:is>
      </x:c>
      <x:c r="E446" t="inlineStr">
        <x:is>
          <x:t xml:space="preserve">E</x:t>
        </x:is>
      </x:c>
      <x:c r="F446" t="n">
        <x:v>1</x:v>
      </x:c>
      <x:c r="I446" t="inlineStr">
        <x:is>
          <x:t xml:space="preserve">(Shadow probe) When a contractor/vendor engagement ends, is access reliably removed quickly across systems?</x:t>
        </x:is>
      </x:c>
      <x:c r="J446" t="inlineStr">
        <x:is>
          <x:t xml:space="preserve">Checks offboarding reality for non‑employees.</x:t>
        </x:is>
      </x:c>
      <x:c r="L446" t="inlineStr">
        <x:is>
          <x:t xml:space="preserve">OPS_STD</x:t>
        </x:is>
      </x:c>
      <x:c r="M446" t="n">
        <x:v>1.2</x:v>
      </x:c>
      <x:c r="N446" t="n">
        <x:v>0.5</x:v>
      </x:c>
      <x:c r="P446" t="inlineStr">
        <x:is>
          <x:t xml:space="preserve">SEC-D8-Q23-A2</x:t>
        </x:is>
      </x:c>
      <x:c r="Q446" t="n">
        <x:v>2</x:v>
      </x:c>
      <x:c r="R446" t="inlineStr">
        <x:is>
          <x:t xml:space="preserve">Sometimes — critical systems are handled, but gaps happen.</x:t>
        </x:is>
      </x:c>
      <x:c r="S446" t="n">
        <x:v>2</x:v>
      </x:c>
      <x:c r="U446" t="inlineStr">
        <x:is>
          <x:t xml:space="preserve">Control Lag</x:t>
        </x:is>
      </x:c>
      <x:c r="V446" t="inlineStr">
        <x:is>
          <x:t xml:space="preserve">Assess_Control_Lag</x:t>
        </x:is>
      </x:c>
      <x:c r="W446" t="inlineStr">
        <x:is>
          <x:t xml:space="preserve">N</x:t>
        </x:is>
      </x:c>
      <x:c r="Y446">
        <x:f>(S446*IF(E446="G",F446,0))+(S446*IF(G446="G",H446,0))</x:f>
      </x:c>
      <x:c r="Z446">
        <x:f>(S446*IF(E446="E",F446,0))+(S446*IF(G446="E",H446,0))</x:f>
      </x:c>
      <x:c r="AA446">
        <x:f>(S446*IF(E446="T",F446,0))+(S446*IF(G446="T",H446,0))</x:f>
      </x:c>
      <x:c r="AB446">
        <x:f>(S446*IF(E446="L",F446,0))+(S446*IF(G446="L",H446,0))</x:f>
      </x:c>
      <x:c r="AC446">
        <x:f>(S446*IF(E446="H",F446,0))+(S446*IF(G446="H",H446,0))</x:f>
      </x:c>
      <x:c r="AD446">
        <x:f>(S446*IF(E446="V",F446,0))+(S446*IF(G446="V",H446,0))</x:f>
      </x:c>
      <x:c r="AE446">
        <x:f>(S446*IF(E446="R",F446,0))+(S446*IF(G446="R",H446,0))</x:f>
      </x:c>
      <x:c r="AF446">
        <x:f>(S446*IF(E446="F",F446,0))+(S446*IF(G446="F",H446,0))</x:f>
      </x:c>
      <x:c r="AG446">
        <x:f>(S446*IF(E446="W",F446,0))+(S446*IF(G446="W",H446,0))</x:f>
      </x:c>
      <x:c r="AH446" t="inlineStr">
        <x:is>
          <x:t xml:space="preserve">3. Risk Management</x:t>
        </x:is>
      </x:c>
      <x:c r="AI446" t="inlineStr">
        <x:is>
          <x:t xml:space="preserve">Inventory &amp; Scope</x:t>
        </x:is>
      </x:c>
      <x:c r="AJ446" t="inlineStr">
        <x:is>
          <x:t xml:space="preserve">Third-party/contractor scoping</x:t>
        </x:is>
      </x:c>
    </x:row>
    <x:row r="447">
      <x:c r="A447" t="inlineStr">
        <x:is>
          <x:t xml:space="preserve">Security</x:t>
        </x:is>
      </x:c>
      <x:c r="B447" t="inlineStr">
        <x:is>
          <x:t xml:space="preserve">SEC-D8-Q23</x:t>
        </x:is>
      </x:c>
      <x:c r="C447" t="inlineStr">
        <x:is>
          <x:t xml:space="preserve">T2</x:t>
        </x:is>
      </x:c>
      <x:c r="D447" t="inlineStr">
        <x:is>
          <x:t xml:space="preserve">8. Third Parties &amp; Contractors</x:t>
        </x:is>
      </x:c>
      <x:c r="E447" t="inlineStr">
        <x:is>
          <x:t xml:space="preserve">E</x:t>
        </x:is>
      </x:c>
      <x:c r="F447" t="n">
        <x:v>1</x:v>
      </x:c>
      <x:c r="I447" t="inlineStr">
        <x:is>
          <x:t xml:space="preserve">(Shadow probe) When a contractor/vendor engagement ends, is access reliably removed quickly across systems?</x:t>
        </x:is>
      </x:c>
      <x:c r="J447" t="inlineStr">
        <x:is>
          <x:t xml:space="preserve">Checks offboarding reality for non‑employees.</x:t>
        </x:is>
      </x:c>
      <x:c r="L447" t="inlineStr">
        <x:is>
          <x:t xml:space="preserve">OPS_STD</x:t>
        </x:is>
      </x:c>
      <x:c r="M447" t="n">
        <x:v>1.2</x:v>
      </x:c>
      <x:c r="N447" t="n">
        <x:v>0.5</x:v>
      </x:c>
      <x:c r="P447" t="inlineStr">
        <x:is>
          <x:t xml:space="preserve">SEC-D8-Q23-A3</x:t>
        </x:is>
      </x:c>
      <x:c r="Q447" t="n">
        <x:v>3</x:v>
      </x:c>
      <x:c r="R447" t="inlineStr">
        <x:is>
          <x:t xml:space="preserve">Yes — reliable process exists and is regularly audited for timeliness.</x:t>
        </x:is>
      </x:c>
      <x:c r="S447" t="n">
        <x:v>3</x:v>
      </x:c>
      <x:c r="U447" t="inlineStr">
        <x:is>
          <x:t xml:space="preserve">Resilience Gap</x:t>
        </x:is>
      </x:c>
      <x:c r="V447" t="inlineStr">
        <x:is>
          <x:t xml:space="preserve">Plan_Assurance</x:t>
        </x:is>
      </x:c>
      <x:c r="W447" t="inlineStr">
        <x:is>
          <x:t xml:space="preserve">Y</x:t>
        </x:is>
      </x:c>
      <x:c r="X447" t="inlineStr">
        <x:is>
          <x:t xml:space="preserve">Last access removal audit result.</x:t>
        </x:is>
      </x:c>
      <x:c r="Y447">
        <x:f>(S447*IF(E447="G",F447,0))+(S447*IF(G447="G",H447,0))</x:f>
      </x:c>
      <x:c r="Z447">
        <x:f>(S447*IF(E447="E",F447,0))+(S447*IF(G447="E",H447,0))</x:f>
      </x:c>
      <x:c r="AA447">
        <x:f>(S447*IF(E447="T",F447,0))+(S447*IF(G447="T",H447,0))</x:f>
      </x:c>
      <x:c r="AB447">
        <x:f>(S447*IF(E447="L",F447,0))+(S447*IF(G447="L",H447,0))</x:f>
      </x:c>
      <x:c r="AC447">
        <x:f>(S447*IF(E447="H",F447,0))+(S447*IF(G447="H",H447,0))</x:f>
      </x:c>
      <x:c r="AD447">
        <x:f>(S447*IF(E447="V",F447,0))+(S447*IF(G447="V",H447,0))</x:f>
      </x:c>
      <x:c r="AE447">
        <x:f>(S447*IF(E447="R",F447,0))+(S447*IF(G447="R",H447,0))</x:f>
      </x:c>
      <x:c r="AF447">
        <x:f>(S447*IF(E447="F",F447,0))+(S447*IF(G447="F",H447,0))</x:f>
      </x:c>
      <x:c r="AG447">
        <x:f>(S447*IF(E447="W",F447,0))+(S447*IF(G447="W",H447,0))</x:f>
      </x:c>
      <x:c r="AH447" t="inlineStr">
        <x:is>
          <x:t xml:space="preserve">3. Risk Management</x:t>
        </x:is>
      </x:c>
      <x:c r="AI447" t="inlineStr">
        <x:is>
          <x:t xml:space="preserve">Inventory &amp; Scope</x:t>
        </x:is>
      </x:c>
      <x:c r="AJ447" t="inlineStr">
        <x:is>
          <x:t xml:space="preserve">Third-party/contractor scoping</x:t>
        </x:is>
      </x:c>
    </x:row>
    <x:row r="448">
      <x:c r="A448" t="inlineStr">
        <x:is>
          <x:t xml:space="preserve">Security</x:t>
        </x:is>
      </x:c>
      <x:c r="B448" t="inlineStr">
        <x:is>
          <x:t xml:space="preserve">SEC-D8-Q24</x:t>
        </x:is>
      </x:c>
      <x:c r="C448" t="inlineStr">
        <x:is>
          <x:t xml:space="preserve">T3</x:t>
        </x:is>
      </x:c>
      <x:c r="D448" t="inlineStr">
        <x:is>
          <x:t xml:space="preserve">8. Third Parties &amp; Contractors</x:t>
        </x:is>
      </x:c>
      <x:c r="E448" t="inlineStr">
        <x:is>
          <x:t xml:space="preserve">T</x:t>
        </x:is>
      </x:c>
      <x:c r="F448" t="n">
        <x:v>0.5</x:v>
      </x:c>
      <x:c r="G448" t="inlineStr">
        <x:is>
          <x:t xml:space="preserve">R</x:t>
        </x:is>
      </x:c>
      <x:c r="H448" t="n">
        <x:v>0.5</x:v>
      </x:c>
      <x:c r="I448" t="inlineStr">
        <x:is>
          <x:t xml:space="preserve">Do you have a defined process for investigating third‑party misuse (evidence requests, contractual steps, escalation)?</x:t>
        </x:is>
      </x:c>
      <x:c r="J448" t="inlineStr">
        <x:is>
          <x:t xml:space="preserve">Checks readiness: who leads, what evidence can be requested, and how quickly you can escalate.</x:t>
        </x:is>
      </x:c>
      <x:c r="L448" t="inlineStr">
        <x:is>
          <x:t xml:space="preserve">OPS_STD</x:t>
        </x:is>
      </x:c>
      <x:c r="M448" t="n">
        <x:v>1</x:v>
      </x:c>
      <x:c r="P448" t="inlineStr">
        <x:is>
          <x:t xml:space="preserve">SEC-D8-Q24-A1</x:t>
        </x:is>
      </x:c>
      <x:c r="Q448" t="n">
        <x:v>1</x:v>
      </x:c>
      <x:c r="R448" t="inlineStr">
        <x:is>
          <x:t xml:space="preserve">No — we would improvise during a crisis.</x:t>
        </x:is>
      </x:c>
      <x:c r="S448" t="n">
        <x:v>0</x:v>
      </x:c>
      <x:c r="U448" t="inlineStr">
        <x:is>
          <x:t xml:space="preserve">Resilience Gap</x:t>
        </x:is>
      </x:c>
      <x:c r="V448" t="inlineStr">
        <x:is>
          <x:t xml:space="preserve">Assess_ThirdParty</x:t>
        </x:is>
      </x:c>
      <x:c r="W448" t="inlineStr">
        <x:is>
          <x:t xml:space="preserve">N</x:t>
        </x:is>
      </x:c>
      <x:c r="Y448">
        <x:f>(S448*IF(E448="G",F448,0))+(S448*IF(G448="G",H448,0))</x:f>
      </x:c>
      <x:c r="Z448">
        <x:f>(S448*IF(E448="E",F448,0))+(S448*IF(G448="E",H448,0))</x:f>
      </x:c>
      <x:c r="AA448">
        <x:f>(S448*IF(E448="T",F448,0))+(S448*IF(G448="T",H448,0))</x:f>
      </x:c>
      <x:c r="AB448">
        <x:f>(S448*IF(E448="L",F448,0))+(S448*IF(G448="L",H448,0))</x:f>
      </x:c>
      <x:c r="AC448">
        <x:f>(S448*IF(E448="H",F448,0))+(S448*IF(G448="H",H448,0))</x:f>
      </x:c>
      <x:c r="AD448">
        <x:f>(S448*IF(E448="V",F448,0))+(S448*IF(G448="V",H448,0))</x:f>
      </x:c>
      <x:c r="AE448">
        <x:f>(S448*IF(E448="R",F448,0))+(S448*IF(G448="R",H448,0))</x:f>
      </x:c>
      <x:c r="AF448">
        <x:f>(S448*IF(E448="F",F448,0))+(S448*IF(G448="F",H448,0))</x:f>
      </x:c>
      <x:c r="AG448">
        <x:f>(S448*IF(E448="W",F448,0))+(S448*IF(G448="W",H448,0))</x:f>
      </x:c>
      <x:c r="AH448" t="inlineStr">
        <x:is>
          <x:t xml:space="preserve">8. Investigation &amp; Response</x:t>
        </x:is>
      </x:c>
      <x:c r="AI448" t="inlineStr">
        <x:is>
          <x:t xml:space="preserve">Operational Readiness</x:t>
        </x:is>
      </x:c>
      <x:c r="AJ448" t="inlineStr">
        <x:is>
          <x:t xml:space="preserve">Forensic readiness &amp; evidence preservation</x:t>
        </x:is>
      </x:c>
    </x:row>
    <x:row r="449">
      <x:c r="A449" t="inlineStr">
        <x:is>
          <x:t xml:space="preserve">Security</x:t>
        </x:is>
      </x:c>
      <x:c r="B449" t="inlineStr">
        <x:is>
          <x:t xml:space="preserve">SEC-D8-Q24</x:t>
        </x:is>
      </x:c>
      <x:c r="C449" t="inlineStr">
        <x:is>
          <x:t xml:space="preserve">T3</x:t>
        </x:is>
      </x:c>
      <x:c r="D449" t="inlineStr">
        <x:is>
          <x:t xml:space="preserve">8. Third Parties &amp; Contractors</x:t>
        </x:is>
      </x:c>
      <x:c r="E449" t="inlineStr">
        <x:is>
          <x:t xml:space="preserve">T</x:t>
        </x:is>
      </x:c>
      <x:c r="F449" t="n">
        <x:v>0.5</x:v>
      </x:c>
      <x:c r="G449" t="inlineStr">
        <x:is>
          <x:t xml:space="preserve">R</x:t>
        </x:is>
      </x:c>
      <x:c r="H449" t="n">
        <x:v>0.5</x:v>
      </x:c>
      <x:c r="I449" t="inlineStr">
        <x:is>
          <x:t xml:space="preserve">Do you have a defined process for investigating third‑party misuse (evidence requests, contractual steps, escalation)?</x:t>
        </x:is>
      </x:c>
      <x:c r="J449" t="inlineStr">
        <x:is>
          <x:t xml:space="preserve">Checks readiness: who leads, what evidence can be requested, and how quickly you can escalate.</x:t>
        </x:is>
      </x:c>
      <x:c r="L449" t="inlineStr">
        <x:is>
          <x:t xml:space="preserve">OPS_STD</x:t>
        </x:is>
      </x:c>
      <x:c r="M449" t="n">
        <x:v>1</x:v>
      </x:c>
      <x:c r="P449" t="inlineStr">
        <x:is>
          <x:t xml:space="preserve">SEC-D8-Q24-A2</x:t>
        </x:is>
      </x:c>
      <x:c r="Q449" t="n">
        <x:v>2</x:v>
      </x:c>
      <x:c r="R449" t="inlineStr">
        <x:is>
          <x:t xml:space="preserve">Some clauses exist, but steps and owners are unclear.</x:t>
        </x:is>
      </x:c>
      <x:c r="S449" t="n">
        <x:v>1</x:v>
      </x:c>
      <x:c r="T449" t="inlineStr">
        <x:is>
          <x:t xml:space="preserve">paper_dragon_signal</x:t>
        </x:is>
      </x:c>
      <x:c r="U449" t="inlineStr">
        <x:is>
          <x:t xml:space="preserve">Paper Dragon</x:t>
        </x:is>
      </x:c>
      <x:c r="V449" t="inlineStr">
        <x:is>
          <x:t xml:space="preserve">Assess_ThirdParty</x:t>
        </x:is>
      </x:c>
      <x:c r="W449" t="inlineStr">
        <x:is>
          <x:t xml:space="preserve">N</x:t>
        </x:is>
      </x:c>
      <x:c r="Y449">
        <x:f>(S449*IF(E449="G",F449,0))+(S449*IF(G449="G",H449,0))</x:f>
      </x:c>
      <x:c r="Z449">
        <x:f>(S449*IF(E449="E",F449,0))+(S449*IF(G449="E",H449,0))</x:f>
      </x:c>
      <x:c r="AA449">
        <x:f>(S449*IF(E449="T",F449,0))+(S449*IF(G449="T",H449,0))</x:f>
      </x:c>
      <x:c r="AB449">
        <x:f>(S449*IF(E449="L",F449,0))+(S449*IF(G449="L",H449,0))</x:f>
      </x:c>
      <x:c r="AC449">
        <x:f>(S449*IF(E449="H",F449,0))+(S449*IF(G449="H",H449,0))</x:f>
      </x:c>
      <x:c r="AD449">
        <x:f>(S449*IF(E449="V",F449,0))+(S449*IF(G449="V",H449,0))</x:f>
      </x:c>
      <x:c r="AE449">
        <x:f>(S449*IF(E449="R",F449,0))+(S449*IF(G449="R",H449,0))</x:f>
      </x:c>
      <x:c r="AF449">
        <x:f>(S449*IF(E449="F",F449,0))+(S449*IF(G449="F",H449,0))</x:f>
      </x:c>
      <x:c r="AG449">
        <x:f>(S449*IF(E449="W",F449,0))+(S449*IF(G449="W",H449,0))</x:f>
      </x:c>
      <x:c r="AH449" t="inlineStr">
        <x:is>
          <x:t xml:space="preserve">8. Investigation &amp; Response</x:t>
        </x:is>
      </x:c>
      <x:c r="AI449" t="inlineStr">
        <x:is>
          <x:t xml:space="preserve">Operational Readiness</x:t>
        </x:is>
      </x:c>
      <x:c r="AJ449" t="inlineStr">
        <x:is>
          <x:t xml:space="preserve">Forensic readiness &amp; evidence preservation</x:t>
        </x:is>
      </x:c>
    </x:row>
    <x:row r="450">
      <x:c r="A450" t="inlineStr">
        <x:is>
          <x:t xml:space="preserve">Security</x:t>
        </x:is>
      </x:c>
      <x:c r="B450" t="inlineStr">
        <x:is>
          <x:t xml:space="preserve">SEC-D8-Q24</x:t>
        </x:is>
      </x:c>
      <x:c r="C450" t="inlineStr">
        <x:is>
          <x:t xml:space="preserve">T3</x:t>
        </x:is>
      </x:c>
      <x:c r="D450" t="inlineStr">
        <x:is>
          <x:t xml:space="preserve">8. Third Parties &amp; Contractors</x:t>
        </x:is>
      </x:c>
      <x:c r="E450" t="inlineStr">
        <x:is>
          <x:t xml:space="preserve">T</x:t>
        </x:is>
      </x:c>
      <x:c r="F450" t="n">
        <x:v>0.5</x:v>
      </x:c>
      <x:c r="G450" t="inlineStr">
        <x:is>
          <x:t xml:space="preserve">R</x:t>
        </x:is>
      </x:c>
      <x:c r="H450" t="n">
        <x:v>0.5</x:v>
      </x:c>
      <x:c r="I450" t="inlineStr">
        <x:is>
          <x:t xml:space="preserve">Do you have a defined process for investigating third‑party misuse (evidence requests, contractual steps, escalation)?</x:t>
        </x:is>
      </x:c>
      <x:c r="J450" t="inlineStr">
        <x:is>
          <x:t xml:space="preserve">Checks readiness: who leads, what evidence can be requested, and how quickly you can escalate.</x:t>
        </x:is>
      </x:c>
      <x:c r="L450" t="inlineStr">
        <x:is>
          <x:t xml:space="preserve">OPS_STD</x:t>
        </x:is>
      </x:c>
      <x:c r="M450" t="n">
        <x:v>1</x:v>
      </x:c>
      <x:c r="P450" t="inlineStr">
        <x:is>
          <x:t xml:space="preserve">SEC-D8-Q24-A3</x:t>
        </x:is>
      </x:c>
      <x:c r="Q450" t="n">
        <x:v>3</x:v>
      </x:c>
      <x:c r="R450" t="inlineStr">
        <x:is>
          <x:t xml:space="preserve">Defined steps exist and have been exercised at least once.</x:t>
        </x:is>
      </x:c>
      <x:c r="S450" t="n">
        <x:v>3</x:v>
      </x:c>
      <x:c r="U450" t="inlineStr">
        <x:is>
          <x:t xml:space="preserve">Resilience Gap</x:t>
        </x:is>
      </x:c>
      <x:c r="V450" t="inlineStr">
        <x:is>
          <x:t xml:space="preserve">Insider_Playbooks</x:t>
        </x:is>
      </x:c>
      <x:c r="W450" t="inlineStr">
        <x:is>
          <x:t xml:space="preserve">Y</x:t>
        </x:is>
      </x:c>
      <x:c r="X450" t="inlineStr">
        <x:is>
          <x:t xml:space="preserve">Vendor escalation procedure.</x:t>
        </x:is>
      </x:c>
      <x:c r="Y450">
        <x:f>(S450*IF(E450="G",F450,0))+(S450*IF(G450="G",H450,0))</x:f>
      </x:c>
      <x:c r="Z450">
        <x:f>(S450*IF(E450="E",F450,0))+(S450*IF(G450="E",H450,0))</x:f>
      </x:c>
      <x:c r="AA450">
        <x:f>(S450*IF(E450="T",F450,0))+(S450*IF(G450="T",H450,0))</x:f>
      </x:c>
      <x:c r="AB450">
        <x:f>(S450*IF(E450="L",F450,0))+(S450*IF(G450="L",H450,0))</x:f>
      </x:c>
      <x:c r="AC450">
        <x:f>(S450*IF(E450="H",F450,0))+(S450*IF(G450="H",H450,0))</x:f>
      </x:c>
      <x:c r="AD450">
        <x:f>(S450*IF(E450="V",F450,0))+(S450*IF(G450="V",H450,0))</x:f>
      </x:c>
      <x:c r="AE450">
        <x:f>(S450*IF(E450="R",F450,0))+(S450*IF(G450="R",H450,0))</x:f>
      </x:c>
      <x:c r="AF450">
        <x:f>(S450*IF(E450="F",F450,0))+(S450*IF(G450="F",H450,0))</x:f>
      </x:c>
      <x:c r="AG450">
        <x:f>(S450*IF(E450="W",F450,0))+(S450*IF(G450="W",H450,0))</x:f>
      </x:c>
      <x:c r="AH450" t="inlineStr">
        <x:is>
          <x:t xml:space="preserve">8. Investigation &amp; Response</x:t>
        </x:is>
      </x:c>
      <x:c r="AI450" t="inlineStr">
        <x:is>
          <x:t xml:space="preserve">Operational Readiness</x:t>
        </x:is>
      </x:c>
      <x:c r="AJ450" t="inlineStr">
        <x:is>
          <x:t xml:space="preserve">Forensic readiness &amp; evidence preservation</x:t>
        </x:is>
      </x:c>
    </x:row>
    <x:row r="451">
      <x:c r="A451" t="inlineStr">
        <x:is>
          <x:t xml:space="preserve">Security</x:t>
        </x:is>
      </x:c>
      <x:c r="B451" t="inlineStr">
        <x:is>
          <x:t xml:space="preserve">SEC-D8-Q24</x:t>
        </x:is>
      </x:c>
      <x:c r="C451" t="inlineStr">
        <x:is>
          <x:t xml:space="preserve">T3</x:t>
        </x:is>
      </x:c>
      <x:c r="D451" t="inlineStr">
        <x:is>
          <x:t xml:space="preserve">8. Third Parties &amp; Contractors</x:t>
        </x:is>
      </x:c>
      <x:c r="E451" t="inlineStr">
        <x:is>
          <x:t xml:space="preserve">T</x:t>
        </x:is>
      </x:c>
      <x:c r="F451" t="n">
        <x:v>0.5</x:v>
      </x:c>
      <x:c r="G451" t="inlineStr">
        <x:is>
          <x:t xml:space="preserve">R</x:t>
        </x:is>
      </x:c>
      <x:c r="H451" t="n">
        <x:v>0.5</x:v>
      </x:c>
      <x:c r="I451" t="inlineStr">
        <x:is>
          <x:t xml:space="preserve">Do you have a defined process for investigating third‑party misuse (evidence requests, contractual steps, escalation)?</x:t>
        </x:is>
      </x:c>
      <x:c r="J451" t="inlineStr">
        <x:is>
          <x:t xml:space="preserve">Checks readiness: who leads, what evidence can be requested, and how quickly you can escalate.</x:t>
        </x:is>
      </x:c>
      <x:c r="L451" t="inlineStr">
        <x:is>
          <x:t xml:space="preserve">OPS_STD</x:t>
        </x:is>
      </x:c>
      <x:c r="M451" t="n">
        <x:v>1</x:v>
      </x:c>
      <x:c r="P451" t="inlineStr">
        <x:is>
          <x:t xml:space="preserve">SEC-D8-Q24-A4</x:t>
        </x:is>
      </x:c>
      <x:c r="Q451" t="n">
        <x:v>4</x:v>
      </x:c>
      <x:c r="R451" t="inlineStr">
        <x:is>
          <x:t xml:space="preserve">Optimized: pre‑arranged contacts, evidence workflow, and tabletop exercises include third parties.</x:t>
        </x:is>
      </x:c>
      <x:c r="S451" t="n">
        <x:v>4</x:v>
      </x:c>
      <x:c r="U451" t="inlineStr">
        <x:is>
          <x:t xml:space="preserve">Resilience Gap</x:t>
        </x:is>
      </x:c>
      <x:c r="V451" t="inlineStr">
        <x:is>
          <x:t xml:space="preserve">Insider_Playbooks</x:t>
        </x:is>
      </x:c>
      <x:c r="W451" t="inlineStr">
        <x:is>
          <x:t xml:space="preserve">Y</x:t>
        </x:is>
      </x:c>
      <x:c r="X451" t="inlineStr">
        <x:is>
          <x:t xml:space="preserve">Tabletop record (redacted).</x:t>
        </x:is>
      </x:c>
      <x:c r="Y451">
        <x:f>(S451*IF(E451="G",F451,0))+(S451*IF(G451="G",H451,0))</x:f>
      </x:c>
      <x:c r="Z451">
        <x:f>(S451*IF(E451="E",F451,0))+(S451*IF(G451="E",H451,0))</x:f>
      </x:c>
      <x:c r="AA451">
        <x:f>(S451*IF(E451="T",F451,0))+(S451*IF(G451="T",H451,0))</x:f>
      </x:c>
      <x:c r="AB451">
        <x:f>(S451*IF(E451="L",F451,0))+(S451*IF(G451="L",H451,0))</x:f>
      </x:c>
      <x:c r="AC451">
        <x:f>(S451*IF(E451="H",F451,0))+(S451*IF(G451="H",H451,0))</x:f>
      </x:c>
      <x:c r="AD451">
        <x:f>(S451*IF(E451="V",F451,0))+(S451*IF(G451="V",H451,0))</x:f>
      </x:c>
      <x:c r="AE451">
        <x:f>(S451*IF(E451="R",F451,0))+(S451*IF(G451="R",H451,0))</x:f>
      </x:c>
      <x:c r="AF451">
        <x:f>(S451*IF(E451="F",F451,0))+(S451*IF(G451="F",H451,0))</x:f>
      </x:c>
      <x:c r="AG451">
        <x:f>(S451*IF(E451="W",F451,0))+(S451*IF(G451="W",H451,0))</x:f>
      </x:c>
      <x:c r="AH451" t="inlineStr">
        <x:is>
          <x:t xml:space="preserve">8. Investigation &amp; Response</x:t>
        </x:is>
      </x:c>
      <x:c r="AI451" t="inlineStr">
        <x:is>
          <x:t xml:space="preserve">Operational Readiness</x:t>
        </x:is>
      </x:c>
      <x:c r="AJ451" t="inlineStr">
        <x:is>
          <x:t xml:space="preserve">Forensic readiness &amp; evidence preservation</x:t>
        </x:is>
      </x:c>
    </x:row>
    <x:row r="452">
      <x:c r="A452" t="inlineStr">
        <x:is>
          <x:t xml:space="preserve">Security</x:t>
        </x:is>
      </x:c>
      <x:c r="B452" t="inlineStr">
        <x:is>
          <x:t xml:space="preserve">SEC-D9-Q25</x:t>
        </x:is>
      </x:c>
      <x:c r="C452" t="inlineStr">
        <x:is>
          <x:t xml:space="preserve">T1</x:t>
        </x:is>
      </x:c>
      <x:c r="D452" t="inlineStr">
        <x:is>
          <x:t xml:space="preserve">9. Metrics &amp; Continuous Improvement</x:t>
        </x:is>
      </x:c>
      <x:c r="E452" t="inlineStr">
        <x:is>
          <x:t xml:space="preserve">E</x:t>
        </x:is>
      </x:c>
      <x:c r="F452" t="n">
        <x:v>0.5</x:v>
      </x:c>
      <x:c r="G452" t="inlineStr">
        <x:is>
          <x:t xml:space="preserve">R</x:t>
        </x:is>
      </x:c>
      <x:c r="H452" t="n">
        <x:v>0.5</x:v>
      </x:c>
      <x:c r="I452" t="inlineStr">
        <x:is>
          <x:t xml:space="preserve">Do you measure whether internal misuse monitoring is effective (not just how many alerts exist)?</x:t>
        </x:is>
      </x:c>
      <x:c r="J452" t="inlineStr">
        <x:is>
          <x:t xml:space="preserve">Examples: time to triage, investigation outcomes, false-positive rate, coverage of sensitive systems, and lessons learned.</x:t>
        </x:is>
      </x:c>
      <x:c r="L452" t="inlineStr">
        <x:is>
          <x:t xml:space="preserve">OPS_STD</x:t>
        </x:is>
      </x:c>
      <x:c r="M452" t="n">
        <x:v>1</x:v>
      </x:c>
      <x:c r="P452" t="inlineStr">
        <x:is>
          <x:t xml:space="preserve">SEC-D9-Q25-A1</x:t>
        </x:is>
      </x:c>
      <x:c r="Q452" t="n">
        <x:v>1</x:v>
      </x:c>
      <x:c r="R452" t="inlineStr">
        <x:is>
          <x:t xml:space="preserve">No — success is described qualitatively or by alert counts.</x:t>
        </x:is>
      </x:c>
      <x:c r="S452" t="n">
        <x:v>0</x:v>
      </x:c>
      <x:c r="T452" t="inlineStr">
        <x:is>
          <x:t xml:space="preserve">paper_dragon_signal</x:t>
        </x:is>
      </x:c>
      <x:c r="U452" t="inlineStr">
        <x:is>
          <x:t xml:space="preserve">Paper Dragon</x:t>
        </x:is>
      </x:c>
      <x:c r="V452" t="inlineStr">
        <x:is>
          <x:t xml:space="preserve">Improve_Metrics</x:t>
        </x:is>
      </x:c>
      <x:c r="W452" t="inlineStr">
        <x:is>
          <x:t xml:space="preserve">N</x:t>
        </x:is>
      </x:c>
      <x:c r="Y452">
        <x:f>(S452*IF(E452="G",F452,0))+(S452*IF(G452="G",H452,0))</x:f>
      </x:c>
      <x:c r="Z452">
        <x:f>(S452*IF(E452="E",F452,0))+(S452*IF(G452="E",H452,0))</x:f>
      </x:c>
      <x:c r="AA452">
        <x:f>(S452*IF(E452="T",F452,0))+(S452*IF(G452="T",H452,0))</x:f>
      </x:c>
      <x:c r="AB452">
        <x:f>(S452*IF(E452="L",F452,0))+(S452*IF(G452="L",H452,0))</x:f>
      </x:c>
      <x:c r="AC452">
        <x:f>(S452*IF(E452="H",F452,0))+(S452*IF(G452="H",H452,0))</x:f>
      </x:c>
      <x:c r="AD452">
        <x:f>(S452*IF(E452="V",F452,0))+(S452*IF(G452="V",H452,0))</x:f>
      </x:c>
      <x:c r="AE452">
        <x:f>(S452*IF(E452="R",F452,0))+(S452*IF(G452="R",H452,0))</x:f>
      </x:c>
      <x:c r="AF452">
        <x:f>(S452*IF(E452="F",F452,0))+(S452*IF(G452="F",H452,0))</x:f>
      </x:c>
      <x:c r="AG452">
        <x:f>(S452*IF(E452="W",F452,0))+(S452*IF(G452="W",H452,0))</x:f>
      </x:c>
      <x:c r="AH452" t="inlineStr">
        <x:is>
          <x:t xml:space="preserve">7. Behavioral Analytics &amp; Detection</x:t>
        </x:is>
      </x:c>
      <x:c r="AI452" t="inlineStr">
        <x:is>
          <x:t xml:space="preserve">Detection Engineering</x:t>
        </x:is>
      </x:c>
      <x:c r="AJ452" t="inlineStr">
        <x:is>
          <x:t xml:space="preserve">Alert triage workflow &amp; quality management</x:t>
        </x:is>
      </x:c>
    </x:row>
    <x:row r="453">
      <x:c r="A453" t="inlineStr">
        <x:is>
          <x:t xml:space="preserve">Security</x:t>
        </x:is>
      </x:c>
      <x:c r="B453" t="inlineStr">
        <x:is>
          <x:t xml:space="preserve">SEC-D9-Q25</x:t>
        </x:is>
      </x:c>
      <x:c r="C453" t="inlineStr">
        <x:is>
          <x:t xml:space="preserve">T1</x:t>
        </x:is>
      </x:c>
      <x:c r="D453" t="inlineStr">
        <x:is>
          <x:t xml:space="preserve">9. Metrics &amp; Continuous Improvement</x:t>
        </x:is>
      </x:c>
      <x:c r="E453" t="inlineStr">
        <x:is>
          <x:t xml:space="preserve">E</x:t>
        </x:is>
      </x:c>
      <x:c r="F453" t="n">
        <x:v>0.5</x:v>
      </x:c>
      <x:c r="G453" t="inlineStr">
        <x:is>
          <x:t xml:space="preserve">R</x:t>
        </x:is>
      </x:c>
      <x:c r="H453" t="n">
        <x:v>0.5</x:v>
      </x:c>
      <x:c r="I453" t="inlineStr">
        <x:is>
          <x:t xml:space="preserve">Do you measure whether internal misuse monitoring is effective (not just how many alerts exist)?</x:t>
        </x:is>
      </x:c>
      <x:c r="J453" t="inlineStr">
        <x:is>
          <x:t xml:space="preserve">Examples: time to triage, investigation outcomes, false-positive rate, coverage of sensitive systems, and lessons learned.</x:t>
        </x:is>
      </x:c>
      <x:c r="L453" t="inlineStr">
        <x:is>
          <x:t xml:space="preserve">OPS_STD</x:t>
        </x:is>
      </x:c>
      <x:c r="M453" t="n">
        <x:v>1</x:v>
      </x:c>
      <x:c r="P453" t="inlineStr">
        <x:is>
          <x:t xml:space="preserve">SEC-D9-Q25-A2</x:t>
        </x:is>
      </x:c>
      <x:c r="Q453" t="n">
        <x:v>2</x:v>
      </x:c>
      <x:c r="R453" t="inlineStr">
        <x:is>
          <x:t xml:space="preserve">Some metrics exist, but they don’t drive improvements.</x:t>
        </x:is>
      </x:c>
      <x:c r="S453" t="n">
        <x:v>2</x:v>
      </x:c>
      <x:c r="U453" t="inlineStr">
        <x:is>
          <x:t xml:space="preserve">Operating Model Gap</x:t>
        </x:is>
      </x:c>
      <x:c r="V453" t="inlineStr">
        <x:is>
          <x:t xml:space="preserve">Improve_Metrics</x:t>
        </x:is>
      </x:c>
      <x:c r="W453" t="inlineStr">
        <x:is>
          <x:t xml:space="preserve">N</x:t>
        </x:is>
      </x:c>
      <x:c r="Y453">
        <x:f>(S453*IF(E453="G",F453,0))+(S453*IF(G453="G",H453,0))</x:f>
      </x:c>
      <x:c r="Z453">
        <x:f>(S453*IF(E453="E",F453,0))+(S453*IF(G453="E",H453,0))</x:f>
      </x:c>
      <x:c r="AA453">
        <x:f>(S453*IF(E453="T",F453,0))+(S453*IF(G453="T",H453,0))</x:f>
      </x:c>
      <x:c r="AB453">
        <x:f>(S453*IF(E453="L",F453,0))+(S453*IF(G453="L",H453,0))</x:f>
      </x:c>
      <x:c r="AC453">
        <x:f>(S453*IF(E453="H",F453,0))+(S453*IF(G453="H",H453,0))</x:f>
      </x:c>
      <x:c r="AD453">
        <x:f>(S453*IF(E453="V",F453,0))+(S453*IF(G453="V",H453,0))</x:f>
      </x:c>
      <x:c r="AE453">
        <x:f>(S453*IF(E453="R",F453,0))+(S453*IF(G453="R",H453,0))</x:f>
      </x:c>
      <x:c r="AF453">
        <x:f>(S453*IF(E453="F",F453,0))+(S453*IF(G453="F",H453,0))</x:f>
      </x:c>
      <x:c r="AG453">
        <x:f>(S453*IF(E453="W",F453,0))+(S453*IF(G453="W",H453,0))</x:f>
      </x:c>
      <x:c r="AH453" t="inlineStr">
        <x:is>
          <x:t xml:space="preserve">7. Behavioral Analytics &amp; Detection</x:t>
        </x:is>
      </x:c>
      <x:c r="AI453" t="inlineStr">
        <x:is>
          <x:t xml:space="preserve">Detection Engineering</x:t>
        </x:is>
      </x:c>
      <x:c r="AJ453" t="inlineStr">
        <x:is>
          <x:t xml:space="preserve">Alert triage workflow &amp; quality management</x:t>
        </x:is>
      </x:c>
    </x:row>
    <x:row r="454">
      <x:c r="A454" t="inlineStr">
        <x:is>
          <x:t xml:space="preserve">Security</x:t>
        </x:is>
      </x:c>
      <x:c r="B454" t="inlineStr">
        <x:is>
          <x:t xml:space="preserve">SEC-D9-Q25</x:t>
        </x:is>
      </x:c>
      <x:c r="C454" t="inlineStr">
        <x:is>
          <x:t xml:space="preserve">T1</x:t>
        </x:is>
      </x:c>
      <x:c r="D454" t="inlineStr">
        <x:is>
          <x:t xml:space="preserve">9. Metrics &amp; Continuous Improvement</x:t>
        </x:is>
      </x:c>
      <x:c r="E454" t="inlineStr">
        <x:is>
          <x:t xml:space="preserve">E</x:t>
        </x:is>
      </x:c>
      <x:c r="F454" t="n">
        <x:v>0.5</x:v>
      </x:c>
      <x:c r="G454" t="inlineStr">
        <x:is>
          <x:t xml:space="preserve">R</x:t>
        </x:is>
      </x:c>
      <x:c r="H454" t="n">
        <x:v>0.5</x:v>
      </x:c>
      <x:c r="I454" t="inlineStr">
        <x:is>
          <x:t xml:space="preserve">Do you measure whether internal misuse monitoring is effective (not just how many alerts exist)?</x:t>
        </x:is>
      </x:c>
      <x:c r="J454" t="inlineStr">
        <x:is>
          <x:t xml:space="preserve">Examples: time to triage, investigation outcomes, false-positive rate, coverage of sensitive systems, and lessons learned.</x:t>
        </x:is>
      </x:c>
      <x:c r="L454" t="inlineStr">
        <x:is>
          <x:t xml:space="preserve">OPS_STD</x:t>
        </x:is>
      </x:c>
      <x:c r="M454" t="n">
        <x:v>1</x:v>
      </x:c>
      <x:c r="P454" t="inlineStr">
        <x:is>
          <x:t xml:space="preserve">SEC-D9-Q25-A3</x:t>
        </x:is>
      </x:c>
      <x:c r="Q454" t="n">
        <x:v>3</x:v>
      </x:c>
      <x:c r="R454" t="inlineStr">
        <x:is>
          <x:t xml:space="preserve">Yes — we track a small set of KPIs/KRIs and review them regularly.</x:t>
        </x:is>
      </x:c>
      <x:c r="S454" t="n">
        <x:v>3</x:v>
      </x:c>
      <x:c r="U454" t="inlineStr">
        <x:is>
          <x:t xml:space="preserve">Resilience Gap</x:t>
        </x:is>
      </x:c>
      <x:c r="V454" t="inlineStr">
        <x:is>
          <x:t xml:space="preserve">Improve_Metrics</x:t>
        </x:is>
      </x:c>
      <x:c r="W454" t="inlineStr">
        <x:is>
          <x:t xml:space="preserve">Y</x:t>
        </x:is>
      </x:c>
      <x:c r="X454" t="inlineStr">
        <x:is>
          <x:t xml:space="preserve">Dashboard (redacted).</x:t>
        </x:is>
      </x:c>
      <x:c r="Y454">
        <x:f>(S454*IF(E454="G",F454,0))+(S454*IF(G454="G",H454,0))</x:f>
      </x:c>
      <x:c r="Z454">
        <x:f>(S454*IF(E454="E",F454,0))+(S454*IF(G454="E",H454,0))</x:f>
      </x:c>
      <x:c r="AA454">
        <x:f>(S454*IF(E454="T",F454,0))+(S454*IF(G454="T",H454,0))</x:f>
      </x:c>
      <x:c r="AB454">
        <x:f>(S454*IF(E454="L",F454,0))+(S454*IF(G454="L",H454,0))</x:f>
      </x:c>
      <x:c r="AC454">
        <x:f>(S454*IF(E454="H",F454,0))+(S454*IF(G454="H",H454,0))</x:f>
      </x:c>
      <x:c r="AD454">
        <x:f>(S454*IF(E454="V",F454,0))+(S454*IF(G454="V",H454,0))</x:f>
      </x:c>
      <x:c r="AE454">
        <x:f>(S454*IF(E454="R",F454,0))+(S454*IF(G454="R",H454,0))</x:f>
      </x:c>
      <x:c r="AF454">
        <x:f>(S454*IF(E454="F",F454,0))+(S454*IF(G454="F",H454,0))</x:f>
      </x:c>
      <x:c r="AG454">
        <x:f>(S454*IF(E454="W",F454,0))+(S454*IF(G454="W",H454,0))</x:f>
      </x:c>
      <x:c r="AH454" t="inlineStr">
        <x:is>
          <x:t xml:space="preserve">7. Behavioral Analytics &amp; Detection</x:t>
        </x:is>
      </x:c>
      <x:c r="AI454" t="inlineStr">
        <x:is>
          <x:t xml:space="preserve">Detection Engineering</x:t>
        </x:is>
      </x:c>
      <x:c r="AJ454" t="inlineStr">
        <x:is>
          <x:t xml:space="preserve">Alert triage workflow &amp; quality management</x:t>
        </x:is>
      </x:c>
    </x:row>
    <x:row r="455">
      <x:c r="A455" t="inlineStr">
        <x:is>
          <x:t xml:space="preserve">Security</x:t>
        </x:is>
      </x:c>
      <x:c r="B455" t="inlineStr">
        <x:is>
          <x:t xml:space="preserve">SEC-D9-Q25</x:t>
        </x:is>
      </x:c>
      <x:c r="C455" t="inlineStr">
        <x:is>
          <x:t xml:space="preserve">T1</x:t>
        </x:is>
      </x:c>
      <x:c r="D455" t="inlineStr">
        <x:is>
          <x:t xml:space="preserve">9. Metrics &amp; Continuous Improvement</x:t>
        </x:is>
      </x:c>
      <x:c r="E455" t="inlineStr">
        <x:is>
          <x:t xml:space="preserve">E</x:t>
        </x:is>
      </x:c>
      <x:c r="F455" t="n">
        <x:v>0.5</x:v>
      </x:c>
      <x:c r="G455" t="inlineStr">
        <x:is>
          <x:t xml:space="preserve">R</x:t>
        </x:is>
      </x:c>
      <x:c r="H455" t="n">
        <x:v>0.5</x:v>
      </x:c>
      <x:c r="I455" t="inlineStr">
        <x:is>
          <x:t xml:space="preserve">Do you measure whether internal misuse monitoring is effective (not just how many alerts exist)?</x:t>
        </x:is>
      </x:c>
      <x:c r="J455" t="inlineStr">
        <x:is>
          <x:t xml:space="preserve">Examples: time to triage, investigation outcomes, false-positive rate, coverage of sensitive systems, and lessons learned.</x:t>
        </x:is>
      </x:c>
      <x:c r="L455" t="inlineStr">
        <x:is>
          <x:t xml:space="preserve">OPS_STD</x:t>
        </x:is>
      </x:c>
      <x:c r="M455" t="n">
        <x:v>1</x:v>
      </x:c>
      <x:c r="P455" t="inlineStr">
        <x:is>
          <x:t xml:space="preserve">SEC-D9-Q25-A4</x:t>
        </x:is>
      </x:c>
      <x:c r="Q455" t="n">
        <x:v>4</x:v>
      </x:c>
      <x:c r="R455" t="inlineStr">
        <x:is>
          <x:t xml:space="preserve">Optimized: metrics drive prioritized improvements, with periodic independent reviews.</x:t>
        </x:is>
      </x:c>
      <x:c r="S455" t="n">
        <x:v>4</x:v>
      </x:c>
      <x:c r="U455" t="inlineStr">
        <x:is>
          <x:t xml:space="preserve">Resilience Gap</x:t>
        </x:is>
      </x:c>
      <x:c r="V455" t="inlineStr">
        <x:is>
          <x:t xml:space="preserve">Plan_Assurance</x:t>
        </x:is>
      </x:c>
      <x:c r="W455" t="inlineStr">
        <x:is>
          <x:t xml:space="preserve">Y</x:t>
        </x:is>
      </x:c>
      <x:c r="X455" t="inlineStr">
        <x:is>
          <x:t xml:space="preserve">Review minutes/audit excerpt.</x:t>
        </x:is>
      </x:c>
      <x:c r="Y455">
        <x:f>(S455*IF(E455="G",F455,0))+(S455*IF(G455="G",H455,0))</x:f>
      </x:c>
      <x:c r="Z455">
        <x:f>(S455*IF(E455="E",F455,0))+(S455*IF(G455="E",H455,0))</x:f>
      </x:c>
      <x:c r="AA455">
        <x:f>(S455*IF(E455="T",F455,0))+(S455*IF(G455="T",H455,0))</x:f>
      </x:c>
      <x:c r="AB455">
        <x:f>(S455*IF(E455="L",F455,0))+(S455*IF(G455="L",H455,0))</x:f>
      </x:c>
      <x:c r="AC455">
        <x:f>(S455*IF(E455="H",F455,0))+(S455*IF(G455="H",H455,0))</x:f>
      </x:c>
      <x:c r="AD455">
        <x:f>(S455*IF(E455="V",F455,0))+(S455*IF(G455="V",H455,0))</x:f>
      </x:c>
      <x:c r="AE455">
        <x:f>(S455*IF(E455="R",F455,0))+(S455*IF(G455="R",H455,0))</x:f>
      </x:c>
      <x:c r="AF455">
        <x:f>(S455*IF(E455="F",F455,0))+(S455*IF(G455="F",H455,0))</x:f>
      </x:c>
      <x:c r="AG455">
        <x:f>(S455*IF(E455="W",F455,0))+(S455*IF(G455="W",H455,0))</x:f>
      </x:c>
      <x:c r="AH455" t="inlineStr">
        <x:is>
          <x:t xml:space="preserve">7. Behavioral Analytics &amp; Detection</x:t>
        </x:is>
      </x:c>
      <x:c r="AI455" t="inlineStr">
        <x:is>
          <x:t xml:space="preserve">Detection Engineering</x:t>
        </x:is>
      </x:c>
      <x:c r="AJ455" t="inlineStr">
        <x:is>
          <x:t xml:space="preserve">Alert triage workflow &amp; quality management</x:t>
        </x:is>
      </x:c>
    </x:row>
    <x:row r="456">
      <x:c r="A456" t="inlineStr">
        <x:is>
          <x:t xml:space="preserve">Security</x:t>
        </x:is>
      </x:c>
      <x:c r="B456" t="inlineStr">
        <x:is>
          <x:t xml:space="preserve">SEC-D9-Q26</x:t>
        </x:is>
      </x:c>
      <x:c r="C456" t="inlineStr">
        <x:is>
          <x:t xml:space="preserve">T2</x:t>
        </x:is>
      </x:c>
      <x:c r="D456" t="inlineStr">
        <x:is>
          <x:t xml:space="preserve">9. Metrics &amp; Continuous Improvement</x:t>
        </x:is>
      </x:c>
      <x:c r="E456" t="inlineStr">
        <x:is>
          <x:t xml:space="preserve">E</x:t>
        </x:is>
      </x:c>
      <x:c r="F456" t="n">
        <x:v>1</x:v>
      </x:c>
      <x:c r="I456" t="inlineStr">
        <x:is>
          <x:t xml:space="preserve">(Shadow probe) Do you review 'near misses' (suspicious behavior caught early) to improve controls, even if nothing was lost?</x:t>
        </x:is>
      </x:c>
      <x:c r="J456" t="inlineStr">
        <x:is>
          <x:t xml:space="preserve">Near-miss reviews show learning without waiting for a breach.</x:t>
        </x:is>
      </x:c>
      <x:c r="L456" t="inlineStr">
        <x:is>
          <x:t xml:space="preserve">OPS_STD</x:t>
        </x:is>
      </x:c>
      <x:c r="M456" t="n">
        <x:v>1</x:v>
      </x:c>
      <x:c r="P456" t="inlineStr">
        <x:is>
          <x:t xml:space="preserve">SEC-D9-Q26-A1</x:t>
        </x:is>
      </x:c>
      <x:c r="Q456" t="n">
        <x:v>1</x:v>
      </x:c>
      <x:c r="R456" t="inlineStr">
        <x:is>
          <x:t xml:space="preserve">No — we only review after major incidents.</x:t>
        </x:is>
      </x:c>
      <x:c r="S456" t="n">
        <x:v>0</x:v>
      </x:c>
      <x:c r="U456" t="inlineStr">
        <x:is>
          <x:t xml:space="preserve">Resilience Gap</x:t>
        </x:is>
      </x:c>
      <x:c r="V456" t="inlineStr">
        <x:is>
          <x:t xml:space="preserve">Improve_Metrics</x:t>
        </x:is>
      </x:c>
      <x:c r="W456" t="inlineStr">
        <x:is>
          <x:t xml:space="preserve">N</x:t>
        </x:is>
      </x:c>
      <x:c r="Y456">
        <x:f>(S456*IF(E456="G",F456,0))+(S456*IF(G456="G",H456,0))</x:f>
      </x:c>
      <x:c r="Z456">
        <x:f>(S456*IF(E456="E",F456,0))+(S456*IF(G456="E",H456,0))</x:f>
      </x:c>
      <x:c r="AA456">
        <x:f>(S456*IF(E456="T",F456,0))+(S456*IF(G456="T",H456,0))</x:f>
      </x:c>
      <x:c r="AB456">
        <x:f>(S456*IF(E456="L",F456,0))+(S456*IF(G456="L",H456,0))</x:f>
      </x:c>
      <x:c r="AC456">
        <x:f>(S456*IF(E456="H",F456,0))+(S456*IF(G456="H",H456,0))</x:f>
      </x:c>
      <x:c r="AD456">
        <x:f>(S456*IF(E456="V",F456,0))+(S456*IF(G456="V",H456,0))</x:f>
      </x:c>
      <x:c r="AE456">
        <x:f>(S456*IF(E456="R",F456,0))+(S456*IF(G456="R",H456,0))</x:f>
      </x:c>
      <x:c r="AF456">
        <x:f>(S456*IF(E456="F",F456,0))+(S456*IF(G456="F",H456,0))</x:f>
      </x:c>
      <x:c r="AG456">
        <x:f>(S456*IF(E456="W",F456,0))+(S456*IF(G456="W",H456,0))</x:f>
      </x:c>
      <x:c r="AH456" t="inlineStr">
        <x:is>
          <x:t xml:space="preserve">4. Legal, Privacy &amp; Ethics</x:t>
        </x:is>
      </x:c>
      <x:c r="AI456" t="inlineStr">
        <x:is>
          <x:t xml:space="preserve">Oversight &amp; Safeguards</x:t>
        </x:is>
      </x:c>
      <x:c r="AJ456" t="inlineStr">
        <x:is>
          <x:t xml:space="preserve">Review, Redress &amp; Assurance</x:t>
        </x:is>
      </x:c>
    </x:row>
    <x:row r="457">
      <x:c r="A457" t="inlineStr">
        <x:is>
          <x:t xml:space="preserve">Security</x:t>
        </x:is>
      </x:c>
      <x:c r="B457" t="inlineStr">
        <x:is>
          <x:t xml:space="preserve">SEC-D9-Q26</x:t>
        </x:is>
      </x:c>
      <x:c r="C457" t="inlineStr">
        <x:is>
          <x:t xml:space="preserve">T2</x:t>
        </x:is>
      </x:c>
      <x:c r="D457" t="inlineStr">
        <x:is>
          <x:t xml:space="preserve">9. Metrics &amp; Continuous Improvement</x:t>
        </x:is>
      </x:c>
      <x:c r="E457" t="inlineStr">
        <x:is>
          <x:t xml:space="preserve">E</x:t>
        </x:is>
      </x:c>
      <x:c r="F457" t="n">
        <x:v>1</x:v>
      </x:c>
      <x:c r="I457" t="inlineStr">
        <x:is>
          <x:t xml:space="preserve">(Shadow probe) Do you review 'near misses' (suspicious behavior caught early) to improve controls, even if nothing was lost?</x:t>
        </x:is>
      </x:c>
      <x:c r="J457" t="inlineStr">
        <x:is>
          <x:t xml:space="preserve">Near-miss reviews show learning without waiting for a breach.</x:t>
        </x:is>
      </x:c>
      <x:c r="L457" t="inlineStr">
        <x:is>
          <x:t xml:space="preserve">OPS_STD</x:t>
        </x:is>
      </x:c>
      <x:c r="M457" t="n">
        <x:v>1</x:v>
      </x:c>
      <x:c r="P457" t="inlineStr">
        <x:is>
          <x:t xml:space="preserve">SEC-D9-Q26-A2</x:t>
        </x:is>
      </x:c>
      <x:c r="Q457" t="n">
        <x:v>2</x:v>
      </x:c>
      <x:c r="R457" t="inlineStr">
        <x:is>
          <x:t xml:space="preserve">Sometimes — informal reviews happen if someone remembers.</x:t>
        </x:is>
      </x:c>
      <x:c r="S457" t="n">
        <x:v>2</x:v>
      </x:c>
      <x:c r="T457" t="inlineStr">
        <x:is>
          <x:t xml:space="preserve">shadow_mature_signal</x:t>
        </x:is>
      </x:c>
      <x:c r="U457" t="inlineStr">
        <x:is>
          <x:t xml:space="preserve">Shadow Mature</x:t>
        </x:is>
      </x:c>
      <x:c r="V457" t="inlineStr">
        <x:is>
          <x:t xml:space="preserve">Capture_Informal_Practices</x:t>
        </x:is>
      </x:c>
      <x:c r="W457" t="inlineStr">
        <x:is>
          <x:t xml:space="preserve">N</x:t>
        </x:is>
      </x:c>
      <x:c r="Y457">
        <x:f>(S457*IF(E457="G",F457,0))+(S457*IF(G457="G",H457,0))</x:f>
      </x:c>
      <x:c r="Z457">
        <x:f>(S457*IF(E457="E",F457,0))+(S457*IF(G457="E",H457,0))</x:f>
      </x:c>
      <x:c r="AA457">
        <x:f>(S457*IF(E457="T",F457,0))+(S457*IF(G457="T",H457,0))</x:f>
      </x:c>
      <x:c r="AB457">
        <x:f>(S457*IF(E457="L",F457,0))+(S457*IF(G457="L",H457,0))</x:f>
      </x:c>
      <x:c r="AC457">
        <x:f>(S457*IF(E457="H",F457,0))+(S457*IF(G457="H",H457,0))</x:f>
      </x:c>
      <x:c r="AD457">
        <x:f>(S457*IF(E457="V",F457,0))+(S457*IF(G457="V",H457,0))</x:f>
      </x:c>
      <x:c r="AE457">
        <x:f>(S457*IF(E457="R",F457,0))+(S457*IF(G457="R",H457,0))</x:f>
      </x:c>
      <x:c r="AF457">
        <x:f>(S457*IF(E457="F",F457,0))+(S457*IF(G457="F",H457,0))</x:f>
      </x:c>
      <x:c r="AG457">
        <x:f>(S457*IF(E457="W",F457,0))+(S457*IF(G457="W",H457,0))</x:f>
      </x:c>
      <x:c r="AH457" t="inlineStr">
        <x:is>
          <x:t xml:space="preserve">4. Legal, Privacy &amp; Ethics</x:t>
        </x:is>
      </x:c>
      <x:c r="AI457" t="inlineStr">
        <x:is>
          <x:t xml:space="preserve">Oversight &amp; Safeguards</x:t>
        </x:is>
      </x:c>
      <x:c r="AJ457" t="inlineStr">
        <x:is>
          <x:t xml:space="preserve">Review, Redress &amp; Assurance</x:t>
        </x:is>
      </x:c>
    </x:row>
    <x:row r="458">
      <x:c r="A458" t="inlineStr">
        <x:is>
          <x:t xml:space="preserve">Security</x:t>
        </x:is>
      </x:c>
      <x:c r="B458" t="inlineStr">
        <x:is>
          <x:t xml:space="preserve">SEC-D9-Q26</x:t>
        </x:is>
      </x:c>
      <x:c r="C458" t="inlineStr">
        <x:is>
          <x:t xml:space="preserve">T2</x:t>
        </x:is>
      </x:c>
      <x:c r="D458" t="inlineStr">
        <x:is>
          <x:t xml:space="preserve">9. Metrics &amp; Continuous Improvement</x:t>
        </x:is>
      </x:c>
      <x:c r="E458" t="inlineStr">
        <x:is>
          <x:t xml:space="preserve">E</x:t>
        </x:is>
      </x:c>
      <x:c r="F458" t="n">
        <x:v>1</x:v>
      </x:c>
      <x:c r="I458" t="inlineStr">
        <x:is>
          <x:t xml:space="preserve">(Shadow probe) Do you review 'near misses' (suspicious behavior caught early) to improve controls, even if nothing was lost?</x:t>
        </x:is>
      </x:c>
      <x:c r="J458" t="inlineStr">
        <x:is>
          <x:t xml:space="preserve">Near-miss reviews show learning without waiting for a breach.</x:t>
        </x:is>
      </x:c>
      <x:c r="L458" t="inlineStr">
        <x:is>
          <x:t xml:space="preserve">OPS_STD</x:t>
        </x:is>
      </x:c>
      <x:c r="M458" t="n">
        <x:v>1</x:v>
      </x:c>
      <x:c r="P458" t="inlineStr">
        <x:is>
          <x:t xml:space="preserve">SEC-D9-Q26-A3</x:t>
        </x:is>
      </x:c>
      <x:c r="Q458" t="n">
        <x:v>3</x:v>
      </x:c>
      <x:c r="R458" t="inlineStr">
        <x:is>
          <x:t xml:space="preserve">Yes — near misses are logged and reviewed to drive tuning and training.</x:t>
        </x:is>
      </x:c>
      <x:c r="S458" t="n">
        <x:v>3</x:v>
      </x:c>
      <x:c r="U458" t="inlineStr">
        <x:is>
          <x:t xml:space="preserve">Resilience Gap</x:t>
        </x:is>
      </x:c>
      <x:c r="V458" t="inlineStr">
        <x:is>
          <x:t xml:space="preserve">Improve_Metrics</x:t>
        </x:is>
      </x:c>
      <x:c r="W458" t="inlineStr">
        <x:is>
          <x:t xml:space="preserve">Y</x:t>
        </x:is>
      </x:c>
      <x:c r="X458" t="inlineStr">
        <x:is>
          <x:t xml:space="preserve">Example near-miss record (redacted).</x:t>
        </x:is>
      </x:c>
      <x:c r="Y458">
        <x:f>(S458*IF(E458="G",F458,0))+(S458*IF(G458="G",H458,0))</x:f>
      </x:c>
      <x:c r="Z458">
        <x:f>(S458*IF(E458="E",F458,0))+(S458*IF(G458="E",H458,0))</x:f>
      </x:c>
      <x:c r="AA458">
        <x:f>(S458*IF(E458="T",F458,0))+(S458*IF(G458="T",H458,0))</x:f>
      </x:c>
      <x:c r="AB458">
        <x:f>(S458*IF(E458="L",F458,0))+(S458*IF(G458="L",H458,0))</x:f>
      </x:c>
      <x:c r="AC458">
        <x:f>(S458*IF(E458="H",F458,0))+(S458*IF(G458="H",H458,0))</x:f>
      </x:c>
      <x:c r="AD458">
        <x:f>(S458*IF(E458="V",F458,0))+(S458*IF(G458="V",H458,0))</x:f>
      </x:c>
      <x:c r="AE458">
        <x:f>(S458*IF(E458="R",F458,0))+(S458*IF(G458="R",H458,0))</x:f>
      </x:c>
      <x:c r="AF458">
        <x:f>(S458*IF(E458="F",F458,0))+(S458*IF(G458="F",H458,0))</x:f>
      </x:c>
      <x:c r="AG458">
        <x:f>(S458*IF(E458="W",F458,0))+(S458*IF(G458="W",H458,0))</x:f>
      </x:c>
      <x:c r="AH458" t="inlineStr">
        <x:is>
          <x:t xml:space="preserve">4. Legal, Privacy &amp; Ethics</x:t>
        </x:is>
      </x:c>
      <x:c r="AI458" t="inlineStr">
        <x:is>
          <x:t xml:space="preserve">Oversight &amp; Safeguards</x:t>
        </x:is>
      </x:c>
      <x:c r="AJ458" t="inlineStr">
        <x:is>
          <x:t xml:space="preserve">Review, Redress &amp; Assurance</x:t>
        </x:is>
      </x:c>
    </x:row>
    <x:row r="459">
      <x:c r="A459" t="inlineStr">
        <x:is>
          <x:t xml:space="preserve">Security</x:t>
        </x:is>
      </x:c>
      <x:c r="B459" t="inlineStr">
        <x:is>
          <x:t xml:space="preserve">SEC-D9-Q27</x:t>
        </x:is>
      </x:c>
      <x:c r="C459" t="inlineStr">
        <x:is>
          <x:t xml:space="preserve">T3</x:t>
        </x:is>
      </x:c>
      <x:c r="D459" t="inlineStr">
        <x:is>
          <x:t xml:space="preserve">9. Metrics &amp; Continuous Improvement</x:t>
        </x:is>
      </x:c>
      <x:c r="E459" t="inlineStr">
        <x:is>
          <x:t xml:space="preserve">T</x:t>
        </x:is>
      </x:c>
      <x:c r="F459" t="n">
        <x:v>0.5</x:v>
      </x:c>
      <x:c r="G459" t="inlineStr">
        <x:is>
          <x:t xml:space="preserve">E</x:t>
        </x:is>
      </x:c>
      <x:c r="H459" t="n">
        <x:v>0.5</x:v>
      </x:c>
      <x:c r="I459" t="inlineStr">
        <x:is>
          <x:t xml:space="preserve">Is detection quality periodically tested (simulations, controlled tests, red/purple exercises) to reduce blind spots?</x:t>
        </x:is>
      </x:c>
      <x:c r="J459" t="inlineStr">
        <x:is>
          <x:t xml:space="preserve">This can be lightweight: test a few scenarios, verify alerts fire, and verify investigation time is within expectations.</x:t>
        </x:is>
      </x:c>
      <x:c r="L459" t="inlineStr">
        <x:is>
          <x:t xml:space="preserve">OPS_STD</x:t>
        </x:is>
      </x:c>
      <x:c r="M459" t="n">
        <x:v>1.2</x:v>
      </x:c>
      <x:c r="P459" t="inlineStr">
        <x:is>
          <x:t xml:space="preserve">SEC-D9-Q27-A1</x:t>
        </x:is>
      </x:c>
      <x:c r="Q459" t="n">
        <x:v>1</x:v>
      </x:c>
      <x:c r="R459" t="inlineStr">
        <x:is>
          <x:t xml:space="preserve">No — we assume detections work once enabled.</x:t>
        </x:is>
      </x:c>
      <x:c r="S459" t="n">
        <x:v>0</x:v>
      </x:c>
      <x:c r="T459" t="inlineStr">
        <x:is>
          <x:t xml:space="preserve">paper_dragon_signal</x:t>
        </x:is>
      </x:c>
      <x:c r="U459" t="inlineStr">
        <x:is>
          <x:t xml:space="preserve">Paper Dragon</x:t>
        </x:is>
      </x:c>
      <x:c r="V459" t="inlineStr">
        <x:is>
          <x:t xml:space="preserve">Plan_Assurance</x:t>
        </x:is>
      </x:c>
      <x:c r="W459" t="inlineStr">
        <x:is>
          <x:t xml:space="preserve">N</x:t>
        </x:is>
      </x:c>
      <x:c r="Y459">
        <x:f>(S459*IF(E459="G",F459,0))+(S459*IF(G459="G",H459,0))</x:f>
      </x:c>
      <x:c r="Z459">
        <x:f>(S459*IF(E459="E",F459,0))+(S459*IF(G459="E",H459,0))</x:f>
      </x:c>
      <x:c r="AA459">
        <x:f>(S459*IF(E459="T",F459,0))+(S459*IF(G459="T",H459,0))</x:f>
      </x:c>
      <x:c r="AB459">
        <x:f>(S459*IF(E459="L",F459,0))+(S459*IF(G459="L",H459,0))</x:f>
      </x:c>
      <x:c r="AC459">
        <x:f>(S459*IF(E459="H",F459,0))+(S459*IF(G459="H",H459,0))</x:f>
      </x:c>
      <x:c r="AD459">
        <x:f>(S459*IF(E459="V",F459,0))+(S459*IF(G459="V",H459,0))</x:f>
      </x:c>
      <x:c r="AE459">
        <x:f>(S459*IF(E459="R",F459,0))+(S459*IF(G459="R",H459,0))</x:f>
      </x:c>
      <x:c r="AF459">
        <x:f>(S459*IF(E459="F",F459,0))+(S459*IF(G459="F",H459,0))</x:f>
      </x:c>
      <x:c r="AG459">
        <x:f>(S459*IF(E459="W",F459,0))+(S459*IF(G459="W",H459,0))</x:f>
      </x:c>
      <x:c r="AH459" t="inlineStr">
        <x:is>
          <x:t xml:space="preserve">9. Performance &amp; Resilience</x:t>
        </x:is>
      </x:c>
      <x:c r="AI459" t="inlineStr">
        <x:is>
          <x:t xml:space="preserve">Testing &amp; Exercising</x:t>
        </x:is>
      </x:c>
      <x:c r="AJ459" t="inlineStr">
        <x:is>
          <x:t xml:space="preserve">Purple-team / simulation of insider paths</x:t>
        </x:is>
      </x:c>
    </x:row>
    <x:row r="460">
      <x:c r="A460" t="inlineStr">
        <x:is>
          <x:t xml:space="preserve">Security</x:t>
        </x:is>
      </x:c>
      <x:c r="B460" t="inlineStr">
        <x:is>
          <x:t xml:space="preserve">SEC-D9-Q27</x:t>
        </x:is>
      </x:c>
      <x:c r="C460" t="inlineStr">
        <x:is>
          <x:t xml:space="preserve">T3</x:t>
        </x:is>
      </x:c>
      <x:c r="D460" t="inlineStr">
        <x:is>
          <x:t xml:space="preserve">9. Metrics &amp; Continuous Improvement</x:t>
        </x:is>
      </x:c>
      <x:c r="E460" t="inlineStr">
        <x:is>
          <x:t xml:space="preserve">T</x:t>
        </x:is>
      </x:c>
      <x:c r="F460" t="n">
        <x:v>0.5</x:v>
      </x:c>
      <x:c r="G460" t="inlineStr">
        <x:is>
          <x:t xml:space="preserve">E</x:t>
        </x:is>
      </x:c>
      <x:c r="H460" t="n">
        <x:v>0.5</x:v>
      </x:c>
      <x:c r="I460" t="inlineStr">
        <x:is>
          <x:t xml:space="preserve">Is detection quality periodically tested (simulations, controlled tests, red/purple exercises) to reduce blind spots?</x:t>
        </x:is>
      </x:c>
      <x:c r="J460" t="inlineStr">
        <x:is>
          <x:t xml:space="preserve">This can be lightweight: test a few scenarios, verify alerts fire, and verify investigation time is within expectations.</x:t>
        </x:is>
      </x:c>
      <x:c r="L460" t="inlineStr">
        <x:is>
          <x:t xml:space="preserve">OPS_STD</x:t>
        </x:is>
      </x:c>
      <x:c r="M460" t="n">
        <x:v>1.2</x:v>
      </x:c>
      <x:c r="P460" t="inlineStr">
        <x:is>
          <x:t xml:space="preserve">SEC-D9-Q27-A2</x:t>
        </x:is>
      </x:c>
      <x:c r="Q460" t="n">
        <x:v>2</x:v>
      </x:c>
      <x:c r="R460" t="inlineStr">
        <x:is>
          <x:t xml:space="preserve">Occasionally — tests happen after incidents or audits.</x:t>
        </x:is>
      </x:c>
      <x:c r="S460" t="n">
        <x:v>2</x:v>
      </x:c>
      <x:c r="U460" t="inlineStr">
        <x:is>
          <x:t xml:space="preserve">Operating Model Gap</x:t>
        </x:is>
      </x:c>
      <x:c r="V460" t="inlineStr">
        <x:is>
          <x:t xml:space="preserve">Plan_Assurance</x:t>
        </x:is>
      </x:c>
      <x:c r="W460" t="inlineStr">
        <x:is>
          <x:t xml:space="preserve">N</x:t>
        </x:is>
      </x:c>
      <x:c r="Y460">
        <x:f>(S460*IF(E460="G",F460,0))+(S460*IF(G460="G",H460,0))</x:f>
      </x:c>
      <x:c r="Z460">
        <x:f>(S460*IF(E460="E",F460,0))+(S460*IF(G460="E",H460,0))</x:f>
      </x:c>
      <x:c r="AA460">
        <x:f>(S460*IF(E460="T",F460,0))+(S460*IF(G460="T",H460,0))</x:f>
      </x:c>
      <x:c r="AB460">
        <x:f>(S460*IF(E460="L",F460,0))+(S460*IF(G460="L",H460,0))</x:f>
      </x:c>
      <x:c r="AC460">
        <x:f>(S460*IF(E460="H",F460,0))+(S460*IF(G460="H",H460,0))</x:f>
      </x:c>
      <x:c r="AD460">
        <x:f>(S460*IF(E460="V",F460,0))+(S460*IF(G460="V",H460,0))</x:f>
      </x:c>
      <x:c r="AE460">
        <x:f>(S460*IF(E460="R",F460,0))+(S460*IF(G460="R",H460,0))</x:f>
      </x:c>
      <x:c r="AF460">
        <x:f>(S460*IF(E460="F",F460,0))+(S460*IF(G460="F",H460,0))</x:f>
      </x:c>
      <x:c r="AG460">
        <x:f>(S460*IF(E460="W",F460,0))+(S460*IF(G460="W",H460,0))</x:f>
      </x:c>
      <x:c r="AH460" t="inlineStr">
        <x:is>
          <x:t xml:space="preserve">9. Performance &amp; Resilience</x:t>
        </x:is>
      </x:c>
      <x:c r="AI460" t="inlineStr">
        <x:is>
          <x:t xml:space="preserve">Testing &amp; Exercising</x:t>
        </x:is>
      </x:c>
      <x:c r="AJ460" t="inlineStr">
        <x:is>
          <x:t xml:space="preserve">Purple-team / simulation of insider paths</x:t>
        </x:is>
      </x:c>
    </x:row>
    <x:row r="461">
      <x:c r="A461" t="inlineStr">
        <x:is>
          <x:t xml:space="preserve">Security</x:t>
        </x:is>
      </x:c>
      <x:c r="B461" t="inlineStr">
        <x:is>
          <x:t xml:space="preserve">SEC-D9-Q27</x:t>
        </x:is>
      </x:c>
      <x:c r="C461" t="inlineStr">
        <x:is>
          <x:t xml:space="preserve">T3</x:t>
        </x:is>
      </x:c>
      <x:c r="D461" t="inlineStr">
        <x:is>
          <x:t xml:space="preserve">9. Metrics &amp; Continuous Improvement</x:t>
        </x:is>
      </x:c>
      <x:c r="E461" t="inlineStr">
        <x:is>
          <x:t xml:space="preserve">T</x:t>
        </x:is>
      </x:c>
      <x:c r="F461" t="n">
        <x:v>0.5</x:v>
      </x:c>
      <x:c r="G461" t="inlineStr">
        <x:is>
          <x:t xml:space="preserve">E</x:t>
        </x:is>
      </x:c>
      <x:c r="H461" t="n">
        <x:v>0.5</x:v>
      </x:c>
      <x:c r="I461" t="inlineStr">
        <x:is>
          <x:t xml:space="preserve">Is detection quality periodically tested (simulations, controlled tests, red/purple exercises) to reduce blind spots?</x:t>
        </x:is>
      </x:c>
      <x:c r="J461" t="inlineStr">
        <x:is>
          <x:t xml:space="preserve">This can be lightweight: test a few scenarios, verify alerts fire, and verify investigation time is within expectations.</x:t>
        </x:is>
      </x:c>
      <x:c r="L461" t="inlineStr">
        <x:is>
          <x:t xml:space="preserve">OPS_STD</x:t>
        </x:is>
      </x:c>
      <x:c r="M461" t="n">
        <x:v>1.2</x:v>
      </x:c>
      <x:c r="P461" t="inlineStr">
        <x:is>
          <x:t xml:space="preserve">SEC-D9-Q27-A3</x:t>
        </x:is>
      </x:c>
      <x:c r="Q461" t="n">
        <x:v>3</x:v>
      </x:c>
      <x:c r="R461" t="inlineStr">
        <x:is>
          <x:t xml:space="preserve">Yes — scheduled tests exist and results feed improvements.</x:t>
        </x:is>
      </x:c>
      <x:c r="S461" t="n">
        <x:v>3</x:v>
      </x:c>
      <x:c r="U461" t="inlineStr">
        <x:is>
          <x:t xml:space="preserve">Resilience Gap</x:t>
        </x:is>
      </x:c>
      <x:c r="V461" t="inlineStr">
        <x:is>
          <x:t xml:space="preserve">Plan_Assurance</x:t>
        </x:is>
      </x:c>
      <x:c r="W461" t="inlineStr">
        <x:is>
          <x:t xml:space="preserve">Y</x:t>
        </x:is>
      </x:c>
      <x:c r="X461" t="inlineStr">
        <x:is>
          <x:t xml:space="preserve">Last test summary (redacted).</x:t>
        </x:is>
      </x:c>
      <x:c r="Y461">
        <x:f>(S461*IF(E461="G",F461,0))+(S461*IF(G461="G",H461,0))</x:f>
      </x:c>
      <x:c r="Z461">
        <x:f>(S461*IF(E461="E",F461,0))+(S461*IF(G461="E",H461,0))</x:f>
      </x:c>
      <x:c r="AA461">
        <x:f>(S461*IF(E461="T",F461,0))+(S461*IF(G461="T",H461,0))</x:f>
      </x:c>
      <x:c r="AB461">
        <x:f>(S461*IF(E461="L",F461,0))+(S461*IF(G461="L",H461,0))</x:f>
      </x:c>
      <x:c r="AC461">
        <x:f>(S461*IF(E461="H",F461,0))+(S461*IF(G461="H",H461,0))</x:f>
      </x:c>
      <x:c r="AD461">
        <x:f>(S461*IF(E461="V",F461,0))+(S461*IF(G461="V",H461,0))</x:f>
      </x:c>
      <x:c r="AE461">
        <x:f>(S461*IF(E461="R",F461,0))+(S461*IF(G461="R",H461,0))</x:f>
      </x:c>
      <x:c r="AF461">
        <x:f>(S461*IF(E461="F",F461,0))+(S461*IF(G461="F",H461,0))</x:f>
      </x:c>
      <x:c r="AG461">
        <x:f>(S461*IF(E461="W",F461,0))+(S461*IF(G461="W",H461,0))</x:f>
      </x:c>
      <x:c r="AH461" t="inlineStr">
        <x:is>
          <x:t xml:space="preserve">9. Performance &amp; Resilience</x:t>
        </x:is>
      </x:c>
      <x:c r="AI461" t="inlineStr">
        <x:is>
          <x:t xml:space="preserve">Testing &amp; Exercising</x:t>
        </x:is>
      </x:c>
      <x:c r="AJ461" t="inlineStr">
        <x:is>
          <x:t xml:space="preserve">Purple-team / simulation of insider paths</x:t>
        </x:is>
      </x:c>
    </x:row>
    <x:row r="462">
      <x:c r="A462" t="inlineStr">
        <x:is>
          <x:t xml:space="preserve">Security</x:t>
        </x:is>
      </x:c>
      <x:c r="B462" t="inlineStr">
        <x:is>
          <x:t xml:space="preserve">SEC-D9-Q27</x:t>
        </x:is>
      </x:c>
      <x:c r="C462" t="inlineStr">
        <x:is>
          <x:t xml:space="preserve">T3</x:t>
        </x:is>
      </x:c>
      <x:c r="D462" t="inlineStr">
        <x:is>
          <x:t xml:space="preserve">9. Metrics &amp; Continuous Improvement</x:t>
        </x:is>
      </x:c>
      <x:c r="E462" t="inlineStr">
        <x:is>
          <x:t xml:space="preserve">T</x:t>
        </x:is>
      </x:c>
      <x:c r="F462" t="n">
        <x:v>0.5</x:v>
      </x:c>
      <x:c r="G462" t="inlineStr">
        <x:is>
          <x:t xml:space="preserve">E</x:t>
        </x:is>
      </x:c>
      <x:c r="H462" t="n">
        <x:v>0.5</x:v>
      </x:c>
      <x:c r="I462" t="inlineStr">
        <x:is>
          <x:t xml:space="preserve">Is detection quality periodically tested (simulations, controlled tests, red/purple exercises) to reduce blind spots?</x:t>
        </x:is>
      </x:c>
      <x:c r="J462" t="inlineStr">
        <x:is>
          <x:t xml:space="preserve">This can be lightweight: test a few scenarios, verify alerts fire, and verify investigation time is within expectations.</x:t>
        </x:is>
      </x:c>
      <x:c r="L462" t="inlineStr">
        <x:is>
          <x:t xml:space="preserve">OPS_STD</x:t>
        </x:is>
      </x:c>
      <x:c r="M462" t="n">
        <x:v>1.2</x:v>
      </x:c>
      <x:c r="P462" t="inlineStr">
        <x:is>
          <x:t xml:space="preserve">SEC-D9-Q27-A4</x:t>
        </x:is>
      </x:c>
      <x:c r="Q462" t="n">
        <x:v>4</x:v>
      </x:c>
      <x:c r="R462" t="inlineStr">
        <x:is>
          <x:t xml:space="preserve">Optimized: independent/bias‑reduced testing and continuous validation of high‑risk detections.</x:t>
        </x:is>
      </x:c>
      <x:c r="S462" t="n">
        <x:v>4</x:v>
      </x:c>
      <x:c r="U462" t="inlineStr">
        <x:is>
          <x:t xml:space="preserve">Resilience Gap</x:t>
        </x:is>
      </x:c>
      <x:c r="V462" t="inlineStr">
        <x:is>
          <x:t xml:space="preserve">Plan_Assurance</x:t>
        </x:is>
      </x:c>
      <x:c r="W462" t="inlineStr">
        <x:is>
          <x:t xml:space="preserve">Y</x:t>
        </x:is>
      </x:c>
      <x:c r="X462" t="inlineStr">
        <x:is>
          <x:t xml:space="preserve">Test program overview.</x:t>
        </x:is>
      </x:c>
      <x:c r="Y462">
        <x:f>(S462*IF(E462="G",F462,0))+(S462*IF(G462="G",H462,0))</x:f>
      </x:c>
      <x:c r="Z462">
        <x:f>(S462*IF(E462="E",F462,0))+(S462*IF(G462="E",H462,0))</x:f>
      </x:c>
      <x:c r="AA462">
        <x:f>(S462*IF(E462="T",F462,0))+(S462*IF(G462="T",H462,0))</x:f>
      </x:c>
      <x:c r="AB462">
        <x:f>(S462*IF(E462="L",F462,0))+(S462*IF(G462="L",H462,0))</x:f>
      </x:c>
      <x:c r="AC462">
        <x:f>(S462*IF(E462="H",F462,0))+(S462*IF(G462="H",H462,0))</x:f>
      </x:c>
      <x:c r="AD462">
        <x:f>(S462*IF(E462="V",F462,0))+(S462*IF(G462="V",H462,0))</x:f>
      </x:c>
      <x:c r="AE462">
        <x:f>(S462*IF(E462="R",F462,0))+(S462*IF(G462="R",H462,0))</x:f>
      </x:c>
      <x:c r="AF462">
        <x:f>(S462*IF(E462="F",F462,0))+(S462*IF(G462="F",H462,0))</x:f>
      </x:c>
      <x:c r="AG462">
        <x:f>(S462*IF(E462="W",F462,0))+(S462*IF(G462="W",H462,0))</x:f>
      </x:c>
      <x:c r="AH462" t="inlineStr">
        <x:is>
          <x:t xml:space="preserve">9. Performance &amp; Resilience</x:t>
        </x:is>
      </x:c>
      <x:c r="AI462" t="inlineStr">
        <x:is>
          <x:t xml:space="preserve">Testing &amp; Exercising</x:t>
        </x:is>
      </x:c>
      <x:c r="AJ462" t="inlineStr">
        <x:is>
          <x:t xml:space="preserve">Purple-team / simulation of insider paths</x:t>
        </x:is>
      </x:c>
    </x:row>
    <x:row r="463">
      <x:c r="A463" t="inlineStr">
        <x:is>
          <x:t xml:space="preserve">Legal</x:t>
        </x:is>
      </x:c>
      <x:c r="B463" t="inlineStr">
        <x:is>
          <x:t xml:space="preserve">LEG-D1-Q01</x:t>
        </x:is>
      </x:c>
      <x:c r="C463" t="inlineStr">
        <x:is>
          <x:t xml:space="preserve">T1</x:t>
        </x:is>
      </x:c>
      <x:c r="D463" t="inlineStr">
        <x:is>
          <x:t xml:space="preserve">4. Legal &amp; Privacy</x:t>
        </x:is>
      </x:c>
      <x:c r="E463" t="inlineStr">
        <x:is>
          <x:t xml:space="preserve">L</x:t>
        </x:is>
      </x:c>
      <x:c r="F463" t="n">
        <x:v>0.8</x:v>
      </x:c>
      <x:c r="G463" t="inlineStr">
        <x:is>
          <x:t xml:space="preserve">G</x:t>
        </x:is>
      </x:c>
      <x:c r="H463" t="n">
        <x:v>0.2</x:v>
      </x:c>
      <x:c r="I463" t="inlineStr">
        <x:is>
          <x:t xml:space="preserve">Do we have a clear, written basis for monitoring staff activity on company systems (what we monitor, why, and who approves it)?</x:t>
        </x:is>
      </x:c>
      <x:c r="J463" t="inlineStr">
        <x:is>
          <x:t xml:space="preserve">Think: written policy/notice, lawful basis, purpose limits, and a named approval owner (not just ‘we can because IT can’).</x:t>
        </x:is>
      </x:c>
      <x:c r="L463" t="inlineStr">
        <x:is>
          <x:t xml:space="preserve">LEG_STRICT</x:t>
        </x:is>
      </x:c>
      <x:c r="M463" t="n">
        <x:v>1.5</x:v>
      </x:c>
      <x:c r="N463" t="n">
        <x:v>0.5</x:v>
      </x:c>
      <x:c r="P463" t="inlineStr">
        <x:is>
          <x:t xml:space="preserve">LEG-D1-Q01-A0</x:t>
        </x:is>
      </x:c>
      <x:c r="Q463" t="n">
        <x:v>1</x:v>
      </x:c>
      <x:c r="R463" t="inlineStr">
        <x:is>
          <x:t xml:space="preserve">I don’t know / not sure.</x:t>
        </x:is>
      </x:c>
      <x:c r="S463" t="n">
        <x:v>0</x:v>
      </x:c>
      <x:c r="T463" t="inlineStr">
        <x:is>
          <x:t xml:space="preserve">unknown</x:t>
        </x:is>
      </x:c>
      <x:c r="U463" t="inlineStr">
        <x:is>
          <x:t xml:space="preserve">Unknown</x:t>
        </x:is>
      </x:c>
      <x:c r="V463" t="inlineStr">
        <x:is>
          <x:t xml:space="preserve">Clarify_Legal_Owner</x:t>
        </x:is>
      </x:c>
      <x:c r="W463" t="inlineStr">
        <x:is>
          <x:t xml:space="preserve">N</x:t>
        </x:is>
      </x:c>
      <x:c r="Y463">
        <x:f>(S463*IF(E463="G",F463,0))+(S463*IF(G463="G",H463,0))</x:f>
      </x:c>
      <x:c r="Z463">
        <x:f>(S463*IF(E463="E",F463,0))+(S463*IF(G463="E",H463,0))</x:f>
      </x:c>
      <x:c r="AA463">
        <x:f>(S463*IF(E463="T",F463,0))+(S463*IF(G463="T",H463,0))</x:f>
      </x:c>
      <x:c r="AB463">
        <x:f>(S463*IF(E463="L",F463,0))+(S463*IF(G463="L",H463,0))</x:f>
      </x:c>
      <x:c r="AC463">
        <x:f>(S463*IF(E463="H",F463,0))+(S463*IF(G463="H",H463,0))</x:f>
      </x:c>
      <x:c r="AD463">
        <x:f>(S463*IF(E463="V",F463,0))+(S463*IF(G463="V",H463,0))</x:f>
      </x:c>
      <x:c r="AE463">
        <x:f>(S463*IF(E463="R",F463,0))+(S463*IF(G463="R",H463,0))</x:f>
      </x:c>
      <x:c r="AF463">
        <x:f>(S463*IF(E463="F",F463,0))+(S463*IF(G463="F",H463,0))</x:f>
      </x:c>
      <x:c r="AG463">
        <x:f>(S463*IF(E463="W",F463,0))+(S463*IF(G463="W",H463,0))</x:f>
      </x:c>
      <x:c r="AH463" t="inlineStr">
        <x:is>
          <x:t xml:space="preserve">4. Legal, Privacy &amp; Ethics</x:t>
        </x:is>
      </x:c>
      <x:c r="AI463" t="inlineStr">
        <x:is>
          <x:t xml:space="preserve">Oversight &amp; Safeguards</x:t>
        </x:is>
      </x:c>
      <x:c r="AJ463" t="inlineStr">
        <x:is>
          <x:t xml:space="preserve">Monitoring Access Governance</x:t>
        </x:is>
      </x:c>
    </x:row>
    <x:row r="464">
      <x:c r="A464" t="inlineStr">
        <x:is>
          <x:t xml:space="preserve">Legal</x:t>
        </x:is>
      </x:c>
      <x:c r="B464" t="inlineStr">
        <x:is>
          <x:t xml:space="preserve">LEG-D1-Q01</x:t>
        </x:is>
      </x:c>
      <x:c r="C464" t="inlineStr">
        <x:is>
          <x:t xml:space="preserve">T1</x:t>
        </x:is>
      </x:c>
      <x:c r="D464" t="inlineStr">
        <x:is>
          <x:t xml:space="preserve">4. Legal &amp; Privacy</x:t>
        </x:is>
      </x:c>
      <x:c r="E464" t="inlineStr">
        <x:is>
          <x:t xml:space="preserve">L</x:t>
        </x:is>
      </x:c>
      <x:c r="F464" t="n">
        <x:v>0.8</x:v>
      </x:c>
      <x:c r="G464" t="inlineStr">
        <x:is>
          <x:t xml:space="preserve">G</x:t>
        </x:is>
      </x:c>
      <x:c r="H464" t="n">
        <x:v>0.2</x:v>
      </x:c>
      <x:c r="I464" t="inlineStr">
        <x:is>
          <x:t xml:space="preserve">Do we have a clear, written basis for monitoring staff activity on company systems (what we monitor, why, and who approves it)?</x:t>
        </x:is>
      </x:c>
      <x:c r="J464" t="inlineStr">
        <x:is>
          <x:t xml:space="preserve">Think: written policy/notice, lawful basis, purpose limits, and a named approval owner (not just ‘we can because IT can’).</x:t>
        </x:is>
      </x:c>
      <x:c r="L464" t="inlineStr">
        <x:is>
          <x:t xml:space="preserve">LEG_STRICT</x:t>
        </x:is>
      </x:c>
      <x:c r="M464" t="n">
        <x:v>1.5</x:v>
      </x:c>
      <x:c r="N464" t="n">
        <x:v>0.5</x:v>
      </x:c>
      <x:c r="P464" t="inlineStr">
        <x:is>
          <x:t xml:space="preserve">LEG-D1-Q01-A1</x:t>
        </x:is>
      </x:c>
      <x:c r="Q464" t="n">
        <x:v>2</x:v>
      </x:c>
      <x:c r="R464" t="inlineStr">
        <x:is>
          <x:t xml:space="preserve">No: Monitoring happens based on tool capability; no written basis or approvals.</x:t>
        </x:is>
      </x:c>
      <x:c r="S464" t="n">
        <x:v>0</x:v>
      </x:c>
      <x:c r="T464" t="inlineStr">
        <x:is>
          <x:t xml:space="preserve">foundational_gap,legal_exposure,toxic_enforcer_signal</x:t>
        </x:is>
      </x:c>
      <x:c r="U464" t="inlineStr">
        <x:is>
          <x:t xml:space="preserve">Legal Exposure</x:t>
        </x:is>
      </x:c>
      <x:c r="V464" t="inlineStr">
        <x:is>
          <x:t xml:space="preserve">Legal_Foundational_Setup</x:t>
        </x:is>
      </x:c>
      <x:c r="W464" t="inlineStr">
        <x:is>
          <x:t xml:space="preserve">N</x:t>
        </x:is>
      </x:c>
      <x:c r="Y464">
        <x:f>(S464*IF(E464="G",F464,0))+(S464*IF(G464="G",H464,0))</x:f>
      </x:c>
      <x:c r="Z464">
        <x:f>(S464*IF(E464="E",F464,0))+(S464*IF(G464="E",H464,0))</x:f>
      </x:c>
      <x:c r="AA464">
        <x:f>(S464*IF(E464="T",F464,0))+(S464*IF(G464="T",H464,0))</x:f>
      </x:c>
      <x:c r="AB464">
        <x:f>(S464*IF(E464="L",F464,0))+(S464*IF(G464="L",H464,0))</x:f>
      </x:c>
      <x:c r="AC464">
        <x:f>(S464*IF(E464="H",F464,0))+(S464*IF(G464="H",H464,0))</x:f>
      </x:c>
      <x:c r="AD464">
        <x:f>(S464*IF(E464="V",F464,0))+(S464*IF(G464="V",H464,0))</x:f>
      </x:c>
      <x:c r="AE464">
        <x:f>(S464*IF(E464="R",F464,0))+(S464*IF(G464="R",H464,0))</x:f>
      </x:c>
      <x:c r="AF464">
        <x:f>(S464*IF(E464="F",F464,0))+(S464*IF(G464="F",H464,0))</x:f>
      </x:c>
      <x:c r="AG464">
        <x:f>(S464*IF(E464="W",F464,0))+(S464*IF(G464="W",H464,0))</x:f>
      </x:c>
      <x:c r="AH464" t="inlineStr">
        <x:is>
          <x:t xml:space="preserve">4. Legal, Privacy &amp; Ethics</x:t>
        </x:is>
      </x:c>
      <x:c r="AI464" t="inlineStr">
        <x:is>
          <x:t xml:space="preserve">Oversight &amp; Safeguards</x:t>
        </x:is>
      </x:c>
      <x:c r="AJ464" t="inlineStr">
        <x:is>
          <x:t xml:space="preserve">Monitoring Access Governance</x:t>
        </x:is>
      </x:c>
    </x:row>
    <x:row r="465">
      <x:c r="A465" t="inlineStr">
        <x:is>
          <x:t xml:space="preserve">Legal</x:t>
        </x:is>
      </x:c>
      <x:c r="B465" t="inlineStr">
        <x:is>
          <x:t xml:space="preserve">LEG-D1-Q01</x:t>
        </x:is>
      </x:c>
      <x:c r="C465" t="inlineStr">
        <x:is>
          <x:t xml:space="preserve">T1</x:t>
        </x:is>
      </x:c>
      <x:c r="D465" t="inlineStr">
        <x:is>
          <x:t xml:space="preserve">4. Legal &amp; Privacy</x:t>
        </x:is>
      </x:c>
      <x:c r="E465" t="inlineStr">
        <x:is>
          <x:t xml:space="preserve">L</x:t>
        </x:is>
      </x:c>
      <x:c r="F465" t="n">
        <x:v>0.8</x:v>
      </x:c>
      <x:c r="G465" t="inlineStr">
        <x:is>
          <x:t xml:space="preserve">G</x:t>
        </x:is>
      </x:c>
      <x:c r="H465" t="n">
        <x:v>0.2</x:v>
      </x:c>
      <x:c r="I465" t="inlineStr">
        <x:is>
          <x:t xml:space="preserve">Do we have a clear, written basis for monitoring staff activity on company systems (what we monitor, why, and who approves it)?</x:t>
        </x:is>
      </x:c>
      <x:c r="J465" t="inlineStr">
        <x:is>
          <x:t xml:space="preserve">Think: written policy/notice, lawful basis, purpose limits, and a named approval owner (not just ‘we can because IT can’).</x:t>
        </x:is>
      </x:c>
      <x:c r="L465" t="inlineStr">
        <x:is>
          <x:t xml:space="preserve">LEG_STRICT</x:t>
        </x:is>
      </x:c>
      <x:c r="M465" t="n">
        <x:v>1.5</x:v>
      </x:c>
      <x:c r="N465" t="n">
        <x:v>0.5</x:v>
      </x:c>
      <x:c r="P465" t="inlineStr">
        <x:is>
          <x:t xml:space="preserve">LEG-D1-Q01-A2</x:t>
        </x:is>
      </x:c>
      <x:c r="Q465" t="n">
        <x:v>3</x:v>
      </x:c>
      <x:c r="R465" t="inlineStr">
        <x:is>
          <x:t xml:space="preserve">Partial: Some documents exist, but they are outdated, unclear, or not used in practice.</x:t>
        </x:is>
      </x:c>
      <x:c r="S465" t="n">
        <x:v>1</x:v>
      </x:c>
      <x:c r="T465" t="inlineStr">
        <x:is>
          <x:t xml:space="preserve">paper_dragon_signal</x:t>
        </x:is>
      </x:c>
      <x:c r="U465" t="inlineStr">
        <x:is>
          <x:t xml:space="preserve">Paper Dragon</x:t>
        </x:is>
      </x:c>
      <x:c r="V465" t="inlineStr">
        <x:is>
          <x:t xml:space="preserve">Update_Policy_and_Approvals</x:t>
        </x:is>
      </x:c>
      <x:c r="W465" t="inlineStr">
        <x:is>
          <x:t xml:space="preserve">N</x:t>
        </x:is>
      </x:c>
      <x:c r="Y465">
        <x:f>(S465*IF(E465="G",F465,0))+(S465*IF(G465="G",H465,0))</x:f>
      </x:c>
      <x:c r="Z465">
        <x:f>(S465*IF(E465="E",F465,0))+(S465*IF(G465="E",H465,0))</x:f>
      </x:c>
      <x:c r="AA465">
        <x:f>(S465*IF(E465="T",F465,0))+(S465*IF(G465="T",H465,0))</x:f>
      </x:c>
      <x:c r="AB465">
        <x:f>(S465*IF(E465="L",F465,0))+(S465*IF(G465="L",H465,0))</x:f>
      </x:c>
      <x:c r="AC465">
        <x:f>(S465*IF(E465="H",F465,0))+(S465*IF(G465="H",H465,0))</x:f>
      </x:c>
      <x:c r="AD465">
        <x:f>(S465*IF(E465="V",F465,0))+(S465*IF(G465="V",H465,0))</x:f>
      </x:c>
      <x:c r="AE465">
        <x:f>(S465*IF(E465="R",F465,0))+(S465*IF(G465="R",H465,0))</x:f>
      </x:c>
      <x:c r="AF465">
        <x:f>(S465*IF(E465="F",F465,0))+(S465*IF(G465="F",H465,0))</x:f>
      </x:c>
      <x:c r="AG465">
        <x:f>(S465*IF(E465="W",F465,0))+(S465*IF(G465="W",H465,0))</x:f>
      </x:c>
      <x:c r="AH465" t="inlineStr">
        <x:is>
          <x:t xml:space="preserve">4. Legal, Privacy &amp; Ethics</x:t>
        </x:is>
      </x:c>
      <x:c r="AI465" t="inlineStr">
        <x:is>
          <x:t xml:space="preserve">Oversight &amp; Safeguards</x:t>
        </x:is>
      </x:c>
      <x:c r="AJ465" t="inlineStr">
        <x:is>
          <x:t xml:space="preserve">Monitoring Access Governance</x:t>
        </x:is>
      </x:c>
    </x:row>
    <x:row r="466">
      <x:c r="A466" t="inlineStr">
        <x:is>
          <x:t xml:space="preserve">Legal</x:t>
        </x:is>
      </x:c>
      <x:c r="B466" t="inlineStr">
        <x:is>
          <x:t xml:space="preserve">LEG-D1-Q01</x:t>
        </x:is>
      </x:c>
      <x:c r="C466" t="inlineStr">
        <x:is>
          <x:t xml:space="preserve">T1</x:t>
        </x:is>
      </x:c>
      <x:c r="D466" t="inlineStr">
        <x:is>
          <x:t xml:space="preserve">4. Legal &amp; Privacy</x:t>
        </x:is>
      </x:c>
      <x:c r="E466" t="inlineStr">
        <x:is>
          <x:t xml:space="preserve">L</x:t>
        </x:is>
      </x:c>
      <x:c r="F466" t="n">
        <x:v>0.8</x:v>
      </x:c>
      <x:c r="G466" t="inlineStr">
        <x:is>
          <x:t xml:space="preserve">G</x:t>
        </x:is>
      </x:c>
      <x:c r="H466" t="n">
        <x:v>0.2</x:v>
      </x:c>
      <x:c r="I466" t="inlineStr">
        <x:is>
          <x:t xml:space="preserve">Do we have a clear, written basis for monitoring staff activity on company systems (what we monitor, why, and who approves it)?</x:t>
        </x:is>
      </x:c>
      <x:c r="J466" t="inlineStr">
        <x:is>
          <x:t xml:space="preserve">Think: written policy/notice, lawful basis, purpose limits, and a named approval owner (not just ‘we can because IT can’).</x:t>
        </x:is>
      </x:c>
      <x:c r="L466" t="inlineStr">
        <x:is>
          <x:t xml:space="preserve">LEG_STRICT</x:t>
        </x:is>
      </x:c>
      <x:c r="M466" t="n">
        <x:v>1.5</x:v>
      </x:c>
      <x:c r="N466" t="n">
        <x:v>0.5</x:v>
      </x:c>
      <x:c r="P466" t="inlineStr">
        <x:is>
          <x:t xml:space="preserve">LEG-D1-Q01-A3</x:t>
        </x:is>
      </x:c>
      <x:c r="Q466" t="n">
        <x:v>4</x:v>
      </x:c>
      <x:c r="R466" t="inlineStr">
        <x:is>
          <x:t xml:space="preserve">Defined: Written basis and approvals exist and are used for most monitoring actions.</x:t>
        </x:is>
      </x:c>
      <x:c r="S466" t="n">
        <x:v>3</x:v>
      </x:c>
      <x:c r="U466" t="inlineStr">
        <x:is>
          <x:t xml:space="preserve">Operating Model Gap</x:t>
        </x:is>
      </x:c>
      <x:c r="V466" t="inlineStr">
        <x:is>
          <x:t xml:space="preserve">Evidence_Request_Legal</x:t>
        </x:is>
      </x:c>
      <x:c r="W466" t="inlineStr">
        <x:is>
          <x:t xml:space="preserve">N</x:t>
        </x:is>
      </x:c>
      <x:c r="Y466">
        <x:f>(S466*IF(E466="G",F466,0))+(S466*IF(G466="G",H466,0))</x:f>
      </x:c>
      <x:c r="Z466">
        <x:f>(S466*IF(E466="E",F466,0))+(S466*IF(G466="E",H466,0))</x:f>
      </x:c>
      <x:c r="AA466">
        <x:f>(S466*IF(E466="T",F466,0))+(S466*IF(G466="T",H466,0))</x:f>
      </x:c>
      <x:c r="AB466">
        <x:f>(S466*IF(E466="L",F466,0))+(S466*IF(G466="L",H466,0))</x:f>
      </x:c>
      <x:c r="AC466">
        <x:f>(S466*IF(E466="H",F466,0))+(S466*IF(G466="H",H466,0))</x:f>
      </x:c>
      <x:c r="AD466">
        <x:f>(S466*IF(E466="V",F466,0))+(S466*IF(G466="V",H466,0))</x:f>
      </x:c>
      <x:c r="AE466">
        <x:f>(S466*IF(E466="R",F466,0))+(S466*IF(G466="R",H466,0))</x:f>
      </x:c>
      <x:c r="AF466">
        <x:f>(S466*IF(E466="F",F466,0))+(S466*IF(G466="F",H466,0))</x:f>
      </x:c>
      <x:c r="AG466">
        <x:f>(S466*IF(E466="W",F466,0))+(S466*IF(G466="W",H466,0))</x:f>
      </x:c>
      <x:c r="AH466" t="inlineStr">
        <x:is>
          <x:t xml:space="preserve">4. Legal, Privacy &amp; Ethics</x:t>
        </x:is>
      </x:c>
      <x:c r="AI466" t="inlineStr">
        <x:is>
          <x:t xml:space="preserve">Oversight &amp; Safeguards</x:t>
        </x:is>
      </x:c>
      <x:c r="AJ466" t="inlineStr">
        <x:is>
          <x:t xml:space="preserve">Monitoring Access Governance</x:t>
        </x:is>
      </x:c>
    </x:row>
    <x:row r="467">
      <x:c r="A467" t="inlineStr">
        <x:is>
          <x:t xml:space="preserve">Legal</x:t>
        </x:is>
      </x:c>
      <x:c r="B467" t="inlineStr">
        <x:is>
          <x:t xml:space="preserve">LEG-D1-Q01</x:t>
        </x:is>
      </x:c>
      <x:c r="C467" t="inlineStr">
        <x:is>
          <x:t xml:space="preserve">T1</x:t>
        </x:is>
      </x:c>
      <x:c r="D467" t="inlineStr">
        <x:is>
          <x:t xml:space="preserve">4. Legal &amp; Privacy</x:t>
        </x:is>
      </x:c>
      <x:c r="E467" t="inlineStr">
        <x:is>
          <x:t xml:space="preserve">L</x:t>
        </x:is>
      </x:c>
      <x:c r="F467" t="n">
        <x:v>0.8</x:v>
      </x:c>
      <x:c r="G467" t="inlineStr">
        <x:is>
          <x:t xml:space="preserve">G</x:t>
        </x:is>
      </x:c>
      <x:c r="H467" t="n">
        <x:v>0.2</x:v>
      </x:c>
      <x:c r="I467" t="inlineStr">
        <x:is>
          <x:t xml:space="preserve">Do we have a clear, written basis for monitoring staff activity on company systems (what we monitor, why, and who approves it)?</x:t>
        </x:is>
      </x:c>
      <x:c r="J467" t="inlineStr">
        <x:is>
          <x:t xml:space="preserve">Think: written policy/notice, lawful basis, purpose limits, and a named approval owner (not just ‘we can because IT can’).</x:t>
        </x:is>
      </x:c>
      <x:c r="L467" t="inlineStr">
        <x:is>
          <x:t xml:space="preserve">LEG_STRICT</x:t>
        </x:is>
      </x:c>
      <x:c r="M467" t="n">
        <x:v>1.5</x:v>
      </x:c>
      <x:c r="N467" t="n">
        <x:v>0.5</x:v>
      </x:c>
      <x:c r="P467" t="inlineStr">
        <x:is>
          <x:t xml:space="preserve">LEG-D1-Q01-A4</x:t>
        </x:is>
      </x:c>
      <x:c r="Q467" t="n">
        <x:v>5</x:v>
      </x:c>
      <x:c r="R467" t="inlineStr">
        <x:is>
          <x:t xml:space="preserve">Mature: Clearly defined purposes, approvals, and boundaries; reviewed at least annually.</x:t>
        </x:is>
      </x:c>
      <x:c r="S467" t="n">
        <x:v>4</x:v>
      </x:c>
      <x:c r="V467" t="inlineStr">
        <x:is>
          <x:t xml:space="preserve">Maintain_and_Audit</x:t>
        </x:is>
      </x:c>
      <x:c r="W467" t="inlineStr">
        <x:is>
          <x:t xml:space="preserve">N</x:t>
        </x:is>
      </x:c>
      <x:c r="Y467">
        <x:f>(S467*IF(E467="G",F467,0))+(S467*IF(G467="G",H467,0))</x:f>
      </x:c>
      <x:c r="Z467">
        <x:f>(S467*IF(E467="E",F467,0))+(S467*IF(G467="E",H467,0))</x:f>
      </x:c>
      <x:c r="AA467">
        <x:f>(S467*IF(E467="T",F467,0))+(S467*IF(G467="T",H467,0))</x:f>
      </x:c>
      <x:c r="AB467">
        <x:f>(S467*IF(E467="L",F467,0))+(S467*IF(G467="L",H467,0))</x:f>
      </x:c>
      <x:c r="AC467">
        <x:f>(S467*IF(E467="H",F467,0))+(S467*IF(G467="H",H467,0))</x:f>
      </x:c>
      <x:c r="AD467">
        <x:f>(S467*IF(E467="V",F467,0))+(S467*IF(G467="V",H467,0))</x:f>
      </x:c>
      <x:c r="AE467">
        <x:f>(S467*IF(E467="R",F467,0))+(S467*IF(G467="R",H467,0))</x:f>
      </x:c>
      <x:c r="AF467">
        <x:f>(S467*IF(E467="F",F467,0))+(S467*IF(G467="F",H467,0))</x:f>
      </x:c>
      <x:c r="AG467">
        <x:f>(S467*IF(E467="W",F467,0))+(S467*IF(G467="W",H467,0))</x:f>
      </x:c>
      <x:c r="AH467" t="inlineStr">
        <x:is>
          <x:t xml:space="preserve">4. Legal, Privacy &amp; Ethics</x:t>
        </x:is>
      </x:c>
      <x:c r="AI467" t="inlineStr">
        <x:is>
          <x:t xml:space="preserve">Oversight &amp; Safeguards</x:t>
        </x:is>
      </x:c>
      <x:c r="AJ467" t="inlineStr">
        <x:is>
          <x:t xml:space="preserve">Monitoring Access Governance</x:t>
        </x:is>
      </x:c>
    </x:row>
    <x:row r="468">
      <x:c r="A468" t="inlineStr">
        <x:is>
          <x:t xml:space="preserve">Legal</x:t>
        </x:is>
      </x:c>
      <x:c r="B468" t="inlineStr">
        <x:is>
          <x:t xml:space="preserve">LEG-D1-Q02</x:t>
        </x:is>
      </x:c>
      <x:c r="C468" t="inlineStr">
        <x:is>
          <x:t xml:space="preserve">T2</x:t>
        </x:is>
      </x:c>
      <x:c r="D468" t="inlineStr">
        <x:is>
          <x:t xml:space="preserve">4. Legal &amp; Privacy</x:t>
        </x:is>
      </x:c>
      <x:c r="E468" t="inlineStr">
        <x:is>
          <x:t xml:space="preserve">L</x:t>
        </x:is>
      </x:c>
      <x:c r="F468" t="n">
        <x:v>0.5</x:v>
      </x:c>
      <x:c r="G468" t="inlineStr">
        <x:is>
          <x:t xml:space="preserve">H</x:t>
        </x:is>
      </x:c>
      <x:c r="H468" t="n">
        <x:v>0.5</x:v>
      </x:c>
      <x:c r="I468" t="inlineStr">
        <x:is>
          <x:t xml:space="preserve">(Shadow probe) Even without a formal policy, do managers/IT ever “check” email, messages, files, or logs when something feels wrong?</x:t>
        </x:is>
      </x:c>
      <x:c r="J468" t="inlineStr">
        <x:is>
          <x:t xml:space="preserve">This is about real practice. If it happens, the key question is whether it’s controlled and fair.</x:t>
        </x:is>
      </x:c>
      <x:c r="L468" t="inlineStr">
        <x:is>
          <x:t xml:space="preserve">LEG_STRICT</x:t>
        </x:is>
      </x:c>
      <x:c r="M468" t="n">
        <x:v>1</x:v>
      </x:c>
      <x:c r="P468" t="inlineStr">
        <x:is>
          <x:t xml:space="preserve">LEG-D1-Q02-A0</x:t>
        </x:is>
      </x:c>
      <x:c r="Q468" t="n">
        <x:v>1</x:v>
      </x:c>
      <x:c r="R468" t="inlineStr">
        <x:is>
          <x:t xml:space="preserve">No / rarely: We avoid monitoring staff activity unless legally required.</x:t>
        </x:is>
      </x:c>
      <x:c r="S468" t="n">
        <x:v>2</x:v>
      </x:c>
      <x:c r="U468" t="inlineStr">
        <x:is>
          <x:t xml:space="preserve">Unknown</x:t>
        </x:is>
      </x:c>
      <x:c r="W468" t="inlineStr">
        <x:is>
          <x:t xml:space="preserve">N</x:t>
        </x:is>
      </x:c>
      <x:c r="Y468">
        <x:f>(S468*IF(E468="G",F468,0))+(S468*IF(G468="G",H468,0))</x:f>
      </x:c>
      <x:c r="Z468">
        <x:f>(S468*IF(E468="E",F468,0))+(S468*IF(G468="E",H468,0))</x:f>
      </x:c>
      <x:c r="AA468">
        <x:f>(S468*IF(E468="T",F468,0))+(S468*IF(G468="T",H468,0))</x:f>
      </x:c>
      <x:c r="AB468">
        <x:f>(S468*IF(E468="L",F468,0))+(S468*IF(G468="L",H468,0))</x:f>
      </x:c>
      <x:c r="AC468">
        <x:f>(S468*IF(E468="H",F468,0))+(S468*IF(G468="H",H468,0))</x:f>
      </x:c>
      <x:c r="AD468">
        <x:f>(S468*IF(E468="V",F468,0))+(S468*IF(G468="V",H468,0))</x:f>
      </x:c>
      <x:c r="AE468">
        <x:f>(S468*IF(E468="R",F468,0))+(S468*IF(G468="R",H468,0))</x:f>
      </x:c>
      <x:c r="AF468">
        <x:f>(S468*IF(E468="F",F468,0))+(S468*IF(G468="F",H468,0))</x:f>
      </x:c>
      <x:c r="AG468">
        <x:f>(S468*IF(E468="W",F468,0))+(S468*IF(G468="W",H468,0))</x:f>
      </x:c>
      <x:c r="AH468" t="inlineStr">
        <x:is>
          <x:t xml:space="preserve">4. Legal, Privacy &amp; Ethics</x:t>
        </x:is>
      </x:c>
      <x:c r="AI468" t="inlineStr">
        <x:is>
          <x:t xml:space="preserve">Compliance &amp; Policy</x:t>
        </x:is>
      </x:c>
      <x:c r="AJ468" t="inlineStr">
        <x:is>
          <x:t xml:space="preserve">Policy &amp; Standards Suite</x:t>
        </x:is>
      </x:c>
    </x:row>
    <x:row r="469">
      <x:c r="A469" t="inlineStr">
        <x:is>
          <x:t xml:space="preserve">Legal</x:t>
        </x:is>
      </x:c>
      <x:c r="B469" t="inlineStr">
        <x:is>
          <x:t xml:space="preserve">LEG-D1-Q02</x:t>
        </x:is>
      </x:c>
      <x:c r="C469" t="inlineStr">
        <x:is>
          <x:t xml:space="preserve">T2</x:t>
        </x:is>
      </x:c>
      <x:c r="D469" t="inlineStr">
        <x:is>
          <x:t xml:space="preserve">4. Legal &amp; Privacy</x:t>
        </x:is>
      </x:c>
      <x:c r="E469" t="inlineStr">
        <x:is>
          <x:t xml:space="preserve">L</x:t>
        </x:is>
      </x:c>
      <x:c r="F469" t="n">
        <x:v>0.5</x:v>
      </x:c>
      <x:c r="G469" t="inlineStr">
        <x:is>
          <x:t xml:space="preserve">H</x:t>
        </x:is>
      </x:c>
      <x:c r="H469" t="n">
        <x:v>0.5</x:v>
      </x:c>
      <x:c r="I469" t="inlineStr">
        <x:is>
          <x:t xml:space="preserve">(Shadow probe) Even without a formal policy, do managers/IT ever “check” email, messages, files, or logs when something feels wrong?</x:t>
        </x:is>
      </x:c>
      <x:c r="J469" t="inlineStr">
        <x:is>
          <x:t xml:space="preserve">This is about real practice. If it happens, the key question is whether it’s controlled and fair.</x:t>
        </x:is>
      </x:c>
      <x:c r="L469" t="inlineStr">
        <x:is>
          <x:t xml:space="preserve">LEG_STRICT</x:t>
        </x:is>
      </x:c>
      <x:c r="M469" t="n">
        <x:v>1</x:v>
      </x:c>
      <x:c r="P469" t="inlineStr">
        <x:is>
          <x:t xml:space="preserve">LEG-D1-Q02-A1</x:t>
        </x:is>
      </x:c>
      <x:c r="Q469" t="n">
        <x:v>2</x:v>
      </x:c>
      <x:c r="R469" t="inlineStr">
        <x:is>
          <x:t xml:space="preserve">Yes, ad-hoc: People ‘take a look’ informally with no written rules.</x:t>
        </x:is>
      </x:c>
      <x:c r="S469" t="n">
        <x:v>0</x:v>
      </x:c>
      <x:c r="T469" t="inlineStr">
        <x:is>
          <x:t xml:space="preserve">shadow_mature_signal,legal_exposure</x:t>
        </x:is>
      </x:c>
      <x:c r="U469" t="inlineStr">
        <x:is>
          <x:t xml:space="preserve">Legal Exposure</x:t>
        </x:is>
      </x:c>
      <x:c r="V469" t="inlineStr">
        <x:is>
          <x:t xml:space="preserve">Implement_Guardrails</x:t>
        </x:is>
      </x:c>
      <x:c r="W469" t="inlineStr">
        <x:is>
          <x:t xml:space="preserve">N</x:t>
        </x:is>
      </x:c>
      <x:c r="Y469">
        <x:f>(S469*IF(E469="G",F469,0))+(S469*IF(G469="G",H469,0))</x:f>
      </x:c>
      <x:c r="Z469">
        <x:f>(S469*IF(E469="E",F469,0))+(S469*IF(G469="E",H469,0))</x:f>
      </x:c>
      <x:c r="AA469">
        <x:f>(S469*IF(E469="T",F469,0))+(S469*IF(G469="T",H469,0))</x:f>
      </x:c>
      <x:c r="AB469">
        <x:f>(S469*IF(E469="L",F469,0))+(S469*IF(G469="L",H469,0))</x:f>
      </x:c>
      <x:c r="AC469">
        <x:f>(S469*IF(E469="H",F469,0))+(S469*IF(G469="H",H469,0))</x:f>
      </x:c>
      <x:c r="AD469">
        <x:f>(S469*IF(E469="V",F469,0))+(S469*IF(G469="V",H469,0))</x:f>
      </x:c>
      <x:c r="AE469">
        <x:f>(S469*IF(E469="R",F469,0))+(S469*IF(G469="R",H469,0))</x:f>
      </x:c>
      <x:c r="AF469">
        <x:f>(S469*IF(E469="F",F469,0))+(S469*IF(G469="F",H469,0))</x:f>
      </x:c>
      <x:c r="AG469">
        <x:f>(S469*IF(E469="W",F469,0))+(S469*IF(G469="W",H469,0))</x:f>
      </x:c>
      <x:c r="AH469" t="inlineStr">
        <x:is>
          <x:t xml:space="preserve">4. Legal, Privacy &amp; Ethics</x:t>
        </x:is>
      </x:c>
      <x:c r="AI469" t="inlineStr">
        <x:is>
          <x:t xml:space="preserve">Compliance &amp; Policy</x:t>
        </x:is>
      </x:c>
      <x:c r="AJ469" t="inlineStr">
        <x:is>
          <x:t xml:space="preserve">Policy &amp; Standards Suite</x:t>
        </x:is>
      </x:c>
    </x:row>
    <x:row r="470">
      <x:c r="A470" t="inlineStr">
        <x:is>
          <x:t xml:space="preserve">Legal</x:t>
        </x:is>
      </x:c>
      <x:c r="B470" t="inlineStr">
        <x:is>
          <x:t xml:space="preserve">LEG-D1-Q02</x:t>
        </x:is>
      </x:c>
      <x:c r="C470" t="inlineStr">
        <x:is>
          <x:t xml:space="preserve">T2</x:t>
        </x:is>
      </x:c>
      <x:c r="D470" t="inlineStr">
        <x:is>
          <x:t xml:space="preserve">4. Legal &amp; Privacy</x:t>
        </x:is>
      </x:c>
      <x:c r="E470" t="inlineStr">
        <x:is>
          <x:t xml:space="preserve">L</x:t>
        </x:is>
      </x:c>
      <x:c r="F470" t="n">
        <x:v>0.5</x:v>
      </x:c>
      <x:c r="G470" t="inlineStr">
        <x:is>
          <x:t xml:space="preserve">H</x:t>
        </x:is>
      </x:c>
      <x:c r="H470" t="n">
        <x:v>0.5</x:v>
      </x:c>
      <x:c r="I470" t="inlineStr">
        <x:is>
          <x:t xml:space="preserve">(Shadow probe) Even without a formal policy, do managers/IT ever “check” email, messages, files, or logs when something feels wrong?</x:t>
        </x:is>
      </x:c>
      <x:c r="J470" t="inlineStr">
        <x:is>
          <x:t xml:space="preserve">This is about real practice. If it happens, the key question is whether it’s controlled and fair.</x:t>
        </x:is>
      </x:c>
      <x:c r="L470" t="inlineStr">
        <x:is>
          <x:t xml:space="preserve">LEG_STRICT</x:t>
        </x:is>
      </x:c>
      <x:c r="M470" t="n">
        <x:v>1</x:v>
      </x:c>
      <x:c r="P470" t="inlineStr">
        <x:is>
          <x:t xml:space="preserve">LEG-D1-Q02-A2</x:t>
        </x:is>
      </x:c>
      <x:c r="Q470" t="n">
        <x:v>3</x:v>
      </x:c>
      <x:c r="R470" t="inlineStr">
        <x:is>
          <x:t xml:space="preserve">Yes, but controlled: There are informal guardrails (e.g., always involve HR/Legal) even if not fully documented.</x:t>
        </x:is>
      </x:c>
      <x:c r="S470" t="n">
        <x:v>2</x:v>
      </x:c>
      <x:c r="T470" t="inlineStr">
        <x:is>
          <x:t xml:space="preserve">shadow_mature_signal</x:t>
        </x:is>
      </x:c>
      <x:c r="U470" t="inlineStr">
        <x:is>
          <x:t xml:space="preserve">Operating Model Gap</x:t>
        </x:is>
      </x:c>
      <x:c r="V470" t="inlineStr">
        <x:is>
          <x:t xml:space="preserve">Formalize_Practice</x:t>
        </x:is>
      </x:c>
      <x:c r="W470" t="inlineStr">
        <x:is>
          <x:t xml:space="preserve">N</x:t>
        </x:is>
      </x:c>
      <x:c r="Y470">
        <x:f>(S470*IF(E470="G",F470,0))+(S470*IF(G470="G",H470,0))</x:f>
      </x:c>
      <x:c r="Z470">
        <x:f>(S470*IF(E470="E",F470,0))+(S470*IF(G470="E",H470,0))</x:f>
      </x:c>
      <x:c r="AA470">
        <x:f>(S470*IF(E470="T",F470,0))+(S470*IF(G470="T",H470,0))</x:f>
      </x:c>
      <x:c r="AB470">
        <x:f>(S470*IF(E470="L",F470,0))+(S470*IF(G470="L",H470,0))</x:f>
      </x:c>
      <x:c r="AC470">
        <x:f>(S470*IF(E470="H",F470,0))+(S470*IF(G470="H",H470,0))</x:f>
      </x:c>
      <x:c r="AD470">
        <x:f>(S470*IF(E470="V",F470,0))+(S470*IF(G470="V",H470,0))</x:f>
      </x:c>
      <x:c r="AE470">
        <x:f>(S470*IF(E470="R",F470,0))+(S470*IF(G470="R",H470,0))</x:f>
      </x:c>
      <x:c r="AF470">
        <x:f>(S470*IF(E470="F",F470,0))+(S470*IF(G470="F",H470,0))</x:f>
      </x:c>
      <x:c r="AG470">
        <x:f>(S470*IF(E470="W",F470,0))+(S470*IF(G470="W",H470,0))</x:f>
      </x:c>
      <x:c r="AH470" t="inlineStr">
        <x:is>
          <x:t xml:space="preserve">4. Legal, Privacy &amp; Ethics</x:t>
        </x:is>
      </x:c>
      <x:c r="AI470" t="inlineStr">
        <x:is>
          <x:t xml:space="preserve">Compliance &amp; Policy</x:t>
        </x:is>
      </x:c>
      <x:c r="AJ470" t="inlineStr">
        <x:is>
          <x:t xml:space="preserve">Policy &amp; Standards Suite</x:t>
        </x:is>
      </x:c>
    </x:row>
    <x:row r="471">
      <x:c r="A471" t="inlineStr">
        <x:is>
          <x:t xml:space="preserve">Legal</x:t>
        </x:is>
      </x:c>
      <x:c r="B471" t="inlineStr">
        <x:is>
          <x:t xml:space="preserve">LEG-D1-Q02</x:t>
        </x:is>
      </x:c>
      <x:c r="C471" t="inlineStr">
        <x:is>
          <x:t xml:space="preserve">T2</x:t>
        </x:is>
      </x:c>
      <x:c r="D471" t="inlineStr">
        <x:is>
          <x:t xml:space="preserve">4. Legal &amp; Privacy</x:t>
        </x:is>
      </x:c>
      <x:c r="E471" t="inlineStr">
        <x:is>
          <x:t xml:space="preserve">L</x:t>
        </x:is>
      </x:c>
      <x:c r="F471" t="n">
        <x:v>0.5</x:v>
      </x:c>
      <x:c r="G471" t="inlineStr">
        <x:is>
          <x:t xml:space="preserve">H</x:t>
        </x:is>
      </x:c>
      <x:c r="H471" t="n">
        <x:v>0.5</x:v>
      </x:c>
      <x:c r="I471" t="inlineStr">
        <x:is>
          <x:t xml:space="preserve">(Shadow probe) Even without a formal policy, do managers/IT ever “check” email, messages, files, or logs when something feels wrong?</x:t>
        </x:is>
      </x:c>
      <x:c r="J471" t="inlineStr">
        <x:is>
          <x:t xml:space="preserve">This is about real practice. If it happens, the key question is whether it’s controlled and fair.</x:t>
        </x:is>
      </x:c>
      <x:c r="L471" t="inlineStr">
        <x:is>
          <x:t xml:space="preserve">LEG_STRICT</x:t>
        </x:is>
      </x:c>
      <x:c r="M471" t="n">
        <x:v>1</x:v>
      </x:c>
      <x:c r="P471" t="inlineStr">
        <x:is>
          <x:t xml:space="preserve">LEG-D1-Q02-A3</x:t>
        </x:is>
      </x:c>
      <x:c r="Q471" t="n">
        <x:v>4</x:v>
      </x:c>
      <x:c r="R471" t="inlineStr">
        <x:is>
          <x:t xml:space="preserve">Yes, governed: Monitoring checks follow documented criteria and approvals.</x:t>
        </x:is>
      </x:c>
      <x:c r="S471" t="n">
        <x:v>4</x:v>
      </x:c>
      <x:c r="V471" t="inlineStr">
        <x:is>
          <x:t xml:space="preserve">Maintain_and_Audit</x:t>
        </x:is>
      </x:c>
      <x:c r="W471" t="inlineStr">
        <x:is>
          <x:t xml:space="preserve">N</x:t>
        </x:is>
      </x:c>
      <x:c r="Y471">
        <x:f>(S471*IF(E471="G",F471,0))+(S471*IF(G471="G",H471,0))</x:f>
      </x:c>
      <x:c r="Z471">
        <x:f>(S471*IF(E471="E",F471,0))+(S471*IF(G471="E",H471,0))</x:f>
      </x:c>
      <x:c r="AA471">
        <x:f>(S471*IF(E471="T",F471,0))+(S471*IF(G471="T",H471,0))</x:f>
      </x:c>
      <x:c r="AB471">
        <x:f>(S471*IF(E471="L",F471,0))+(S471*IF(G471="L",H471,0))</x:f>
      </x:c>
      <x:c r="AC471">
        <x:f>(S471*IF(E471="H",F471,0))+(S471*IF(G471="H",H471,0))</x:f>
      </x:c>
      <x:c r="AD471">
        <x:f>(S471*IF(E471="V",F471,0))+(S471*IF(G471="V",H471,0))</x:f>
      </x:c>
      <x:c r="AE471">
        <x:f>(S471*IF(E471="R",F471,0))+(S471*IF(G471="R",H471,0))</x:f>
      </x:c>
      <x:c r="AF471">
        <x:f>(S471*IF(E471="F",F471,0))+(S471*IF(G471="F",H471,0))</x:f>
      </x:c>
      <x:c r="AG471">
        <x:f>(S471*IF(E471="W",F471,0))+(S471*IF(G471="W",H471,0))</x:f>
      </x:c>
      <x:c r="AH471" t="inlineStr">
        <x:is>
          <x:t xml:space="preserve">4. Legal, Privacy &amp; Ethics</x:t>
        </x:is>
      </x:c>
      <x:c r="AI471" t="inlineStr">
        <x:is>
          <x:t xml:space="preserve">Compliance &amp; Policy</x:t>
        </x:is>
      </x:c>
      <x:c r="AJ471" t="inlineStr">
        <x:is>
          <x:t xml:space="preserve">Policy &amp; Standards Suite</x:t>
        </x:is>
      </x:c>
    </x:row>
    <x:row r="472">
      <x:c r="A472" t="inlineStr">
        <x:is>
          <x:t xml:space="preserve">Legal</x:t>
        </x:is>
      </x:c>
      <x:c r="B472" t="inlineStr">
        <x:is>
          <x:t xml:space="preserve">LEG-D1-Q03</x:t>
        </x:is>
      </x:c>
      <x:c r="C472" t="inlineStr">
        <x:is>
          <x:t xml:space="preserve">T2</x:t>
        </x:is>
      </x:c>
      <x:c r="D472" t="inlineStr">
        <x:is>
          <x:t xml:space="preserve">4. Legal &amp; Privacy</x:t>
        </x:is>
      </x:c>
      <x:c r="E472" t="inlineStr">
        <x:is>
          <x:t xml:space="preserve">L</x:t>
        </x:is>
      </x:c>
      <x:c r="F472" t="n">
        <x:v>1</x:v>
      </x:c>
      <x:c r="G472" t="inlineStr">
        <x:is>
          <x:t xml:space="preserve">-</x:t>
        </x:is>
      </x:c>
      <x:c r="I472" t="inlineStr">
        <x:is>
          <x:t xml:space="preserve">When monitoring is used, is it designed to be proportionate (least intrusive) and tiered based on risk and access level?</x:t>
        </x:is>
      </x:c>
      <x:c r="J472" t="inlineStr">
        <x:is>
          <x:t xml:space="preserve">Example: higher scrutiny for privileged admins/high-value access; lower for standard staff. Avoid “one-size-fits-all”.</x:t>
        </x:is>
      </x:c>
      <x:c r="L472" t="inlineStr">
        <x:is>
          <x:t xml:space="preserve">LEG_STRICT</x:t>
        </x:is>
      </x:c>
      <x:c r="M472" t="n">
        <x:v>1.3</x:v>
      </x:c>
      <x:c r="N472" t="n">
        <x:v>0.5</x:v>
      </x:c>
      <x:c r="P472" t="inlineStr">
        <x:is>
          <x:t xml:space="preserve">LEG-D1-Q03-A0</x:t>
        </x:is>
      </x:c>
      <x:c r="Q472" t="n">
        <x:v>1</x:v>
      </x:c>
      <x:c r="R472" t="inlineStr">
        <x:is>
          <x:t xml:space="preserve">I don’t know / not sure.</x:t>
        </x:is>
      </x:c>
      <x:c r="S472" t="n">
        <x:v>0</x:v>
      </x:c>
      <x:c r="T472" t="inlineStr">
        <x:is>
          <x:t xml:space="preserve">unknown</x:t>
        </x:is>
      </x:c>
      <x:c r="U472" t="inlineStr">
        <x:is>
          <x:t xml:space="preserve">Unknown</x:t>
        </x:is>
      </x:c>
      <x:c r="V472" t="inlineStr">
        <x:is>
          <x:t xml:space="preserve">Clarify_Monitoring_Design</x:t>
        </x:is>
      </x:c>
      <x:c r="W472" t="inlineStr">
        <x:is>
          <x:t xml:space="preserve">N</x:t>
        </x:is>
      </x:c>
      <x:c r="Y472">
        <x:f>(S472*IF(E472="G",F472,0))+(S472*IF(G472="G",H472,0))</x:f>
      </x:c>
      <x:c r="Z472">
        <x:f>(S472*IF(E472="E",F472,0))+(S472*IF(G472="E",H472,0))</x:f>
      </x:c>
      <x:c r="AA472">
        <x:f>(S472*IF(E472="T",F472,0))+(S472*IF(G472="T",H472,0))</x:f>
      </x:c>
      <x:c r="AB472">
        <x:f>(S472*IF(E472="L",F472,0))+(S472*IF(G472="L",H472,0))</x:f>
      </x:c>
      <x:c r="AC472">
        <x:f>(S472*IF(E472="H",F472,0))+(S472*IF(G472="H",H472,0))</x:f>
      </x:c>
      <x:c r="AD472">
        <x:f>(S472*IF(E472="V",F472,0))+(S472*IF(G472="V",H472,0))</x:f>
      </x:c>
      <x:c r="AE472">
        <x:f>(S472*IF(E472="R",F472,0))+(S472*IF(G472="R",H472,0))</x:f>
      </x:c>
      <x:c r="AF472">
        <x:f>(S472*IF(E472="F",F472,0))+(S472*IF(G472="F",H472,0))</x:f>
      </x:c>
      <x:c r="AG472">
        <x:f>(S472*IF(E472="W",F472,0))+(S472*IF(G472="W",H472,0))</x:f>
      </x:c>
      <x:c r="AH472" t="inlineStr">
        <x:is>
          <x:t xml:space="preserve">3. Risk Management</x:t>
        </x:is>
      </x:c>
      <x:c r="AI472" t="inlineStr">
        <x:is>
          <x:t xml:space="preserve">Inventory &amp; Scope</x:t>
        </x:is>
      </x:c>
      <x:c r="AJ472" t="inlineStr">
        <x:is>
          <x:t xml:space="preserve">Crown jewels/HVA identification</x:t>
        </x:is>
      </x:c>
    </x:row>
    <x:row r="473">
      <x:c r="A473" t="inlineStr">
        <x:is>
          <x:t xml:space="preserve">Legal</x:t>
        </x:is>
      </x:c>
      <x:c r="B473" t="inlineStr">
        <x:is>
          <x:t xml:space="preserve">LEG-D1-Q03</x:t>
        </x:is>
      </x:c>
      <x:c r="C473" t="inlineStr">
        <x:is>
          <x:t xml:space="preserve">T2</x:t>
        </x:is>
      </x:c>
      <x:c r="D473" t="inlineStr">
        <x:is>
          <x:t xml:space="preserve">4. Legal &amp; Privacy</x:t>
        </x:is>
      </x:c>
      <x:c r="E473" t="inlineStr">
        <x:is>
          <x:t xml:space="preserve">L</x:t>
        </x:is>
      </x:c>
      <x:c r="F473" t="n">
        <x:v>1</x:v>
      </x:c>
      <x:c r="G473" t="inlineStr">
        <x:is>
          <x:t xml:space="preserve">-</x:t>
        </x:is>
      </x:c>
      <x:c r="I473" t="inlineStr">
        <x:is>
          <x:t xml:space="preserve">When monitoring is used, is it designed to be proportionate (least intrusive) and tiered based on risk and access level?</x:t>
        </x:is>
      </x:c>
      <x:c r="J473" t="inlineStr">
        <x:is>
          <x:t xml:space="preserve">Example: higher scrutiny for privileged admins/high-value access; lower for standard staff. Avoid “one-size-fits-all”.</x:t>
        </x:is>
      </x:c>
      <x:c r="L473" t="inlineStr">
        <x:is>
          <x:t xml:space="preserve">LEG_STRICT</x:t>
        </x:is>
      </x:c>
      <x:c r="M473" t="n">
        <x:v>1.3</x:v>
      </x:c>
      <x:c r="N473" t="n">
        <x:v>0.5</x:v>
      </x:c>
      <x:c r="P473" t="inlineStr">
        <x:is>
          <x:t xml:space="preserve">LEG-D1-Q03-A1</x:t>
        </x:is>
      </x:c>
      <x:c r="Q473" t="n">
        <x:v>2</x:v>
      </x:c>
      <x:c r="R473" t="inlineStr">
        <x:is>
          <x:t xml:space="preserve">No: Same monitoring for everyone; no risk tiers.</x:t>
        </x:is>
      </x:c>
      <x:c r="S473" t="n">
        <x:v>0</x:v>
      </x:c>
      <x:c r="T473" t="inlineStr">
        <x:is>
          <x:t xml:space="preserve">legal_exposure,toxic_enforcer_signal</x:t>
        </x:is>
      </x:c>
      <x:c r="U473" t="inlineStr">
        <x:is>
          <x:t xml:space="preserve">Legal Exposure</x:t>
        </x:is>
      </x:c>
      <x:c r="V473" t="inlineStr">
        <x:is>
          <x:t xml:space="preserve">Design_Proportionality</x:t>
        </x:is>
      </x:c>
      <x:c r="W473" t="inlineStr">
        <x:is>
          <x:t xml:space="preserve">N</x:t>
        </x:is>
      </x:c>
      <x:c r="Y473">
        <x:f>(S473*IF(E473="G",F473,0))+(S473*IF(G473="G",H473,0))</x:f>
      </x:c>
      <x:c r="Z473">
        <x:f>(S473*IF(E473="E",F473,0))+(S473*IF(G473="E",H473,0))</x:f>
      </x:c>
      <x:c r="AA473">
        <x:f>(S473*IF(E473="T",F473,0))+(S473*IF(G473="T",H473,0))</x:f>
      </x:c>
      <x:c r="AB473">
        <x:f>(S473*IF(E473="L",F473,0))+(S473*IF(G473="L",H473,0))</x:f>
      </x:c>
      <x:c r="AC473">
        <x:f>(S473*IF(E473="H",F473,0))+(S473*IF(G473="H",H473,0))</x:f>
      </x:c>
      <x:c r="AD473">
        <x:f>(S473*IF(E473="V",F473,0))+(S473*IF(G473="V",H473,0))</x:f>
      </x:c>
      <x:c r="AE473">
        <x:f>(S473*IF(E473="R",F473,0))+(S473*IF(G473="R",H473,0))</x:f>
      </x:c>
      <x:c r="AF473">
        <x:f>(S473*IF(E473="F",F473,0))+(S473*IF(G473="F",H473,0))</x:f>
      </x:c>
      <x:c r="AG473">
        <x:f>(S473*IF(E473="W",F473,0))+(S473*IF(G473="W",H473,0))</x:f>
      </x:c>
      <x:c r="AH473" t="inlineStr">
        <x:is>
          <x:t xml:space="preserve">3. Risk Management</x:t>
        </x:is>
      </x:c>
      <x:c r="AI473" t="inlineStr">
        <x:is>
          <x:t xml:space="preserve">Inventory &amp; Scope</x:t>
        </x:is>
      </x:c>
      <x:c r="AJ473" t="inlineStr">
        <x:is>
          <x:t xml:space="preserve">Crown jewels/HVA identification</x:t>
        </x:is>
      </x:c>
    </x:row>
    <x:row r="474">
      <x:c r="A474" t="inlineStr">
        <x:is>
          <x:t xml:space="preserve">Legal</x:t>
        </x:is>
      </x:c>
      <x:c r="B474" t="inlineStr">
        <x:is>
          <x:t xml:space="preserve">LEG-D1-Q03</x:t>
        </x:is>
      </x:c>
      <x:c r="C474" t="inlineStr">
        <x:is>
          <x:t xml:space="preserve">T2</x:t>
        </x:is>
      </x:c>
      <x:c r="D474" t="inlineStr">
        <x:is>
          <x:t xml:space="preserve">4. Legal &amp; Privacy</x:t>
        </x:is>
      </x:c>
      <x:c r="E474" t="inlineStr">
        <x:is>
          <x:t xml:space="preserve">L</x:t>
        </x:is>
      </x:c>
      <x:c r="F474" t="n">
        <x:v>1</x:v>
      </x:c>
      <x:c r="G474" t="inlineStr">
        <x:is>
          <x:t xml:space="preserve">-</x:t>
        </x:is>
      </x:c>
      <x:c r="I474" t="inlineStr">
        <x:is>
          <x:t xml:space="preserve">When monitoring is used, is it designed to be proportionate (least intrusive) and tiered based on risk and access level?</x:t>
        </x:is>
      </x:c>
      <x:c r="J474" t="inlineStr">
        <x:is>
          <x:t xml:space="preserve">Example: higher scrutiny for privileged admins/high-value access; lower for standard staff. Avoid “one-size-fits-all”.</x:t>
        </x:is>
      </x:c>
      <x:c r="L474" t="inlineStr">
        <x:is>
          <x:t xml:space="preserve">LEG_STRICT</x:t>
        </x:is>
      </x:c>
      <x:c r="M474" t="n">
        <x:v>1.3</x:v>
      </x:c>
      <x:c r="N474" t="n">
        <x:v>0.5</x:v>
      </x:c>
      <x:c r="P474" t="inlineStr">
        <x:is>
          <x:t xml:space="preserve">LEG-D1-Q03-A2</x:t>
        </x:is>
      </x:c>
      <x:c r="Q474" t="n">
        <x:v>3</x:v>
      </x:c>
      <x:c r="R474" t="inlineStr">
        <x:is>
          <x:t xml:space="preserve">Mostly ad-hoc: Some leaders apply judgment, but it’s not consistent.</x:t>
        </x:is>
      </x:c>
      <x:c r="S474" t="n">
        <x:v>1</x:v>
      </x:c>
      <x:c r="T474" t="inlineStr">
        <x:is>
          <x:t xml:space="preserve">shadow_mature_signal</x:t>
        </x:is>
      </x:c>
      <x:c r="U474" t="inlineStr">
        <x:is>
          <x:t xml:space="preserve">Operating Model Gap</x:t>
        </x:is>
      </x:c>
      <x:c r="V474" t="inlineStr">
        <x:is>
          <x:t xml:space="preserve">Formalize_Tiering</x:t>
        </x:is>
      </x:c>
      <x:c r="W474" t="inlineStr">
        <x:is>
          <x:t xml:space="preserve">N</x:t>
        </x:is>
      </x:c>
      <x:c r="Y474">
        <x:f>(S474*IF(E474="G",F474,0))+(S474*IF(G474="G",H474,0))</x:f>
      </x:c>
      <x:c r="Z474">
        <x:f>(S474*IF(E474="E",F474,0))+(S474*IF(G474="E",H474,0))</x:f>
      </x:c>
      <x:c r="AA474">
        <x:f>(S474*IF(E474="T",F474,0))+(S474*IF(G474="T",H474,0))</x:f>
      </x:c>
      <x:c r="AB474">
        <x:f>(S474*IF(E474="L",F474,0))+(S474*IF(G474="L",H474,0))</x:f>
      </x:c>
      <x:c r="AC474">
        <x:f>(S474*IF(E474="H",F474,0))+(S474*IF(G474="H",H474,0))</x:f>
      </x:c>
      <x:c r="AD474">
        <x:f>(S474*IF(E474="V",F474,0))+(S474*IF(G474="V",H474,0))</x:f>
      </x:c>
      <x:c r="AE474">
        <x:f>(S474*IF(E474="R",F474,0))+(S474*IF(G474="R",H474,0))</x:f>
      </x:c>
      <x:c r="AF474">
        <x:f>(S474*IF(E474="F",F474,0))+(S474*IF(G474="F",H474,0))</x:f>
      </x:c>
      <x:c r="AG474">
        <x:f>(S474*IF(E474="W",F474,0))+(S474*IF(G474="W",H474,0))</x:f>
      </x:c>
      <x:c r="AH474" t="inlineStr">
        <x:is>
          <x:t xml:space="preserve">3. Risk Management</x:t>
        </x:is>
      </x:c>
      <x:c r="AI474" t="inlineStr">
        <x:is>
          <x:t xml:space="preserve">Inventory &amp; Scope</x:t>
        </x:is>
      </x:c>
      <x:c r="AJ474" t="inlineStr">
        <x:is>
          <x:t xml:space="preserve">Crown jewels/HVA identification</x:t>
        </x:is>
      </x:c>
    </x:row>
    <x:row r="475">
      <x:c r="A475" t="inlineStr">
        <x:is>
          <x:t xml:space="preserve">Legal</x:t>
        </x:is>
      </x:c>
      <x:c r="B475" t="inlineStr">
        <x:is>
          <x:t xml:space="preserve">LEG-D1-Q03</x:t>
        </x:is>
      </x:c>
      <x:c r="C475" t="inlineStr">
        <x:is>
          <x:t xml:space="preserve">T2</x:t>
        </x:is>
      </x:c>
      <x:c r="D475" t="inlineStr">
        <x:is>
          <x:t xml:space="preserve">4. Legal &amp; Privacy</x:t>
        </x:is>
      </x:c>
      <x:c r="E475" t="inlineStr">
        <x:is>
          <x:t xml:space="preserve">L</x:t>
        </x:is>
      </x:c>
      <x:c r="F475" t="n">
        <x:v>1</x:v>
      </x:c>
      <x:c r="G475" t="inlineStr">
        <x:is>
          <x:t xml:space="preserve">-</x:t>
        </x:is>
      </x:c>
      <x:c r="I475" t="inlineStr">
        <x:is>
          <x:t xml:space="preserve">When monitoring is used, is it designed to be proportionate (least intrusive) and tiered based on risk and access level?</x:t>
        </x:is>
      </x:c>
      <x:c r="J475" t="inlineStr">
        <x:is>
          <x:t xml:space="preserve">Example: higher scrutiny for privileged admins/high-value access; lower for standard staff. Avoid “one-size-fits-all”.</x:t>
        </x:is>
      </x:c>
      <x:c r="L475" t="inlineStr">
        <x:is>
          <x:t xml:space="preserve">LEG_STRICT</x:t>
        </x:is>
      </x:c>
      <x:c r="M475" t="n">
        <x:v>1.3</x:v>
      </x:c>
      <x:c r="N475" t="n">
        <x:v>0.5</x:v>
      </x:c>
      <x:c r="P475" t="inlineStr">
        <x:is>
          <x:t xml:space="preserve">LEG-D1-Q03-A3</x:t>
        </x:is>
      </x:c>
      <x:c r="Q475" t="n">
        <x:v>4</x:v>
      </x:c>
      <x:c r="R475" t="inlineStr">
        <x:is>
          <x:t xml:space="preserve">Yes: Risk tiers exist and are applied consistently.</x:t>
        </x:is>
      </x:c>
      <x:c r="S475" t="n">
        <x:v>3</x:v>
      </x:c>
      <x:c r="V475" t="inlineStr">
        <x:is>
          <x:t xml:space="preserve">Evidence_Request_Legal</x:t>
        </x:is>
      </x:c>
      <x:c r="W475" t="inlineStr">
        <x:is>
          <x:t xml:space="preserve">N</x:t>
        </x:is>
      </x:c>
      <x:c r="Y475">
        <x:f>(S475*IF(E475="G",F475,0))+(S475*IF(G475="G",H475,0))</x:f>
      </x:c>
      <x:c r="Z475">
        <x:f>(S475*IF(E475="E",F475,0))+(S475*IF(G475="E",H475,0))</x:f>
      </x:c>
      <x:c r="AA475">
        <x:f>(S475*IF(E475="T",F475,0))+(S475*IF(G475="T",H475,0))</x:f>
      </x:c>
      <x:c r="AB475">
        <x:f>(S475*IF(E475="L",F475,0))+(S475*IF(G475="L",H475,0))</x:f>
      </x:c>
      <x:c r="AC475">
        <x:f>(S475*IF(E475="H",F475,0))+(S475*IF(G475="H",H475,0))</x:f>
      </x:c>
      <x:c r="AD475">
        <x:f>(S475*IF(E475="V",F475,0))+(S475*IF(G475="V",H475,0))</x:f>
      </x:c>
      <x:c r="AE475">
        <x:f>(S475*IF(E475="R",F475,0))+(S475*IF(G475="R",H475,0))</x:f>
      </x:c>
      <x:c r="AF475">
        <x:f>(S475*IF(E475="F",F475,0))+(S475*IF(G475="F",H475,0))</x:f>
      </x:c>
      <x:c r="AG475">
        <x:f>(S475*IF(E475="W",F475,0))+(S475*IF(G475="W",H475,0))</x:f>
      </x:c>
      <x:c r="AH475" t="inlineStr">
        <x:is>
          <x:t xml:space="preserve">3. Risk Management</x:t>
        </x:is>
      </x:c>
      <x:c r="AI475" t="inlineStr">
        <x:is>
          <x:t xml:space="preserve">Inventory &amp; Scope</x:t>
        </x:is>
      </x:c>
      <x:c r="AJ475" t="inlineStr">
        <x:is>
          <x:t xml:space="preserve">Crown jewels/HVA identification</x:t>
        </x:is>
      </x:c>
    </x:row>
    <x:row r="476">
      <x:c r="A476" t="inlineStr">
        <x:is>
          <x:t xml:space="preserve">Legal</x:t>
        </x:is>
      </x:c>
      <x:c r="B476" t="inlineStr">
        <x:is>
          <x:t xml:space="preserve">LEG-D1-Q03</x:t>
        </x:is>
      </x:c>
      <x:c r="C476" t="inlineStr">
        <x:is>
          <x:t xml:space="preserve">T2</x:t>
        </x:is>
      </x:c>
      <x:c r="D476" t="inlineStr">
        <x:is>
          <x:t xml:space="preserve">4. Legal &amp; Privacy</x:t>
        </x:is>
      </x:c>
      <x:c r="E476" t="inlineStr">
        <x:is>
          <x:t xml:space="preserve">L</x:t>
        </x:is>
      </x:c>
      <x:c r="F476" t="n">
        <x:v>1</x:v>
      </x:c>
      <x:c r="G476" t="inlineStr">
        <x:is>
          <x:t xml:space="preserve">-</x:t>
        </x:is>
      </x:c>
      <x:c r="I476" t="inlineStr">
        <x:is>
          <x:t xml:space="preserve">When monitoring is used, is it designed to be proportionate (least intrusive) and tiered based on risk and access level?</x:t>
        </x:is>
      </x:c>
      <x:c r="J476" t="inlineStr">
        <x:is>
          <x:t xml:space="preserve">Example: higher scrutiny for privileged admins/high-value access; lower for standard staff. Avoid “one-size-fits-all”.</x:t>
        </x:is>
      </x:c>
      <x:c r="L476" t="inlineStr">
        <x:is>
          <x:t xml:space="preserve">LEG_STRICT</x:t>
        </x:is>
      </x:c>
      <x:c r="M476" t="n">
        <x:v>1.3</x:v>
      </x:c>
      <x:c r="N476" t="n">
        <x:v>0.5</x:v>
      </x:c>
      <x:c r="P476" t="inlineStr">
        <x:is>
          <x:t xml:space="preserve">LEG-D1-Q03-A4</x:t>
        </x:is>
      </x:c>
      <x:c r="Q476" t="n">
        <x:v>5</x:v>
      </x:c>
      <x:c r="R476" t="inlineStr">
        <x:is>
          <x:t xml:space="preserve">Yes + reviewed: Tiers and criteria are reviewed and updated (e.g., after incidents or org changes).</x:t>
        </x:is>
      </x:c>
      <x:c r="S476" t="n">
        <x:v>4</x:v>
      </x:c>
      <x:c r="V476" t="inlineStr">
        <x:is>
          <x:t xml:space="preserve">Maintain_and_Audit</x:t>
        </x:is>
      </x:c>
      <x:c r="W476" t="inlineStr">
        <x:is>
          <x:t xml:space="preserve">N</x:t>
        </x:is>
      </x:c>
      <x:c r="Y476">
        <x:f>(S476*IF(E476="G",F476,0))+(S476*IF(G476="G",H476,0))</x:f>
      </x:c>
      <x:c r="Z476">
        <x:f>(S476*IF(E476="E",F476,0))+(S476*IF(G476="E",H476,0))</x:f>
      </x:c>
      <x:c r="AA476">
        <x:f>(S476*IF(E476="T",F476,0))+(S476*IF(G476="T",H476,0))</x:f>
      </x:c>
      <x:c r="AB476">
        <x:f>(S476*IF(E476="L",F476,0))+(S476*IF(G476="L",H476,0))</x:f>
      </x:c>
      <x:c r="AC476">
        <x:f>(S476*IF(E476="H",F476,0))+(S476*IF(G476="H",H476,0))</x:f>
      </x:c>
      <x:c r="AD476">
        <x:f>(S476*IF(E476="V",F476,0))+(S476*IF(G476="V",H476,0))</x:f>
      </x:c>
      <x:c r="AE476">
        <x:f>(S476*IF(E476="R",F476,0))+(S476*IF(G476="R",H476,0))</x:f>
      </x:c>
      <x:c r="AF476">
        <x:f>(S476*IF(E476="F",F476,0))+(S476*IF(G476="F",H476,0))</x:f>
      </x:c>
      <x:c r="AG476">
        <x:f>(S476*IF(E476="W",F476,0))+(S476*IF(G476="W",H476,0))</x:f>
      </x:c>
      <x:c r="AH476" t="inlineStr">
        <x:is>
          <x:t xml:space="preserve">3. Risk Management</x:t>
        </x:is>
      </x:c>
      <x:c r="AI476" t="inlineStr">
        <x:is>
          <x:t xml:space="preserve">Inventory &amp; Scope</x:t>
        </x:is>
      </x:c>
      <x:c r="AJ476" t="inlineStr">
        <x:is>
          <x:t xml:space="preserve">Crown jewels/HVA identification</x:t>
        </x:is>
      </x:c>
    </x:row>
    <x:row r="477">
      <x:c r="A477" t="inlineStr">
        <x:is>
          <x:t xml:space="preserve">Legal</x:t>
        </x:is>
      </x:c>
      <x:c r="B477" t="inlineStr">
        <x:is>
          <x:t xml:space="preserve">LEG-D1-Q04</x:t>
        </x:is>
      </x:c>
      <x:c r="C477" t="inlineStr">
        <x:is>
          <x:t xml:space="preserve">T1</x:t>
        </x:is>
      </x:c>
      <x:c r="D477" t="inlineStr">
        <x:is>
          <x:t xml:space="preserve">4. Legal &amp; Privacy</x:t>
        </x:is>
      </x:c>
      <x:c r="E477" t="inlineStr">
        <x:is>
          <x:t xml:space="preserve">L</x:t>
        </x:is>
      </x:c>
      <x:c r="F477" t="n">
        <x:v>0.6</x:v>
      </x:c>
      <x:c r="G477" t="inlineStr">
        <x:is>
          <x:t xml:space="preserve">H</x:t>
        </x:is>
      </x:c>
      <x:c r="H477" t="n">
        <x:v>0.4</x:v>
      </x:c>
      <x:c r="I477" t="inlineStr">
        <x:is>
          <x:t xml:space="preserve">Are employees told in plain language what monitoring exists and how monitoring data may be used (HR, investigations, legal)?</x:t>
        </x:is>
      </x:c>
      <x:c r="J477" t="inlineStr">
        <x:is>
          <x:t xml:space="preserve">Look for simple notices/training, not just legal text buried in contracts.</x:t>
        </x:is>
      </x:c>
      <x:c r="L477" t="inlineStr">
        <x:is>
          <x:t xml:space="preserve">LEG_STRICT</x:t>
        </x:is>
      </x:c>
      <x:c r="M477" t="n">
        <x:v>1.2</x:v>
      </x:c>
      <x:c r="N477" t="n">
        <x:v>0.5</x:v>
      </x:c>
      <x:c r="P477" t="inlineStr">
        <x:is>
          <x:t xml:space="preserve">LEG-D1-Q04-A0</x:t>
        </x:is>
      </x:c>
      <x:c r="Q477" t="n">
        <x:v>1</x:v>
      </x:c>
      <x:c r="R477" t="inlineStr">
        <x:is>
          <x:t xml:space="preserve">I don’t know / not sure.</x:t>
        </x:is>
      </x:c>
      <x:c r="S477" t="n">
        <x:v>0</x:v>
      </x:c>
      <x:c r="T477" t="inlineStr">
        <x:is>
          <x:t xml:space="preserve">unknown</x:t>
        </x:is>
      </x:c>
      <x:c r="U477" t="inlineStr">
        <x:is>
          <x:t xml:space="preserve">Unknown</x:t>
        </x:is>
      </x:c>
      <x:c r="V477" t="inlineStr">
        <x:is>
          <x:t xml:space="preserve">Clarify_Transparency</x:t>
        </x:is>
      </x:c>
      <x:c r="W477" t="inlineStr">
        <x:is>
          <x:t xml:space="preserve">N</x:t>
        </x:is>
      </x:c>
      <x:c r="Y477">
        <x:f>(S477*IF(E477="G",F477,0))+(S477*IF(G477="G",H477,0))</x:f>
      </x:c>
      <x:c r="Z477">
        <x:f>(S477*IF(E477="E",F477,0))+(S477*IF(G477="E",H477,0))</x:f>
      </x:c>
      <x:c r="AA477">
        <x:f>(S477*IF(E477="T",F477,0))+(S477*IF(G477="T",H477,0))</x:f>
      </x:c>
      <x:c r="AB477">
        <x:f>(S477*IF(E477="L",F477,0))+(S477*IF(G477="L",H477,0))</x:f>
      </x:c>
      <x:c r="AC477">
        <x:f>(S477*IF(E477="H",F477,0))+(S477*IF(G477="H",H477,0))</x:f>
      </x:c>
      <x:c r="AD477">
        <x:f>(S477*IF(E477="V",F477,0))+(S477*IF(G477="V",H477,0))</x:f>
      </x:c>
      <x:c r="AE477">
        <x:f>(S477*IF(E477="R",F477,0))+(S477*IF(G477="R",H477,0))</x:f>
      </x:c>
      <x:c r="AF477">
        <x:f>(S477*IF(E477="F",F477,0))+(S477*IF(G477="F",H477,0))</x:f>
      </x:c>
      <x:c r="AG477">
        <x:f>(S477*IF(E477="W",F477,0))+(S477*IF(G477="W",H477,0))</x:f>
      </x:c>
      <x:c r="AH477" t="inlineStr">
        <x:is>
          <x:t xml:space="preserve">8. Investigation &amp; Response</x:t>
        </x:is>
      </x:c>
      <x:c r="AI477" t="inlineStr">
        <x:is>
          <x:t xml:space="preserve">Operational Readiness</x:t>
        </x:is>
      </x:c>
      <x:c r="AJ477" t="inlineStr">
        <x:is>
          <x:t xml:space="preserve">Privacy guardrails for investigations</x:t>
        </x:is>
      </x:c>
    </x:row>
    <x:row r="478">
      <x:c r="A478" t="inlineStr">
        <x:is>
          <x:t xml:space="preserve">Legal</x:t>
        </x:is>
      </x:c>
      <x:c r="B478" t="inlineStr">
        <x:is>
          <x:t xml:space="preserve">LEG-D1-Q04</x:t>
        </x:is>
      </x:c>
      <x:c r="C478" t="inlineStr">
        <x:is>
          <x:t xml:space="preserve">T1</x:t>
        </x:is>
      </x:c>
      <x:c r="D478" t="inlineStr">
        <x:is>
          <x:t xml:space="preserve">4. Legal &amp; Privacy</x:t>
        </x:is>
      </x:c>
      <x:c r="E478" t="inlineStr">
        <x:is>
          <x:t xml:space="preserve">L</x:t>
        </x:is>
      </x:c>
      <x:c r="F478" t="n">
        <x:v>0.6</x:v>
      </x:c>
      <x:c r="G478" t="inlineStr">
        <x:is>
          <x:t xml:space="preserve">H</x:t>
        </x:is>
      </x:c>
      <x:c r="H478" t="n">
        <x:v>0.4</x:v>
      </x:c>
      <x:c r="I478" t="inlineStr">
        <x:is>
          <x:t xml:space="preserve">Are employees told in plain language what monitoring exists and how monitoring data may be used (HR, investigations, legal)?</x:t>
        </x:is>
      </x:c>
      <x:c r="J478" t="inlineStr">
        <x:is>
          <x:t xml:space="preserve">Look for simple notices/training, not just legal text buried in contracts.</x:t>
        </x:is>
      </x:c>
      <x:c r="L478" t="inlineStr">
        <x:is>
          <x:t xml:space="preserve">LEG_STRICT</x:t>
        </x:is>
      </x:c>
      <x:c r="M478" t="n">
        <x:v>1.2</x:v>
      </x:c>
      <x:c r="N478" t="n">
        <x:v>0.5</x:v>
      </x:c>
      <x:c r="P478" t="inlineStr">
        <x:is>
          <x:t xml:space="preserve">LEG-D1-Q04-A1</x:t>
        </x:is>
      </x:c>
      <x:c r="Q478" t="n">
        <x:v>2</x:v>
      </x:c>
      <x:c r="R478" t="inlineStr">
        <x:is>
          <x:t xml:space="preserve">No: Monitoring is secret or only discussed after an incident.</x:t>
        </x:is>
      </x:c>
      <x:c r="S478" t="n">
        <x:v>0</x:v>
      </x:c>
      <x:c r="T478" t="inlineStr">
        <x:is>
          <x:t xml:space="preserve">toxic_enforcer_signal,legal_exposure</x:t>
        </x:is>
      </x:c>
      <x:c r="U478" t="inlineStr">
        <x:is>
          <x:t xml:space="preserve">Legal Exposure</x:t>
        </x:is>
      </x:c>
      <x:c r="V478" t="inlineStr">
        <x:is>
          <x:t xml:space="preserve">Transparency_Plan</x:t>
        </x:is>
      </x:c>
      <x:c r="W478" t="inlineStr">
        <x:is>
          <x:t xml:space="preserve">N</x:t>
        </x:is>
      </x:c>
      <x:c r="Y478">
        <x:f>(S478*IF(E478="G",F478,0))+(S478*IF(G478="G",H478,0))</x:f>
      </x:c>
      <x:c r="Z478">
        <x:f>(S478*IF(E478="E",F478,0))+(S478*IF(G478="E",H478,0))</x:f>
      </x:c>
      <x:c r="AA478">
        <x:f>(S478*IF(E478="T",F478,0))+(S478*IF(G478="T",H478,0))</x:f>
      </x:c>
      <x:c r="AB478">
        <x:f>(S478*IF(E478="L",F478,0))+(S478*IF(G478="L",H478,0))</x:f>
      </x:c>
      <x:c r="AC478">
        <x:f>(S478*IF(E478="H",F478,0))+(S478*IF(G478="H",H478,0))</x:f>
      </x:c>
      <x:c r="AD478">
        <x:f>(S478*IF(E478="V",F478,0))+(S478*IF(G478="V",H478,0))</x:f>
      </x:c>
      <x:c r="AE478">
        <x:f>(S478*IF(E478="R",F478,0))+(S478*IF(G478="R",H478,0))</x:f>
      </x:c>
      <x:c r="AF478">
        <x:f>(S478*IF(E478="F",F478,0))+(S478*IF(G478="F",H478,0))</x:f>
      </x:c>
      <x:c r="AG478">
        <x:f>(S478*IF(E478="W",F478,0))+(S478*IF(G478="W",H478,0))</x:f>
      </x:c>
      <x:c r="AH478" t="inlineStr">
        <x:is>
          <x:t xml:space="preserve">8. Investigation &amp; Response</x:t>
        </x:is>
      </x:c>
      <x:c r="AI478" t="inlineStr">
        <x:is>
          <x:t xml:space="preserve">Operational Readiness</x:t>
        </x:is>
      </x:c>
      <x:c r="AJ478" t="inlineStr">
        <x:is>
          <x:t xml:space="preserve">Privacy guardrails for investigations</x:t>
        </x:is>
      </x:c>
    </x:row>
    <x:row r="479">
      <x:c r="A479" t="inlineStr">
        <x:is>
          <x:t xml:space="preserve">Legal</x:t>
        </x:is>
      </x:c>
      <x:c r="B479" t="inlineStr">
        <x:is>
          <x:t xml:space="preserve">LEG-D1-Q04</x:t>
        </x:is>
      </x:c>
      <x:c r="C479" t="inlineStr">
        <x:is>
          <x:t xml:space="preserve">T1</x:t>
        </x:is>
      </x:c>
      <x:c r="D479" t="inlineStr">
        <x:is>
          <x:t xml:space="preserve">4. Legal &amp; Privacy</x:t>
        </x:is>
      </x:c>
      <x:c r="E479" t="inlineStr">
        <x:is>
          <x:t xml:space="preserve">L</x:t>
        </x:is>
      </x:c>
      <x:c r="F479" t="n">
        <x:v>0.6</x:v>
      </x:c>
      <x:c r="G479" t="inlineStr">
        <x:is>
          <x:t xml:space="preserve">H</x:t>
        </x:is>
      </x:c>
      <x:c r="H479" t="n">
        <x:v>0.4</x:v>
      </x:c>
      <x:c r="I479" t="inlineStr">
        <x:is>
          <x:t xml:space="preserve">Are employees told in plain language what monitoring exists and how monitoring data may be used (HR, investigations, legal)?</x:t>
        </x:is>
      </x:c>
      <x:c r="J479" t="inlineStr">
        <x:is>
          <x:t xml:space="preserve">Look for simple notices/training, not just legal text buried in contracts.</x:t>
        </x:is>
      </x:c>
      <x:c r="L479" t="inlineStr">
        <x:is>
          <x:t xml:space="preserve">LEG_STRICT</x:t>
        </x:is>
      </x:c>
      <x:c r="M479" t="n">
        <x:v>1.2</x:v>
      </x:c>
      <x:c r="N479" t="n">
        <x:v>0.5</x:v>
      </x:c>
      <x:c r="P479" t="inlineStr">
        <x:is>
          <x:t xml:space="preserve">LEG-D1-Q04-A2</x:t>
        </x:is>
      </x:c>
      <x:c r="Q479" t="n">
        <x:v>3</x:v>
      </x:c>
      <x:c r="R479" t="inlineStr">
        <x:is>
          <x:t xml:space="preserve">Minimal: Mentioned in long policies/contracts; most staff don’t understand it.</x:t>
        </x:is>
      </x:c>
      <x:c r="S479" t="n">
        <x:v>1</x:v>
      </x:c>
      <x:c r="T479" t="inlineStr">
        <x:is>
          <x:t xml:space="preserve">paper_dragon_signal</x:t>
        </x:is>
      </x:c>
      <x:c r="U479" t="inlineStr">
        <x:is>
          <x:t xml:space="preserve">Paper Dragon</x:t>
        </x:is>
      </x:c>
      <x:c r="V479" t="inlineStr">
        <x:is>
          <x:t xml:space="preserve">Rewrite_Notice</x:t>
        </x:is>
      </x:c>
      <x:c r="W479" t="inlineStr">
        <x:is>
          <x:t xml:space="preserve">N</x:t>
        </x:is>
      </x:c>
      <x:c r="Y479">
        <x:f>(S479*IF(E479="G",F479,0))+(S479*IF(G479="G",H479,0))</x:f>
      </x:c>
      <x:c r="Z479">
        <x:f>(S479*IF(E479="E",F479,0))+(S479*IF(G479="E",H479,0))</x:f>
      </x:c>
      <x:c r="AA479">
        <x:f>(S479*IF(E479="T",F479,0))+(S479*IF(G479="T",H479,0))</x:f>
      </x:c>
      <x:c r="AB479">
        <x:f>(S479*IF(E479="L",F479,0))+(S479*IF(G479="L",H479,0))</x:f>
      </x:c>
      <x:c r="AC479">
        <x:f>(S479*IF(E479="H",F479,0))+(S479*IF(G479="H",H479,0))</x:f>
      </x:c>
      <x:c r="AD479">
        <x:f>(S479*IF(E479="V",F479,0))+(S479*IF(G479="V",H479,0))</x:f>
      </x:c>
      <x:c r="AE479">
        <x:f>(S479*IF(E479="R",F479,0))+(S479*IF(G479="R",H479,0))</x:f>
      </x:c>
      <x:c r="AF479">
        <x:f>(S479*IF(E479="F",F479,0))+(S479*IF(G479="F",H479,0))</x:f>
      </x:c>
      <x:c r="AG479">
        <x:f>(S479*IF(E479="W",F479,0))+(S479*IF(G479="W",H479,0))</x:f>
      </x:c>
      <x:c r="AH479" t="inlineStr">
        <x:is>
          <x:t xml:space="preserve">8. Investigation &amp; Response</x:t>
        </x:is>
      </x:c>
      <x:c r="AI479" t="inlineStr">
        <x:is>
          <x:t xml:space="preserve">Operational Readiness</x:t>
        </x:is>
      </x:c>
      <x:c r="AJ479" t="inlineStr">
        <x:is>
          <x:t xml:space="preserve">Privacy guardrails for investigations</x:t>
        </x:is>
      </x:c>
    </x:row>
    <x:row r="480">
      <x:c r="A480" t="inlineStr">
        <x:is>
          <x:t xml:space="preserve">Legal</x:t>
        </x:is>
      </x:c>
      <x:c r="B480" t="inlineStr">
        <x:is>
          <x:t xml:space="preserve">LEG-D1-Q04</x:t>
        </x:is>
      </x:c>
      <x:c r="C480" t="inlineStr">
        <x:is>
          <x:t xml:space="preserve">T1</x:t>
        </x:is>
      </x:c>
      <x:c r="D480" t="inlineStr">
        <x:is>
          <x:t xml:space="preserve">4. Legal &amp; Privacy</x:t>
        </x:is>
      </x:c>
      <x:c r="E480" t="inlineStr">
        <x:is>
          <x:t xml:space="preserve">L</x:t>
        </x:is>
      </x:c>
      <x:c r="F480" t="n">
        <x:v>0.6</x:v>
      </x:c>
      <x:c r="G480" t="inlineStr">
        <x:is>
          <x:t xml:space="preserve">H</x:t>
        </x:is>
      </x:c>
      <x:c r="H480" t="n">
        <x:v>0.4</x:v>
      </x:c>
      <x:c r="I480" t="inlineStr">
        <x:is>
          <x:t xml:space="preserve">Are employees told in plain language what monitoring exists and how monitoring data may be used (HR, investigations, legal)?</x:t>
        </x:is>
      </x:c>
      <x:c r="J480" t="inlineStr">
        <x:is>
          <x:t xml:space="preserve">Look for simple notices/training, not just legal text buried in contracts.</x:t>
        </x:is>
      </x:c>
      <x:c r="L480" t="inlineStr">
        <x:is>
          <x:t xml:space="preserve">LEG_STRICT</x:t>
        </x:is>
      </x:c>
      <x:c r="M480" t="n">
        <x:v>1.2</x:v>
      </x:c>
      <x:c r="N480" t="n">
        <x:v>0.5</x:v>
      </x:c>
      <x:c r="P480" t="inlineStr">
        <x:is>
          <x:t xml:space="preserve">LEG-D1-Q04-A3</x:t>
        </x:is>
      </x:c>
      <x:c r="Q480" t="n">
        <x:v>4</x:v>
      </x:c>
      <x:c r="R480" t="inlineStr">
        <x:is>
          <x:t xml:space="preserve">Yes: Clear notice and training cover key points; employees know where to ask questions.</x:t>
        </x:is>
      </x:c>
      <x:c r="S480" t="n">
        <x:v>3</x:v>
      </x:c>
      <x:c r="U480" t="inlineStr">
        <x:is>
          <x:t xml:space="preserve">Culture Risk</x:t>
        </x:is>
      </x:c>
      <x:c r="V480" t="inlineStr">
        <x:is>
          <x:t xml:space="preserve">Evidence_Request_Notice</x:t>
        </x:is>
      </x:c>
      <x:c r="W480" t="inlineStr">
        <x:is>
          <x:t xml:space="preserve">N</x:t>
        </x:is>
      </x:c>
      <x:c r="Y480">
        <x:f>(S480*IF(E480="G",F480,0))+(S480*IF(G480="G",H480,0))</x:f>
      </x:c>
      <x:c r="Z480">
        <x:f>(S480*IF(E480="E",F480,0))+(S480*IF(G480="E",H480,0))</x:f>
      </x:c>
      <x:c r="AA480">
        <x:f>(S480*IF(E480="T",F480,0))+(S480*IF(G480="T",H480,0))</x:f>
      </x:c>
      <x:c r="AB480">
        <x:f>(S480*IF(E480="L",F480,0))+(S480*IF(G480="L",H480,0))</x:f>
      </x:c>
      <x:c r="AC480">
        <x:f>(S480*IF(E480="H",F480,0))+(S480*IF(G480="H",H480,0))</x:f>
      </x:c>
      <x:c r="AD480">
        <x:f>(S480*IF(E480="V",F480,0))+(S480*IF(G480="V",H480,0))</x:f>
      </x:c>
      <x:c r="AE480">
        <x:f>(S480*IF(E480="R",F480,0))+(S480*IF(G480="R",H480,0))</x:f>
      </x:c>
      <x:c r="AF480">
        <x:f>(S480*IF(E480="F",F480,0))+(S480*IF(G480="F",H480,0))</x:f>
      </x:c>
      <x:c r="AG480">
        <x:f>(S480*IF(E480="W",F480,0))+(S480*IF(G480="W",H480,0))</x:f>
      </x:c>
      <x:c r="AH480" t="inlineStr">
        <x:is>
          <x:t xml:space="preserve">8. Investigation &amp; Response</x:t>
        </x:is>
      </x:c>
      <x:c r="AI480" t="inlineStr">
        <x:is>
          <x:t xml:space="preserve">Operational Readiness</x:t>
        </x:is>
      </x:c>
      <x:c r="AJ480" t="inlineStr">
        <x:is>
          <x:t xml:space="preserve">Privacy guardrails for investigations</x:t>
        </x:is>
      </x:c>
    </x:row>
    <x:row r="481">
      <x:c r="A481" t="inlineStr">
        <x:is>
          <x:t xml:space="preserve">Legal</x:t>
        </x:is>
      </x:c>
      <x:c r="B481" t="inlineStr">
        <x:is>
          <x:t xml:space="preserve">LEG-D1-Q04</x:t>
        </x:is>
      </x:c>
      <x:c r="C481" t="inlineStr">
        <x:is>
          <x:t xml:space="preserve">T1</x:t>
        </x:is>
      </x:c>
      <x:c r="D481" t="inlineStr">
        <x:is>
          <x:t xml:space="preserve">4. Legal &amp; Privacy</x:t>
        </x:is>
      </x:c>
      <x:c r="E481" t="inlineStr">
        <x:is>
          <x:t xml:space="preserve">L</x:t>
        </x:is>
      </x:c>
      <x:c r="F481" t="n">
        <x:v>0.6</x:v>
      </x:c>
      <x:c r="G481" t="inlineStr">
        <x:is>
          <x:t xml:space="preserve">H</x:t>
        </x:is>
      </x:c>
      <x:c r="H481" t="n">
        <x:v>0.4</x:v>
      </x:c>
      <x:c r="I481" t="inlineStr">
        <x:is>
          <x:t xml:space="preserve">Are employees told in plain language what monitoring exists and how monitoring data may be used (HR, investigations, legal)?</x:t>
        </x:is>
      </x:c>
      <x:c r="J481" t="inlineStr">
        <x:is>
          <x:t xml:space="preserve">Look for simple notices/training, not just legal text buried in contracts.</x:t>
        </x:is>
      </x:c>
      <x:c r="L481" t="inlineStr">
        <x:is>
          <x:t xml:space="preserve">LEG_STRICT</x:t>
        </x:is>
      </x:c>
      <x:c r="M481" t="n">
        <x:v>1.2</x:v>
      </x:c>
      <x:c r="N481" t="n">
        <x:v>0.5</x:v>
      </x:c>
      <x:c r="P481" t="inlineStr">
        <x:is>
          <x:t xml:space="preserve">LEG-D1-Q04-A4</x:t>
        </x:is>
      </x:c>
      <x:c r="Q481" t="n">
        <x:v>5</x:v>
      </x:c>
      <x:c r="R481" t="inlineStr">
        <x:is>
          <x:t xml:space="preserve">Yes + feedback: We measure understanding and update communications based on questions/complaints.</x:t>
        </x:is>
      </x:c>
      <x:c r="S481" t="n">
        <x:v>4</x:v>
      </x:c>
      <x:c r="V481" t="inlineStr">
        <x:is>
          <x:t xml:space="preserve">Maintain_and_Audit</x:t>
        </x:is>
      </x:c>
      <x:c r="W481" t="inlineStr">
        <x:is>
          <x:t xml:space="preserve">N</x:t>
        </x:is>
      </x:c>
      <x:c r="Y481">
        <x:f>(S481*IF(E481="G",F481,0))+(S481*IF(G481="G",H481,0))</x:f>
      </x:c>
      <x:c r="Z481">
        <x:f>(S481*IF(E481="E",F481,0))+(S481*IF(G481="E",H481,0))</x:f>
      </x:c>
      <x:c r="AA481">
        <x:f>(S481*IF(E481="T",F481,0))+(S481*IF(G481="T",H481,0))</x:f>
      </x:c>
      <x:c r="AB481">
        <x:f>(S481*IF(E481="L",F481,0))+(S481*IF(G481="L",H481,0))</x:f>
      </x:c>
      <x:c r="AC481">
        <x:f>(S481*IF(E481="H",F481,0))+(S481*IF(G481="H",H481,0))</x:f>
      </x:c>
      <x:c r="AD481">
        <x:f>(S481*IF(E481="V",F481,0))+(S481*IF(G481="V",H481,0))</x:f>
      </x:c>
      <x:c r="AE481">
        <x:f>(S481*IF(E481="R",F481,0))+(S481*IF(G481="R",H481,0))</x:f>
      </x:c>
      <x:c r="AF481">
        <x:f>(S481*IF(E481="F",F481,0))+(S481*IF(G481="F",H481,0))</x:f>
      </x:c>
      <x:c r="AG481">
        <x:f>(S481*IF(E481="W",F481,0))+(S481*IF(G481="W",H481,0))</x:f>
      </x:c>
      <x:c r="AH481" t="inlineStr">
        <x:is>
          <x:t xml:space="preserve">8. Investigation &amp; Response</x:t>
        </x:is>
      </x:c>
      <x:c r="AI481" t="inlineStr">
        <x:is>
          <x:t xml:space="preserve">Operational Readiness</x:t>
        </x:is>
      </x:c>
      <x:c r="AJ481" t="inlineStr">
        <x:is>
          <x:t xml:space="preserve">Privacy guardrails for investigations</x:t>
        </x:is>
      </x:c>
    </x:row>
    <x:row r="482">
      <x:c r="A482" t="inlineStr">
        <x:is>
          <x:t xml:space="preserve">Legal</x:t>
        </x:is>
      </x:c>
      <x:c r="B482" t="inlineStr">
        <x:is>
          <x:t xml:space="preserve">LEG-D1-Q05</x:t>
        </x:is>
      </x:c>
      <x:c r="C482" t="inlineStr">
        <x:is>
          <x:t xml:space="preserve">T2</x:t>
        </x:is>
      </x:c>
      <x:c r="D482" t="inlineStr">
        <x:is>
          <x:t xml:space="preserve">4. Legal &amp; Privacy</x:t>
        </x:is>
      </x:c>
      <x:c r="E482" t="inlineStr">
        <x:is>
          <x:t xml:space="preserve">L</x:t>
        </x:is>
      </x:c>
      <x:c r="F482" t="n">
        <x:v>0.5</x:v>
      </x:c>
      <x:c r="G482" t="inlineStr">
        <x:is>
          <x:t xml:space="preserve">H</x:t>
        </x:is>
      </x:c>
      <x:c r="H482" t="n">
        <x:v>0.5</x:v>
      </x:c>
      <x:c r="I482" t="inlineStr">
        <x:is>
          <x:t xml:space="preserve">Where required, do we engage employee representatives/works council before launching or changing monitoring?</x:t>
        </x:is>
      </x:c>
      <x:c r="J482" t="inlineStr">
        <x:is>
          <x:t xml:space="preserve">If you don’t have a works council, answer based on equivalent employee/union engagement expectations in your jurisdictions.</x:t>
        </x:is>
      </x:c>
      <x:c r="L482" t="inlineStr">
        <x:is>
          <x:t xml:space="preserve">LEG_STRICT</x:t>
        </x:is>
      </x:c>
      <x:c r="M482" t="n">
        <x:v>1</x:v>
      </x:c>
      <x:c r="P482" t="inlineStr">
        <x:is>
          <x:t xml:space="preserve">LEG-D1-Q05-A0</x:t>
        </x:is>
      </x:c>
      <x:c r="Q482" t="n">
        <x:v>1</x:v>
      </x:c>
      <x:c r="R482" t="inlineStr">
        <x:is>
          <x:t xml:space="preserve">Not applicable (no reps/requirements in our locations).</x:t>
        </x:is>
      </x:c>
      <x:c r="S482" t="n">
        <x:v>3</x:v>
      </x:c>
      <x:c r="U482" t="inlineStr">
        <x:is>
          <x:t xml:space="preserve">Unknown</x:t>
        </x:is>
      </x:c>
      <x:c r="W482" t="inlineStr">
        <x:is>
          <x:t xml:space="preserve">N</x:t>
        </x:is>
      </x:c>
      <x:c r="Y482">
        <x:f>(S482*IF(E482="G",F482,0))+(S482*IF(G482="G",H482,0))</x:f>
      </x:c>
      <x:c r="Z482">
        <x:f>(S482*IF(E482="E",F482,0))+(S482*IF(G482="E",H482,0))</x:f>
      </x:c>
      <x:c r="AA482">
        <x:f>(S482*IF(E482="T",F482,0))+(S482*IF(G482="T",H482,0))</x:f>
      </x:c>
      <x:c r="AB482">
        <x:f>(S482*IF(E482="L",F482,0))+(S482*IF(G482="L",H482,0))</x:f>
      </x:c>
      <x:c r="AC482">
        <x:f>(S482*IF(E482="H",F482,0))+(S482*IF(G482="H",H482,0))</x:f>
      </x:c>
      <x:c r="AD482">
        <x:f>(S482*IF(E482="V",F482,0))+(S482*IF(G482="V",H482,0))</x:f>
      </x:c>
      <x:c r="AE482">
        <x:f>(S482*IF(E482="R",F482,0))+(S482*IF(G482="R",H482,0))</x:f>
      </x:c>
      <x:c r="AF482">
        <x:f>(S482*IF(E482="F",F482,0))+(S482*IF(G482="F",H482,0))</x:f>
      </x:c>
      <x:c r="AG482">
        <x:f>(S482*IF(E482="W",F482,0))+(S482*IF(G482="W",H482,0))</x:f>
      </x:c>
      <x:c r="AH482" t="inlineStr">
        <x:is>
          <x:t xml:space="preserve">4. Legal, Privacy &amp; Ethics</x:t>
        </x:is>
      </x:c>
      <x:c r="AI482" t="inlineStr">
        <x:is>
          <x:t xml:space="preserve">Compliance &amp; Policy</x:t>
        </x:is>
      </x:c>
      <x:c r="AJ482" t="inlineStr">
        <x:is>
          <x:t xml:space="preserve">Works Council / Labor Alignment</x:t>
        </x:is>
      </x:c>
    </x:row>
    <x:row r="483">
      <x:c r="A483" t="inlineStr">
        <x:is>
          <x:t xml:space="preserve">Legal</x:t>
        </x:is>
      </x:c>
      <x:c r="B483" t="inlineStr">
        <x:is>
          <x:t xml:space="preserve">LEG-D1-Q05</x:t>
        </x:is>
      </x:c>
      <x:c r="C483" t="inlineStr">
        <x:is>
          <x:t xml:space="preserve">T2</x:t>
        </x:is>
      </x:c>
      <x:c r="D483" t="inlineStr">
        <x:is>
          <x:t xml:space="preserve">4. Legal &amp; Privacy</x:t>
        </x:is>
      </x:c>
      <x:c r="E483" t="inlineStr">
        <x:is>
          <x:t xml:space="preserve">L</x:t>
        </x:is>
      </x:c>
      <x:c r="F483" t="n">
        <x:v>0.5</x:v>
      </x:c>
      <x:c r="G483" t="inlineStr">
        <x:is>
          <x:t xml:space="preserve">H</x:t>
        </x:is>
      </x:c>
      <x:c r="H483" t="n">
        <x:v>0.5</x:v>
      </x:c>
      <x:c r="I483" t="inlineStr">
        <x:is>
          <x:t xml:space="preserve">Where required, do we engage employee representatives/works council before launching or changing monitoring?</x:t>
        </x:is>
      </x:c>
      <x:c r="J483" t="inlineStr">
        <x:is>
          <x:t xml:space="preserve">If you don’t have a works council, answer based on equivalent employee/union engagement expectations in your jurisdictions.</x:t>
        </x:is>
      </x:c>
      <x:c r="L483" t="inlineStr">
        <x:is>
          <x:t xml:space="preserve">LEG_STRICT</x:t>
        </x:is>
      </x:c>
      <x:c r="M483" t="n">
        <x:v>1</x:v>
      </x:c>
      <x:c r="P483" t="inlineStr">
        <x:is>
          <x:t xml:space="preserve">LEG-D1-Q05-A1</x:t>
        </x:is>
      </x:c>
      <x:c r="Q483" t="n">
        <x:v>2</x:v>
      </x:c>
      <x:c r="R483" t="inlineStr">
        <x:is>
          <x:t xml:space="preserve">No: We roll out monitoring first and handle concerns later.</x:t>
        </x:is>
      </x:c>
      <x:c r="S483" t="n">
        <x:v>0</x:v>
      </x:c>
      <x:c r="T483" t="inlineStr">
        <x:is>
          <x:t xml:space="preserve">legal_exposure</x:t>
        </x:is>
      </x:c>
      <x:c r="U483" t="inlineStr">
        <x:is>
          <x:t xml:space="preserve">Legal Exposure</x:t>
        </x:is>
      </x:c>
      <x:c r="V483" t="inlineStr">
        <x:is>
          <x:t xml:space="preserve">Engage_Reps</x:t>
        </x:is>
      </x:c>
      <x:c r="W483" t="inlineStr">
        <x:is>
          <x:t xml:space="preserve">N</x:t>
        </x:is>
      </x:c>
      <x:c r="Y483">
        <x:f>(S483*IF(E483="G",F483,0))+(S483*IF(G483="G",H483,0))</x:f>
      </x:c>
      <x:c r="Z483">
        <x:f>(S483*IF(E483="E",F483,0))+(S483*IF(G483="E",H483,0))</x:f>
      </x:c>
      <x:c r="AA483">
        <x:f>(S483*IF(E483="T",F483,0))+(S483*IF(G483="T",H483,0))</x:f>
      </x:c>
      <x:c r="AB483">
        <x:f>(S483*IF(E483="L",F483,0))+(S483*IF(G483="L",H483,0))</x:f>
      </x:c>
      <x:c r="AC483">
        <x:f>(S483*IF(E483="H",F483,0))+(S483*IF(G483="H",H483,0))</x:f>
      </x:c>
      <x:c r="AD483">
        <x:f>(S483*IF(E483="V",F483,0))+(S483*IF(G483="V",H483,0))</x:f>
      </x:c>
      <x:c r="AE483">
        <x:f>(S483*IF(E483="R",F483,0))+(S483*IF(G483="R",H483,0))</x:f>
      </x:c>
      <x:c r="AF483">
        <x:f>(S483*IF(E483="F",F483,0))+(S483*IF(G483="F",H483,0))</x:f>
      </x:c>
      <x:c r="AG483">
        <x:f>(S483*IF(E483="W",F483,0))+(S483*IF(G483="W",H483,0))</x:f>
      </x:c>
      <x:c r="AH483" t="inlineStr">
        <x:is>
          <x:t xml:space="preserve">4. Legal, Privacy &amp; Ethics</x:t>
        </x:is>
      </x:c>
      <x:c r="AI483" t="inlineStr">
        <x:is>
          <x:t xml:space="preserve">Compliance &amp; Policy</x:t>
        </x:is>
      </x:c>
      <x:c r="AJ483" t="inlineStr">
        <x:is>
          <x:t xml:space="preserve">Works Council / Labor Alignment</x:t>
        </x:is>
      </x:c>
    </x:row>
    <x:row r="484">
      <x:c r="A484" t="inlineStr">
        <x:is>
          <x:t xml:space="preserve">Legal</x:t>
        </x:is>
      </x:c>
      <x:c r="B484" t="inlineStr">
        <x:is>
          <x:t xml:space="preserve">LEG-D1-Q05</x:t>
        </x:is>
      </x:c>
      <x:c r="C484" t="inlineStr">
        <x:is>
          <x:t xml:space="preserve">T2</x:t>
        </x:is>
      </x:c>
      <x:c r="D484" t="inlineStr">
        <x:is>
          <x:t xml:space="preserve">4. Legal &amp; Privacy</x:t>
        </x:is>
      </x:c>
      <x:c r="E484" t="inlineStr">
        <x:is>
          <x:t xml:space="preserve">L</x:t>
        </x:is>
      </x:c>
      <x:c r="F484" t="n">
        <x:v>0.5</x:v>
      </x:c>
      <x:c r="G484" t="inlineStr">
        <x:is>
          <x:t xml:space="preserve">H</x:t>
        </x:is>
      </x:c>
      <x:c r="H484" t="n">
        <x:v>0.5</x:v>
      </x:c>
      <x:c r="I484" t="inlineStr">
        <x:is>
          <x:t xml:space="preserve">Where required, do we engage employee representatives/works council before launching or changing monitoring?</x:t>
        </x:is>
      </x:c>
      <x:c r="J484" t="inlineStr">
        <x:is>
          <x:t xml:space="preserve">If you don’t have a works council, answer based on equivalent employee/union engagement expectations in your jurisdictions.</x:t>
        </x:is>
      </x:c>
      <x:c r="L484" t="inlineStr">
        <x:is>
          <x:t xml:space="preserve">LEG_STRICT</x:t>
        </x:is>
      </x:c>
      <x:c r="M484" t="n">
        <x:v>1</x:v>
      </x:c>
      <x:c r="P484" t="inlineStr">
        <x:is>
          <x:t xml:space="preserve">LEG-D1-Q05-A2</x:t>
        </x:is>
      </x:c>
      <x:c r="Q484" t="n">
        <x:v>3</x:v>
      </x:c>
      <x:c r="R484" t="inlineStr">
        <x:is>
          <x:t xml:space="preserve">Sometimes: Engagement depends on project lead; not predictable.</x:t>
        </x:is>
      </x:c>
      <x:c r="S484" t="n">
        <x:v>1</x:v>
      </x:c>
      <x:c r="T484" t="inlineStr">
        <x:is>
          <x:t xml:space="preserve">operating_model_gap</x:t>
        </x:is>
      </x:c>
      <x:c r="U484" t="inlineStr">
        <x:is>
          <x:t xml:space="preserve">Operating Model Gap</x:t>
        </x:is>
      </x:c>
      <x:c r="V484" t="inlineStr">
        <x:is>
          <x:t xml:space="preserve">Standardize_Engagement</x:t>
        </x:is>
      </x:c>
      <x:c r="W484" t="inlineStr">
        <x:is>
          <x:t xml:space="preserve">N</x:t>
        </x:is>
      </x:c>
      <x:c r="Y484">
        <x:f>(S484*IF(E484="G",F484,0))+(S484*IF(G484="G",H484,0))</x:f>
      </x:c>
      <x:c r="Z484">
        <x:f>(S484*IF(E484="E",F484,0))+(S484*IF(G484="E",H484,0))</x:f>
      </x:c>
      <x:c r="AA484">
        <x:f>(S484*IF(E484="T",F484,0))+(S484*IF(G484="T",H484,0))</x:f>
      </x:c>
      <x:c r="AB484">
        <x:f>(S484*IF(E484="L",F484,0))+(S484*IF(G484="L",H484,0))</x:f>
      </x:c>
      <x:c r="AC484">
        <x:f>(S484*IF(E484="H",F484,0))+(S484*IF(G484="H",H484,0))</x:f>
      </x:c>
      <x:c r="AD484">
        <x:f>(S484*IF(E484="V",F484,0))+(S484*IF(G484="V",H484,0))</x:f>
      </x:c>
      <x:c r="AE484">
        <x:f>(S484*IF(E484="R",F484,0))+(S484*IF(G484="R",H484,0))</x:f>
      </x:c>
      <x:c r="AF484">
        <x:f>(S484*IF(E484="F",F484,0))+(S484*IF(G484="F",H484,0))</x:f>
      </x:c>
      <x:c r="AG484">
        <x:f>(S484*IF(E484="W",F484,0))+(S484*IF(G484="W",H484,0))</x:f>
      </x:c>
      <x:c r="AH484" t="inlineStr">
        <x:is>
          <x:t xml:space="preserve">4. Legal, Privacy &amp; Ethics</x:t>
        </x:is>
      </x:c>
      <x:c r="AI484" t="inlineStr">
        <x:is>
          <x:t xml:space="preserve">Compliance &amp; Policy</x:t>
        </x:is>
      </x:c>
      <x:c r="AJ484" t="inlineStr">
        <x:is>
          <x:t xml:space="preserve">Works Council / Labor Alignment</x:t>
        </x:is>
      </x:c>
    </x:row>
    <x:row r="485">
      <x:c r="A485" t="inlineStr">
        <x:is>
          <x:t xml:space="preserve">Legal</x:t>
        </x:is>
      </x:c>
      <x:c r="B485" t="inlineStr">
        <x:is>
          <x:t xml:space="preserve">LEG-D1-Q05</x:t>
        </x:is>
      </x:c>
      <x:c r="C485" t="inlineStr">
        <x:is>
          <x:t xml:space="preserve">T2</x:t>
        </x:is>
      </x:c>
      <x:c r="D485" t="inlineStr">
        <x:is>
          <x:t xml:space="preserve">4. Legal &amp; Privacy</x:t>
        </x:is>
      </x:c>
      <x:c r="E485" t="inlineStr">
        <x:is>
          <x:t xml:space="preserve">L</x:t>
        </x:is>
      </x:c>
      <x:c r="F485" t="n">
        <x:v>0.5</x:v>
      </x:c>
      <x:c r="G485" t="inlineStr">
        <x:is>
          <x:t xml:space="preserve">H</x:t>
        </x:is>
      </x:c>
      <x:c r="H485" t="n">
        <x:v>0.5</x:v>
      </x:c>
      <x:c r="I485" t="inlineStr">
        <x:is>
          <x:t xml:space="preserve">Where required, do we engage employee representatives/works council before launching or changing monitoring?</x:t>
        </x:is>
      </x:c>
      <x:c r="J485" t="inlineStr">
        <x:is>
          <x:t xml:space="preserve">If you don’t have a works council, answer based on equivalent employee/union engagement expectations in your jurisdictions.</x:t>
        </x:is>
      </x:c>
      <x:c r="L485" t="inlineStr">
        <x:is>
          <x:t xml:space="preserve">LEG_STRICT</x:t>
        </x:is>
      </x:c>
      <x:c r="M485" t="n">
        <x:v>1</x:v>
      </x:c>
      <x:c r="P485" t="inlineStr">
        <x:is>
          <x:t xml:space="preserve">LEG-D1-Q05-A3</x:t>
        </x:is>
      </x:c>
      <x:c r="Q485" t="n">
        <x:v>4</x:v>
      </x:c>
      <x:c r="R485" t="inlineStr">
        <x:is>
          <x:t xml:space="preserve">Yes: Engagement is built into change governance and documented.</x:t>
        </x:is>
      </x:c>
      <x:c r="S485" t="n">
        <x:v>4</x:v>
      </x:c>
      <x:c r="V485" t="inlineStr">
        <x:is>
          <x:t xml:space="preserve">Maintain_and_Audit</x:t>
        </x:is>
      </x:c>
      <x:c r="W485" t="inlineStr">
        <x:is>
          <x:t xml:space="preserve">N</x:t>
        </x:is>
      </x:c>
      <x:c r="Y485">
        <x:f>(S485*IF(E485="G",F485,0))+(S485*IF(G485="G",H485,0))</x:f>
      </x:c>
      <x:c r="Z485">
        <x:f>(S485*IF(E485="E",F485,0))+(S485*IF(G485="E",H485,0))</x:f>
      </x:c>
      <x:c r="AA485">
        <x:f>(S485*IF(E485="T",F485,0))+(S485*IF(G485="T",H485,0))</x:f>
      </x:c>
      <x:c r="AB485">
        <x:f>(S485*IF(E485="L",F485,0))+(S485*IF(G485="L",H485,0))</x:f>
      </x:c>
      <x:c r="AC485">
        <x:f>(S485*IF(E485="H",F485,0))+(S485*IF(G485="H",H485,0))</x:f>
      </x:c>
      <x:c r="AD485">
        <x:f>(S485*IF(E485="V",F485,0))+(S485*IF(G485="V",H485,0))</x:f>
      </x:c>
      <x:c r="AE485">
        <x:f>(S485*IF(E485="R",F485,0))+(S485*IF(G485="R",H485,0))</x:f>
      </x:c>
      <x:c r="AF485">
        <x:f>(S485*IF(E485="F",F485,0))+(S485*IF(G485="F",H485,0))</x:f>
      </x:c>
      <x:c r="AG485">
        <x:f>(S485*IF(E485="W",F485,0))+(S485*IF(G485="W",H485,0))</x:f>
      </x:c>
      <x:c r="AH485" t="inlineStr">
        <x:is>
          <x:t xml:space="preserve">4. Legal, Privacy &amp; Ethics</x:t>
        </x:is>
      </x:c>
      <x:c r="AI485" t="inlineStr">
        <x:is>
          <x:t xml:space="preserve">Compliance &amp; Policy</x:t>
        </x:is>
      </x:c>
      <x:c r="AJ485" t="inlineStr">
        <x:is>
          <x:t xml:space="preserve">Works Council / Labor Alignment</x:t>
        </x:is>
      </x:c>
    </x:row>
    <x:row r="486">
      <x:c r="A486" t="inlineStr">
        <x:is>
          <x:t xml:space="preserve">Legal</x:t>
        </x:is>
      </x:c>
      <x:c r="B486" t="inlineStr">
        <x:is>
          <x:t xml:space="preserve">LEG-D1-Q06</x:t>
        </x:is>
      </x:c>
      <x:c r="C486" t="inlineStr">
        <x:is>
          <x:t xml:space="preserve">T2</x:t>
        </x:is>
      </x:c>
      <x:c r="D486" t="inlineStr">
        <x:is>
          <x:t xml:space="preserve">4. Legal &amp; Privacy</x:t>
        </x:is>
      </x:c>
      <x:c r="E486" t="inlineStr">
        <x:is>
          <x:t xml:space="preserve">L</x:t>
        </x:is>
      </x:c>
      <x:c r="F486" t="n">
        <x:v>1</x:v>
      </x:c>
      <x:c r="G486" t="inlineStr">
        <x:is>
          <x:t xml:space="preserve">-</x:t>
        </x:is>
      </x:c>
      <x:c r="I486" t="inlineStr">
        <x:is>
          <x:t xml:space="preserve">Do we perform a privacy/impact assessment (e.g., DPIA/LIA) for employee monitoring and keep it updated?</x:t>
        </x:is>
      </x:c>
      <x:c r="J486" t="inlineStr">
        <x:is>
          <x:t xml:space="preserve">If you’re not in GDPR regions, think equivalent: documented assessment of necessity, proportionality, and safeguards.</x:t>
        </x:is>
      </x:c>
      <x:c r="L486" t="inlineStr">
        <x:is>
          <x:t xml:space="preserve">LEG_STRICT</x:t>
        </x:is>
      </x:c>
      <x:c r="M486" t="n">
        <x:v>1.2</x:v>
      </x:c>
      <x:c r="N486" t="n">
        <x:v>0.5</x:v>
      </x:c>
      <x:c r="P486" t="inlineStr">
        <x:is>
          <x:t xml:space="preserve">LEG-D1-Q06-A0</x:t>
        </x:is>
      </x:c>
      <x:c r="Q486" t="n">
        <x:v>1</x:v>
      </x:c>
      <x:c r="R486" t="inlineStr">
        <x:is>
          <x:t xml:space="preserve">I don’t know / not sure.</x:t>
        </x:is>
      </x:c>
      <x:c r="S486" t="n">
        <x:v>0</x:v>
      </x:c>
      <x:c r="T486" t="inlineStr">
        <x:is>
          <x:t xml:space="preserve">unknown</x:t>
        </x:is>
      </x:c>
      <x:c r="U486" t="inlineStr">
        <x:is>
          <x:t xml:space="preserve">Unknown</x:t>
        </x:is>
      </x:c>
      <x:c r="V486" t="inlineStr">
        <x:is>
          <x:t xml:space="preserve">Clarify_DPIA</x:t>
        </x:is>
      </x:c>
      <x:c r="W486" t="inlineStr">
        <x:is>
          <x:t xml:space="preserve">N</x:t>
        </x:is>
      </x:c>
      <x:c r="Y486">
        <x:f>(S486*IF(E486="G",F486,0))+(S486*IF(G486="G",H486,0))</x:f>
      </x:c>
      <x:c r="Z486">
        <x:f>(S486*IF(E486="E",F486,0))+(S486*IF(G486="E",H486,0))</x:f>
      </x:c>
      <x:c r="AA486">
        <x:f>(S486*IF(E486="T",F486,0))+(S486*IF(G486="T",H486,0))</x:f>
      </x:c>
      <x:c r="AB486">
        <x:f>(S486*IF(E486="L",F486,0))+(S486*IF(G486="L",H486,0))</x:f>
      </x:c>
      <x:c r="AC486">
        <x:f>(S486*IF(E486="H",F486,0))+(S486*IF(G486="H",H486,0))</x:f>
      </x:c>
      <x:c r="AD486">
        <x:f>(S486*IF(E486="V",F486,0))+(S486*IF(G486="V",H486,0))</x:f>
      </x:c>
      <x:c r="AE486">
        <x:f>(S486*IF(E486="R",F486,0))+(S486*IF(G486="R",H486,0))</x:f>
      </x:c>
      <x:c r="AF486">
        <x:f>(S486*IF(E486="F",F486,0))+(S486*IF(G486="F",H486,0))</x:f>
      </x:c>
      <x:c r="AG486">
        <x:f>(S486*IF(E486="W",F486,0))+(S486*IF(G486="W",H486,0))</x:f>
      </x:c>
      <x:c r="AH486" t="inlineStr">
        <x:is>
          <x:t xml:space="preserve">4. Legal, Privacy &amp; Ethics</x:t>
        </x:is>
      </x:c>
      <x:c r="AI486" t="inlineStr">
        <x:is>
          <x:t xml:space="preserve">Privacy Engineering</x:t>
        </x:is>
      </x:c>
      <x:c r="AJ486" t="inlineStr">
        <x:is>
          <x:t xml:space="preserve">DPIA/PIA per Use-Case</x:t>
        </x:is>
      </x:c>
    </x:row>
    <x:row r="487">
      <x:c r="A487" t="inlineStr">
        <x:is>
          <x:t xml:space="preserve">Legal</x:t>
        </x:is>
      </x:c>
      <x:c r="B487" t="inlineStr">
        <x:is>
          <x:t xml:space="preserve">LEG-D1-Q06</x:t>
        </x:is>
      </x:c>
      <x:c r="C487" t="inlineStr">
        <x:is>
          <x:t xml:space="preserve">T2</x:t>
        </x:is>
      </x:c>
      <x:c r="D487" t="inlineStr">
        <x:is>
          <x:t xml:space="preserve">4. Legal &amp; Privacy</x:t>
        </x:is>
      </x:c>
      <x:c r="E487" t="inlineStr">
        <x:is>
          <x:t xml:space="preserve">L</x:t>
        </x:is>
      </x:c>
      <x:c r="F487" t="n">
        <x:v>1</x:v>
      </x:c>
      <x:c r="G487" t="inlineStr">
        <x:is>
          <x:t xml:space="preserve">-</x:t>
        </x:is>
      </x:c>
      <x:c r="I487" t="inlineStr">
        <x:is>
          <x:t xml:space="preserve">Do we perform a privacy/impact assessment (e.g., DPIA/LIA) for employee monitoring and keep it updated?</x:t>
        </x:is>
      </x:c>
      <x:c r="J487" t="inlineStr">
        <x:is>
          <x:t xml:space="preserve">If you’re not in GDPR regions, think equivalent: documented assessment of necessity, proportionality, and safeguards.</x:t>
        </x:is>
      </x:c>
      <x:c r="L487" t="inlineStr">
        <x:is>
          <x:t xml:space="preserve">LEG_STRICT</x:t>
        </x:is>
      </x:c>
      <x:c r="M487" t="n">
        <x:v>1.2</x:v>
      </x:c>
      <x:c r="N487" t="n">
        <x:v>0.5</x:v>
      </x:c>
      <x:c r="P487" t="inlineStr">
        <x:is>
          <x:t xml:space="preserve">LEG-D1-Q06-A1</x:t>
        </x:is>
      </x:c>
      <x:c r="Q487" t="n">
        <x:v>2</x:v>
      </x:c>
      <x:c r="R487" t="inlineStr">
        <x:is>
          <x:t xml:space="preserve">No: We have not assessed privacy impact for monitoring.</x:t>
        </x:is>
      </x:c>
      <x:c r="S487" t="n">
        <x:v>0</x:v>
      </x:c>
      <x:c r="T487" t="inlineStr">
        <x:is>
          <x:t xml:space="preserve">legal_exposure</x:t>
        </x:is>
      </x:c>
      <x:c r="U487" t="inlineStr">
        <x:is>
          <x:t xml:space="preserve">Legal Exposure</x:t>
        </x:is>
      </x:c>
      <x:c r="V487" t="inlineStr">
        <x:is>
          <x:t xml:space="preserve">Conduct_Assessment</x:t>
        </x:is>
      </x:c>
      <x:c r="W487" t="inlineStr">
        <x:is>
          <x:t xml:space="preserve">N</x:t>
        </x:is>
      </x:c>
      <x:c r="Y487">
        <x:f>(S487*IF(E487="G",F487,0))+(S487*IF(G487="G",H487,0))</x:f>
      </x:c>
      <x:c r="Z487">
        <x:f>(S487*IF(E487="E",F487,0))+(S487*IF(G487="E",H487,0))</x:f>
      </x:c>
      <x:c r="AA487">
        <x:f>(S487*IF(E487="T",F487,0))+(S487*IF(G487="T",H487,0))</x:f>
      </x:c>
      <x:c r="AB487">
        <x:f>(S487*IF(E487="L",F487,0))+(S487*IF(G487="L",H487,0))</x:f>
      </x:c>
      <x:c r="AC487">
        <x:f>(S487*IF(E487="H",F487,0))+(S487*IF(G487="H",H487,0))</x:f>
      </x:c>
      <x:c r="AD487">
        <x:f>(S487*IF(E487="V",F487,0))+(S487*IF(G487="V",H487,0))</x:f>
      </x:c>
      <x:c r="AE487">
        <x:f>(S487*IF(E487="R",F487,0))+(S487*IF(G487="R",H487,0))</x:f>
      </x:c>
      <x:c r="AF487">
        <x:f>(S487*IF(E487="F",F487,0))+(S487*IF(G487="F",H487,0))</x:f>
      </x:c>
      <x:c r="AG487">
        <x:f>(S487*IF(E487="W",F487,0))+(S487*IF(G487="W",H487,0))</x:f>
      </x:c>
      <x:c r="AH487" t="inlineStr">
        <x:is>
          <x:t xml:space="preserve">4. Legal, Privacy &amp; Ethics</x:t>
        </x:is>
      </x:c>
      <x:c r="AI487" t="inlineStr">
        <x:is>
          <x:t xml:space="preserve">Privacy Engineering</x:t>
        </x:is>
      </x:c>
      <x:c r="AJ487" t="inlineStr">
        <x:is>
          <x:t xml:space="preserve">DPIA/PIA per Use-Case</x:t>
        </x:is>
      </x:c>
    </x:row>
    <x:row r="488">
      <x:c r="A488" t="inlineStr">
        <x:is>
          <x:t xml:space="preserve">Legal</x:t>
        </x:is>
      </x:c>
      <x:c r="B488" t="inlineStr">
        <x:is>
          <x:t xml:space="preserve">LEG-D1-Q06</x:t>
        </x:is>
      </x:c>
      <x:c r="C488" t="inlineStr">
        <x:is>
          <x:t xml:space="preserve">T2</x:t>
        </x:is>
      </x:c>
      <x:c r="D488" t="inlineStr">
        <x:is>
          <x:t xml:space="preserve">4. Legal &amp; Privacy</x:t>
        </x:is>
      </x:c>
      <x:c r="E488" t="inlineStr">
        <x:is>
          <x:t xml:space="preserve">L</x:t>
        </x:is>
      </x:c>
      <x:c r="F488" t="n">
        <x:v>1</x:v>
      </x:c>
      <x:c r="G488" t="inlineStr">
        <x:is>
          <x:t xml:space="preserve">-</x:t>
        </x:is>
      </x:c>
      <x:c r="I488" t="inlineStr">
        <x:is>
          <x:t xml:space="preserve">Do we perform a privacy/impact assessment (e.g., DPIA/LIA) for employee monitoring and keep it updated?</x:t>
        </x:is>
      </x:c>
      <x:c r="J488" t="inlineStr">
        <x:is>
          <x:t xml:space="preserve">If you’re not in GDPR regions, think equivalent: documented assessment of necessity, proportionality, and safeguards.</x:t>
        </x:is>
      </x:c>
      <x:c r="L488" t="inlineStr">
        <x:is>
          <x:t xml:space="preserve">LEG_STRICT</x:t>
        </x:is>
      </x:c>
      <x:c r="M488" t="n">
        <x:v>1.2</x:v>
      </x:c>
      <x:c r="N488" t="n">
        <x:v>0.5</x:v>
      </x:c>
      <x:c r="P488" t="inlineStr">
        <x:is>
          <x:t xml:space="preserve">LEG-D1-Q06-A2</x:t>
        </x:is>
      </x:c>
      <x:c r="Q488" t="n">
        <x:v>3</x:v>
      </x:c>
      <x:c r="R488" t="inlineStr">
        <x:is>
          <x:t xml:space="preserve">Planned: We intend to do it, but it’s not completed or not used.</x:t>
        </x:is>
      </x:c>
      <x:c r="S488" t="n">
        <x:v>1</x:v>
      </x:c>
      <x:c r="T488" t="inlineStr">
        <x:is>
          <x:t xml:space="preserve">paper_dragon_signal</x:t>
        </x:is>
      </x:c>
      <x:c r="U488" t="inlineStr">
        <x:is>
          <x:t xml:space="preserve">Paper Dragon</x:t>
        </x:is>
      </x:c>
      <x:c r="V488" t="inlineStr">
        <x:is>
          <x:t xml:space="preserve">Complete_Assessment</x:t>
        </x:is>
      </x:c>
      <x:c r="W488" t="inlineStr">
        <x:is>
          <x:t xml:space="preserve">N</x:t>
        </x:is>
      </x:c>
      <x:c r="Y488">
        <x:f>(S488*IF(E488="G",F488,0))+(S488*IF(G488="G",H488,0))</x:f>
      </x:c>
      <x:c r="Z488">
        <x:f>(S488*IF(E488="E",F488,0))+(S488*IF(G488="E",H488,0))</x:f>
      </x:c>
      <x:c r="AA488">
        <x:f>(S488*IF(E488="T",F488,0))+(S488*IF(G488="T",H488,0))</x:f>
      </x:c>
      <x:c r="AB488">
        <x:f>(S488*IF(E488="L",F488,0))+(S488*IF(G488="L",H488,0))</x:f>
      </x:c>
      <x:c r="AC488">
        <x:f>(S488*IF(E488="H",F488,0))+(S488*IF(G488="H",H488,0))</x:f>
      </x:c>
      <x:c r="AD488">
        <x:f>(S488*IF(E488="V",F488,0))+(S488*IF(G488="V",H488,0))</x:f>
      </x:c>
      <x:c r="AE488">
        <x:f>(S488*IF(E488="R",F488,0))+(S488*IF(G488="R",H488,0))</x:f>
      </x:c>
      <x:c r="AF488">
        <x:f>(S488*IF(E488="F",F488,0))+(S488*IF(G488="F",H488,0))</x:f>
      </x:c>
      <x:c r="AG488">
        <x:f>(S488*IF(E488="W",F488,0))+(S488*IF(G488="W",H488,0))</x:f>
      </x:c>
      <x:c r="AH488" t="inlineStr">
        <x:is>
          <x:t xml:space="preserve">4. Legal, Privacy &amp; Ethics</x:t>
        </x:is>
      </x:c>
      <x:c r="AI488" t="inlineStr">
        <x:is>
          <x:t xml:space="preserve">Privacy Engineering</x:t>
        </x:is>
      </x:c>
      <x:c r="AJ488" t="inlineStr">
        <x:is>
          <x:t xml:space="preserve">DPIA/PIA per Use-Case</x:t>
        </x:is>
      </x:c>
    </x:row>
    <x:row r="489">
      <x:c r="A489" t="inlineStr">
        <x:is>
          <x:t xml:space="preserve">Legal</x:t>
        </x:is>
      </x:c>
      <x:c r="B489" t="inlineStr">
        <x:is>
          <x:t xml:space="preserve">LEG-D1-Q06</x:t>
        </x:is>
      </x:c>
      <x:c r="C489" t="inlineStr">
        <x:is>
          <x:t xml:space="preserve">T2</x:t>
        </x:is>
      </x:c>
      <x:c r="D489" t="inlineStr">
        <x:is>
          <x:t xml:space="preserve">4. Legal &amp; Privacy</x:t>
        </x:is>
      </x:c>
      <x:c r="E489" t="inlineStr">
        <x:is>
          <x:t xml:space="preserve">L</x:t>
        </x:is>
      </x:c>
      <x:c r="F489" t="n">
        <x:v>1</x:v>
      </x:c>
      <x:c r="G489" t="inlineStr">
        <x:is>
          <x:t xml:space="preserve">-</x:t>
        </x:is>
      </x:c>
      <x:c r="I489" t="inlineStr">
        <x:is>
          <x:t xml:space="preserve">Do we perform a privacy/impact assessment (e.g., DPIA/LIA) for employee monitoring and keep it updated?</x:t>
        </x:is>
      </x:c>
      <x:c r="J489" t="inlineStr">
        <x:is>
          <x:t xml:space="preserve">If you’re not in GDPR regions, think equivalent: documented assessment of necessity, proportionality, and safeguards.</x:t>
        </x:is>
      </x:c>
      <x:c r="L489" t="inlineStr">
        <x:is>
          <x:t xml:space="preserve">LEG_STRICT</x:t>
        </x:is>
      </x:c>
      <x:c r="M489" t="n">
        <x:v>1.2</x:v>
      </x:c>
      <x:c r="N489" t="n">
        <x:v>0.5</x:v>
      </x:c>
      <x:c r="P489" t="inlineStr">
        <x:is>
          <x:t xml:space="preserve">LEG-D1-Q06-A3</x:t>
        </x:is>
      </x:c>
      <x:c r="Q489" t="n">
        <x:v>4</x:v>
      </x:c>
      <x:c r="R489" t="inlineStr">
        <x:is>
          <x:t xml:space="preserve">Yes: Assessments exist for key monitoring activities and are referenced in decisions.</x:t>
        </x:is>
      </x:c>
      <x:c r="S489" t="n">
        <x:v>3</x:v>
      </x:c>
      <x:c r="V489" t="inlineStr">
        <x:is>
          <x:t xml:space="preserve">Evidence_Request_DPIA</x:t>
        </x:is>
      </x:c>
      <x:c r="W489" t="inlineStr">
        <x:is>
          <x:t xml:space="preserve">N</x:t>
        </x:is>
      </x:c>
      <x:c r="Y489">
        <x:f>(S489*IF(E489="G",F489,0))+(S489*IF(G489="G",H489,0))</x:f>
      </x:c>
      <x:c r="Z489">
        <x:f>(S489*IF(E489="E",F489,0))+(S489*IF(G489="E",H489,0))</x:f>
      </x:c>
      <x:c r="AA489">
        <x:f>(S489*IF(E489="T",F489,0))+(S489*IF(G489="T",H489,0))</x:f>
      </x:c>
      <x:c r="AB489">
        <x:f>(S489*IF(E489="L",F489,0))+(S489*IF(G489="L",H489,0))</x:f>
      </x:c>
      <x:c r="AC489">
        <x:f>(S489*IF(E489="H",F489,0))+(S489*IF(G489="H",H489,0))</x:f>
      </x:c>
      <x:c r="AD489">
        <x:f>(S489*IF(E489="V",F489,0))+(S489*IF(G489="V",H489,0))</x:f>
      </x:c>
      <x:c r="AE489">
        <x:f>(S489*IF(E489="R",F489,0))+(S489*IF(G489="R",H489,0))</x:f>
      </x:c>
      <x:c r="AF489">
        <x:f>(S489*IF(E489="F",F489,0))+(S489*IF(G489="F",H489,0))</x:f>
      </x:c>
      <x:c r="AG489">
        <x:f>(S489*IF(E489="W",F489,0))+(S489*IF(G489="W",H489,0))</x:f>
      </x:c>
      <x:c r="AH489" t="inlineStr">
        <x:is>
          <x:t xml:space="preserve">4. Legal, Privacy &amp; Ethics</x:t>
        </x:is>
      </x:c>
      <x:c r="AI489" t="inlineStr">
        <x:is>
          <x:t xml:space="preserve">Privacy Engineering</x:t>
        </x:is>
      </x:c>
      <x:c r="AJ489" t="inlineStr">
        <x:is>
          <x:t xml:space="preserve">DPIA/PIA per Use-Case</x:t>
        </x:is>
      </x:c>
    </x:row>
    <x:row r="490">
      <x:c r="A490" t="inlineStr">
        <x:is>
          <x:t xml:space="preserve">Legal</x:t>
        </x:is>
      </x:c>
      <x:c r="B490" t="inlineStr">
        <x:is>
          <x:t xml:space="preserve">LEG-D1-Q06</x:t>
        </x:is>
      </x:c>
      <x:c r="C490" t="inlineStr">
        <x:is>
          <x:t xml:space="preserve">T2</x:t>
        </x:is>
      </x:c>
      <x:c r="D490" t="inlineStr">
        <x:is>
          <x:t xml:space="preserve">4. Legal &amp; Privacy</x:t>
        </x:is>
      </x:c>
      <x:c r="E490" t="inlineStr">
        <x:is>
          <x:t xml:space="preserve">L</x:t>
        </x:is>
      </x:c>
      <x:c r="F490" t="n">
        <x:v>1</x:v>
      </x:c>
      <x:c r="G490" t="inlineStr">
        <x:is>
          <x:t xml:space="preserve">-</x:t>
        </x:is>
      </x:c>
      <x:c r="I490" t="inlineStr">
        <x:is>
          <x:t xml:space="preserve">Do we perform a privacy/impact assessment (e.g., DPIA/LIA) for employee monitoring and keep it updated?</x:t>
        </x:is>
      </x:c>
      <x:c r="J490" t="inlineStr">
        <x:is>
          <x:t xml:space="preserve">If you’re not in GDPR regions, think equivalent: documented assessment of necessity, proportionality, and safeguards.</x:t>
        </x:is>
      </x:c>
      <x:c r="L490" t="inlineStr">
        <x:is>
          <x:t xml:space="preserve">LEG_STRICT</x:t>
        </x:is>
      </x:c>
      <x:c r="M490" t="n">
        <x:v>1.2</x:v>
      </x:c>
      <x:c r="N490" t="n">
        <x:v>0.5</x:v>
      </x:c>
      <x:c r="P490" t="inlineStr">
        <x:is>
          <x:t xml:space="preserve">LEG-D1-Q06-A4</x:t>
        </x:is>
      </x:c>
      <x:c r="Q490" t="n">
        <x:v>5</x:v>
      </x:c>
      <x:c r="R490" t="inlineStr">
        <x:is>
          <x:t xml:space="preserve">Yes + living: Assessments are updated after changes/incidents and checked by privacy/legal.</x:t>
        </x:is>
      </x:c>
      <x:c r="S490" t="n">
        <x:v>4</x:v>
      </x:c>
      <x:c r="V490" t="inlineStr">
        <x:is>
          <x:t xml:space="preserve">Maintain_and_Audit</x:t>
        </x:is>
      </x:c>
      <x:c r="W490" t="inlineStr">
        <x:is>
          <x:t xml:space="preserve">N</x:t>
        </x:is>
      </x:c>
      <x:c r="Y490">
        <x:f>(S490*IF(E490="G",F490,0))+(S490*IF(G490="G",H490,0))</x:f>
      </x:c>
      <x:c r="Z490">
        <x:f>(S490*IF(E490="E",F490,0))+(S490*IF(G490="E",H490,0))</x:f>
      </x:c>
      <x:c r="AA490">
        <x:f>(S490*IF(E490="T",F490,0))+(S490*IF(G490="T",H490,0))</x:f>
      </x:c>
      <x:c r="AB490">
        <x:f>(S490*IF(E490="L",F490,0))+(S490*IF(G490="L",H490,0))</x:f>
      </x:c>
      <x:c r="AC490">
        <x:f>(S490*IF(E490="H",F490,0))+(S490*IF(G490="H",H490,0))</x:f>
      </x:c>
      <x:c r="AD490">
        <x:f>(S490*IF(E490="V",F490,0))+(S490*IF(G490="V",H490,0))</x:f>
      </x:c>
      <x:c r="AE490">
        <x:f>(S490*IF(E490="R",F490,0))+(S490*IF(G490="R",H490,0))</x:f>
      </x:c>
      <x:c r="AF490">
        <x:f>(S490*IF(E490="F",F490,0))+(S490*IF(G490="F",H490,0))</x:f>
      </x:c>
      <x:c r="AG490">
        <x:f>(S490*IF(E490="W",F490,0))+(S490*IF(G490="W",H490,0))</x:f>
      </x:c>
      <x:c r="AH490" t="inlineStr">
        <x:is>
          <x:t xml:space="preserve">4. Legal, Privacy &amp; Ethics</x:t>
        </x:is>
      </x:c>
      <x:c r="AI490" t="inlineStr">
        <x:is>
          <x:t xml:space="preserve">Privacy Engineering</x:t>
        </x:is>
      </x:c>
      <x:c r="AJ490" t="inlineStr">
        <x:is>
          <x:t xml:space="preserve">DPIA/PIA per Use-Case</x:t>
        </x:is>
      </x:c>
    </x:row>
    <x:row r="491">
      <x:c r="A491" t="inlineStr">
        <x:is>
          <x:t xml:space="preserve">Legal</x:t>
        </x:is>
      </x:c>
      <x:c r="B491" t="inlineStr">
        <x:is>
          <x:t xml:space="preserve">LEG-D2-Q07</x:t>
        </x:is>
      </x:c>
      <x:c r="C491" t="inlineStr">
        <x:is>
          <x:t xml:space="preserve">T1</x:t>
        </x:is>
      </x:c>
      <x:c r="D491" t="inlineStr">
        <x:is>
          <x:t xml:space="preserve">4. Legal &amp; Privacy</x:t>
        </x:is>
      </x:c>
      <x:c r="E491" t="inlineStr">
        <x:is>
          <x:t xml:space="preserve">L</x:t>
        </x:is>
      </x:c>
      <x:c r="F491" t="n">
        <x:v>0.7</x:v>
      </x:c>
      <x:c r="G491" t="inlineStr">
        <x:is>
          <x:t xml:space="preserve">T</x:t>
        </x:is>
      </x:c>
      <x:c r="H491" t="n">
        <x:v>0.3</x:v>
      </x:c>
      <x:c r="I491" t="inlineStr">
        <x:is>
          <x:t xml:space="preserve">Is access to monitoring data restricted (need-to-know), logged, and separated from day-to-day IT admin access?</x:t>
        </x:is>
      </x:c>
      <x:c r="J491" t="inlineStr">
        <x:is>
          <x:t xml:space="preserve">Example: separate case team access; access logs reviewed; no shared accounts; approvals required for searches.</x:t>
        </x:is>
      </x:c>
      <x:c r="L491" t="inlineStr">
        <x:is>
          <x:t xml:space="preserve">LEG_STRICT</x:t>
        </x:is>
      </x:c>
      <x:c r="M491" t="n">
        <x:v>1.4</x:v>
      </x:c>
      <x:c r="N491" t="n">
        <x:v>0.5</x:v>
      </x:c>
      <x:c r="P491" t="inlineStr">
        <x:is>
          <x:t xml:space="preserve">LEG-D2-Q07-A0</x:t>
        </x:is>
      </x:c>
      <x:c r="Q491" t="n">
        <x:v>1</x:v>
      </x:c>
      <x:c r="R491" t="inlineStr">
        <x:is>
          <x:t xml:space="preserve">I don’t know / not sure.</x:t>
        </x:is>
      </x:c>
      <x:c r="S491" t="n">
        <x:v>0</x:v>
      </x:c>
      <x:c r="T491" t="inlineStr">
        <x:is>
          <x:t xml:space="preserve">unknown</x:t>
        </x:is>
      </x:c>
      <x:c r="U491" t="inlineStr">
        <x:is>
          <x:t xml:space="preserve">Unknown</x:t>
        </x:is>
      </x:c>
      <x:c r="V491" t="inlineStr">
        <x:is>
          <x:t xml:space="preserve">Clarify_Access_Control</x:t>
        </x:is>
      </x:c>
      <x:c r="W491" t="inlineStr">
        <x:is>
          <x:t xml:space="preserve">N</x:t>
        </x:is>
      </x:c>
      <x:c r="Y491">
        <x:f>(S491*IF(E491="G",F491,0))+(S491*IF(G491="G",H491,0))</x:f>
      </x:c>
      <x:c r="Z491">
        <x:f>(S491*IF(E491="E",F491,0))+(S491*IF(G491="E",H491,0))</x:f>
      </x:c>
      <x:c r="AA491">
        <x:f>(S491*IF(E491="T",F491,0))+(S491*IF(G491="T",H491,0))</x:f>
      </x:c>
      <x:c r="AB491">
        <x:f>(S491*IF(E491="L",F491,0))+(S491*IF(G491="L",H491,0))</x:f>
      </x:c>
      <x:c r="AC491">
        <x:f>(S491*IF(E491="H",F491,0))+(S491*IF(G491="H",H491,0))</x:f>
      </x:c>
      <x:c r="AD491">
        <x:f>(S491*IF(E491="V",F491,0))+(S491*IF(G491="V",H491,0))</x:f>
      </x:c>
      <x:c r="AE491">
        <x:f>(S491*IF(E491="R",F491,0))+(S491*IF(G491="R",H491,0))</x:f>
      </x:c>
      <x:c r="AF491">
        <x:f>(S491*IF(E491="F",F491,0))+(S491*IF(G491="F",H491,0))</x:f>
      </x:c>
      <x:c r="AG491">
        <x:f>(S491*IF(E491="W",F491,0))+(S491*IF(G491="W",H491,0))</x:f>
      </x:c>
      <x:c r="AH491" t="inlineStr">
        <x:is>
          <x:t xml:space="preserve">4. Legal, Privacy &amp; Ethics</x:t>
        </x:is>
      </x:c>
      <x:c r="AI491" t="inlineStr">
        <x:is>
          <x:t xml:space="preserve">Oversight &amp; Safeguards</x:t>
        </x:is>
      </x:c>
      <x:c r="AJ491" t="inlineStr">
        <x:is>
          <x:t xml:space="preserve">Monitoring Access Governance</x:t>
        </x:is>
      </x:c>
    </x:row>
    <x:row r="492">
      <x:c r="A492" t="inlineStr">
        <x:is>
          <x:t xml:space="preserve">Legal</x:t>
        </x:is>
      </x:c>
      <x:c r="B492" t="inlineStr">
        <x:is>
          <x:t xml:space="preserve">LEG-D2-Q07</x:t>
        </x:is>
      </x:c>
      <x:c r="C492" t="inlineStr">
        <x:is>
          <x:t xml:space="preserve">T1</x:t>
        </x:is>
      </x:c>
      <x:c r="D492" t="inlineStr">
        <x:is>
          <x:t xml:space="preserve">4. Legal &amp; Privacy</x:t>
        </x:is>
      </x:c>
      <x:c r="E492" t="inlineStr">
        <x:is>
          <x:t xml:space="preserve">L</x:t>
        </x:is>
      </x:c>
      <x:c r="F492" t="n">
        <x:v>0.7</x:v>
      </x:c>
      <x:c r="G492" t="inlineStr">
        <x:is>
          <x:t xml:space="preserve">T</x:t>
        </x:is>
      </x:c>
      <x:c r="H492" t="n">
        <x:v>0.3</x:v>
      </x:c>
      <x:c r="I492" t="inlineStr">
        <x:is>
          <x:t xml:space="preserve">Is access to monitoring data restricted (need-to-know), logged, and separated from day-to-day IT admin access?</x:t>
        </x:is>
      </x:c>
      <x:c r="J492" t="inlineStr">
        <x:is>
          <x:t xml:space="preserve">Example: separate case team access; access logs reviewed; no shared accounts; approvals required for searches.</x:t>
        </x:is>
      </x:c>
      <x:c r="L492" t="inlineStr">
        <x:is>
          <x:t xml:space="preserve">LEG_STRICT</x:t>
        </x:is>
      </x:c>
      <x:c r="M492" t="n">
        <x:v>1.4</x:v>
      </x:c>
      <x:c r="N492" t="n">
        <x:v>0.5</x:v>
      </x:c>
      <x:c r="P492" t="inlineStr">
        <x:is>
          <x:t xml:space="preserve">LEG-D2-Q07-A1</x:t>
        </x:is>
      </x:c>
      <x:c r="Q492" t="n">
        <x:v>2</x:v>
      </x:c>
      <x:c r="R492" t="inlineStr">
        <x:is>
          <x:t xml:space="preserve">No: Many admins can access logs/data; no audit trail.</x:t>
        </x:is>
      </x:c>
      <x:c r="S492" t="n">
        <x:v>0</x:v>
      </x:c>
      <x:c r="T492" t="inlineStr">
        <x:is>
          <x:t xml:space="preserve">legal_exposure</x:t>
        </x:is>
      </x:c>
      <x:c r="U492" t="inlineStr">
        <x:is>
          <x:t xml:space="preserve">Legal Exposure</x:t>
        </x:is>
      </x:c>
      <x:c r="V492" t="inlineStr">
        <x:is>
          <x:t xml:space="preserve">Restrict_Access</x:t>
        </x:is>
      </x:c>
      <x:c r="W492" t="inlineStr">
        <x:is>
          <x:t xml:space="preserve">N</x:t>
        </x:is>
      </x:c>
      <x:c r="Y492">
        <x:f>(S492*IF(E492="G",F492,0))+(S492*IF(G492="G",H492,0))</x:f>
      </x:c>
      <x:c r="Z492">
        <x:f>(S492*IF(E492="E",F492,0))+(S492*IF(G492="E",H492,0))</x:f>
      </x:c>
      <x:c r="AA492">
        <x:f>(S492*IF(E492="T",F492,0))+(S492*IF(G492="T",H492,0))</x:f>
      </x:c>
      <x:c r="AB492">
        <x:f>(S492*IF(E492="L",F492,0))+(S492*IF(G492="L",H492,0))</x:f>
      </x:c>
      <x:c r="AC492">
        <x:f>(S492*IF(E492="H",F492,0))+(S492*IF(G492="H",H492,0))</x:f>
      </x:c>
      <x:c r="AD492">
        <x:f>(S492*IF(E492="V",F492,0))+(S492*IF(G492="V",H492,0))</x:f>
      </x:c>
      <x:c r="AE492">
        <x:f>(S492*IF(E492="R",F492,0))+(S492*IF(G492="R",H492,0))</x:f>
      </x:c>
      <x:c r="AF492">
        <x:f>(S492*IF(E492="F",F492,0))+(S492*IF(G492="F",H492,0))</x:f>
      </x:c>
      <x:c r="AG492">
        <x:f>(S492*IF(E492="W",F492,0))+(S492*IF(G492="W",H492,0))</x:f>
      </x:c>
      <x:c r="AH492" t="inlineStr">
        <x:is>
          <x:t xml:space="preserve">4. Legal, Privacy &amp; Ethics</x:t>
        </x:is>
      </x:c>
      <x:c r="AI492" t="inlineStr">
        <x:is>
          <x:t xml:space="preserve">Oversight &amp; Safeguards</x:t>
        </x:is>
      </x:c>
      <x:c r="AJ492" t="inlineStr">
        <x:is>
          <x:t xml:space="preserve">Monitoring Access Governance</x:t>
        </x:is>
      </x:c>
    </x:row>
    <x:row r="493">
      <x:c r="A493" t="inlineStr">
        <x:is>
          <x:t xml:space="preserve">Legal</x:t>
        </x:is>
      </x:c>
      <x:c r="B493" t="inlineStr">
        <x:is>
          <x:t xml:space="preserve">LEG-D2-Q07</x:t>
        </x:is>
      </x:c>
      <x:c r="C493" t="inlineStr">
        <x:is>
          <x:t xml:space="preserve">T1</x:t>
        </x:is>
      </x:c>
      <x:c r="D493" t="inlineStr">
        <x:is>
          <x:t xml:space="preserve">4. Legal &amp; Privacy</x:t>
        </x:is>
      </x:c>
      <x:c r="E493" t="inlineStr">
        <x:is>
          <x:t xml:space="preserve">L</x:t>
        </x:is>
      </x:c>
      <x:c r="F493" t="n">
        <x:v>0.7</x:v>
      </x:c>
      <x:c r="G493" t="inlineStr">
        <x:is>
          <x:t xml:space="preserve">T</x:t>
        </x:is>
      </x:c>
      <x:c r="H493" t="n">
        <x:v>0.3</x:v>
      </x:c>
      <x:c r="I493" t="inlineStr">
        <x:is>
          <x:t xml:space="preserve">Is access to monitoring data restricted (need-to-know), logged, and separated from day-to-day IT admin access?</x:t>
        </x:is>
      </x:c>
      <x:c r="J493" t="inlineStr">
        <x:is>
          <x:t xml:space="preserve">Example: separate case team access; access logs reviewed; no shared accounts; approvals required for searches.</x:t>
        </x:is>
      </x:c>
      <x:c r="L493" t="inlineStr">
        <x:is>
          <x:t xml:space="preserve">LEG_STRICT</x:t>
        </x:is>
      </x:c>
      <x:c r="M493" t="n">
        <x:v>1.4</x:v>
      </x:c>
      <x:c r="N493" t="n">
        <x:v>0.5</x:v>
      </x:c>
      <x:c r="P493" t="inlineStr">
        <x:is>
          <x:t xml:space="preserve">LEG-D2-Q07-A2</x:t>
        </x:is>
      </x:c>
      <x:c r="Q493" t="n">
        <x:v>3</x:v>
      </x:c>
      <x:c r="R493" t="inlineStr">
        <x:is>
          <x:t xml:space="preserve">Partial: Some restrictions exist, but shared access or logging gaps remain.</x:t>
        </x:is>
      </x:c>
      <x:c r="S493" t="n">
        <x:v>1</x:v>
      </x:c>
      <x:c r="T493" t="inlineStr">
        <x:is>
          <x:t xml:space="preserve">operating_model_gap</x:t>
        </x:is>
      </x:c>
      <x:c r="U493" t="inlineStr">
        <x:is>
          <x:t xml:space="preserve">Operating Model Gap</x:t>
        </x:is>
      </x:c>
      <x:c r="V493" t="inlineStr">
        <x:is>
          <x:t xml:space="preserve">Harden_Access_Controls</x:t>
        </x:is>
      </x:c>
      <x:c r="W493" t="inlineStr">
        <x:is>
          <x:t xml:space="preserve">N</x:t>
        </x:is>
      </x:c>
      <x:c r="Y493">
        <x:f>(S493*IF(E493="G",F493,0))+(S493*IF(G493="G",H493,0))</x:f>
      </x:c>
      <x:c r="Z493">
        <x:f>(S493*IF(E493="E",F493,0))+(S493*IF(G493="E",H493,0))</x:f>
      </x:c>
      <x:c r="AA493">
        <x:f>(S493*IF(E493="T",F493,0))+(S493*IF(G493="T",H493,0))</x:f>
      </x:c>
      <x:c r="AB493">
        <x:f>(S493*IF(E493="L",F493,0))+(S493*IF(G493="L",H493,0))</x:f>
      </x:c>
      <x:c r="AC493">
        <x:f>(S493*IF(E493="H",F493,0))+(S493*IF(G493="H",H493,0))</x:f>
      </x:c>
      <x:c r="AD493">
        <x:f>(S493*IF(E493="V",F493,0))+(S493*IF(G493="V",H493,0))</x:f>
      </x:c>
      <x:c r="AE493">
        <x:f>(S493*IF(E493="R",F493,0))+(S493*IF(G493="R",H493,0))</x:f>
      </x:c>
      <x:c r="AF493">
        <x:f>(S493*IF(E493="F",F493,0))+(S493*IF(G493="F",H493,0))</x:f>
      </x:c>
      <x:c r="AG493">
        <x:f>(S493*IF(E493="W",F493,0))+(S493*IF(G493="W",H493,0))</x:f>
      </x:c>
      <x:c r="AH493" t="inlineStr">
        <x:is>
          <x:t xml:space="preserve">4. Legal, Privacy &amp; Ethics</x:t>
        </x:is>
      </x:c>
      <x:c r="AI493" t="inlineStr">
        <x:is>
          <x:t xml:space="preserve">Oversight &amp; Safeguards</x:t>
        </x:is>
      </x:c>
      <x:c r="AJ493" t="inlineStr">
        <x:is>
          <x:t xml:space="preserve">Monitoring Access Governance</x:t>
        </x:is>
      </x:c>
    </x:row>
    <x:row r="494">
      <x:c r="A494" t="inlineStr">
        <x:is>
          <x:t xml:space="preserve">Legal</x:t>
        </x:is>
      </x:c>
      <x:c r="B494" t="inlineStr">
        <x:is>
          <x:t xml:space="preserve">LEG-D2-Q07</x:t>
        </x:is>
      </x:c>
      <x:c r="C494" t="inlineStr">
        <x:is>
          <x:t xml:space="preserve">T1</x:t>
        </x:is>
      </x:c>
      <x:c r="D494" t="inlineStr">
        <x:is>
          <x:t xml:space="preserve">4. Legal &amp; Privacy</x:t>
        </x:is>
      </x:c>
      <x:c r="E494" t="inlineStr">
        <x:is>
          <x:t xml:space="preserve">L</x:t>
        </x:is>
      </x:c>
      <x:c r="F494" t="n">
        <x:v>0.7</x:v>
      </x:c>
      <x:c r="G494" t="inlineStr">
        <x:is>
          <x:t xml:space="preserve">T</x:t>
        </x:is>
      </x:c>
      <x:c r="H494" t="n">
        <x:v>0.3</x:v>
      </x:c>
      <x:c r="I494" t="inlineStr">
        <x:is>
          <x:t xml:space="preserve">Is access to monitoring data restricted (need-to-know), logged, and separated from day-to-day IT admin access?</x:t>
        </x:is>
      </x:c>
      <x:c r="J494" t="inlineStr">
        <x:is>
          <x:t xml:space="preserve">Example: separate case team access; access logs reviewed; no shared accounts; approvals required for searches.</x:t>
        </x:is>
      </x:c>
      <x:c r="L494" t="inlineStr">
        <x:is>
          <x:t xml:space="preserve">LEG_STRICT</x:t>
        </x:is>
      </x:c>
      <x:c r="M494" t="n">
        <x:v>1.4</x:v>
      </x:c>
      <x:c r="N494" t="n">
        <x:v>0.5</x:v>
      </x:c>
      <x:c r="P494" t="inlineStr">
        <x:is>
          <x:t xml:space="preserve">LEG-D2-Q07-A3</x:t>
        </x:is>
      </x:c>
      <x:c r="Q494" t="n">
        <x:v>4</x:v>
      </x:c>
      <x:c r="R494" t="inlineStr">
        <x:is>
          <x:t xml:space="preserve">Yes: Access is restricted and logged for most monitoring datasets.</x:t>
        </x:is>
      </x:c>
      <x:c r="S494" t="n">
        <x:v>3</x:v>
      </x:c>
      <x:c r="V494" t="inlineStr">
        <x:is>
          <x:t xml:space="preserve">Evidence_Request_AccessLogs</x:t>
        </x:is>
      </x:c>
      <x:c r="W494" t="inlineStr">
        <x:is>
          <x:t xml:space="preserve">N</x:t>
        </x:is>
      </x:c>
      <x:c r="Y494">
        <x:f>(S494*IF(E494="G",F494,0))+(S494*IF(G494="G",H494,0))</x:f>
      </x:c>
      <x:c r="Z494">
        <x:f>(S494*IF(E494="E",F494,0))+(S494*IF(G494="E",H494,0))</x:f>
      </x:c>
      <x:c r="AA494">
        <x:f>(S494*IF(E494="T",F494,0))+(S494*IF(G494="T",H494,0))</x:f>
      </x:c>
      <x:c r="AB494">
        <x:f>(S494*IF(E494="L",F494,0))+(S494*IF(G494="L",H494,0))</x:f>
      </x:c>
      <x:c r="AC494">
        <x:f>(S494*IF(E494="H",F494,0))+(S494*IF(G494="H",H494,0))</x:f>
      </x:c>
      <x:c r="AD494">
        <x:f>(S494*IF(E494="V",F494,0))+(S494*IF(G494="V",H494,0))</x:f>
      </x:c>
      <x:c r="AE494">
        <x:f>(S494*IF(E494="R",F494,0))+(S494*IF(G494="R",H494,0))</x:f>
      </x:c>
      <x:c r="AF494">
        <x:f>(S494*IF(E494="F",F494,0))+(S494*IF(G494="F",H494,0))</x:f>
      </x:c>
      <x:c r="AG494">
        <x:f>(S494*IF(E494="W",F494,0))+(S494*IF(G494="W",H494,0))</x:f>
      </x:c>
      <x:c r="AH494" t="inlineStr">
        <x:is>
          <x:t xml:space="preserve">4. Legal, Privacy &amp; Ethics</x:t>
        </x:is>
      </x:c>
      <x:c r="AI494" t="inlineStr">
        <x:is>
          <x:t xml:space="preserve">Oversight &amp; Safeguards</x:t>
        </x:is>
      </x:c>
      <x:c r="AJ494" t="inlineStr">
        <x:is>
          <x:t xml:space="preserve">Monitoring Access Governance</x:t>
        </x:is>
      </x:c>
    </x:row>
    <x:row r="495">
      <x:c r="A495" t="inlineStr">
        <x:is>
          <x:t xml:space="preserve">Legal</x:t>
        </x:is>
      </x:c>
      <x:c r="B495" t="inlineStr">
        <x:is>
          <x:t xml:space="preserve">LEG-D2-Q07</x:t>
        </x:is>
      </x:c>
      <x:c r="C495" t="inlineStr">
        <x:is>
          <x:t xml:space="preserve">T1</x:t>
        </x:is>
      </x:c>
      <x:c r="D495" t="inlineStr">
        <x:is>
          <x:t xml:space="preserve">4. Legal &amp; Privacy</x:t>
        </x:is>
      </x:c>
      <x:c r="E495" t="inlineStr">
        <x:is>
          <x:t xml:space="preserve">L</x:t>
        </x:is>
      </x:c>
      <x:c r="F495" t="n">
        <x:v>0.7</x:v>
      </x:c>
      <x:c r="G495" t="inlineStr">
        <x:is>
          <x:t xml:space="preserve">T</x:t>
        </x:is>
      </x:c>
      <x:c r="H495" t="n">
        <x:v>0.3</x:v>
      </x:c>
      <x:c r="I495" t="inlineStr">
        <x:is>
          <x:t xml:space="preserve">Is access to monitoring data restricted (need-to-know), logged, and separated from day-to-day IT admin access?</x:t>
        </x:is>
      </x:c>
      <x:c r="J495" t="inlineStr">
        <x:is>
          <x:t xml:space="preserve">Example: separate case team access; access logs reviewed; no shared accounts; approvals required for searches.</x:t>
        </x:is>
      </x:c>
      <x:c r="L495" t="inlineStr">
        <x:is>
          <x:t xml:space="preserve">LEG_STRICT</x:t>
        </x:is>
      </x:c>
      <x:c r="M495" t="n">
        <x:v>1.4</x:v>
      </x:c>
      <x:c r="N495" t="n">
        <x:v>0.5</x:v>
      </x:c>
      <x:c r="P495" t="inlineStr">
        <x:is>
          <x:t xml:space="preserve">LEG-D2-Q07-A4</x:t>
        </x:is>
      </x:c>
      <x:c r="Q495" t="n">
        <x:v>5</x:v>
      </x:c>
      <x:c r="R495" t="inlineStr">
        <x:is>
          <x:t xml:space="preserve">Yes + reviewed: Access is logged, reviewed, and periodically re-approved.</x:t>
        </x:is>
      </x:c>
      <x:c r="S495" t="n">
        <x:v>4</x:v>
      </x:c>
      <x:c r="V495" t="inlineStr">
        <x:is>
          <x:t xml:space="preserve">Maintain_and_Audit</x:t>
        </x:is>
      </x:c>
      <x:c r="W495" t="inlineStr">
        <x:is>
          <x:t xml:space="preserve">N</x:t>
        </x:is>
      </x:c>
      <x:c r="Y495">
        <x:f>(S495*IF(E495="G",F495,0))+(S495*IF(G495="G",H495,0))</x:f>
      </x:c>
      <x:c r="Z495">
        <x:f>(S495*IF(E495="E",F495,0))+(S495*IF(G495="E",H495,0))</x:f>
      </x:c>
      <x:c r="AA495">
        <x:f>(S495*IF(E495="T",F495,0))+(S495*IF(G495="T",H495,0))</x:f>
      </x:c>
      <x:c r="AB495">
        <x:f>(S495*IF(E495="L",F495,0))+(S495*IF(G495="L",H495,0))</x:f>
      </x:c>
      <x:c r="AC495">
        <x:f>(S495*IF(E495="H",F495,0))+(S495*IF(G495="H",H495,0))</x:f>
      </x:c>
      <x:c r="AD495">
        <x:f>(S495*IF(E495="V",F495,0))+(S495*IF(G495="V",H495,0))</x:f>
      </x:c>
      <x:c r="AE495">
        <x:f>(S495*IF(E495="R",F495,0))+(S495*IF(G495="R",H495,0))</x:f>
      </x:c>
      <x:c r="AF495">
        <x:f>(S495*IF(E495="F",F495,0))+(S495*IF(G495="F",H495,0))</x:f>
      </x:c>
      <x:c r="AG495">
        <x:f>(S495*IF(E495="W",F495,0))+(S495*IF(G495="W",H495,0))</x:f>
      </x:c>
      <x:c r="AH495" t="inlineStr">
        <x:is>
          <x:t xml:space="preserve">4. Legal, Privacy &amp; Ethics</x:t>
        </x:is>
      </x:c>
      <x:c r="AI495" t="inlineStr">
        <x:is>
          <x:t xml:space="preserve">Oversight &amp; Safeguards</x:t>
        </x:is>
      </x:c>
      <x:c r="AJ495" t="inlineStr">
        <x:is>
          <x:t xml:space="preserve">Monitoring Access Governance</x:t>
        </x:is>
      </x:c>
    </x:row>
    <x:row r="496">
      <x:c r="A496" t="inlineStr">
        <x:is>
          <x:t xml:space="preserve">Legal</x:t>
        </x:is>
      </x:c>
      <x:c r="B496" t="inlineStr">
        <x:is>
          <x:t xml:space="preserve">LEG-D2-Q08</x:t>
        </x:is>
      </x:c>
      <x:c r="C496" t="inlineStr">
        <x:is>
          <x:t xml:space="preserve">T2</x:t>
        </x:is>
      </x:c>
      <x:c r="D496" t="inlineStr">
        <x:is>
          <x:t xml:space="preserve">4. Legal &amp; Privacy</x:t>
        </x:is>
      </x:c>
      <x:c r="E496" t="inlineStr">
        <x:is>
          <x:t xml:space="preserve">L</x:t>
        </x:is>
      </x:c>
      <x:c r="F496" t="n">
        <x:v>1</x:v>
      </x:c>
      <x:c r="G496" t="inlineStr">
        <x:is>
          <x:t xml:space="preserve">-</x:t>
        </x:is>
      </x:c>
      <x:c r="I496" t="inlineStr">
        <x:is>
          <x:t xml:space="preserve">Do we have clear retention limits for monitoring data (and a way to delete it) while preserving evidence for active cases?</x:t>
        </x:is>
      </x:c>
      <x:c r="J496" t="inlineStr">
        <x:is>
          <x:t xml:space="preserve">Look for: retention schedule + case hold process.</x:t>
        </x:is>
      </x:c>
      <x:c r="L496" t="inlineStr">
        <x:is>
          <x:t xml:space="preserve">LEG_STRICT</x:t>
        </x:is>
      </x:c>
      <x:c r="M496" t="n">
        <x:v>1.2</x:v>
      </x:c>
      <x:c r="P496" t="inlineStr">
        <x:is>
          <x:t xml:space="preserve">LEG-D2-Q08-A0</x:t>
        </x:is>
      </x:c>
      <x:c r="Q496" t="n">
        <x:v>1</x:v>
      </x:c>
      <x:c r="R496" t="inlineStr">
        <x:is>
          <x:t xml:space="preserve">No: We keep logs ‘as long as possible’ without clear rules.</x:t>
        </x:is>
      </x:c>
      <x:c r="S496" t="n">
        <x:v>0</x:v>
      </x:c>
      <x:c r="T496" t="inlineStr">
        <x:is>
          <x:t xml:space="preserve">legal_exposure</x:t>
        </x:is>
      </x:c>
      <x:c r="U496" t="inlineStr">
        <x:is>
          <x:t xml:space="preserve">Legal Exposure</x:t>
        </x:is>
      </x:c>
      <x:c r="V496" t="inlineStr">
        <x:is>
          <x:t xml:space="preserve">Define_Retention</x:t>
        </x:is>
      </x:c>
      <x:c r="W496" t="inlineStr">
        <x:is>
          <x:t xml:space="preserve">N</x:t>
        </x:is>
      </x:c>
      <x:c r="Y496">
        <x:f>(S496*IF(E496="G",F496,0))+(S496*IF(G496="G",H496,0))</x:f>
      </x:c>
      <x:c r="Z496">
        <x:f>(S496*IF(E496="E",F496,0))+(S496*IF(G496="E",H496,0))</x:f>
      </x:c>
      <x:c r="AA496">
        <x:f>(S496*IF(E496="T",F496,0))+(S496*IF(G496="T",H496,0))</x:f>
      </x:c>
      <x:c r="AB496">
        <x:f>(S496*IF(E496="L",F496,0))+(S496*IF(G496="L",H496,0))</x:f>
      </x:c>
      <x:c r="AC496">
        <x:f>(S496*IF(E496="H",F496,0))+(S496*IF(G496="H",H496,0))</x:f>
      </x:c>
      <x:c r="AD496">
        <x:f>(S496*IF(E496="V",F496,0))+(S496*IF(G496="V",H496,0))</x:f>
      </x:c>
      <x:c r="AE496">
        <x:f>(S496*IF(E496="R",F496,0))+(S496*IF(G496="R",H496,0))</x:f>
      </x:c>
      <x:c r="AF496">
        <x:f>(S496*IF(E496="F",F496,0))+(S496*IF(G496="F",H496,0))</x:f>
      </x:c>
      <x:c r="AG496">
        <x:f>(S496*IF(E496="W",F496,0))+(S496*IF(G496="W",H496,0))</x:f>
      </x:c>
      <x:c r="AH496" t="inlineStr">
        <x:is>
          <x:t xml:space="preserve">4. Legal, Privacy &amp; Ethics</x:t>
        </x:is>
      </x:c>
      <x:c r="AI496" t="inlineStr">
        <x:is>
          <x:t xml:space="preserve">Privacy Engineering</x:t>
        </x:is>
      </x:c>
      <x:c r="AJ496" t="inlineStr">
        <x:is>
          <x:t xml:space="preserve">Retention, Purging &amp; Legal Hold</x:t>
        </x:is>
      </x:c>
    </x:row>
    <x:row r="497">
      <x:c r="A497" t="inlineStr">
        <x:is>
          <x:t xml:space="preserve">Legal</x:t>
        </x:is>
      </x:c>
      <x:c r="B497" t="inlineStr">
        <x:is>
          <x:t xml:space="preserve">LEG-D2-Q08</x:t>
        </x:is>
      </x:c>
      <x:c r="C497" t="inlineStr">
        <x:is>
          <x:t xml:space="preserve">T2</x:t>
        </x:is>
      </x:c>
      <x:c r="D497" t="inlineStr">
        <x:is>
          <x:t xml:space="preserve">4. Legal &amp; Privacy</x:t>
        </x:is>
      </x:c>
      <x:c r="E497" t="inlineStr">
        <x:is>
          <x:t xml:space="preserve">L</x:t>
        </x:is>
      </x:c>
      <x:c r="F497" t="n">
        <x:v>1</x:v>
      </x:c>
      <x:c r="G497" t="inlineStr">
        <x:is>
          <x:t xml:space="preserve">-</x:t>
        </x:is>
      </x:c>
      <x:c r="I497" t="inlineStr">
        <x:is>
          <x:t xml:space="preserve">Do we have clear retention limits for monitoring data (and a way to delete it) while preserving evidence for active cases?</x:t>
        </x:is>
      </x:c>
      <x:c r="J497" t="inlineStr">
        <x:is>
          <x:t xml:space="preserve">Look for: retention schedule + case hold process.</x:t>
        </x:is>
      </x:c>
      <x:c r="L497" t="inlineStr">
        <x:is>
          <x:t xml:space="preserve">LEG_STRICT</x:t>
        </x:is>
      </x:c>
      <x:c r="M497" t="n">
        <x:v>1.2</x:v>
      </x:c>
      <x:c r="P497" t="inlineStr">
        <x:is>
          <x:t xml:space="preserve">LEG-D2-Q08-A1</x:t>
        </x:is>
      </x:c>
      <x:c r="Q497" t="n">
        <x:v>2</x:v>
      </x:c>
      <x:c r="R497" t="inlineStr">
        <x:is>
          <x:t xml:space="preserve">Ad-hoc: Retention differs by system/team; not consistent.</x:t>
        </x:is>
      </x:c>
      <x:c r="S497" t="n">
        <x:v>1</x:v>
      </x:c>
      <x:c r="T497" t="inlineStr">
        <x:is>
          <x:t xml:space="preserve">operating_model_gap</x:t>
        </x:is>
      </x:c>
      <x:c r="U497" t="inlineStr">
        <x:is>
          <x:t xml:space="preserve">Operating Model Gap</x:t>
        </x:is>
      </x:c>
      <x:c r="V497" t="inlineStr">
        <x:is>
          <x:t xml:space="preserve">Standardize_Retention</x:t>
        </x:is>
      </x:c>
      <x:c r="W497" t="inlineStr">
        <x:is>
          <x:t xml:space="preserve">N</x:t>
        </x:is>
      </x:c>
      <x:c r="Y497">
        <x:f>(S497*IF(E497="G",F497,0))+(S497*IF(G497="G",H497,0))</x:f>
      </x:c>
      <x:c r="Z497">
        <x:f>(S497*IF(E497="E",F497,0))+(S497*IF(G497="E",H497,0))</x:f>
      </x:c>
      <x:c r="AA497">
        <x:f>(S497*IF(E497="T",F497,0))+(S497*IF(G497="T",H497,0))</x:f>
      </x:c>
      <x:c r="AB497">
        <x:f>(S497*IF(E497="L",F497,0))+(S497*IF(G497="L",H497,0))</x:f>
      </x:c>
      <x:c r="AC497">
        <x:f>(S497*IF(E497="H",F497,0))+(S497*IF(G497="H",H497,0))</x:f>
      </x:c>
      <x:c r="AD497">
        <x:f>(S497*IF(E497="V",F497,0))+(S497*IF(G497="V",H497,0))</x:f>
      </x:c>
      <x:c r="AE497">
        <x:f>(S497*IF(E497="R",F497,0))+(S497*IF(G497="R",H497,0))</x:f>
      </x:c>
      <x:c r="AF497">
        <x:f>(S497*IF(E497="F",F497,0))+(S497*IF(G497="F",H497,0))</x:f>
      </x:c>
      <x:c r="AG497">
        <x:f>(S497*IF(E497="W",F497,0))+(S497*IF(G497="W",H497,0))</x:f>
      </x:c>
      <x:c r="AH497" t="inlineStr">
        <x:is>
          <x:t xml:space="preserve">4. Legal, Privacy &amp; Ethics</x:t>
        </x:is>
      </x:c>
      <x:c r="AI497" t="inlineStr">
        <x:is>
          <x:t xml:space="preserve">Privacy Engineering</x:t>
        </x:is>
      </x:c>
      <x:c r="AJ497" t="inlineStr">
        <x:is>
          <x:t xml:space="preserve">Retention, Purging &amp; Legal Hold</x:t>
        </x:is>
      </x:c>
    </x:row>
    <x:row r="498">
      <x:c r="A498" t="inlineStr">
        <x:is>
          <x:t xml:space="preserve">Legal</x:t>
        </x:is>
      </x:c>
      <x:c r="B498" t="inlineStr">
        <x:is>
          <x:t xml:space="preserve">LEG-D2-Q08</x:t>
        </x:is>
      </x:c>
      <x:c r="C498" t="inlineStr">
        <x:is>
          <x:t xml:space="preserve">T2</x:t>
        </x:is>
      </x:c>
      <x:c r="D498" t="inlineStr">
        <x:is>
          <x:t xml:space="preserve">4. Legal &amp; Privacy</x:t>
        </x:is>
      </x:c>
      <x:c r="E498" t="inlineStr">
        <x:is>
          <x:t xml:space="preserve">L</x:t>
        </x:is>
      </x:c>
      <x:c r="F498" t="n">
        <x:v>1</x:v>
      </x:c>
      <x:c r="G498" t="inlineStr">
        <x:is>
          <x:t xml:space="preserve">-</x:t>
        </x:is>
      </x:c>
      <x:c r="I498" t="inlineStr">
        <x:is>
          <x:t xml:space="preserve">Do we have clear retention limits for monitoring data (and a way to delete it) while preserving evidence for active cases?</x:t>
        </x:is>
      </x:c>
      <x:c r="J498" t="inlineStr">
        <x:is>
          <x:t xml:space="preserve">Look for: retention schedule + case hold process.</x:t>
        </x:is>
      </x:c>
      <x:c r="L498" t="inlineStr">
        <x:is>
          <x:t xml:space="preserve">LEG_STRICT</x:t>
        </x:is>
      </x:c>
      <x:c r="M498" t="n">
        <x:v>1.2</x:v>
      </x:c>
      <x:c r="P498" t="inlineStr">
        <x:is>
          <x:t xml:space="preserve">LEG-D2-Q08-A2</x:t>
        </x:is>
      </x:c>
      <x:c r="Q498" t="n">
        <x:v>3</x:v>
      </x:c>
      <x:c r="R498" t="inlineStr">
        <x:is>
          <x:t xml:space="preserve">Defined: Retention limits exist for most datasets; holds used for active cases.</x:t>
        </x:is>
      </x:c>
      <x:c r="S498" t="n">
        <x:v>3</x:v>
      </x:c>
      <x:c r="V498" t="inlineStr">
        <x:is>
          <x:t xml:space="preserve">Evidence_Request_Retention</x:t>
        </x:is>
      </x:c>
      <x:c r="W498" t="inlineStr">
        <x:is>
          <x:t xml:space="preserve">N</x:t>
        </x:is>
      </x:c>
      <x:c r="Y498">
        <x:f>(S498*IF(E498="G",F498,0))+(S498*IF(G498="G",H498,0))</x:f>
      </x:c>
      <x:c r="Z498">
        <x:f>(S498*IF(E498="E",F498,0))+(S498*IF(G498="E",H498,0))</x:f>
      </x:c>
      <x:c r="AA498">
        <x:f>(S498*IF(E498="T",F498,0))+(S498*IF(G498="T",H498,0))</x:f>
      </x:c>
      <x:c r="AB498">
        <x:f>(S498*IF(E498="L",F498,0))+(S498*IF(G498="L",H498,0))</x:f>
      </x:c>
      <x:c r="AC498">
        <x:f>(S498*IF(E498="H",F498,0))+(S498*IF(G498="H",H498,0))</x:f>
      </x:c>
      <x:c r="AD498">
        <x:f>(S498*IF(E498="V",F498,0))+(S498*IF(G498="V",H498,0))</x:f>
      </x:c>
      <x:c r="AE498">
        <x:f>(S498*IF(E498="R",F498,0))+(S498*IF(G498="R",H498,0))</x:f>
      </x:c>
      <x:c r="AF498">
        <x:f>(S498*IF(E498="F",F498,0))+(S498*IF(G498="F",H498,0))</x:f>
      </x:c>
      <x:c r="AG498">
        <x:f>(S498*IF(E498="W",F498,0))+(S498*IF(G498="W",H498,0))</x:f>
      </x:c>
      <x:c r="AH498" t="inlineStr">
        <x:is>
          <x:t xml:space="preserve">4. Legal, Privacy &amp; Ethics</x:t>
        </x:is>
      </x:c>
      <x:c r="AI498" t="inlineStr">
        <x:is>
          <x:t xml:space="preserve">Privacy Engineering</x:t>
        </x:is>
      </x:c>
      <x:c r="AJ498" t="inlineStr">
        <x:is>
          <x:t xml:space="preserve">Retention, Purging &amp; Legal Hold</x:t>
        </x:is>
      </x:c>
    </x:row>
    <x:row r="499">
      <x:c r="A499" t="inlineStr">
        <x:is>
          <x:t xml:space="preserve">Legal</x:t>
        </x:is>
      </x:c>
      <x:c r="B499" t="inlineStr">
        <x:is>
          <x:t xml:space="preserve">LEG-D2-Q08</x:t>
        </x:is>
      </x:c>
      <x:c r="C499" t="inlineStr">
        <x:is>
          <x:t xml:space="preserve">T2</x:t>
        </x:is>
      </x:c>
      <x:c r="D499" t="inlineStr">
        <x:is>
          <x:t xml:space="preserve">4. Legal &amp; Privacy</x:t>
        </x:is>
      </x:c>
      <x:c r="E499" t="inlineStr">
        <x:is>
          <x:t xml:space="preserve">L</x:t>
        </x:is>
      </x:c>
      <x:c r="F499" t="n">
        <x:v>1</x:v>
      </x:c>
      <x:c r="G499" t="inlineStr">
        <x:is>
          <x:t xml:space="preserve">-</x:t>
        </x:is>
      </x:c>
      <x:c r="I499" t="inlineStr">
        <x:is>
          <x:t xml:space="preserve">Do we have clear retention limits for monitoring data (and a way to delete it) while preserving evidence for active cases?</x:t>
        </x:is>
      </x:c>
      <x:c r="J499" t="inlineStr">
        <x:is>
          <x:t xml:space="preserve">Look for: retention schedule + case hold process.</x:t>
        </x:is>
      </x:c>
      <x:c r="L499" t="inlineStr">
        <x:is>
          <x:t xml:space="preserve">LEG_STRICT</x:t>
        </x:is>
      </x:c>
      <x:c r="M499" t="n">
        <x:v>1.2</x:v>
      </x:c>
      <x:c r="P499" t="inlineStr">
        <x:is>
          <x:t xml:space="preserve">LEG-D2-Q08-A3</x:t>
        </x:is>
      </x:c>
      <x:c r="Q499" t="n">
        <x:v>4</x:v>
      </x:c>
      <x:c r="R499" t="inlineStr">
        <x:is>
          <x:t xml:space="preserve">Optimized: Automated retention + legal holds with audit trails.</x:t>
        </x:is>
      </x:c>
      <x:c r="S499" t="n">
        <x:v>4</x:v>
      </x:c>
      <x:c r="V499" t="inlineStr">
        <x:is>
          <x:t xml:space="preserve">Maintain_and_Audit</x:t>
        </x:is>
      </x:c>
      <x:c r="W499" t="inlineStr">
        <x:is>
          <x:t xml:space="preserve">N</x:t>
        </x:is>
      </x:c>
      <x:c r="Y499">
        <x:f>(S499*IF(E499="G",F499,0))+(S499*IF(G499="G",H499,0))</x:f>
      </x:c>
      <x:c r="Z499">
        <x:f>(S499*IF(E499="E",F499,0))+(S499*IF(G499="E",H499,0))</x:f>
      </x:c>
      <x:c r="AA499">
        <x:f>(S499*IF(E499="T",F499,0))+(S499*IF(G499="T",H499,0))</x:f>
      </x:c>
      <x:c r="AB499">
        <x:f>(S499*IF(E499="L",F499,0))+(S499*IF(G499="L",H499,0))</x:f>
      </x:c>
      <x:c r="AC499">
        <x:f>(S499*IF(E499="H",F499,0))+(S499*IF(G499="H",H499,0))</x:f>
      </x:c>
      <x:c r="AD499">
        <x:f>(S499*IF(E499="V",F499,0))+(S499*IF(G499="V",H499,0))</x:f>
      </x:c>
      <x:c r="AE499">
        <x:f>(S499*IF(E499="R",F499,0))+(S499*IF(G499="R",H499,0))</x:f>
      </x:c>
      <x:c r="AF499">
        <x:f>(S499*IF(E499="F",F499,0))+(S499*IF(G499="F",H499,0))</x:f>
      </x:c>
      <x:c r="AG499">
        <x:f>(S499*IF(E499="W",F499,0))+(S499*IF(G499="W",H499,0))</x:f>
      </x:c>
      <x:c r="AH499" t="inlineStr">
        <x:is>
          <x:t xml:space="preserve">4. Legal, Privacy &amp; Ethics</x:t>
        </x:is>
      </x:c>
      <x:c r="AI499" t="inlineStr">
        <x:is>
          <x:t xml:space="preserve">Privacy Engineering</x:t>
        </x:is>
      </x:c>
      <x:c r="AJ499" t="inlineStr">
        <x:is>
          <x:t xml:space="preserve">Retention, Purging &amp; Legal Hold</x:t>
        </x:is>
      </x:c>
    </x:row>
    <x:row r="500">
      <x:c r="A500" t="inlineStr">
        <x:is>
          <x:t xml:space="preserve">Legal</x:t>
        </x:is>
      </x:c>
      <x:c r="B500" t="inlineStr">
        <x:is>
          <x:t xml:space="preserve">LEG-D2-Q09</x:t>
        </x:is>
      </x:c>
      <x:c r="C500" t="inlineStr">
        <x:is>
          <x:t xml:space="preserve">T1</x:t>
        </x:is>
      </x:c>
      <x:c r="D500" t="inlineStr">
        <x:is>
          <x:t xml:space="preserve">4. Legal &amp; Privacy</x:t>
        </x:is>
      </x:c>
      <x:c r="E500" t="inlineStr">
        <x:is>
          <x:t xml:space="preserve">L</x:t>
        </x:is>
      </x:c>
      <x:c r="F500" t="n">
        <x:v>0.8</x:v>
      </x:c>
      <x:c r="G500" t="inlineStr">
        <x:is>
          <x:t xml:space="preserve">V</x:t>
        </x:is>
      </x:c>
      <x:c r="H500" t="n">
        <x:v>0.2</x:v>
      </x:c>
      <x:c r="I500" t="inlineStr">
        <x:is>
          <x:t xml:space="preserve">Do we know where monitoring data/logs are stored (countries/cloud regions) and control cross-border transfers?</x:t>
        </x:is>
      </x:c>
      <x:c r="J500" t="inlineStr">
        <x:is>
          <x:t xml:space="preserve">This includes SaaS logs, SIEM, case management, and any outsourced SOC tooling.</x:t>
        </x:is>
      </x:c>
      <x:c r="L500" t="inlineStr">
        <x:is>
          <x:t xml:space="preserve">LEG_STRICT</x:t>
        </x:is>
      </x:c>
      <x:c r="M500" t="n">
        <x:v>1.2</x:v>
      </x:c>
      <x:c r="P500" t="inlineStr">
        <x:is>
          <x:t xml:space="preserve">LEG-D2-Q09-A0</x:t>
        </x:is>
      </x:c>
      <x:c r="Q500" t="n">
        <x:v>1</x:v>
      </x:c>
      <x:c r="R500" t="inlineStr">
        <x:is>
          <x:t xml:space="preserve">I don’t know / not sure.</x:t>
        </x:is>
      </x:c>
      <x:c r="S500" t="n">
        <x:v>0</x:v>
      </x:c>
      <x:c r="T500" t="inlineStr">
        <x:is>
          <x:t xml:space="preserve">unknown</x:t>
        </x:is>
      </x:c>
      <x:c r="U500" t="inlineStr">
        <x:is>
          <x:t xml:space="preserve">Unknown</x:t>
        </x:is>
      </x:c>
      <x:c r="V500" t="inlineStr">
        <x:is>
          <x:t xml:space="preserve">Clarify_Data_Location</x:t>
        </x:is>
      </x:c>
      <x:c r="W500" t="inlineStr">
        <x:is>
          <x:t xml:space="preserve">N</x:t>
        </x:is>
      </x:c>
      <x:c r="Y500">
        <x:f>(S500*IF(E500="G",F500,0))+(S500*IF(G500="G",H500,0))</x:f>
      </x:c>
      <x:c r="Z500">
        <x:f>(S500*IF(E500="E",F500,0))+(S500*IF(G500="E",H500,0))</x:f>
      </x:c>
      <x:c r="AA500">
        <x:f>(S500*IF(E500="T",F500,0))+(S500*IF(G500="T",H500,0))</x:f>
      </x:c>
      <x:c r="AB500">
        <x:f>(S500*IF(E500="L",F500,0))+(S500*IF(G500="L",H500,0))</x:f>
      </x:c>
      <x:c r="AC500">
        <x:f>(S500*IF(E500="H",F500,0))+(S500*IF(G500="H",H500,0))</x:f>
      </x:c>
      <x:c r="AD500">
        <x:f>(S500*IF(E500="V",F500,0))+(S500*IF(G500="V",H500,0))</x:f>
      </x:c>
      <x:c r="AE500">
        <x:f>(S500*IF(E500="R",F500,0))+(S500*IF(G500="R",H500,0))</x:f>
      </x:c>
      <x:c r="AF500">
        <x:f>(S500*IF(E500="F",F500,0))+(S500*IF(G500="F",H500,0))</x:f>
      </x:c>
      <x:c r="AG500">
        <x:f>(S500*IF(E500="W",F500,0))+(S500*IF(G500="W",H500,0))</x:f>
      </x:c>
      <x:c r="AH500" t="inlineStr">
        <x:is>
          <x:t xml:space="preserve">8. Investigation &amp; Response</x:t>
        </x:is>
      </x:c>
      <x:c r="AI500" t="inlineStr">
        <x:is>
          <x:t xml:space="preserve">Operational Readiness</x:t>
        </x:is>
      </x:c>
      <x:c r="AJ500" t="inlineStr">
        <x:is>
          <x:t xml:space="preserve">Case management (process + tooling)</x:t>
        </x:is>
      </x:c>
    </x:row>
    <x:row r="501">
      <x:c r="A501" t="inlineStr">
        <x:is>
          <x:t xml:space="preserve">Legal</x:t>
        </x:is>
      </x:c>
      <x:c r="B501" t="inlineStr">
        <x:is>
          <x:t xml:space="preserve">LEG-D2-Q09</x:t>
        </x:is>
      </x:c>
      <x:c r="C501" t="inlineStr">
        <x:is>
          <x:t xml:space="preserve">T1</x:t>
        </x:is>
      </x:c>
      <x:c r="D501" t="inlineStr">
        <x:is>
          <x:t xml:space="preserve">4. Legal &amp; Privacy</x:t>
        </x:is>
      </x:c>
      <x:c r="E501" t="inlineStr">
        <x:is>
          <x:t xml:space="preserve">L</x:t>
        </x:is>
      </x:c>
      <x:c r="F501" t="n">
        <x:v>0.8</x:v>
      </x:c>
      <x:c r="G501" t="inlineStr">
        <x:is>
          <x:t xml:space="preserve">V</x:t>
        </x:is>
      </x:c>
      <x:c r="H501" t="n">
        <x:v>0.2</x:v>
      </x:c>
      <x:c r="I501" t="inlineStr">
        <x:is>
          <x:t xml:space="preserve">Do we know where monitoring data/logs are stored (countries/cloud regions) and control cross-border transfers?</x:t>
        </x:is>
      </x:c>
      <x:c r="J501" t="inlineStr">
        <x:is>
          <x:t xml:space="preserve">This includes SaaS logs, SIEM, case management, and any outsourced SOC tooling.</x:t>
        </x:is>
      </x:c>
      <x:c r="L501" t="inlineStr">
        <x:is>
          <x:t xml:space="preserve">LEG_STRICT</x:t>
        </x:is>
      </x:c>
      <x:c r="M501" t="n">
        <x:v>1.2</x:v>
      </x:c>
      <x:c r="P501" t="inlineStr">
        <x:is>
          <x:t xml:space="preserve">LEG-D2-Q09-A1</x:t>
        </x:is>
      </x:c>
      <x:c r="Q501" t="n">
        <x:v>2</x:v>
      </x:c>
      <x:c r="R501" t="inlineStr">
        <x:is>
          <x:t xml:space="preserve">No: We don’t track where monitoring data is stored.</x:t>
        </x:is>
      </x:c>
      <x:c r="S501" t="n">
        <x:v>0</x:v>
      </x:c>
      <x:c r="T501" t="inlineStr">
        <x:is>
          <x:t xml:space="preserve">legal_exposure</x:t>
        </x:is>
      </x:c>
      <x:c r="U501" t="inlineStr">
        <x:is>
          <x:t xml:space="preserve">Legal Exposure</x:t>
        </x:is>
      </x:c>
      <x:c r="V501" t="inlineStr">
        <x:is>
          <x:t xml:space="preserve">Map_Data_Location</x:t>
        </x:is>
      </x:c>
      <x:c r="W501" t="inlineStr">
        <x:is>
          <x:t xml:space="preserve">N</x:t>
        </x:is>
      </x:c>
      <x:c r="Y501">
        <x:f>(S501*IF(E501="G",F501,0))+(S501*IF(G501="G",H501,0))</x:f>
      </x:c>
      <x:c r="Z501">
        <x:f>(S501*IF(E501="E",F501,0))+(S501*IF(G501="E",H501,0))</x:f>
      </x:c>
      <x:c r="AA501">
        <x:f>(S501*IF(E501="T",F501,0))+(S501*IF(G501="T",H501,0))</x:f>
      </x:c>
      <x:c r="AB501">
        <x:f>(S501*IF(E501="L",F501,0))+(S501*IF(G501="L",H501,0))</x:f>
      </x:c>
      <x:c r="AC501">
        <x:f>(S501*IF(E501="H",F501,0))+(S501*IF(G501="H",H501,0))</x:f>
      </x:c>
      <x:c r="AD501">
        <x:f>(S501*IF(E501="V",F501,0))+(S501*IF(G501="V",H501,0))</x:f>
      </x:c>
      <x:c r="AE501">
        <x:f>(S501*IF(E501="R",F501,0))+(S501*IF(G501="R",H501,0))</x:f>
      </x:c>
      <x:c r="AF501">
        <x:f>(S501*IF(E501="F",F501,0))+(S501*IF(G501="F",H501,0))</x:f>
      </x:c>
      <x:c r="AG501">
        <x:f>(S501*IF(E501="W",F501,0))+(S501*IF(G501="W",H501,0))</x:f>
      </x:c>
      <x:c r="AH501" t="inlineStr">
        <x:is>
          <x:t xml:space="preserve">8. Investigation &amp; Response</x:t>
        </x:is>
      </x:c>
      <x:c r="AI501" t="inlineStr">
        <x:is>
          <x:t xml:space="preserve">Operational Readiness</x:t>
        </x:is>
      </x:c>
      <x:c r="AJ501" t="inlineStr">
        <x:is>
          <x:t xml:space="preserve">Case management (process + tooling)</x:t>
        </x:is>
      </x:c>
    </x:row>
    <x:row r="502">
      <x:c r="A502" t="inlineStr">
        <x:is>
          <x:t xml:space="preserve">Legal</x:t>
        </x:is>
      </x:c>
      <x:c r="B502" t="inlineStr">
        <x:is>
          <x:t xml:space="preserve">LEG-D2-Q09</x:t>
        </x:is>
      </x:c>
      <x:c r="C502" t="inlineStr">
        <x:is>
          <x:t xml:space="preserve">T1</x:t>
        </x:is>
      </x:c>
      <x:c r="D502" t="inlineStr">
        <x:is>
          <x:t xml:space="preserve">4. Legal &amp; Privacy</x:t>
        </x:is>
      </x:c>
      <x:c r="E502" t="inlineStr">
        <x:is>
          <x:t xml:space="preserve">L</x:t>
        </x:is>
      </x:c>
      <x:c r="F502" t="n">
        <x:v>0.8</x:v>
      </x:c>
      <x:c r="G502" t="inlineStr">
        <x:is>
          <x:t xml:space="preserve">V</x:t>
        </x:is>
      </x:c>
      <x:c r="H502" t="n">
        <x:v>0.2</x:v>
      </x:c>
      <x:c r="I502" t="inlineStr">
        <x:is>
          <x:t xml:space="preserve">Do we know where monitoring data/logs are stored (countries/cloud regions) and control cross-border transfers?</x:t>
        </x:is>
      </x:c>
      <x:c r="J502" t="inlineStr">
        <x:is>
          <x:t xml:space="preserve">This includes SaaS logs, SIEM, case management, and any outsourced SOC tooling.</x:t>
        </x:is>
      </x:c>
      <x:c r="L502" t="inlineStr">
        <x:is>
          <x:t xml:space="preserve">LEG_STRICT</x:t>
        </x:is>
      </x:c>
      <x:c r="M502" t="n">
        <x:v>1.2</x:v>
      </x:c>
      <x:c r="P502" t="inlineStr">
        <x:is>
          <x:t xml:space="preserve">LEG-D2-Q09-A2</x:t>
        </x:is>
      </x:c>
      <x:c r="Q502" t="n">
        <x:v>3</x:v>
      </x:c>
      <x:c r="R502" t="inlineStr">
        <x:is>
          <x:t xml:space="preserve">Partial: Some systems are tracked; others (SaaS/MSSP tools) are unclear.</x:t>
        </x:is>
      </x:c>
      <x:c r="S502" t="n">
        <x:v>1</x:v>
      </x:c>
      <x:c r="T502" t="inlineStr">
        <x:is>
          <x:t xml:space="preserve">visibility_gap</x:t>
        </x:is>
      </x:c>
      <x:c r="U502" t="inlineStr">
        <x:is>
          <x:t xml:space="preserve">Visibility Gap</x:t>
        </x:is>
      </x:c>
      <x:c r="V502" t="inlineStr">
        <x:is>
          <x:t xml:space="preserve">Complete_Data_Flow_Map</x:t>
        </x:is>
      </x:c>
      <x:c r="W502" t="inlineStr">
        <x:is>
          <x:t xml:space="preserve">N</x:t>
        </x:is>
      </x:c>
      <x:c r="Y502">
        <x:f>(S502*IF(E502="G",F502,0))+(S502*IF(G502="G",H502,0))</x:f>
      </x:c>
      <x:c r="Z502">
        <x:f>(S502*IF(E502="E",F502,0))+(S502*IF(G502="E",H502,0))</x:f>
      </x:c>
      <x:c r="AA502">
        <x:f>(S502*IF(E502="T",F502,0))+(S502*IF(G502="T",H502,0))</x:f>
      </x:c>
      <x:c r="AB502">
        <x:f>(S502*IF(E502="L",F502,0))+(S502*IF(G502="L",H502,0))</x:f>
      </x:c>
      <x:c r="AC502">
        <x:f>(S502*IF(E502="H",F502,0))+(S502*IF(G502="H",H502,0))</x:f>
      </x:c>
      <x:c r="AD502">
        <x:f>(S502*IF(E502="V",F502,0))+(S502*IF(G502="V",H502,0))</x:f>
      </x:c>
      <x:c r="AE502">
        <x:f>(S502*IF(E502="R",F502,0))+(S502*IF(G502="R",H502,0))</x:f>
      </x:c>
      <x:c r="AF502">
        <x:f>(S502*IF(E502="F",F502,0))+(S502*IF(G502="F",H502,0))</x:f>
      </x:c>
      <x:c r="AG502">
        <x:f>(S502*IF(E502="W",F502,0))+(S502*IF(G502="W",H502,0))</x:f>
      </x:c>
      <x:c r="AH502" t="inlineStr">
        <x:is>
          <x:t xml:space="preserve">8. Investigation &amp; Response</x:t>
        </x:is>
      </x:c>
      <x:c r="AI502" t="inlineStr">
        <x:is>
          <x:t xml:space="preserve">Operational Readiness</x:t>
        </x:is>
      </x:c>
      <x:c r="AJ502" t="inlineStr">
        <x:is>
          <x:t xml:space="preserve">Case management (process + tooling)</x:t>
        </x:is>
      </x:c>
    </x:row>
    <x:row r="503">
      <x:c r="A503" t="inlineStr">
        <x:is>
          <x:t xml:space="preserve">Legal</x:t>
        </x:is>
      </x:c>
      <x:c r="B503" t="inlineStr">
        <x:is>
          <x:t xml:space="preserve">LEG-D2-Q09</x:t>
        </x:is>
      </x:c>
      <x:c r="C503" t="inlineStr">
        <x:is>
          <x:t xml:space="preserve">T1</x:t>
        </x:is>
      </x:c>
      <x:c r="D503" t="inlineStr">
        <x:is>
          <x:t xml:space="preserve">4. Legal &amp; Privacy</x:t>
        </x:is>
      </x:c>
      <x:c r="E503" t="inlineStr">
        <x:is>
          <x:t xml:space="preserve">L</x:t>
        </x:is>
      </x:c>
      <x:c r="F503" t="n">
        <x:v>0.8</x:v>
      </x:c>
      <x:c r="G503" t="inlineStr">
        <x:is>
          <x:t xml:space="preserve">V</x:t>
        </x:is>
      </x:c>
      <x:c r="H503" t="n">
        <x:v>0.2</x:v>
      </x:c>
      <x:c r="I503" t="inlineStr">
        <x:is>
          <x:t xml:space="preserve">Do we know where monitoring data/logs are stored (countries/cloud regions) and control cross-border transfers?</x:t>
        </x:is>
      </x:c>
      <x:c r="J503" t="inlineStr">
        <x:is>
          <x:t xml:space="preserve">This includes SaaS logs, SIEM, case management, and any outsourced SOC tooling.</x:t>
        </x:is>
      </x:c>
      <x:c r="L503" t="inlineStr">
        <x:is>
          <x:t xml:space="preserve">LEG_STRICT</x:t>
        </x:is>
      </x:c>
      <x:c r="M503" t="n">
        <x:v>1.2</x:v>
      </x:c>
      <x:c r="P503" t="inlineStr">
        <x:is>
          <x:t xml:space="preserve">LEG-D2-Q09-A3</x:t>
        </x:is>
      </x:c>
      <x:c r="Q503" t="n">
        <x:v>4</x:v>
      </x:c>
      <x:c r="R503" t="inlineStr">
        <x:is>
          <x:t xml:space="preserve">Yes: Locations are known and cross-border transfers are documented.</x:t>
        </x:is>
      </x:c>
      <x:c r="S503" t="n">
        <x:v>3</x:v>
      </x:c>
      <x:c r="V503" t="inlineStr">
        <x:is>
          <x:t xml:space="preserve">Evidence_Request_DataFlows</x:t>
        </x:is>
      </x:c>
      <x:c r="W503" t="inlineStr">
        <x:is>
          <x:t xml:space="preserve">N</x:t>
        </x:is>
      </x:c>
      <x:c r="Y503">
        <x:f>(S503*IF(E503="G",F503,0))+(S503*IF(G503="G",H503,0))</x:f>
      </x:c>
      <x:c r="Z503">
        <x:f>(S503*IF(E503="E",F503,0))+(S503*IF(G503="E",H503,0))</x:f>
      </x:c>
      <x:c r="AA503">
        <x:f>(S503*IF(E503="T",F503,0))+(S503*IF(G503="T",H503,0))</x:f>
      </x:c>
      <x:c r="AB503">
        <x:f>(S503*IF(E503="L",F503,0))+(S503*IF(G503="L",H503,0))</x:f>
      </x:c>
      <x:c r="AC503">
        <x:f>(S503*IF(E503="H",F503,0))+(S503*IF(G503="H",H503,0))</x:f>
      </x:c>
      <x:c r="AD503">
        <x:f>(S503*IF(E503="V",F503,0))+(S503*IF(G503="V",H503,0))</x:f>
      </x:c>
      <x:c r="AE503">
        <x:f>(S503*IF(E503="R",F503,0))+(S503*IF(G503="R",H503,0))</x:f>
      </x:c>
      <x:c r="AF503">
        <x:f>(S503*IF(E503="F",F503,0))+(S503*IF(G503="F",H503,0))</x:f>
      </x:c>
      <x:c r="AG503">
        <x:f>(S503*IF(E503="W",F503,0))+(S503*IF(G503="W",H503,0))</x:f>
      </x:c>
      <x:c r="AH503" t="inlineStr">
        <x:is>
          <x:t xml:space="preserve">8. Investigation &amp; Response</x:t>
        </x:is>
      </x:c>
      <x:c r="AI503" t="inlineStr">
        <x:is>
          <x:t xml:space="preserve">Operational Readiness</x:t>
        </x:is>
      </x:c>
      <x:c r="AJ503" t="inlineStr">
        <x:is>
          <x:t xml:space="preserve">Case management (process + tooling)</x:t>
        </x:is>
      </x:c>
    </x:row>
    <x:row r="504">
      <x:c r="A504" t="inlineStr">
        <x:is>
          <x:t xml:space="preserve">Legal</x:t>
        </x:is>
      </x:c>
      <x:c r="B504" t="inlineStr">
        <x:is>
          <x:t xml:space="preserve">LEG-D2-Q09</x:t>
        </x:is>
      </x:c>
      <x:c r="C504" t="inlineStr">
        <x:is>
          <x:t xml:space="preserve">T1</x:t>
        </x:is>
      </x:c>
      <x:c r="D504" t="inlineStr">
        <x:is>
          <x:t xml:space="preserve">4. Legal &amp; Privacy</x:t>
        </x:is>
      </x:c>
      <x:c r="E504" t="inlineStr">
        <x:is>
          <x:t xml:space="preserve">L</x:t>
        </x:is>
      </x:c>
      <x:c r="F504" t="n">
        <x:v>0.8</x:v>
      </x:c>
      <x:c r="G504" t="inlineStr">
        <x:is>
          <x:t xml:space="preserve">V</x:t>
        </x:is>
      </x:c>
      <x:c r="H504" t="n">
        <x:v>0.2</x:v>
      </x:c>
      <x:c r="I504" t="inlineStr">
        <x:is>
          <x:t xml:space="preserve">Do we know where monitoring data/logs are stored (countries/cloud regions) and control cross-border transfers?</x:t>
        </x:is>
      </x:c>
      <x:c r="J504" t="inlineStr">
        <x:is>
          <x:t xml:space="preserve">This includes SaaS logs, SIEM, case management, and any outsourced SOC tooling.</x:t>
        </x:is>
      </x:c>
      <x:c r="L504" t="inlineStr">
        <x:is>
          <x:t xml:space="preserve">LEG_STRICT</x:t>
        </x:is>
      </x:c>
      <x:c r="M504" t="n">
        <x:v>1.2</x:v>
      </x:c>
      <x:c r="P504" t="inlineStr">
        <x:is>
          <x:t xml:space="preserve">LEG-D2-Q09-A4</x:t>
        </x:is>
      </x:c>
      <x:c r="Q504" t="n">
        <x:v>5</x:v>
      </x:c>
      <x:c r="R504" t="inlineStr">
        <x:is>
          <x:t xml:space="preserve">Optimized: Automated controls/geo-fencing and regular validation.</x:t>
        </x:is>
      </x:c>
      <x:c r="S504" t="n">
        <x:v>4</x:v>
      </x:c>
      <x:c r="V504" t="inlineStr">
        <x:is>
          <x:t xml:space="preserve">Maintain_and_Audit</x:t>
        </x:is>
      </x:c>
      <x:c r="W504" t="inlineStr">
        <x:is>
          <x:t xml:space="preserve">N</x:t>
        </x:is>
      </x:c>
      <x:c r="Y504">
        <x:f>(S504*IF(E504="G",F504,0))+(S504*IF(G504="G",H504,0))</x:f>
      </x:c>
      <x:c r="Z504">
        <x:f>(S504*IF(E504="E",F504,0))+(S504*IF(G504="E",H504,0))</x:f>
      </x:c>
      <x:c r="AA504">
        <x:f>(S504*IF(E504="T",F504,0))+(S504*IF(G504="T",H504,0))</x:f>
      </x:c>
      <x:c r="AB504">
        <x:f>(S504*IF(E504="L",F504,0))+(S504*IF(G504="L",H504,0))</x:f>
      </x:c>
      <x:c r="AC504">
        <x:f>(S504*IF(E504="H",F504,0))+(S504*IF(G504="H",H504,0))</x:f>
      </x:c>
      <x:c r="AD504">
        <x:f>(S504*IF(E504="V",F504,0))+(S504*IF(G504="V",H504,0))</x:f>
      </x:c>
      <x:c r="AE504">
        <x:f>(S504*IF(E504="R",F504,0))+(S504*IF(G504="R",H504,0))</x:f>
      </x:c>
      <x:c r="AF504">
        <x:f>(S504*IF(E504="F",F504,0))+(S504*IF(G504="F",H504,0))</x:f>
      </x:c>
      <x:c r="AG504">
        <x:f>(S504*IF(E504="W",F504,0))+(S504*IF(G504="W",H504,0))</x:f>
      </x:c>
      <x:c r="AH504" t="inlineStr">
        <x:is>
          <x:t xml:space="preserve">8. Investigation &amp; Response</x:t>
        </x:is>
      </x:c>
      <x:c r="AI504" t="inlineStr">
        <x:is>
          <x:t xml:space="preserve">Operational Readiness</x:t>
        </x:is>
      </x:c>
      <x:c r="AJ504" t="inlineStr">
        <x:is>
          <x:t xml:space="preserve">Case management (process + tooling)</x:t>
        </x:is>
      </x:c>
    </x:row>
    <x:row r="505">
      <x:c r="A505" t="inlineStr">
        <x:is>
          <x:t xml:space="preserve">Legal</x:t>
        </x:is>
      </x:c>
      <x:c r="B505" t="inlineStr">
        <x:is>
          <x:t xml:space="preserve">LEG-D2-Q10</x:t>
        </x:is>
      </x:c>
      <x:c r="C505" t="inlineStr">
        <x:is>
          <x:t xml:space="preserve">T2</x:t>
        </x:is>
      </x:c>
      <x:c r="D505" t="inlineStr">
        <x:is>
          <x:t xml:space="preserve">4. Legal &amp; Privacy</x:t>
        </x:is>
      </x:c>
      <x:c r="E505" t="inlineStr">
        <x:is>
          <x:t xml:space="preserve">L</x:t>
        </x:is>
      </x:c>
      <x:c r="F505" t="n">
        <x:v>1</x:v>
      </x:c>
      <x:c r="G505" t="inlineStr">
        <x:is>
          <x:t xml:space="preserve">-</x:t>
        </x:is>
      </x:c>
      <x:c r="I505" t="inlineStr">
        <x:is>
          <x:t xml:space="preserve">Can we handle employee requests/complaints about monitoring (e.g., access requests) without breaking investigations or trust?</x:t>
        </x:is>
      </x:c>
      <x:c r="J505" t="inlineStr">
        <x:is>
          <x:t xml:space="preserve">Think: defined process, separation of duties, and clear communications.</x:t>
        </x:is>
      </x:c>
      <x:c r="L505" t="inlineStr">
        <x:is>
          <x:t xml:space="preserve">LEG_STRICT</x:t>
        </x:is>
      </x:c>
      <x:c r="M505" t="n">
        <x:v>1</x:v>
      </x:c>
      <x:c r="P505" t="inlineStr">
        <x:is>
          <x:t xml:space="preserve">LEG-D2-Q10-A0</x:t>
        </x:is>
      </x:c>
      <x:c r="Q505" t="n">
        <x:v>1</x:v>
      </x:c>
      <x:c r="R505" t="inlineStr">
        <x:is>
          <x:t xml:space="preserve">No: We improvise case-by-case; high risk of mistakes.</x:t>
        </x:is>
      </x:c>
      <x:c r="S505" t="n">
        <x:v>0</x:v>
      </x:c>
      <x:c r="T505" t="inlineStr">
        <x:is>
          <x:t xml:space="preserve">legal_exposure</x:t>
        </x:is>
      </x:c>
      <x:c r="U505" t="inlineStr">
        <x:is>
          <x:t xml:space="preserve">Legal Exposure</x:t>
        </x:is>
      </x:c>
      <x:c r="V505" t="inlineStr">
        <x:is>
          <x:t xml:space="preserve">Define_DSAR_Process</x:t>
        </x:is>
      </x:c>
      <x:c r="W505" t="inlineStr">
        <x:is>
          <x:t xml:space="preserve">N</x:t>
        </x:is>
      </x:c>
      <x:c r="Y505">
        <x:f>(S505*IF(E505="G",F505,0))+(S505*IF(G505="G",H505,0))</x:f>
      </x:c>
      <x:c r="Z505">
        <x:f>(S505*IF(E505="E",F505,0))+(S505*IF(G505="E",H505,0))</x:f>
      </x:c>
      <x:c r="AA505">
        <x:f>(S505*IF(E505="T",F505,0))+(S505*IF(G505="T",H505,0))</x:f>
      </x:c>
      <x:c r="AB505">
        <x:f>(S505*IF(E505="L",F505,0))+(S505*IF(G505="L",H505,0))</x:f>
      </x:c>
      <x:c r="AC505">
        <x:f>(S505*IF(E505="H",F505,0))+(S505*IF(G505="H",H505,0))</x:f>
      </x:c>
      <x:c r="AD505">
        <x:f>(S505*IF(E505="V",F505,0))+(S505*IF(G505="V",H505,0))</x:f>
      </x:c>
      <x:c r="AE505">
        <x:f>(S505*IF(E505="R",F505,0))+(S505*IF(G505="R",H505,0))</x:f>
      </x:c>
      <x:c r="AF505">
        <x:f>(S505*IF(E505="F",F505,0))+(S505*IF(G505="F",H505,0))</x:f>
      </x:c>
      <x:c r="AG505">
        <x:f>(S505*IF(E505="W",F505,0))+(S505*IF(G505="W",H505,0))</x:f>
      </x:c>
      <x:c r="AH505" t="inlineStr">
        <x:is>
          <x:t xml:space="preserve">4. Legal, Privacy &amp; Ethics</x:t>
        </x:is>
      </x:c>
      <x:c r="AI505" t="inlineStr">
        <x:is>
          <x:t xml:space="preserve">Oversight &amp; Safeguards</x:t>
        </x:is>
      </x:c>
      <x:c r="AJ505" t="inlineStr">
        <x:is>
          <x:t xml:space="preserve">Monitoring Access Governance</x:t>
        </x:is>
      </x:c>
    </x:row>
    <x:row r="506">
      <x:c r="A506" t="inlineStr">
        <x:is>
          <x:t xml:space="preserve">Legal</x:t>
        </x:is>
      </x:c>
      <x:c r="B506" t="inlineStr">
        <x:is>
          <x:t xml:space="preserve">LEG-D2-Q10</x:t>
        </x:is>
      </x:c>
      <x:c r="C506" t="inlineStr">
        <x:is>
          <x:t xml:space="preserve">T2</x:t>
        </x:is>
      </x:c>
      <x:c r="D506" t="inlineStr">
        <x:is>
          <x:t xml:space="preserve">4. Legal &amp; Privacy</x:t>
        </x:is>
      </x:c>
      <x:c r="E506" t="inlineStr">
        <x:is>
          <x:t xml:space="preserve">L</x:t>
        </x:is>
      </x:c>
      <x:c r="F506" t="n">
        <x:v>1</x:v>
      </x:c>
      <x:c r="G506" t="inlineStr">
        <x:is>
          <x:t xml:space="preserve">-</x:t>
        </x:is>
      </x:c>
      <x:c r="I506" t="inlineStr">
        <x:is>
          <x:t xml:space="preserve">Can we handle employee requests/complaints about monitoring (e.g., access requests) without breaking investigations or trust?</x:t>
        </x:is>
      </x:c>
      <x:c r="J506" t="inlineStr">
        <x:is>
          <x:t xml:space="preserve">Think: defined process, separation of duties, and clear communications.</x:t>
        </x:is>
      </x:c>
      <x:c r="L506" t="inlineStr">
        <x:is>
          <x:t xml:space="preserve">LEG_STRICT</x:t>
        </x:is>
      </x:c>
      <x:c r="M506" t="n">
        <x:v>1</x:v>
      </x:c>
      <x:c r="P506" t="inlineStr">
        <x:is>
          <x:t xml:space="preserve">LEG-D2-Q10-A1</x:t>
        </x:is>
      </x:c>
      <x:c r="Q506" t="n">
        <x:v>2</x:v>
      </x:c>
      <x:c r="R506" t="inlineStr">
        <x:is>
          <x:t xml:space="preserve">Partial: Legal handles it, but operational teams struggle to find records.</x:t>
        </x:is>
      </x:c>
      <x:c r="S506" t="n">
        <x:v>1</x:v>
      </x:c>
      <x:c r="T506" t="inlineStr">
        <x:is>
          <x:t xml:space="preserve">operating_model_gap</x:t>
        </x:is>
      </x:c>
      <x:c r="U506" t="inlineStr">
        <x:is>
          <x:t xml:space="preserve">Operating Model Gap</x:t>
        </x:is>
      </x:c>
      <x:c r="V506" t="inlineStr">
        <x:is>
          <x:t xml:space="preserve">Improve_Record_Retrieval</x:t>
        </x:is>
      </x:c>
      <x:c r="W506" t="inlineStr">
        <x:is>
          <x:t xml:space="preserve">N</x:t>
        </x:is>
      </x:c>
      <x:c r="Y506">
        <x:f>(S506*IF(E506="G",F506,0))+(S506*IF(G506="G",H506,0))</x:f>
      </x:c>
      <x:c r="Z506">
        <x:f>(S506*IF(E506="E",F506,0))+(S506*IF(G506="E",H506,0))</x:f>
      </x:c>
      <x:c r="AA506">
        <x:f>(S506*IF(E506="T",F506,0))+(S506*IF(G506="T",H506,0))</x:f>
      </x:c>
      <x:c r="AB506">
        <x:f>(S506*IF(E506="L",F506,0))+(S506*IF(G506="L",H506,0))</x:f>
      </x:c>
      <x:c r="AC506">
        <x:f>(S506*IF(E506="H",F506,0))+(S506*IF(G506="H",H506,0))</x:f>
      </x:c>
      <x:c r="AD506">
        <x:f>(S506*IF(E506="V",F506,0))+(S506*IF(G506="V",H506,0))</x:f>
      </x:c>
      <x:c r="AE506">
        <x:f>(S506*IF(E506="R",F506,0))+(S506*IF(G506="R",H506,0))</x:f>
      </x:c>
      <x:c r="AF506">
        <x:f>(S506*IF(E506="F",F506,0))+(S506*IF(G506="F",H506,0))</x:f>
      </x:c>
      <x:c r="AG506">
        <x:f>(S506*IF(E506="W",F506,0))+(S506*IF(G506="W",H506,0))</x:f>
      </x:c>
      <x:c r="AH506" t="inlineStr">
        <x:is>
          <x:t xml:space="preserve">4. Legal, Privacy &amp; Ethics</x:t>
        </x:is>
      </x:c>
      <x:c r="AI506" t="inlineStr">
        <x:is>
          <x:t xml:space="preserve">Oversight &amp; Safeguards</x:t>
        </x:is>
      </x:c>
      <x:c r="AJ506" t="inlineStr">
        <x:is>
          <x:t xml:space="preserve">Monitoring Access Governance</x:t>
        </x:is>
      </x:c>
    </x:row>
    <x:row r="507">
      <x:c r="A507" t="inlineStr">
        <x:is>
          <x:t xml:space="preserve">Legal</x:t>
        </x:is>
      </x:c>
      <x:c r="B507" t="inlineStr">
        <x:is>
          <x:t xml:space="preserve">LEG-D2-Q10</x:t>
        </x:is>
      </x:c>
      <x:c r="C507" t="inlineStr">
        <x:is>
          <x:t xml:space="preserve">T2</x:t>
        </x:is>
      </x:c>
      <x:c r="D507" t="inlineStr">
        <x:is>
          <x:t xml:space="preserve">4. Legal &amp; Privacy</x:t>
        </x:is>
      </x:c>
      <x:c r="E507" t="inlineStr">
        <x:is>
          <x:t xml:space="preserve">L</x:t>
        </x:is>
      </x:c>
      <x:c r="F507" t="n">
        <x:v>1</x:v>
      </x:c>
      <x:c r="G507" t="inlineStr">
        <x:is>
          <x:t xml:space="preserve">-</x:t>
        </x:is>
      </x:c>
      <x:c r="I507" t="inlineStr">
        <x:is>
          <x:t xml:space="preserve">Can we handle employee requests/complaints about monitoring (e.g., access requests) without breaking investigations or trust?</x:t>
        </x:is>
      </x:c>
      <x:c r="J507" t="inlineStr">
        <x:is>
          <x:t xml:space="preserve">Think: defined process, separation of duties, and clear communications.</x:t>
        </x:is>
      </x:c>
      <x:c r="L507" t="inlineStr">
        <x:is>
          <x:t xml:space="preserve">LEG_STRICT</x:t>
        </x:is>
      </x:c>
      <x:c r="M507" t="n">
        <x:v>1</x:v>
      </x:c>
      <x:c r="P507" t="inlineStr">
        <x:is>
          <x:t xml:space="preserve">LEG-D2-Q10-A2</x:t>
        </x:is>
      </x:c>
      <x:c r="Q507" t="n">
        <x:v>3</x:v>
      </x:c>
      <x:c r="R507" t="inlineStr">
        <x:is>
          <x:t xml:space="preserve">Yes: Process exists and is tested occasionally.</x:t>
        </x:is>
      </x:c>
      <x:c r="S507" t="n">
        <x:v>3</x:v>
      </x:c>
      <x:c r="V507" t="inlineStr">
        <x:is>
          <x:t xml:space="preserve">Evidence_Request_Process</x:t>
        </x:is>
      </x:c>
      <x:c r="W507" t="inlineStr">
        <x:is>
          <x:t xml:space="preserve">N</x:t>
        </x:is>
      </x:c>
      <x:c r="Y507">
        <x:f>(S507*IF(E507="G",F507,0))+(S507*IF(G507="G",H507,0))</x:f>
      </x:c>
      <x:c r="Z507">
        <x:f>(S507*IF(E507="E",F507,0))+(S507*IF(G507="E",H507,0))</x:f>
      </x:c>
      <x:c r="AA507">
        <x:f>(S507*IF(E507="T",F507,0))+(S507*IF(G507="T",H507,0))</x:f>
      </x:c>
      <x:c r="AB507">
        <x:f>(S507*IF(E507="L",F507,0))+(S507*IF(G507="L",H507,0))</x:f>
      </x:c>
      <x:c r="AC507">
        <x:f>(S507*IF(E507="H",F507,0))+(S507*IF(G507="H",H507,0))</x:f>
      </x:c>
      <x:c r="AD507">
        <x:f>(S507*IF(E507="V",F507,0))+(S507*IF(G507="V",H507,0))</x:f>
      </x:c>
      <x:c r="AE507">
        <x:f>(S507*IF(E507="R",F507,0))+(S507*IF(G507="R",H507,0))</x:f>
      </x:c>
      <x:c r="AF507">
        <x:f>(S507*IF(E507="F",F507,0))+(S507*IF(G507="F",H507,0))</x:f>
      </x:c>
      <x:c r="AG507">
        <x:f>(S507*IF(E507="W",F507,0))+(S507*IF(G507="W",H507,0))</x:f>
      </x:c>
      <x:c r="AH507" t="inlineStr">
        <x:is>
          <x:t xml:space="preserve">4. Legal, Privacy &amp; Ethics</x:t>
        </x:is>
      </x:c>
      <x:c r="AI507" t="inlineStr">
        <x:is>
          <x:t xml:space="preserve">Oversight &amp; Safeguards</x:t>
        </x:is>
      </x:c>
      <x:c r="AJ507" t="inlineStr">
        <x:is>
          <x:t xml:space="preserve">Monitoring Access Governance</x:t>
        </x:is>
      </x:c>
    </x:row>
    <x:row r="508">
      <x:c r="A508" t="inlineStr">
        <x:is>
          <x:t xml:space="preserve">Legal</x:t>
        </x:is>
      </x:c>
      <x:c r="B508" t="inlineStr">
        <x:is>
          <x:t xml:space="preserve">LEG-D2-Q10</x:t>
        </x:is>
      </x:c>
      <x:c r="C508" t="inlineStr">
        <x:is>
          <x:t xml:space="preserve">T2</x:t>
        </x:is>
      </x:c>
      <x:c r="D508" t="inlineStr">
        <x:is>
          <x:t xml:space="preserve">4. Legal &amp; Privacy</x:t>
        </x:is>
      </x:c>
      <x:c r="E508" t="inlineStr">
        <x:is>
          <x:t xml:space="preserve">L</x:t>
        </x:is>
      </x:c>
      <x:c r="F508" t="n">
        <x:v>1</x:v>
      </x:c>
      <x:c r="G508" t="inlineStr">
        <x:is>
          <x:t xml:space="preserve">-</x:t>
        </x:is>
      </x:c>
      <x:c r="I508" t="inlineStr">
        <x:is>
          <x:t xml:space="preserve">Can we handle employee requests/complaints about monitoring (e.g., access requests) without breaking investigations or trust?</x:t>
        </x:is>
      </x:c>
      <x:c r="J508" t="inlineStr">
        <x:is>
          <x:t xml:space="preserve">Think: defined process, separation of duties, and clear communications.</x:t>
        </x:is>
      </x:c>
      <x:c r="L508" t="inlineStr">
        <x:is>
          <x:t xml:space="preserve">LEG_STRICT</x:t>
        </x:is>
      </x:c>
      <x:c r="M508" t="n">
        <x:v>1</x:v>
      </x:c>
      <x:c r="P508" t="inlineStr">
        <x:is>
          <x:t xml:space="preserve">LEG-D2-Q10-A3</x:t>
        </x:is>
      </x:c>
      <x:c r="Q508" t="n">
        <x:v>4</x:v>
      </x:c>
      <x:c r="R508" t="inlineStr">
        <x:is>
          <x:t xml:space="preserve">Optimized: Clear playbook, separation of duties, and metrics on response quality/time.</x:t>
        </x:is>
      </x:c>
      <x:c r="S508" t="n">
        <x:v>4</x:v>
      </x:c>
      <x:c r="V508" t="inlineStr">
        <x:is>
          <x:t xml:space="preserve">Maintain_and_Audit</x:t>
        </x:is>
      </x:c>
      <x:c r="W508" t="inlineStr">
        <x:is>
          <x:t xml:space="preserve">N</x:t>
        </x:is>
      </x:c>
      <x:c r="Y508">
        <x:f>(S508*IF(E508="G",F508,0))+(S508*IF(G508="G",H508,0))</x:f>
      </x:c>
      <x:c r="Z508">
        <x:f>(S508*IF(E508="E",F508,0))+(S508*IF(G508="E",H508,0))</x:f>
      </x:c>
      <x:c r="AA508">
        <x:f>(S508*IF(E508="T",F508,0))+(S508*IF(G508="T",H508,0))</x:f>
      </x:c>
      <x:c r="AB508">
        <x:f>(S508*IF(E508="L",F508,0))+(S508*IF(G508="L",H508,0))</x:f>
      </x:c>
      <x:c r="AC508">
        <x:f>(S508*IF(E508="H",F508,0))+(S508*IF(G508="H",H508,0))</x:f>
      </x:c>
      <x:c r="AD508">
        <x:f>(S508*IF(E508="V",F508,0))+(S508*IF(G508="V",H508,0))</x:f>
      </x:c>
      <x:c r="AE508">
        <x:f>(S508*IF(E508="R",F508,0))+(S508*IF(G508="R",H508,0))</x:f>
      </x:c>
      <x:c r="AF508">
        <x:f>(S508*IF(E508="F",F508,0))+(S508*IF(G508="F",H508,0))</x:f>
      </x:c>
      <x:c r="AG508">
        <x:f>(S508*IF(E508="W",F508,0))+(S508*IF(G508="W",H508,0))</x:f>
      </x:c>
      <x:c r="AH508" t="inlineStr">
        <x:is>
          <x:t xml:space="preserve">4. Legal, Privacy &amp; Ethics</x:t>
        </x:is>
      </x:c>
      <x:c r="AI508" t="inlineStr">
        <x:is>
          <x:t xml:space="preserve">Oversight &amp; Safeguards</x:t>
        </x:is>
      </x:c>
      <x:c r="AJ508" t="inlineStr">
        <x:is>
          <x:t xml:space="preserve">Monitoring Access Governance</x:t>
        </x:is>
      </x:c>
    </x:row>
    <x:row r="509">
      <x:c r="A509" t="inlineStr">
        <x:is>
          <x:t xml:space="preserve">Legal</x:t>
        </x:is>
      </x:c>
      <x:c r="B509" t="inlineStr">
        <x:is>
          <x:t xml:space="preserve">LEG-D3-Q11</x:t>
        </x:is>
      </x:c>
      <x:c r="C509" t="inlineStr">
        <x:is>
          <x:t xml:space="preserve">T1</x:t>
        </x:is>
      </x:c>
      <x:c r="D509" t="inlineStr">
        <x:is>
          <x:t xml:space="preserve">8. Response &amp; Investigations</x:t>
        </x:is>
      </x:c>
      <x:c r="E509" t="inlineStr">
        <x:is>
          <x:t xml:space="preserve">L</x:t>
        </x:is>
      </x:c>
      <x:c r="F509" t="n">
        <x:v>0.5</x:v>
      </x:c>
      <x:c r="G509" t="inlineStr">
        <x:is>
          <x:t xml:space="preserve">R</x:t>
        </x:is>
      </x:c>
      <x:c r="H509" t="n">
        <x:v>0.5</x:v>
      </x:c>
      <x:c r="I509" t="inlineStr">
        <x:is>
          <x:t xml:space="preserve">Do we have a documented chain-of-custody process for insider investigations evidence (logs, devices, files)?</x:t>
        </x:is>
      </x:c>
      <x:c r="J509" t="inlineStr">
        <x:is>
          <x:t xml:space="preserve">Evidence should stand up in HR hearings/court: what was collected, by whom, when, how stored, who accessed.</x:t>
        </x:is>
      </x:c>
      <x:c r="L509" t="inlineStr">
        <x:is>
          <x:t xml:space="preserve">LEG_STRICT</x:t>
        </x:is>
      </x:c>
      <x:c r="M509" t="n">
        <x:v>1.4</x:v>
      </x:c>
      <x:c r="N509" t="n">
        <x:v>0.5</x:v>
      </x:c>
      <x:c r="P509" t="inlineStr">
        <x:is>
          <x:t xml:space="preserve">LEG-D3-Q11-A0</x:t>
        </x:is>
      </x:c>
      <x:c r="Q509" t="n">
        <x:v>1</x:v>
      </x:c>
      <x:c r="R509" t="inlineStr">
        <x:is>
          <x:t xml:space="preserve">I don’t know / not sure.</x:t>
        </x:is>
      </x:c>
      <x:c r="S509" t="n">
        <x:v>0</x:v>
      </x:c>
      <x:c r="T509" t="inlineStr">
        <x:is>
          <x:t xml:space="preserve">unknown</x:t>
        </x:is>
      </x:c>
      <x:c r="U509" t="inlineStr">
        <x:is>
          <x:t xml:space="preserve">Unknown</x:t>
        </x:is>
      </x:c>
      <x:c r="V509" t="inlineStr">
        <x:is>
          <x:t xml:space="preserve">Clarify_Evidence_Process</x:t>
        </x:is>
      </x:c>
      <x:c r="W509" t="inlineStr">
        <x:is>
          <x:t xml:space="preserve">N</x:t>
        </x:is>
      </x:c>
      <x:c r="Y509">
        <x:f>(S509*IF(E509="G",F509,0))+(S509*IF(G509="G",H509,0))</x:f>
      </x:c>
      <x:c r="Z509">
        <x:f>(S509*IF(E509="E",F509,0))+(S509*IF(G509="E",H509,0))</x:f>
      </x:c>
      <x:c r="AA509">
        <x:f>(S509*IF(E509="T",F509,0))+(S509*IF(G509="T",H509,0))</x:f>
      </x:c>
      <x:c r="AB509">
        <x:f>(S509*IF(E509="L",F509,0))+(S509*IF(G509="L",H509,0))</x:f>
      </x:c>
      <x:c r="AC509">
        <x:f>(S509*IF(E509="H",F509,0))+(S509*IF(G509="H",H509,0))</x:f>
      </x:c>
      <x:c r="AD509">
        <x:f>(S509*IF(E509="V",F509,0))+(S509*IF(G509="V",H509,0))</x:f>
      </x:c>
      <x:c r="AE509">
        <x:f>(S509*IF(E509="R",F509,0))+(S509*IF(G509="R",H509,0))</x:f>
      </x:c>
      <x:c r="AF509">
        <x:f>(S509*IF(E509="F",F509,0))+(S509*IF(G509="F",H509,0))</x:f>
      </x:c>
      <x:c r="AG509">
        <x:f>(S509*IF(E509="W",F509,0))+(S509*IF(G509="W",H509,0))</x:f>
      </x:c>
      <x:c r="AH509" t="inlineStr">
        <x:is>
          <x:t xml:space="preserve">8. Investigation &amp; Response</x:t>
        </x:is>
      </x:c>
      <x:c r="AI509" t="inlineStr">
        <x:is>
          <x:t xml:space="preserve">Operational Readiness</x:t>
        </x:is>
      </x:c>
      <x:c r="AJ509" t="inlineStr">
        <x:is>
          <x:t xml:space="preserve">Forensic readiness &amp; evidence preservation</x:t>
        </x:is>
      </x:c>
    </x:row>
    <x:row r="510">
      <x:c r="A510" t="inlineStr">
        <x:is>
          <x:t xml:space="preserve">Legal</x:t>
        </x:is>
      </x:c>
      <x:c r="B510" t="inlineStr">
        <x:is>
          <x:t xml:space="preserve">LEG-D3-Q11</x:t>
        </x:is>
      </x:c>
      <x:c r="C510" t="inlineStr">
        <x:is>
          <x:t xml:space="preserve">T1</x:t>
        </x:is>
      </x:c>
      <x:c r="D510" t="inlineStr">
        <x:is>
          <x:t xml:space="preserve">8. Response &amp; Investigations</x:t>
        </x:is>
      </x:c>
      <x:c r="E510" t="inlineStr">
        <x:is>
          <x:t xml:space="preserve">L</x:t>
        </x:is>
      </x:c>
      <x:c r="F510" t="n">
        <x:v>0.5</x:v>
      </x:c>
      <x:c r="G510" t="inlineStr">
        <x:is>
          <x:t xml:space="preserve">R</x:t>
        </x:is>
      </x:c>
      <x:c r="H510" t="n">
        <x:v>0.5</x:v>
      </x:c>
      <x:c r="I510" t="inlineStr">
        <x:is>
          <x:t xml:space="preserve">Do we have a documented chain-of-custody process for insider investigations evidence (logs, devices, files)?</x:t>
        </x:is>
      </x:c>
      <x:c r="J510" t="inlineStr">
        <x:is>
          <x:t xml:space="preserve">Evidence should stand up in HR hearings/court: what was collected, by whom, when, how stored, who accessed.</x:t>
        </x:is>
      </x:c>
      <x:c r="L510" t="inlineStr">
        <x:is>
          <x:t xml:space="preserve">LEG_STRICT</x:t>
        </x:is>
      </x:c>
      <x:c r="M510" t="n">
        <x:v>1.4</x:v>
      </x:c>
      <x:c r="N510" t="n">
        <x:v>0.5</x:v>
      </x:c>
      <x:c r="P510" t="inlineStr">
        <x:is>
          <x:t xml:space="preserve">LEG-D3-Q11-A1</x:t>
        </x:is>
      </x:c>
      <x:c r="Q510" t="n">
        <x:v>2</x:v>
      </x:c>
      <x:c r="R510" t="inlineStr">
        <x:is>
          <x:t xml:space="preserve">No: Evidence handling is informal (screenshots, shared folders).</x:t>
        </x:is>
      </x:c>
      <x:c r="S510" t="n">
        <x:v>0</x:v>
      </x:c>
      <x:c r="T510" t="inlineStr">
        <x:is>
          <x:t xml:space="preserve">legal_exposure</x:t>
        </x:is>
      </x:c>
      <x:c r="U510" t="inlineStr">
        <x:is>
          <x:t xml:space="preserve">Legal Exposure</x:t>
        </x:is>
      </x:c>
      <x:c r="V510" t="inlineStr">
        <x:is>
          <x:t xml:space="preserve">Implement_ChainOfCustody</x:t>
        </x:is>
      </x:c>
      <x:c r="W510" t="inlineStr">
        <x:is>
          <x:t xml:space="preserve">N</x:t>
        </x:is>
      </x:c>
      <x:c r="Y510">
        <x:f>(S510*IF(E510="G",F510,0))+(S510*IF(G510="G",H510,0))</x:f>
      </x:c>
      <x:c r="Z510">
        <x:f>(S510*IF(E510="E",F510,0))+(S510*IF(G510="E",H510,0))</x:f>
      </x:c>
      <x:c r="AA510">
        <x:f>(S510*IF(E510="T",F510,0))+(S510*IF(G510="T",H510,0))</x:f>
      </x:c>
      <x:c r="AB510">
        <x:f>(S510*IF(E510="L",F510,0))+(S510*IF(G510="L",H510,0))</x:f>
      </x:c>
      <x:c r="AC510">
        <x:f>(S510*IF(E510="H",F510,0))+(S510*IF(G510="H",H510,0))</x:f>
      </x:c>
      <x:c r="AD510">
        <x:f>(S510*IF(E510="V",F510,0))+(S510*IF(G510="V",H510,0))</x:f>
      </x:c>
      <x:c r="AE510">
        <x:f>(S510*IF(E510="R",F510,0))+(S510*IF(G510="R",H510,0))</x:f>
      </x:c>
      <x:c r="AF510">
        <x:f>(S510*IF(E510="F",F510,0))+(S510*IF(G510="F",H510,0))</x:f>
      </x:c>
      <x:c r="AG510">
        <x:f>(S510*IF(E510="W",F510,0))+(S510*IF(G510="W",H510,0))</x:f>
      </x:c>
      <x:c r="AH510" t="inlineStr">
        <x:is>
          <x:t xml:space="preserve">8. Investigation &amp; Response</x:t>
        </x:is>
      </x:c>
      <x:c r="AI510" t="inlineStr">
        <x:is>
          <x:t xml:space="preserve">Operational Readiness</x:t>
        </x:is>
      </x:c>
      <x:c r="AJ510" t="inlineStr">
        <x:is>
          <x:t xml:space="preserve">Forensic readiness &amp; evidence preservation</x:t>
        </x:is>
      </x:c>
    </x:row>
    <x:row r="511">
      <x:c r="A511" t="inlineStr">
        <x:is>
          <x:t xml:space="preserve">Legal</x:t>
        </x:is>
      </x:c>
      <x:c r="B511" t="inlineStr">
        <x:is>
          <x:t xml:space="preserve">LEG-D3-Q11</x:t>
        </x:is>
      </x:c>
      <x:c r="C511" t="inlineStr">
        <x:is>
          <x:t xml:space="preserve">T1</x:t>
        </x:is>
      </x:c>
      <x:c r="D511" t="inlineStr">
        <x:is>
          <x:t xml:space="preserve">8. Response &amp; Investigations</x:t>
        </x:is>
      </x:c>
      <x:c r="E511" t="inlineStr">
        <x:is>
          <x:t xml:space="preserve">L</x:t>
        </x:is>
      </x:c>
      <x:c r="F511" t="n">
        <x:v>0.5</x:v>
      </x:c>
      <x:c r="G511" t="inlineStr">
        <x:is>
          <x:t xml:space="preserve">R</x:t>
        </x:is>
      </x:c>
      <x:c r="H511" t="n">
        <x:v>0.5</x:v>
      </x:c>
      <x:c r="I511" t="inlineStr">
        <x:is>
          <x:t xml:space="preserve">Do we have a documented chain-of-custody process for insider investigations evidence (logs, devices, files)?</x:t>
        </x:is>
      </x:c>
      <x:c r="J511" t="inlineStr">
        <x:is>
          <x:t xml:space="preserve">Evidence should stand up in HR hearings/court: what was collected, by whom, when, how stored, who accessed.</x:t>
        </x:is>
      </x:c>
      <x:c r="L511" t="inlineStr">
        <x:is>
          <x:t xml:space="preserve">LEG_STRICT</x:t>
        </x:is>
      </x:c>
      <x:c r="M511" t="n">
        <x:v>1.4</x:v>
      </x:c>
      <x:c r="N511" t="n">
        <x:v>0.5</x:v>
      </x:c>
      <x:c r="P511" t="inlineStr">
        <x:is>
          <x:t xml:space="preserve">LEG-D3-Q11-A2</x:t>
        </x:is>
      </x:c>
      <x:c r="Q511" t="n">
        <x:v>3</x:v>
      </x:c>
      <x:c r="R511" t="inlineStr">
        <x:is>
          <x:t xml:space="preserve">Partial: Forms exist but are not consistently used.</x:t>
        </x:is>
      </x:c>
      <x:c r="S511" t="n">
        <x:v>1</x:v>
      </x:c>
      <x:c r="T511" t="inlineStr">
        <x:is>
          <x:t xml:space="preserve">paper_dragon_signal</x:t>
        </x:is>
      </x:c>
      <x:c r="U511" t="inlineStr">
        <x:is>
          <x:t xml:space="preserve">Paper Dragon</x:t>
        </x:is>
      </x:c>
      <x:c r="V511" t="inlineStr">
        <x:is>
          <x:t xml:space="preserve">Operationalize_ChainOfCustody</x:t>
        </x:is>
      </x:c>
      <x:c r="W511" t="inlineStr">
        <x:is>
          <x:t xml:space="preserve">N</x:t>
        </x:is>
      </x:c>
      <x:c r="Y511">
        <x:f>(S511*IF(E511="G",F511,0))+(S511*IF(G511="G",H511,0))</x:f>
      </x:c>
      <x:c r="Z511">
        <x:f>(S511*IF(E511="E",F511,0))+(S511*IF(G511="E",H511,0))</x:f>
      </x:c>
      <x:c r="AA511">
        <x:f>(S511*IF(E511="T",F511,0))+(S511*IF(G511="T",H511,0))</x:f>
      </x:c>
      <x:c r="AB511">
        <x:f>(S511*IF(E511="L",F511,0))+(S511*IF(G511="L",H511,0))</x:f>
      </x:c>
      <x:c r="AC511">
        <x:f>(S511*IF(E511="H",F511,0))+(S511*IF(G511="H",H511,0))</x:f>
      </x:c>
      <x:c r="AD511">
        <x:f>(S511*IF(E511="V",F511,0))+(S511*IF(G511="V",H511,0))</x:f>
      </x:c>
      <x:c r="AE511">
        <x:f>(S511*IF(E511="R",F511,0))+(S511*IF(G511="R",H511,0))</x:f>
      </x:c>
      <x:c r="AF511">
        <x:f>(S511*IF(E511="F",F511,0))+(S511*IF(G511="F",H511,0))</x:f>
      </x:c>
      <x:c r="AG511">
        <x:f>(S511*IF(E511="W",F511,0))+(S511*IF(G511="W",H511,0))</x:f>
      </x:c>
      <x:c r="AH511" t="inlineStr">
        <x:is>
          <x:t xml:space="preserve">8. Investigation &amp; Response</x:t>
        </x:is>
      </x:c>
      <x:c r="AI511" t="inlineStr">
        <x:is>
          <x:t xml:space="preserve">Operational Readiness</x:t>
        </x:is>
      </x:c>
      <x:c r="AJ511" t="inlineStr">
        <x:is>
          <x:t xml:space="preserve">Forensic readiness &amp; evidence preservation</x:t>
        </x:is>
      </x:c>
    </x:row>
    <x:row r="512">
      <x:c r="A512" t="inlineStr">
        <x:is>
          <x:t xml:space="preserve">Legal</x:t>
        </x:is>
      </x:c>
      <x:c r="B512" t="inlineStr">
        <x:is>
          <x:t xml:space="preserve">LEG-D3-Q11</x:t>
        </x:is>
      </x:c>
      <x:c r="C512" t="inlineStr">
        <x:is>
          <x:t xml:space="preserve">T1</x:t>
        </x:is>
      </x:c>
      <x:c r="D512" t="inlineStr">
        <x:is>
          <x:t xml:space="preserve">8. Response &amp; Investigations</x:t>
        </x:is>
      </x:c>
      <x:c r="E512" t="inlineStr">
        <x:is>
          <x:t xml:space="preserve">L</x:t>
        </x:is>
      </x:c>
      <x:c r="F512" t="n">
        <x:v>0.5</x:v>
      </x:c>
      <x:c r="G512" t="inlineStr">
        <x:is>
          <x:t xml:space="preserve">R</x:t>
        </x:is>
      </x:c>
      <x:c r="H512" t="n">
        <x:v>0.5</x:v>
      </x:c>
      <x:c r="I512" t="inlineStr">
        <x:is>
          <x:t xml:space="preserve">Do we have a documented chain-of-custody process for insider investigations evidence (logs, devices, files)?</x:t>
        </x:is>
      </x:c>
      <x:c r="J512" t="inlineStr">
        <x:is>
          <x:t xml:space="preserve">Evidence should stand up in HR hearings/court: what was collected, by whom, when, how stored, who accessed.</x:t>
        </x:is>
      </x:c>
      <x:c r="L512" t="inlineStr">
        <x:is>
          <x:t xml:space="preserve">LEG_STRICT</x:t>
        </x:is>
      </x:c>
      <x:c r="M512" t="n">
        <x:v>1.4</x:v>
      </x:c>
      <x:c r="N512" t="n">
        <x:v>0.5</x:v>
      </x:c>
      <x:c r="P512" t="inlineStr">
        <x:is>
          <x:t xml:space="preserve">LEG-D3-Q11-A3</x:t>
        </x:is>
      </x:c>
      <x:c r="Q512" t="n">
        <x:v>4</x:v>
      </x:c>
      <x:c r="R512" t="inlineStr">
        <x:is>
          <x:t xml:space="preserve">Yes: Process is used for most cases and audited occasionally.</x:t>
        </x:is>
      </x:c>
      <x:c r="S512" t="n">
        <x:v>3</x:v>
      </x:c>
      <x:c r="V512" t="inlineStr">
        <x:is>
          <x:t xml:space="preserve">Evidence_Request_CoC</x:t>
        </x:is>
      </x:c>
      <x:c r="W512" t="inlineStr">
        <x:is>
          <x:t xml:space="preserve">N</x:t>
        </x:is>
      </x:c>
      <x:c r="Y512">
        <x:f>(S512*IF(E512="G",F512,0))+(S512*IF(G512="G",H512,0))</x:f>
      </x:c>
      <x:c r="Z512">
        <x:f>(S512*IF(E512="E",F512,0))+(S512*IF(G512="E",H512,0))</x:f>
      </x:c>
      <x:c r="AA512">
        <x:f>(S512*IF(E512="T",F512,0))+(S512*IF(G512="T",H512,0))</x:f>
      </x:c>
      <x:c r="AB512">
        <x:f>(S512*IF(E512="L",F512,0))+(S512*IF(G512="L",H512,0))</x:f>
      </x:c>
      <x:c r="AC512">
        <x:f>(S512*IF(E512="H",F512,0))+(S512*IF(G512="H",H512,0))</x:f>
      </x:c>
      <x:c r="AD512">
        <x:f>(S512*IF(E512="V",F512,0))+(S512*IF(G512="V",H512,0))</x:f>
      </x:c>
      <x:c r="AE512">
        <x:f>(S512*IF(E512="R",F512,0))+(S512*IF(G512="R",H512,0))</x:f>
      </x:c>
      <x:c r="AF512">
        <x:f>(S512*IF(E512="F",F512,0))+(S512*IF(G512="F",H512,0))</x:f>
      </x:c>
      <x:c r="AG512">
        <x:f>(S512*IF(E512="W",F512,0))+(S512*IF(G512="W",H512,0))</x:f>
      </x:c>
      <x:c r="AH512" t="inlineStr">
        <x:is>
          <x:t xml:space="preserve">8. Investigation &amp; Response</x:t>
        </x:is>
      </x:c>
      <x:c r="AI512" t="inlineStr">
        <x:is>
          <x:t xml:space="preserve">Operational Readiness</x:t>
        </x:is>
      </x:c>
      <x:c r="AJ512" t="inlineStr">
        <x:is>
          <x:t xml:space="preserve">Forensic readiness &amp; evidence preservation</x:t>
        </x:is>
      </x:c>
    </x:row>
    <x:row r="513">
      <x:c r="A513" t="inlineStr">
        <x:is>
          <x:t xml:space="preserve">Legal</x:t>
        </x:is>
      </x:c>
      <x:c r="B513" t="inlineStr">
        <x:is>
          <x:t xml:space="preserve">LEG-D3-Q11</x:t>
        </x:is>
      </x:c>
      <x:c r="C513" t="inlineStr">
        <x:is>
          <x:t xml:space="preserve">T1</x:t>
        </x:is>
      </x:c>
      <x:c r="D513" t="inlineStr">
        <x:is>
          <x:t xml:space="preserve">8. Response &amp; Investigations</x:t>
        </x:is>
      </x:c>
      <x:c r="E513" t="inlineStr">
        <x:is>
          <x:t xml:space="preserve">L</x:t>
        </x:is>
      </x:c>
      <x:c r="F513" t="n">
        <x:v>0.5</x:v>
      </x:c>
      <x:c r="G513" t="inlineStr">
        <x:is>
          <x:t xml:space="preserve">R</x:t>
        </x:is>
      </x:c>
      <x:c r="H513" t="n">
        <x:v>0.5</x:v>
      </x:c>
      <x:c r="I513" t="inlineStr">
        <x:is>
          <x:t xml:space="preserve">Do we have a documented chain-of-custody process for insider investigations evidence (logs, devices, files)?</x:t>
        </x:is>
      </x:c>
      <x:c r="J513" t="inlineStr">
        <x:is>
          <x:t xml:space="preserve">Evidence should stand up in HR hearings/court: what was collected, by whom, when, how stored, who accessed.</x:t>
        </x:is>
      </x:c>
      <x:c r="L513" t="inlineStr">
        <x:is>
          <x:t xml:space="preserve">LEG_STRICT</x:t>
        </x:is>
      </x:c>
      <x:c r="M513" t="n">
        <x:v>1.4</x:v>
      </x:c>
      <x:c r="N513" t="n">
        <x:v>0.5</x:v>
      </x:c>
      <x:c r="P513" t="inlineStr">
        <x:is>
          <x:t xml:space="preserve">LEG-D3-Q11-A4</x:t>
        </x:is>
      </x:c>
      <x:c r="Q513" t="n">
        <x:v>5</x:v>
      </x:c>
      <x:c r="R513" t="inlineStr">
        <x:is>
          <x:t xml:space="preserve">Optimized: Tamper-resistant logging + independent verification for critical cases.</x:t>
        </x:is>
      </x:c>
      <x:c r="S513" t="n">
        <x:v>4</x:v>
      </x:c>
      <x:c r="V513" t="inlineStr">
        <x:is>
          <x:t xml:space="preserve">Maintain_and_Audit</x:t>
        </x:is>
      </x:c>
      <x:c r="W513" t="inlineStr">
        <x:is>
          <x:t xml:space="preserve">N</x:t>
        </x:is>
      </x:c>
      <x:c r="Y513">
        <x:f>(S513*IF(E513="G",F513,0))+(S513*IF(G513="G",H513,0))</x:f>
      </x:c>
      <x:c r="Z513">
        <x:f>(S513*IF(E513="E",F513,0))+(S513*IF(G513="E",H513,0))</x:f>
      </x:c>
      <x:c r="AA513">
        <x:f>(S513*IF(E513="T",F513,0))+(S513*IF(G513="T",H513,0))</x:f>
      </x:c>
      <x:c r="AB513">
        <x:f>(S513*IF(E513="L",F513,0))+(S513*IF(G513="L",H513,0))</x:f>
      </x:c>
      <x:c r="AC513">
        <x:f>(S513*IF(E513="H",F513,0))+(S513*IF(G513="H",H513,0))</x:f>
      </x:c>
      <x:c r="AD513">
        <x:f>(S513*IF(E513="V",F513,0))+(S513*IF(G513="V",H513,0))</x:f>
      </x:c>
      <x:c r="AE513">
        <x:f>(S513*IF(E513="R",F513,0))+(S513*IF(G513="R",H513,0))</x:f>
      </x:c>
      <x:c r="AF513">
        <x:f>(S513*IF(E513="F",F513,0))+(S513*IF(G513="F",H513,0))</x:f>
      </x:c>
      <x:c r="AG513">
        <x:f>(S513*IF(E513="W",F513,0))+(S513*IF(G513="W",H513,0))</x:f>
      </x:c>
      <x:c r="AH513" t="inlineStr">
        <x:is>
          <x:t xml:space="preserve">8. Investigation &amp; Response</x:t>
        </x:is>
      </x:c>
      <x:c r="AI513" t="inlineStr">
        <x:is>
          <x:t xml:space="preserve">Operational Readiness</x:t>
        </x:is>
      </x:c>
      <x:c r="AJ513" t="inlineStr">
        <x:is>
          <x:t xml:space="preserve">Forensic readiness &amp; evidence preservation</x:t>
        </x:is>
      </x:c>
    </x:row>
    <x:row r="514">
      <x:c r="A514" t="inlineStr">
        <x:is>
          <x:t xml:space="preserve">Legal</x:t>
        </x:is>
      </x:c>
      <x:c r="B514" t="inlineStr">
        <x:is>
          <x:t xml:space="preserve">LEG-D3-Q12</x:t>
        </x:is>
      </x:c>
      <x:c r="C514" t="inlineStr">
        <x:is>
          <x:t xml:space="preserve">T2</x:t>
        </x:is>
      </x:c>
      <x:c r="D514" t="inlineStr">
        <x:is>
          <x:t xml:space="preserve">8. Response &amp; Investigations</x:t>
        </x:is>
      </x:c>
      <x:c r="E514" t="inlineStr">
        <x:is>
          <x:t xml:space="preserve">R</x:t>
        </x:is>
      </x:c>
      <x:c r="F514" t="n">
        <x:v>0.5</x:v>
      </x:c>
      <x:c r="G514" t="inlineStr">
        <x:is>
          <x:t xml:space="preserve">T</x:t>
        </x:is>
      </x:c>
      <x:c r="H514" t="n">
        <x:v>0.5</x:v>
      </x:c>
      <x:c r="I514" t="inlineStr">
        <x:is>
          <x:t xml:space="preserve">For serious cases, do we have forensic-ready tooling/processes (e.g., preserved logs, secure collection, specialist support)?</x:t>
        </x:is>
      </x:c>
      <x:c r="J514" t="inlineStr">
        <x:is>
          <x:t xml:space="preserve">This is about being able to investigate quickly without contaminating evidence.</x:t>
        </x:is>
      </x:c>
      <x:c r="L514" t="inlineStr">
        <x:is>
          <x:t xml:space="preserve">OPS_STD</x:t>
        </x:is>
      </x:c>
      <x:c r="M514" t="n">
        <x:v>1.2</x:v>
      </x:c>
      <x:c r="P514" t="inlineStr">
        <x:is>
          <x:t xml:space="preserve">LEG-D3-Q12-A0</x:t>
        </x:is>
      </x:c>
      <x:c r="Q514" t="n">
        <x:v>1</x:v>
      </x:c>
      <x:c r="R514" t="inlineStr">
        <x:is>
          <x:t xml:space="preserve">No: We rely on ad-hoc log pulls and manual screenshots.</x:t>
        </x:is>
      </x:c>
      <x:c r="S514" t="n">
        <x:v>0</x:v>
      </x:c>
      <x:c r="T514" t="inlineStr">
        <x:is>
          <x:t xml:space="preserve">resilience_gap</x:t>
        </x:is>
      </x:c>
      <x:c r="U514" t="inlineStr">
        <x:is>
          <x:t xml:space="preserve">Resilience Gap</x:t>
        </x:is>
      </x:c>
      <x:c r="V514" t="inlineStr">
        <x:is>
          <x:t xml:space="preserve">Improve_Forensic_Readiness</x:t>
        </x:is>
      </x:c>
      <x:c r="W514" t="inlineStr">
        <x:is>
          <x:t xml:space="preserve">N</x:t>
        </x:is>
      </x:c>
      <x:c r="Y514">
        <x:f>(S514*IF(E514="G",F514,0))+(S514*IF(G514="G",H514,0))</x:f>
      </x:c>
      <x:c r="Z514">
        <x:f>(S514*IF(E514="E",F514,0))+(S514*IF(G514="E",H514,0))</x:f>
      </x:c>
      <x:c r="AA514">
        <x:f>(S514*IF(E514="T",F514,0))+(S514*IF(G514="T",H514,0))</x:f>
      </x:c>
      <x:c r="AB514">
        <x:f>(S514*IF(E514="L",F514,0))+(S514*IF(G514="L",H514,0))</x:f>
      </x:c>
      <x:c r="AC514">
        <x:f>(S514*IF(E514="H",F514,0))+(S514*IF(G514="H",H514,0))</x:f>
      </x:c>
      <x:c r="AD514">
        <x:f>(S514*IF(E514="V",F514,0))+(S514*IF(G514="V",H514,0))</x:f>
      </x:c>
      <x:c r="AE514">
        <x:f>(S514*IF(E514="R",F514,0))+(S514*IF(G514="R",H514,0))</x:f>
      </x:c>
      <x:c r="AF514">
        <x:f>(S514*IF(E514="F",F514,0))+(S514*IF(G514="F",H514,0))</x:f>
      </x:c>
      <x:c r="AG514">
        <x:f>(S514*IF(E514="W",F514,0))+(S514*IF(G514="W",H514,0))</x:f>
      </x:c>
      <x:c r="AH514" t="inlineStr">
        <x:is>
          <x:t xml:space="preserve">8. Investigation &amp; Response</x:t>
        </x:is>
      </x:c>
      <x:c r="AI514" t="inlineStr">
        <x:is>
          <x:t xml:space="preserve">Operational Readiness</x:t>
        </x:is>
      </x:c>
      <x:c r="AJ514" t="inlineStr">
        <x:is>
          <x:t xml:space="preserve">Forensic readiness &amp; evidence preservation</x:t>
        </x:is>
      </x:c>
    </x:row>
    <x:row r="515">
      <x:c r="A515" t="inlineStr">
        <x:is>
          <x:t xml:space="preserve">Legal</x:t>
        </x:is>
      </x:c>
      <x:c r="B515" t="inlineStr">
        <x:is>
          <x:t xml:space="preserve">LEG-D3-Q12</x:t>
        </x:is>
      </x:c>
      <x:c r="C515" t="inlineStr">
        <x:is>
          <x:t xml:space="preserve">T2</x:t>
        </x:is>
      </x:c>
      <x:c r="D515" t="inlineStr">
        <x:is>
          <x:t xml:space="preserve">8. Response &amp; Investigations</x:t>
        </x:is>
      </x:c>
      <x:c r="E515" t="inlineStr">
        <x:is>
          <x:t xml:space="preserve">R</x:t>
        </x:is>
      </x:c>
      <x:c r="F515" t="n">
        <x:v>0.5</x:v>
      </x:c>
      <x:c r="G515" t="inlineStr">
        <x:is>
          <x:t xml:space="preserve">T</x:t>
        </x:is>
      </x:c>
      <x:c r="H515" t="n">
        <x:v>0.5</x:v>
      </x:c>
      <x:c r="I515" t="inlineStr">
        <x:is>
          <x:t xml:space="preserve">For serious cases, do we have forensic-ready tooling/processes (e.g., preserved logs, secure collection, specialist support)?</x:t>
        </x:is>
      </x:c>
      <x:c r="J515" t="inlineStr">
        <x:is>
          <x:t xml:space="preserve">This is about being able to investigate quickly without contaminating evidence.</x:t>
        </x:is>
      </x:c>
      <x:c r="L515" t="inlineStr">
        <x:is>
          <x:t xml:space="preserve">OPS_STD</x:t>
        </x:is>
      </x:c>
      <x:c r="M515" t="n">
        <x:v>1.2</x:v>
      </x:c>
      <x:c r="P515" t="inlineStr">
        <x:is>
          <x:t xml:space="preserve">LEG-D3-Q12-A1</x:t>
        </x:is>
      </x:c>
      <x:c r="Q515" t="n">
        <x:v>2</x:v>
      </x:c>
      <x:c r="R515" t="inlineStr">
        <x:is>
          <x:t xml:space="preserve">Partial: Tools exist but are not consistently used or people aren’t trained.</x:t>
        </x:is>
      </x:c>
      <x:c r="S515" t="n">
        <x:v>1</x:v>
      </x:c>
      <x:c r="T515" t="inlineStr">
        <x:is>
          <x:t xml:space="preserve">operating_model_gap</x:t>
        </x:is>
      </x:c>
      <x:c r="U515" t="inlineStr">
        <x:is>
          <x:t xml:space="preserve">Operating Model Gap</x:t>
        </x:is>
      </x:c>
      <x:c r="V515" t="inlineStr">
        <x:is>
          <x:t xml:space="preserve">Train_and_Standardize</x:t>
        </x:is>
      </x:c>
      <x:c r="W515" t="inlineStr">
        <x:is>
          <x:t xml:space="preserve">N</x:t>
        </x:is>
      </x:c>
      <x:c r="Y515">
        <x:f>(S515*IF(E515="G",F515,0))+(S515*IF(G515="G",H515,0))</x:f>
      </x:c>
      <x:c r="Z515">
        <x:f>(S515*IF(E515="E",F515,0))+(S515*IF(G515="E",H515,0))</x:f>
      </x:c>
      <x:c r="AA515">
        <x:f>(S515*IF(E515="T",F515,0))+(S515*IF(G515="T",H515,0))</x:f>
      </x:c>
      <x:c r="AB515">
        <x:f>(S515*IF(E515="L",F515,0))+(S515*IF(G515="L",H515,0))</x:f>
      </x:c>
      <x:c r="AC515">
        <x:f>(S515*IF(E515="H",F515,0))+(S515*IF(G515="H",H515,0))</x:f>
      </x:c>
      <x:c r="AD515">
        <x:f>(S515*IF(E515="V",F515,0))+(S515*IF(G515="V",H515,0))</x:f>
      </x:c>
      <x:c r="AE515">
        <x:f>(S515*IF(E515="R",F515,0))+(S515*IF(G515="R",H515,0))</x:f>
      </x:c>
      <x:c r="AF515">
        <x:f>(S515*IF(E515="F",F515,0))+(S515*IF(G515="F",H515,0))</x:f>
      </x:c>
      <x:c r="AG515">
        <x:f>(S515*IF(E515="W",F515,0))+(S515*IF(G515="W",H515,0))</x:f>
      </x:c>
      <x:c r="AH515" t="inlineStr">
        <x:is>
          <x:t xml:space="preserve">8. Investigation &amp; Response</x:t>
        </x:is>
      </x:c>
      <x:c r="AI515" t="inlineStr">
        <x:is>
          <x:t xml:space="preserve">Operational Readiness</x:t>
        </x:is>
      </x:c>
      <x:c r="AJ515" t="inlineStr">
        <x:is>
          <x:t xml:space="preserve">Forensic readiness &amp; evidence preservation</x:t>
        </x:is>
      </x:c>
    </x:row>
    <x:row r="516">
      <x:c r="A516" t="inlineStr">
        <x:is>
          <x:t xml:space="preserve">Legal</x:t>
        </x:is>
      </x:c>
      <x:c r="B516" t="inlineStr">
        <x:is>
          <x:t xml:space="preserve">LEG-D3-Q12</x:t>
        </x:is>
      </x:c>
      <x:c r="C516" t="inlineStr">
        <x:is>
          <x:t xml:space="preserve">T2</x:t>
        </x:is>
      </x:c>
      <x:c r="D516" t="inlineStr">
        <x:is>
          <x:t xml:space="preserve">8. Response &amp; Investigations</x:t>
        </x:is>
      </x:c>
      <x:c r="E516" t="inlineStr">
        <x:is>
          <x:t xml:space="preserve">R</x:t>
        </x:is>
      </x:c>
      <x:c r="F516" t="n">
        <x:v>0.5</x:v>
      </x:c>
      <x:c r="G516" t="inlineStr">
        <x:is>
          <x:t xml:space="preserve">T</x:t>
        </x:is>
      </x:c>
      <x:c r="H516" t="n">
        <x:v>0.5</x:v>
      </x:c>
      <x:c r="I516" t="inlineStr">
        <x:is>
          <x:t xml:space="preserve">For serious cases, do we have forensic-ready tooling/processes (e.g., preserved logs, secure collection, specialist support)?</x:t>
        </x:is>
      </x:c>
      <x:c r="J516" t="inlineStr">
        <x:is>
          <x:t xml:space="preserve">This is about being able to investigate quickly without contaminating evidence.</x:t>
        </x:is>
      </x:c>
      <x:c r="L516" t="inlineStr">
        <x:is>
          <x:t xml:space="preserve">OPS_STD</x:t>
        </x:is>
      </x:c>
      <x:c r="M516" t="n">
        <x:v>1.2</x:v>
      </x:c>
      <x:c r="P516" t="inlineStr">
        <x:is>
          <x:t xml:space="preserve">LEG-D3-Q12-A2</x:t>
        </x:is>
      </x:c>
      <x:c r="Q516" t="n">
        <x:v>3</x:v>
      </x:c>
      <x:c r="R516" t="inlineStr">
        <x:is>
          <x:t xml:space="preserve">Yes: Forensic approach is used for key systems and escalations.</x:t>
        </x:is>
      </x:c>
      <x:c r="S516" t="n">
        <x:v>3</x:v>
      </x:c>
      <x:c r="V516" t="inlineStr">
        <x:is>
          <x:t xml:space="preserve">Evidence_Request_Forensics</x:t>
        </x:is>
      </x:c>
      <x:c r="W516" t="inlineStr">
        <x:is>
          <x:t xml:space="preserve">N</x:t>
        </x:is>
      </x:c>
      <x:c r="Y516">
        <x:f>(S516*IF(E516="G",F516,0))+(S516*IF(G516="G",H516,0))</x:f>
      </x:c>
      <x:c r="Z516">
        <x:f>(S516*IF(E516="E",F516,0))+(S516*IF(G516="E",H516,0))</x:f>
      </x:c>
      <x:c r="AA516">
        <x:f>(S516*IF(E516="T",F516,0))+(S516*IF(G516="T",H516,0))</x:f>
      </x:c>
      <x:c r="AB516">
        <x:f>(S516*IF(E516="L",F516,0))+(S516*IF(G516="L",H516,0))</x:f>
      </x:c>
      <x:c r="AC516">
        <x:f>(S516*IF(E516="H",F516,0))+(S516*IF(G516="H",H516,0))</x:f>
      </x:c>
      <x:c r="AD516">
        <x:f>(S516*IF(E516="V",F516,0))+(S516*IF(G516="V",H516,0))</x:f>
      </x:c>
      <x:c r="AE516">
        <x:f>(S516*IF(E516="R",F516,0))+(S516*IF(G516="R",H516,0))</x:f>
      </x:c>
      <x:c r="AF516">
        <x:f>(S516*IF(E516="F",F516,0))+(S516*IF(G516="F",H516,0))</x:f>
      </x:c>
      <x:c r="AG516">
        <x:f>(S516*IF(E516="W",F516,0))+(S516*IF(G516="W",H516,0))</x:f>
      </x:c>
      <x:c r="AH516" t="inlineStr">
        <x:is>
          <x:t xml:space="preserve">8. Investigation &amp; Response</x:t>
        </x:is>
      </x:c>
      <x:c r="AI516" t="inlineStr">
        <x:is>
          <x:t xml:space="preserve">Operational Readiness</x:t>
        </x:is>
      </x:c>
      <x:c r="AJ516" t="inlineStr">
        <x:is>
          <x:t xml:space="preserve">Forensic readiness &amp; evidence preservation</x:t>
        </x:is>
      </x:c>
    </x:row>
    <x:row r="517">
      <x:c r="A517" t="inlineStr">
        <x:is>
          <x:t xml:space="preserve">Legal</x:t>
        </x:is>
      </x:c>
      <x:c r="B517" t="inlineStr">
        <x:is>
          <x:t xml:space="preserve">LEG-D3-Q12</x:t>
        </x:is>
      </x:c>
      <x:c r="C517" t="inlineStr">
        <x:is>
          <x:t xml:space="preserve">T2</x:t>
        </x:is>
      </x:c>
      <x:c r="D517" t="inlineStr">
        <x:is>
          <x:t xml:space="preserve">8. Response &amp; Investigations</x:t>
        </x:is>
      </x:c>
      <x:c r="E517" t="inlineStr">
        <x:is>
          <x:t xml:space="preserve">R</x:t>
        </x:is>
      </x:c>
      <x:c r="F517" t="n">
        <x:v>0.5</x:v>
      </x:c>
      <x:c r="G517" t="inlineStr">
        <x:is>
          <x:t xml:space="preserve">T</x:t>
        </x:is>
      </x:c>
      <x:c r="H517" t="n">
        <x:v>0.5</x:v>
      </x:c>
      <x:c r="I517" t="inlineStr">
        <x:is>
          <x:t xml:space="preserve">For serious cases, do we have forensic-ready tooling/processes (e.g., preserved logs, secure collection, specialist support)?</x:t>
        </x:is>
      </x:c>
      <x:c r="J517" t="inlineStr">
        <x:is>
          <x:t xml:space="preserve">This is about being able to investigate quickly without contaminating evidence.</x:t>
        </x:is>
      </x:c>
      <x:c r="L517" t="inlineStr">
        <x:is>
          <x:t xml:space="preserve">OPS_STD</x:t>
        </x:is>
      </x:c>
      <x:c r="M517" t="n">
        <x:v>1.2</x:v>
      </x:c>
      <x:c r="P517" t="inlineStr">
        <x:is>
          <x:t xml:space="preserve">LEG-D3-Q12-A3</x:t>
        </x:is>
      </x:c>
      <x:c r="Q517" t="n">
        <x:v>4</x:v>
      </x:c>
      <x:c r="R517" t="inlineStr">
        <x:is>
          <x:t xml:space="preserve">Optimized: Standard tooling, rapid preservation, and periodic exercises.</x:t>
        </x:is>
      </x:c>
      <x:c r="S517" t="n">
        <x:v>4</x:v>
      </x:c>
      <x:c r="V517" t="inlineStr">
        <x:is>
          <x:t xml:space="preserve">Maintain_and_Audit</x:t>
        </x:is>
      </x:c>
      <x:c r="W517" t="inlineStr">
        <x:is>
          <x:t xml:space="preserve">N</x:t>
        </x:is>
      </x:c>
      <x:c r="Y517">
        <x:f>(S517*IF(E517="G",F517,0))+(S517*IF(G517="G",H517,0))</x:f>
      </x:c>
      <x:c r="Z517">
        <x:f>(S517*IF(E517="E",F517,0))+(S517*IF(G517="E",H517,0))</x:f>
      </x:c>
      <x:c r="AA517">
        <x:f>(S517*IF(E517="T",F517,0))+(S517*IF(G517="T",H517,0))</x:f>
      </x:c>
      <x:c r="AB517">
        <x:f>(S517*IF(E517="L",F517,0))+(S517*IF(G517="L",H517,0))</x:f>
      </x:c>
      <x:c r="AC517">
        <x:f>(S517*IF(E517="H",F517,0))+(S517*IF(G517="H",H517,0))</x:f>
      </x:c>
      <x:c r="AD517">
        <x:f>(S517*IF(E517="V",F517,0))+(S517*IF(G517="V",H517,0))</x:f>
      </x:c>
      <x:c r="AE517">
        <x:f>(S517*IF(E517="R",F517,0))+(S517*IF(G517="R",H517,0))</x:f>
      </x:c>
      <x:c r="AF517">
        <x:f>(S517*IF(E517="F",F517,0))+(S517*IF(G517="F",H517,0))</x:f>
      </x:c>
      <x:c r="AG517">
        <x:f>(S517*IF(E517="W",F517,0))+(S517*IF(G517="W",H517,0))</x:f>
      </x:c>
      <x:c r="AH517" t="inlineStr">
        <x:is>
          <x:t xml:space="preserve">8. Investigation &amp; Response</x:t>
        </x:is>
      </x:c>
      <x:c r="AI517" t="inlineStr">
        <x:is>
          <x:t xml:space="preserve">Operational Readiness</x:t>
        </x:is>
      </x:c>
      <x:c r="AJ517" t="inlineStr">
        <x:is>
          <x:t xml:space="preserve">Forensic readiness &amp; evidence preservation</x:t>
        </x:is>
      </x:c>
    </x:row>
    <x:row r="518">
      <x:c r="A518" t="inlineStr">
        <x:is>
          <x:t xml:space="preserve">Legal</x:t>
        </x:is>
      </x:c>
      <x:c r="B518" t="inlineStr">
        <x:is>
          <x:t xml:space="preserve">LEG-D4-Q13</x:t>
        </x:is>
      </x:c>
      <x:c r="C518" t="inlineStr">
        <x:is>
          <x:t xml:space="preserve">T1</x:t>
        </x:is>
      </x:c>
      <x:c r="D518" t="inlineStr">
        <x:is>
          <x:t xml:space="preserve">5. Culture &amp; Speak-Up</x:t>
        </x:is>
      </x:c>
      <x:c r="E518" t="inlineStr">
        <x:is>
          <x:t xml:space="preserve">H</x:t>
        </x:is>
      </x:c>
      <x:c r="F518" t="n">
        <x:v>0.5</x:v>
      </x:c>
      <x:c r="G518" t="inlineStr">
        <x:is>
          <x:t xml:space="preserve">L</x:t>
        </x:is>
      </x:c>
      <x:c r="H518" t="n">
        <x:v>0.5</x:v>
      </x:c>
      <x:c r="I518" t="inlineStr">
        <x:is>
          <x:t xml:space="preserve">Do we have protected reporting channels (whistleblowing/speak-up) with clear rules on confidentiality and handling?</x:t>
        </x:is>
      </x:c>
      <x:c r="J518" t="inlineStr">
        <x:is>
          <x:t xml:space="preserve">Include: anonymous options, anti-retaliation, triage, and feedback loop.</x:t>
        </x:is>
      </x:c>
      <x:c r="L518" t="inlineStr">
        <x:is>
          <x:t xml:space="preserve">LEG_STRICT</x:t>
        </x:is>
      </x:c>
      <x:c r="M518" t="n">
        <x:v>1.3</x:v>
      </x:c>
      <x:c r="N518" t="n">
        <x:v>0.5</x:v>
      </x:c>
      <x:c r="P518" t="inlineStr">
        <x:is>
          <x:t xml:space="preserve">LEG-D4-Q13-A0</x:t>
        </x:is>
      </x:c>
      <x:c r="Q518" t="n">
        <x:v>1</x:v>
      </x:c>
      <x:c r="R518" t="inlineStr">
        <x:is>
          <x:t xml:space="preserve">I don’t know / not sure.</x:t>
        </x:is>
      </x:c>
      <x:c r="S518" t="n">
        <x:v>0</x:v>
      </x:c>
      <x:c r="T518" t="inlineStr">
        <x:is>
          <x:t xml:space="preserve">unknown</x:t>
        </x:is>
      </x:c>
      <x:c r="U518" t="inlineStr">
        <x:is>
          <x:t xml:space="preserve">Unknown</x:t>
        </x:is>
      </x:c>
      <x:c r="V518" t="inlineStr">
        <x:is>
          <x:t xml:space="preserve">Clarify_Whistle_Channel</x:t>
        </x:is>
      </x:c>
      <x:c r="W518" t="inlineStr">
        <x:is>
          <x:t xml:space="preserve">N</x:t>
        </x:is>
      </x:c>
      <x:c r="Y518">
        <x:f>(S518*IF(E518="G",F518,0))+(S518*IF(G518="G",H518,0))</x:f>
      </x:c>
      <x:c r="Z518">
        <x:f>(S518*IF(E518="E",F518,0))+(S518*IF(G518="E",H518,0))</x:f>
      </x:c>
      <x:c r="AA518">
        <x:f>(S518*IF(E518="T",F518,0))+(S518*IF(G518="T",H518,0))</x:f>
      </x:c>
      <x:c r="AB518">
        <x:f>(S518*IF(E518="L",F518,0))+(S518*IF(G518="L",H518,0))</x:f>
      </x:c>
      <x:c r="AC518">
        <x:f>(S518*IF(E518="H",F518,0))+(S518*IF(G518="H",H518,0))</x:f>
      </x:c>
      <x:c r="AD518">
        <x:f>(S518*IF(E518="V",F518,0))+(S518*IF(G518="V",H518,0))</x:f>
      </x:c>
      <x:c r="AE518">
        <x:f>(S518*IF(E518="R",F518,0))+(S518*IF(G518="R",H518,0))</x:f>
      </x:c>
      <x:c r="AF518">
        <x:f>(S518*IF(E518="F",F518,0))+(S518*IF(G518="F",H518,0))</x:f>
      </x:c>
      <x:c r="AG518">
        <x:f>(S518*IF(E518="W",F518,0))+(S518*IF(G518="W",H518,0))</x:f>
      </x:c>
      <x:c r="AH518" t="inlineStr">
        <x:is>
          <x:t xml:space="preserve">5. Human-Centric Culture</x:t>
        </x:is>
      </x:c>
      <x:c r="AI518" t="inlineStr">
        <x:is>
          <x:t xml:space="preserve">Awareness &amp; Wellbeing</x:t>
        </x:is>
      </x:c>
      <x:c r="AJ518" t="inlineStr">
        <x:is>
          <x:t xml:space="preserve">Speak-Up Culture &amp; Psychological Safety</x:t>
        </x:is>
      </x:c>
    </x:row>
    <x:row r="519">
      <x:c r="A519" t="inlineStr">
        <x:is>
          <x:t xml:space="preserve">Legal</x:t>
        </x:is>
      </x:c>
      <x:c r="B519" t="inlineStr">
        <x:is>
          <x:t xml:space="preserve">LEG-D4-Q13</x:t>
        </x:is>
      </x:c>
      <x:c r="C519" t="inlineStr">
        <x:is>
          <x:t xml:space="preserve">T1</x:t>
        </x:is>
      </x:c>
      <x:c r="D519" t="inlineStr">
        <x:is>
          <x:t xml:space="preserve">5. Culture &amp; Speak-Up</x:t>
        </x:is>
      </x:c>
      <x:c r="E519" t="inlineStr">
        <x:is>
          <x:t xml:space="preserve">H</x:t>
        </x:is>
      </x:c>
      <x:c r="F519" t="n">
        <x:v>0.5</x:v>
      </x:c>
      <x:c r="G519" t="inlineStr">
        <x:is>
          <x:t xml:space="preserve">L</x:t>
        </x:is>
      </x:c>
      <x:c r="H519" t="n">
        <x:v>0.5</x:v>
      </x:c>
      <x:c r="I519" t="inlineStr">
        <x:is>
          <x:t xml:space="preserve">Do we have protected reporting channels (whistleblowing/speak-up) with clear rules on confidentiality and handling?</x:t>
        </x:is>
      </x:c>
      <x:c r="J519" t="inlineStr">
        <x:is>
          <x:t xml:space="preserve">Include: anonymous options, anti-retaliation, triage, and feedback loop.</x:t>
        </x:is>
      </x:c>
      <x:c r="L519" t="inlineStr">
        <x:is>
          <x:t xml:space="preserve">LEG_STRICT</x:t>
        </x:is>
      </x:c>
      <x:c r="M519" t="n">
        <x:v>1.3</x:v>
      </x:c>
      <x:c r="N519" t="n">
        <x:v>0.5</x:v>
      </x:c>
      <x:c r="P519" t="inlineStr">
        <x:is>
          <x:t xml:space="preserve">LEG-D4-Q13-A1</x:t>
        </x:is>
      </x:c>
      <x:c r="Q519" t="n">
        <x:v>2</x:v>
      </x:c>
      <x:c r="R519" t="inlineStr">
        <x:is>
          <x:t xml:space="preserve">No: People report only to managers; retaliation risk is unmanaged.</x:t>
        </x:is>
      </x:c>
      <x:c r="S519" t="n">
        <x:v>0</x:v>
      </x:c>
      <x:c r="T519" t="inlineStr">
        <x:is>
          <x:t xml:space="preserve">culture_risk,legal_exposure</x:t>
        </x:is>
      </x:c>
      <x:c r="U519" t="inlineStr">
        <x:is>
          <x:t xml:space="preserve">Culture Risk</x:t>
        </x:is>
      </x:c>
      <x:c r="V519" t="inlineStr">
        <x:is>
          <x:t xml:space="preserve">Implement_Whistle_Channel</x:t>
        </x:is>
      </x:c>
      <x:c r="W519" t="inlineStr">
        <x:is>
          <x:t xml:space="preserve">N</x:t>
        </x:is>
      </x:c>
      <x:c r="Y519">
        <x:f>(S519*IF(E519="G",F519,0))+(S519*IF(G519="G",H519,0))</x:f>
      </x:c>
      <x:c r="Z519">
        <x:f>(S519*IF(E519="E",F519,0))+(S519*IF(G519="E",H519,0))</x:f>
      </x:c>
      <x:c r="AA519">
        <x:f>(S519*IF(E519="T",F519,0))+(S519*IF(G519="T",H519,0))</x:f>
      </x:c>
      <x:c r="AB519">
        <x:f>(S519*IF(E519="L",F519,0))+(S519*IF(G519="L",H519,0))</x:f>
      </x:c>
      <x:c r="AC519">
        <x:f>(S519*IF(E519="H",F519,0))+(S519*IF(G519="H",H519,0))</x:f>
      </x:c>
      <x:c r="AD519">
        <x:f>(S519*IF(E519="V",F519,0))+(S519*IF(G519="V",H519,0))</x:f>
      </x:c>
      <x:c r="AE519">
        <x:f>(S519*IF(E519="R",F519,0))+(S519*IF(G519="R",H519,0))</x:f>
      </x:c>
      <x:c r="AF519">
        <x:f>(S519*IF(E519="F",F519,0))+(S519*IF(G519="F",H519,0))</x:f>
      </x:c>
      <x:c r="AG519">
        <x:f>(S519*IF(E519="W",F519,0))+(S519*IF(G519="W",H519,0))</x:f>
      </x:c>
      <x:c r="AH519" t="inlineStr">
        <x:is>
          <x:t xml:space="preserve">5. Human-Centric Culture</x:t>
        </x:is>
      </x:c>
      <x:c r="AI519" t="inlineStr">
        <x:is>
          <x:t xml:space="preserve">Awareness &amp; Wellbeing</x:t>
        </x:is>
      </x:c>
      <x:c r="AJ519" t="inlineStr">
        <x:is>
          <x:t xml:space="preserve">Speak-Up Culture &amp; Psychological Safety</x:t>
        </x:is>
      </x:c>
    </x:row>
    <x:row r="520">
      <x:c r="A520" t="inlineStr">
        <x:is>
          <x:t xml:space="preserve">Legal</x:t>
        </x:is>
      </x:c>
      <x:c r="B520" t="inlineStr">
        <x:is>
          <x:t xml:space="preserve">LEG-D4-Q13</x:t>
        </x:is>
      </x:c>
      <x:c r="C520" t="inlineStr">
        <x:is>
          <x:t xml:space="preserve">T1</x:t>
        </x:is>
      </x:c>
      <x:c r="D520" t="inlineStr">
        <x:is>
          <x:t xml:space="preserve">5. Culture &amp; Speak-Up</x:t>
        </x:is>
      </x:c>
      <x:c r="E520" t="inlineStr">
        <x:is>
          <x:t xml:space="preserve">H</x:t>
        </x:is>
      </x:c>
      <x:c r="F520" t="n">
        <x:v>0.5</x:v>
      </x:c>
      <x:c r="G520" t="inlineStr">
        <x:is>
          <x:t xml:space="preserve">L</x:t>
        </x:is>
      </x:c>
      <x:c r="H520" t="n">
        <x:v>0.5</x:v>
      </x:c>
      <x:c r="I520" t="inlineStr">
        <x:is>
          <x:t xml:space="preserve">Do we have protected reporting channels (whistleblowing/speak-up) with clear rules on confidentiality and handling?</x:t>
        </x:is>
      </x:c>
      <x:c r="J520" t="inlineStr">
        <x:is>
          <x:t xml:space="preserve">Include: anonymous options, anti-retaliation, triage, and feedback loop.</x:t>
        </x:is>
      </x:c>
      <x:c r="L520" t="inlineStr">
        <x:is>
          <x:t xml:space="preserve">LEG_STRICT</x:t>
        </x:is>
      </x:c>
      <x:c r="M520" t="n">
        <x:v>1.3</x:v>
      </x:c>
      <x:c r="N520" t="n">
        <x:v>0.5</x:v>
      </x:c>
      <x:c r="P520" t="inlineStr">
        <x:is>
          <x:t xml:space="preserve">LEG-D4-Q13-A2</x:t>
        </x:is>
      </x:c>
      <x:c r="Q520" t="n">
        <x:v>3</x:v>
      </x:c>
      <x:c r="R520" t="inlineStr">
        <x:is>
          <x:t xml:space="preserve">Exists on paper: Hotline/vendor exists but trust is low and leads are poor.</x:t>
        </x:is>
      </x:c>
      <x:c r="S520" t="n">
        <x:v>1</x:v>
      </x:c>
      <x:c r="T520" t="inlineStr">
        <x:is>
          <x:t xml:space="preserve">paper_dragon_signal</x:t>
        </x:is>
      </x:c>
      <x:c r="U520" t="inlineStr">
        <x:is>
          <x:t xml:space="preserve">Paper Dragon</x:t>
        </x:is>
      </x:c>
      <x:c r="V520" t="inlineStr">
        <x:is>
          <x:t xml:space="preserve">Rebuild_Trust_Channel</x:t>
        </x:is>
      </x:c>
      <x:c r="W520" t="inlineStr">
        <x:is>
          <x:t xml:space="preserve">N</x:t>
        </x:is>
      </x:c>
      <x:c r="Y520">
        <x:f>(S520*IF(E520="G",F520,0))+(S520*IF(G520="G",H520,0))</x:f>
      </x:c>
      <x:c r="Z520">
        <x:f>(S520*IF(E520="E",F520,0))+(S520*IF(G520="E",H520,0))</x:f>
      </x:c>
      <x:c r="AA520">
        <x:f>(S520*IF(E520="T",F520,0))+(S520*IF(G520="T",H520,0))</x:f>
      </x:c>
      <x:c r="AB520">
        <x:f>(S520*IF(E520="L",F520,0))+(S520*IF(G520="L",H520,0))</x:f>
      </x:c>
      <x:c r="AC520">
        <x:f>(S520*IF(E520="H",F520,0))+(S520*IF(G520="H",H520,0))</x:f>
      </x:c>
      <x:c r="AD520">
        <x:f>(S520*IF(E520="V",F520,0))+(S520*IF(G520="V",H520,0))</x:f>
      </x:c>
      <x:c r="AE520">
        <x:f>(S520*IF(E520="R",F520,0))+(S520*IF(G520="R",H520,0))</x:f>
      </x:c>
      <x:c r="AF520">
        <x:f>(S520*IF(E520="F",F520,0))+(S520*IF(G520="F",H520,0))</x:f>
      </x:c>
      <x:c r="AG520">
        <x:f>(S520*IF(E520="W",F520,0))+(S520*IF(G520="W",H520,0))</x:f>
      </x:c>
      <x:c r="AH520" t="inlineStr">
        <x:is>
          <x:t xml:space="preserve">5. Human-Centric Culture</x:t>
        </x:is>
      </x:c>
      <x:c r="AI520" t="inlineStr">
        <x:is>
          <x:t xml:space="preserve">Awareness &amp; Wellbeing</x:t>
        </x:is>
      </x:c>
      <x:c r="AJ520" t="inlineStr">
        <x:is>
          <x:t xml:space="preserve">Speak-Up Culture &amp; Psychological Safety</x:t>
        </x:is>
      </x:c>
    </x:row>
    <x:row r="521">
      <x:c r="A521" t="inlineStr">
        <x:is>
          <x:t xml:space="preserve">Legal</x:t>
        </x:is>
      </x:c>
      <x:c r="B521" t="inlineStr">
        <x:is>
          <x:t xml:space="preserve">LEG-D4-Q13</x:t>
        </x:is>
      </x:c>
      <x:c r="C521" t="inlineStr">
        <x:is>
          <x:t xml:space="preserve">T1</x:t>
        </x:is>
      </x:c>
      <x:c r="D521" t="inlineStr">
        <x:is>
          <x:t xml:space="preserve">5. Culture &amp; Speak-Up</x:t>
        </x:is>
      </x:c>
      <x:c r="E521" t="inlineStr">
        <x:is>
          <x:t xml:space="preserve">H</x:t>
        </x:is>
      </x:c>
      <x:c r="F521" t="n">
        <x:v>0.5</x:v>
      </x:c>
      <x:c r="G521" t="inlineStr">
        <x:is>
          <x:t xml:space="preserve">L</x:t>
        </x:is>
      </x:c>
      <x:c r="H521" t="n">
        <x:v>0.5</x:v>
      </x:c>
      <x:c r="I521" t="inlineStr">
        <x:is>
          <x:t xml:space="preserve">Do we have protected reporting channels (whistleblowing/speak-up) with clear rules on confidentiality and handling?</x:t>
        </x:is>
      </x:c>
      <x:c r="J521" t="inlineStr">
        <x:is>
          <x:t xml:space="preserve">Include: anonymous options, anti-retaliation, triage, and feedback loop.</x:t>
        </x:is>
      </x:c>
      <x:c r="L521" t="inlineStr">
        <x:is>
          <x:t xml:space="preserve">LEG_STRICT</x:t>
        </x:is>
      </x:c>
      <x:c r="M521" t="n">
        <x:v>1.3</x:v>
      </x:c>
      <x:c r="N521" t="n">
        <x:v>0.5</x:v>
      </x:c>
      <x:c r="P521" t="inlineStr">
        <x:is>
          <x:t xml:space="preserve">LEG-D4-Q13-A3</x:t>
        </x:is>
      </x:c>
      <x:c r="Q521" t="n">
        <x:v>4</x:v>
      </x:c>
      <x:c r="R521" t="inlineStr">
        <x:is>
          <x:t xml:space="preserve">Yes: Channel exists, used, and case handling is documented.</x:t>
        </x:is>
      </x:c>
      <x:c r="S521" t="n">
        <x:v>3</x:v>
      </x:c>
      <x:c r="V521" t="inlineStr">
        <x:is>
          <x:t xml:space="preserve">Evidence_Request_Channel</x:t>
        </x:is>
      </x:c>
      <x:c r="W521" t="inlineStr">
        <x:is>
          <x:t xml:space="preserve">N</x:t>
        </x:is>
      </x:c>
      <x:c r="Y521">
        <x:f>(S521*IF(E521="G",F521,0))+(S521*IF(G521="G",H521,0))</x:f>
      </x:c>
      <x:c r="Z521">
        <x:f>(S521*IF(E521="E",F521,0))+(S521*IF(G521="E",H521,0))</x:f>
      </x:c>
      <x:c r="AA521">
        <x:f>(S521*IF(E521="T",F521,0))+(S521*IF(G521="T",H521,0))</x:f>
      </x:c>
      <x:c r="AB521">
        <x:f>(S521*IF(E521="L",F521,0))+(S521*IF(G521="L",H521,0))</x:f>
      </x:c>
      <x:c r="AC521">
        <x:f>(S521*IF(E521="H",F521,0))+(S521*IF(G521="H",H521,0))</x:f>
      </x:c>
      <x:c r="AD521">
        <x:f>(S521*IF(E521="V",F521,0))+(S521*IF(G521="V",H521,0))</x:f>
      </x:c>
      <x:c r="AE521">
        <x:f>(S521*IF(E521="R",F521,0))+(S521*IF(G521="R",H521,0))</x:f>
      </x:c>
      <x:c r="AF521">
        <x:f>(S521*IF(E521="F",F521,0))+(S521*IF(G521="F",H521,0))</x:f>
      </x:c>
      <x:c r="AG521">
        <x:f>(S521*IF(E521="W",F521,0))+(S521*IF(G521="W",H521,0))</x:f>
      </x:c>
      <x:c r="AH521" t="inlineStr">
        <x:is>
          <x:t xml:space="preserve">5. Human-Centric Culture</x:t>
        </x:is>
      </x:c>
      <x:c r="AI521" t="inlineStr">
        <x:is>
          <x:t xml:space="preserve">Awareness &amp; Wellbeing</x:t>
        </x:is>
      </x:c>
      <x:c r="AJ521" t="inlineStr">
        <x:is>
          <x:t xml:space="preserve">Speak-Up Culture &amp; Psychological Safety</x:t>
        </x:is>
      </x:c>
    </x:row>
    <x:row r="522">
      <x:c r="A522" t="inlineStr">
        <x:is>
          <x:t xml:space="preserve">Legal</x:t>
        </x:is>
      </x:c>
      <x:c r="B522" t="inlineStr">
        <x:is>
          <x:t xml:space="preserve">LEG-D4-Q13</x:t>
        </x:is>
      </x:c>
      <x:c r="C522" t="inlineStr">
        <x:is>
          <x:t xml:space="preserve">T1</x:t>
        </x:is>
      </x:c>
      <x:c r="D522" t="inlineStr">
        <x:is>
          <x:t xml:space="preserve">5. Culture &amp; Speak-Up</x:t>
        </x:is>
      </x:c>
      <x:c r="E522" t="inlineStr">
        <x:is>
          <x:t xml:space="preserve">H</x:t>
        </x:is>
      </x:c>
      <x:c r="F522" t="n">
        <x:v>0.5</x:v>
      </x:c>
      <x:c r="G522" t="inlineStr">
        <x:is>
          <x:t xml:space="preserve">L</x:t>
        </x:is>
      </x:c>
      <x:c r="H522" t="n">
        <x:v>0.5</x:v>
      </x:c>
      <x:c r="I522" t="inlineStr">
        <x:is>
          <x:t xml:space="preserve">Do we have protected reporting channels (whistleblowing/speak-up) with clear rules on confidentiality and handling?</x:t>
        </x:is>
      </x:c>
      <x:c r="J522" t="inlineStr">
        <x:is>
          <x:t xml:space="preserve">Include: anonymous options, anti-retaliation, triage, and feedback loop.</x:t>
        </x:is>
      </x:c>
      <x:c r="L522" t="inlineStr">
        <x:is>
          <x:t xml:space="preserve">LEG_STRICT</x:t>
        </x:is>
      </x:c>
      <x:c r="M522" t="n">
        <x:v>1.3</x:v>
      </x:c>
      <x:c r="N522" t="n">
        <x:v>0.5</x:v>
      </x:c>
      <x:c r="P522" t="inlineStr">
        <x:is>
          <x:t xml:space="preserve">LEG-D4-Q13-A4</x:t>
        </x:is>
      </x:c>
      <x:c r="Q522" t="n">
        <x:v>5</x:v>
      </x:c>
      <x:c r="R522" t="inlineStr">
        <x:is>
          <x:t xml:space="preserve">Mature: Non-punitive culture + metrics (time to triage, retaliation checks) + periodic review.</x:t>
        </x:is>
      </x:c>
      <x:c r="S522" t="n">
        <x:v>4</x:v>
      </x:c>
      <x:c r="V522" t="inlineStr">
        <x:is>
          <x:t xml:space="preserve">Maintain_and_Audit</x:t>
        </x:is>
      </x:c>
      <x:c r="W522" t="inlineStr">
        <x:is>
          <x:t xml:space="preserve">N</x:t>
        </x:is>
      </x:c>
      <x:c r="Y522">
        <x:f>(S522*IF(E522="G",F522,0))+(S522*IF(G522="G",H522,0))</x:f>
      </x:c>
      <x:c r="Z522">
        <x:f>(S522*IF(E522="E",F522,0))+(S522*IF(G522="E",H522,0))</x:f>
      </x:c>
      <x:c r="AA522">
        <x:f>(S522*IF(E522="T",F522,0))+(S522*IF(G522="T",H522,0))</x:f>
      </x:c>
      <x:c r="AB522">
        <x:f>(S522*IF(E522="L",F522,0))+(S522*IF(G522="L",H522,0))</x:f>
      </x:c>
      <x:c r="AC522">
        <x:f>(S522*IF(E522="H",F522,0))+(S522*IF(G522="H",H522,0))</x:f>
      </x:c>
      <x:c r="AD522">
        <x:f>(S522*IF(E522="V",F522,0))+(S522*IF(G522="V",H522,0))</x:f>
      </x:c>
      <x:c r="AE522">
        <x:f>(S522*IF(E522="R",F522,0))+(S522*IF(G522="R",H522,0))</x:f>
      </x:c>
      <x:c r="AF522">
        <x:f>(S522*IF(E522="F",F522,0))+(S522*IF(G522="F",H522,0))</x:f>
      </x:c>
      <x:c r="AG522">
        <x:f>(S522*IF(E522="W",F522,0))+(S522*IF(G522="W",H522,0))</x:f>
      </x:c>
      <x:c r="AH522" t="inlineStr">
        <x:is>
          <x:t xml:space="preserve">5. Human-Centric Culture</x:t>
        </x:is>
      </x:c>
      <x:c r="AI522" t="inlineStr">
        <x:is>
          <x:t xml:space="preserve">Awareness &amp; Wellbeing</x:t>
        </x:is>
      </x:c>
      <x:c r="AJ522" t="inlineStr">
        <x:is>
          <x:t xml:space="preserve">Speak-Up Culture &amp; Psychological Safety</x:t>
        </x:is>
      </x:c>
    </x:row>
    <x:row r="523">
      <x:c r="A523" t="inlineStr">
        <x:is>
          <x:t xml:space="preserve">Legal</x:t>
        </x:is>
      </x:c>
      <x:c r="B523" t="inlineStr">
        <x:is>
          <x:t xml:space="preserve">LEG-D4-Q14</x:t>
        </x:is>
      </x:c>
      <x:c r="C523" t="inlineStr">
        <x:is>
          <x:t xml:space="preserve">T2</x:t>
        </x:is>
      </x:c>
      <x:c r="D523" t="inlineStr">
        <x:is>
          <x:t xml:space="preserve">5. Culture &amp; Speak-Up</x:t>
        </x:is>
      </x:c>
      <x:c r="E523" t="inlineStr">
        <x:is>
          <x:t xml:space="preserve">H</x:t>
        </x:is>
      </x:c>
      <x:c r="F523" t="n">
        <x:v>1</x:v>
      </x:c>
      <x:c r="G523" t="inlineStr">
        <x:is>
          <x:t xml:space="preserve">-</x:t>
        </x:is>
      </x:c>
      <x:c r="I523" t="inlineStr">
        <x:is>
          <x:t xml:space="preserve">When someone reports a concern, do we actively check for and prevent retaliation (before and after case closure)?</x:t>
        </x:is>
      </x:c>
      <x:c r="J523" t="inlineStr">
        <x:is>
          <x:t xml:space="preserve">Look for: explicit checks, HR monitoring, and consequences for retaliation.</x:t>
        </x:is>
      </x:c>
      <x:c r="L523" t="inlineStr">
        <x:is>
          <x:t xml:space="preserve">CULT_SOFT</x:t>
        </x:is>
      </x:c>
      <x:c r="M523" t="n">
        <x:v>1.1</x:v>
      </x:c>
      <x:c r="P523" t="inlineStr">
        <x:is>
          <x:t xml:space="preserve">LEG-D4-Q14-A0</x:t>
        </x:is>
      </x:c>
      <x:c r="Q523" t="n">
        <x:v>1</x:v>
      </x:c>
      <x:c r="R523" t="inlineStr">
        <x:is>
          <x:t xml:space="preserve">No: We don’t track retaliation or follow up on reporters.</x:t>
        </x:is>
      </x:c>
      <x:c r="S523" t="n">
        <x:v>0</x:v>
      </x:c>
      <x:c r="T523" t="inlineStr">
        <x:is>
          <x:t xml:space="preserve">culture_risk</x:t>
        </x:is>
      </x:c>
      <x:c r="U523" t="inlineStr">
        <x:is>
          <x:t xml:space="preserve">Culture Risk</x:t>
        </x:is>
      </x:c>
      <x:c r="V523" t="inlineStr">
        <x:is>
          <x:t xml:space="preserve">Anti_Retaliation_Program</x:t>
        </x:is>
      </x:c>
      <x:c r="W523" t="inlineStr">
        <x:is>
          <x:t xml:space="preserve">N</x:t>
        </x:is>
      </x:c>
      <x:c r="Y523">
        <x:f>(S523*IF(E523="G",F523,0))+(S523*IF(G523="G",H523,0))</x:f>
      </x:c>
      <x:c r="Z523">
        <x:f>(S523*IF(E523="E",F523,0))+(S523*IF(G523="E",H523,0))</x:f>
      </x:c>
      <x:c r="AA523">
        <x:f>(S523*IF(E523="T",F523,0))+(S523*IF(G523="T",H523,0))</x:f>
      </x:c>
      <x:c r="AB523">
        <x:f>(S523*IF(E523="L",F523,0))+(S523*IF(G523="L",H523,0))</x:f>
      </x:c>
      <x:c r="AC523">
        <x:f>(S523*IF(E523="H",F523,0))+(S523*IF(G523="H",H523,0))</x:f>
      </x:c>
      <x:c r="AD523">
        <x:f>(S523*IF(E523="V",F523,0))+(S523*IF(G523="V",H523,0))</x:f>
      </x:c>
      <x:c r="AE523">
        <x:f>(S523*IF(E523="R",F523,0))+(S523*IF(G523="R",H523,0))</x:f>
      </x:c>
      <x:c r="AF523">
        <x:f>(S523*IF(E523="F",F523,0))+(S523*IF(G523="F",H523,0))</x:f>
      </x:c>
      <x:c r="AG523">
        <x:f>(S523*IF(E523="W",F523,0))+(S523*IF(G523="W",H523,0))</x:f>
      </x:c>
      <x:c r="AH523" t="inlineStr">
        <x:is>
          <x:t xml:space="preserve">4. Legal, Privacy &amp; Ethics</x:t>
        </x:is>
      </x:c>
      <x:c r="AI523" t="inlineStr">
        <x:is>
          <x:t xml:space="preserve">Privacy Engineering</x:t>
        </x:is>
      </x:c>
      <x:c r="AJ523" t="inlineStr">
        <x:is>
          <x:t xml:space="preserve">DPIA/PIA per Use-Case</x:t>
        </x:is>
      </x:c>
    </x:row>
    <x:row r="524">
      <x:c r="A524" t="inlineStr">
        <x:is>
          <x:t xml:space="preserve">Legal</x:t>
        </x:is>
      </x:c>
      <x:c r="B524" t="inlineStr">
        <x:is>
          <x:t xml:space="preserve">LEG-D4-Q14</x:t>
        </x:is>
      </x:c>
      <x:c r="C524" t="inlineStr">
        <x:is>
          <x:t xml:space="preserve">T2</x:t>
        </x:is>
      </x:c>
      <x:c r="D524" t="inlineStr">
        <x:is>
          <x:t xml:space="preserve">5. Culture &amp; Speak-Up</x:t>
        </x:is>
      </x:c>
      <x:c r="E524" t="inlineStr">
        <x:is>
          <x:t xml:space="preserve">H</x:t>
        </x:is>
      </x:c>
      <x:c r="F524" t="n">
        <x:v>1</x:v>
      </x:c>
      <x:c r="G524" t="inlineStr">
        <x:is>
          <x:t xml:space="preserve">-</x:t>
        </x:is>
      </x:c>
      <x:c r="I524" t="inlineStr">
        <x:is>
          <x:t xml:space="preserve">When someone reports a concern, do we actively check for and prevent retaliation (before and after case closure)?</x:t>
        </x:is>
      </x:c>
      <x:c r="J524" t="inlineStr">
        <x:is>
          <x:t xml:space="preserve">Look for: explicit checks, HR monitoring, and consequences for retaliation.</x:t>
        </x:is>
      </x:c>
      <x:c r="L524" t="inlineStr">
        <x:is>
          <x:t xml:space="preserve">CULT_SOFT</x:t>
        </x:is>
      </x:c>
      <x:c r="M524" t="n">
        <x:v>1.1</x:v>
      </x:c>
      <x:c r="P524" t="inlineStr">
        <x:is>
          <x:t xml:space="preserve">LEG-D4-Q14-A1</x:t>
        </x:is>
      </x:c>
      <x:c r="Q524" t="n">
        <x:v>2</x:v>
      </x:c>
      <x:c r="R524" t="inlineStr">
        <x:is>
          <x:t xml:space="preserve">Sometimes: Depends on manager/HR partner.</x:t>
        </x:is>
      </x:c>
      <x:c r="S524" t="n">
        <x:v>1</x:v>
      </x:c>
      <x:c r="T524" t="inlineStr">
        <x:is>
          <x:t xml:space="preserve">operating_model_gap</x:t>
        </x:is>
      </x:c>
      <x:c r="U524" t="inlineStr">
        <x:is>
          <x:t xml:space="preserve">Operating Model Gap</x:t>
        </x:is>
      </x:c>
      <x:c r="V524" t="inlineStr">
        <x:is>
          <x:t xml:space="preserve">Standardize_Anti_Retaliation</x:t>
        </x:is>
      </x:c>
      <x:c r="W524" t="inlineStr">
        <x:is>
          <x:t xml:space="preserve">N</x:t>
        </x:is>
      </x:c>
      <x:c r="Y524">
        <x:f>(S524*IF(E524="G",F524,0))+(S524*IF(G524="G",H524,0))</x:f>
      </x:c>
      <x:c r="Z524">
        <x:f>(S524*IF(E524="E",F524,0))+(S524*IF(G524="E",H524,0))</x:f>
      </x:c>
      <x:c r="AA524">
        <x:f>(S524*IF(E524="T",F524,0))+(S524*IF(G524="T",H524,0))</x:f>
      </x:c>
      <x:c r="AB524">
        <x:f>(S524*IF(E524="L",F524,0))+(S524*IF(G524="L",H524,0))</x:f>
      </x:c>
      <x:c r="AC524">
        <x:f>(S524*IF(E524="H",F524,0))+(S524*IF(G524="H",H524,0))</x:f>
      </x:c>
      <x:c r="AD524">
        <x:f>(S524*IF(E524="V",F524,0))+(S524*IF(G524="V",H524,0))</x:f>
      </x:c>
      <x:c r="AE524">
        <x:f>(S524*IF(E524="R",F524,0))+(S524*IF(G524="R",H524,0))</x:f>
      </x:c>
      <x:c r="AF524">
        <x:f>(S524*IF(E524="F",F524,0))+(S524*IF(G524="F",H524,0))</x:f>
      </x:c>
      <x:c r="AG524">
        <x:f>(S524*IF(E524="W",F524,0))+(S524*IF(G524="W",H524,0))</x:f>
      </x:c>
      <x:c r="AH524" t="inlineStr">
        <x:is>
          <x:t xml:space="preserve">4. Legal, Privacy &amp; Ethics</x:t>
        </x:is>
      </x:c>
      <x:c r="AI524" t="inlineStr">
        <x:is>
          <x:t xml:space="preserve">Privacy Engineering</x:t>
        </x:is>
      </x:c>
      <x:c r="AJ524" t="inlineStr">
        <x:is>
          <x:t xml:space="preserve">DPIA/PIA per Use-Case</x:t>
        </x:is>
      </x:c>
    </x:row>
    <x:row r="525">
      <x:c r="A525" t="inlineStr">
        <x:is>
          <x:t xml:space="preserve">Legal</x:t>
        </x:is>
      </x:c>
      <x:c r="B525" t="inlineStr">
        <x:is>
          <x:t xml:space="preserve">LEG-D4-Q14</x:t>
        </x:is>
      </x:c>
      <x:c r="C525" t="inlineStr">
        <x:is>
          <x:t xml:space="preserve">T2</x:t>
        </x:is>
      </x:c>
      <x:c r="D525" t="inlineStr">
        <x:is>
          <x:t xml:space="preserve">5. Culture &amp; Speak-Up</x:t>
        </x:is>
      </x:c>
      <x:c r="E525" t="inlineStr">
        <x:is>
          <x:t xml:space="preserve">H</x:t>
        </x:is>
      </x:c>
      <x:c r="F525" t="n">
        <x:v>1</x:v>
      </x:c>
      <x:c r="G525" t="inlineStr">
        <x:is>
          <x:t xml:space="preserve">-</x:t>
        </x:is>
      </x:c>
      <x:c r="I525" t="inlineStr">
        <x:is>
          <x:t xml:space="preserve">When someone reports a concern, do we actively check for and prevent retaliation (before and after case closure)?</x:t>
        </x:is>
      </x:c>
      <x:c r="J525" t="inlineStr">
        <x:is>
          <x:t xml:space="preserve">Look for: explicit checks, HR monitoring, and consequences for retaliation.</x:t>
        </x:is>
      </x:c>
      <x:c r="L525" t="inlineStr">
        <x:is>
          <x:t xml:space="preserve">CULT_SOFT</x:t>
        </x:is>
      </x:c>
      <x:c r="M525" t="n">
        <x:v>1.1</x:v>
      </x:c>
      <x:c r="P525" t="inlineStr">
        <x:is>
          <x:t xml:space="preserve">LEG-D4-Q14-A2</x:t>
        </x:is>
      </x:c>
      <x:c r="Q525" t="n">
        <x:v>3</x:v>
      </x:c>
      <x:c r="R525" t="inlineStr">
        <x:is>
          <x:t xml:space="preserve">Yes: Anti-retaliation checks exist for most cases.</x:t>
        </x:is>
      </x:c>
      <x:c r="S525" t="n">
        <x:v>3</x:v>
      </x:c>
      <x:c r="V525" t="inlineStr">
        <x:is>
          <x:t xml:space="preserve">Evidence_Request_AntiRetaliation</x:t>
        </x:is>
      </x:c>
      <x:c r="W525" t="inlineStr">
        <x:is>
          <x:t xml:space="preserve">N</x:t>
        </x:is>
      </x:c>
      <x:c r="Y525">
        <x:f>(S525*IF(E525="G",F525,0))+(S525*IF(G525="G",H525,0))</x:f>
      </x:c>
      <x:c r="Z525">
        <x:f>(S525*IF(E525="E",F525,0))+(S525*IF(G525="E",H525,0))</x:f>
      </x:c>
      <x:c r="AA525">
        <x:f>(S525*IF(E525="T",F525,0))+(S525*IF(G525="T",H525,0))</x:f>
      </x:c>
      <x:c r="AB525">
        <x:f>(S525*IF(E525="L",F525,0))+(S525*IF(G525="L",H525,0))</x:f>
      </x:c>
      <x:c r="AC525">
        <x:f>(S525*IF(E525="H",F525,0))+(S525*IF(G525="H",H525,0))</x:f>
      </x:c>
      <x:c r="AD525">
        <x:f>(S525*IF(E525="V",F525,0))+(S525*IF(G525="V",H525,0))</x:f>
      </x:c>
      <x:c r="AE525">
        <x:f>(S525*IF(E525="R",F525,0))+(S525*IF(G525="R",H525,0))</x:f>
      </x:c>
      <x:c r="AF525">
        <x:f>(S525*IF(E525="F",F525,0))+(S525*IF(G525="F",H525,0))</x:f>
      </x:c>
      <x:c r="AG525">
        <x:f>(S525*IF(E525="W",F525,0))+(S525*IF(G525="W",H525,0))</x:f>
      </x:c>
      <x:c r="AH525" t="inlineStr">
        <x:is>
          <x:t xml:space="preserve">4. Legal, Privacy &amp; Ethics</x:t>
        </x:is>
      </x:c>
      <x:c r="AI525" t="inlineStr">
        <x:is>
          <x:t xml:space="preserve">Privacy Engineering</x:t>
        </x:is>
      </x:c>
      <x:c r="AJ525" t="inlineStr">
        <x:is>
          <x:t xml:space="preserve">DPIA/PIA per Use-Case</x:t>
        </x:is>
      </x:c>
    </x:row>
    <x:row r="526">
      <x:c r="A526" t="inlineStr">
        <x:is>
          <x:t xml:space="preserve">Legal</x:t>
        </x:is>
      </x:c>
      <x:c r="B526" t="inlineStr">
        <x:is>
          <x:t xml:space="preserve">LEG-D4-Q14</x:t>
        </x:is>
      </x:c>
      <x:c r="C526" t="inlineStr">
        <x:is>
          <x:t xml:space="preserve">T2</x:t>
        </x:is>
      </x:c>
      <x:c r="D526" t="inlineStr">
        <x:is>
          <x:t xml:space="preserve">5. Culture &amp; Speak-Up</x:t>
        </x:is>
      </x:c>
      <x:c r="E526" t="inlineStr">
        <x:is>
          <x:t xml:space="preserve">H</x:t>
        </x:is>
      </x:c>
      <x:c r="F526" t="n">
        <x:v>1</x:v>
      </x:c>
      <x:c r="G526" t="inlineStr">
        <x:is>
          <x:t xml:space="preserve">-</x:t>
        </x:is>
      </x:c>
      <x:c r="I526" t="inlineStr">
        <x:is>
          <x:t xml:space="preserve">When someone reports a concern, do we actively check for and prevent retaliation (before and after case closure)?</x:t>
        </x:is>
      </x:c>
      <x:c r="J526" t="inlineStr">
        <x:is>
          <x:t xml:space="preserve">Look for: explicit checks, HR monitoring, and consequences for retaliation.</x:t>
        </x:is>
      </x:c>
      <x:c r="L526" t="inlineStr">
        <x:is>
          <x:t xml:space="preserve">CULT_SOFT</x:t>
        </x:is>
      </x:c>
      <x:c r="M526" t="n">
        <x:v>1.1</x:v>
      </x:c>
      <x:c r="P526" t="inlineStr">
        <x:is>
          <x:t xml:space="preserve">LEG-D4-Q14-A3</x:t>
        </x:is>
      </x:c>
      <x:c r="Q526" t="n">
        <x:v>4</x:v>
      </x:c>
      <x:c r="R526" t="inlineStr">
        <x:is>
          <x:t xml:space="preserve">Mature: Formal protections + anonymous feedback + reporting metrics.</x:t>
        </x:is>
      </x:c>
      <x:c r="S526" t="n">
        <x:v>4</x:v>
      </x:c>
      <x:c r="V526" t="inlineStr">
        <x:is>
          <x:t xml:space="preserve">Maintain_and_Audit</x:t>
        </x:is>
      </x:c>
      <x:c r="W526" t="inlineStr">
        <x:is>
          <x:t xml:space="preserve">N</x:t>
        </x:is>
      </x:c>
      <x:c r="Y526">
        <x:f>(S526*IF(E526="G",F526,0))+(S526*IF(G526="G",H526,0))</x:f>
      </x:c>
      <x:c r="Z526">
        <x:f>(S526*IF(E526="E",F526,0))+(S526*IF(G526="E",H526,0))</x:f>
      </x:c>
      <x:c r="AA526">
        <x:f>(S526*IF(E526="T",F526,0))+(S526*IF(G526="T",H526,0))</x:f>
      </x:c>
      <x:c r="AB526">
        <x:f>(S526*IF(E526="L",F526,0))+(S526*IF(G526="L",H526,0))</x:f>
      </x:c>
      <x:c r="AC526">
        <x:f>(S526*IF(E526="H",F526,0))+(S526*IF(G526="H",H526,0))</x:f>
      </x:c>
      <x:c r="AD526">
        <x:f>(S526*IF(E526="V",F526,0))+(S526*IF(G526="V",H526,0))</x:f>
      </x:c>
      <x:c r="AE526">
        <x:f>(S526*IF(E526="R",F526,0))+(S526*IF(G526="R",H526,0))</x:f>
      </x:c>
      <x:c r="AF526">
        <x:f>(S526*IF(E526="F",F526,0))+(S526*IF(G526="F",H526,0))</x:f>
      </x:c>
      <x:c r="AG526">
        <x:f>(S526*IF(E526="W",F526,0))+(S526*IF(G526="W",H526,0))</x:f>
      </x:c>
      <x:c r="AH526" t="inlineStr">
        <x:is>
          <x:t xml:space="preserve">4. Legal, Privacy &amp; Ethics</x:t>
        </x:is>
      </x:c>
      <x:c r="AI526" t="inlineStr">
        <x:is>
          <x:t xml:space="preserve">Privacy Engineering</x:t>
        </x:is>
      </x:c>
      <x:c r="AJ526" t="inlineStr">
        <x:is>
          <x:t xml:space="preserve">DPIA/PIA per Use-Case</x:t>
        </x:is>
      </x:c>
    </x:row>
    <x:row r="527">
      <x:c r="A527" t="inlineStr">
        <x:is>
          <x:t xml:space="preserve">Legal</x:t>
        </x:is>
      </x:c>
      <x:c r="B527" t="inlineStr">
        <x:is>
          <x:t xml:space="preserve">LEG-D5-Q15</x:t>
        </x:is>
      </x:c>
      <x:c r="C527" t="inlineStr">
        <x:is>
          <x:t xml:space="preserve">T2</x:t>
        </x:is>
      </x:c>
      <x:c r="D527" t="inlineStr">
        <x:is>
          <x:t xml:space="preserve">4. Legal &amp; Privacy</x:t>
        </x:is>
      </x:c>
      <x:c r="E527" t="inlineStr">
        <x:is>
          <x:t xml:space="preserve">L</x:t>
        </x:is>
      </x:c>
      <x:c r="F527" t="n">
        <x:v>0.6</x:v>
      </x:c>
      <x:c r="G527" t="inlineStr">
        <x:is>
          <x:t xml:space="preserve">G</x:t>
        </x:is>
      </x:c>
      <x:c r="H527" t="n">
        <x:v>0.4</x:v>
      </x:c>
      <x:c r="I527" t="inlineStr">
        <x:is>
          <x:t xml:space="preserve">Do supplier/contractor agreements include acceptable-use, monitoring notices, and audit/cooperation clauses for investigations?</x:t>
        </x:is>
      </x:c>
      <x:c r="J527" t="inlineStr">
        <x:is>
          <x:t xml:space="preserve">Think: right to collect logs, preserve evidence, cooperate on incidents, and comply with privacy requirements.</x:t>
        </x:is>
      </x:c>
      <x:c r="L527" t="inlineStr">
        <x:is>
          <x:t xml:space="preserve">LEG_STRICT</x:t>
        </x:is>
      </x:c>
      <x:c r="M527" t="n">
        <x:v>1</x:v>
      </x:c>
      <x:c r="P527" t="inlineStr">
        <x:is>
          <x:t xml:space="preserve">LEG-D5-Q15-A0</x:t>
        </x:is>
      </x:c>
      <x:c r="Q527" t="n">
        <x:v>1</x:v>
      </x:c>
      <x:c r="R527" t="inlineStr">
        <x:is>
          <x:t xml:space="preserve">No: Contracts rarely cover monitoring/investigation support.</x:t>
        </x:is>
      </x:c>
      <x:c r="S527" t="n">
        <x:v>0</x:v>
      </x:c>
      <x:c r="T527" t="inlineStr">
        <x:is>
          <x:t xml:space="preserve">legal_exposure</x:t>
        </x:is>
      </x:c>
      <x:c r="U527" t="inlineStr">
        <x:is>
          <x:t xml:space="preserve">Legal Exposure</x:t>
        </x:is>
      </x:c>
      <x:c r="V527" t="inlineStr">
        <x:is>
          <x:t xml:space="preserve">Update_Contracts</x:t>
        </x:is>
      </x:c>
      <x:c r="W527" t="inlineStr">
        <x:is>
          <x:t xml:space="preserve">N</x:t>
        </x:is>
      </x:c>
      <x:c r="Y527">
        <x:f>(S527*IF(E527="G",F527,0))+(S527*IF(G527="G",H527,0))</x:f>
      </x:c>
      <x:c r="Z527">
        <x:f>(S527*IF(E527="E",F527,0))+(S527*IF(G527="E",H527,0))</x:f>
      </x:c>
      <x:c r="AA527">
        <x:f>(S527*IF(E527="T",F527,0))+(S527*IF(G527="T",H527,0))</x:f>
      </x:c>
      <x:c r="AB527">
        <x:f>(S527*IF(E527="L",F527,0))+(S527*IF(G527="L",H527,0))</x:f>
      </x:c>
      <x:c r="AC527">
        <x:f>(S527*IF(E527="H",F527,0))+(S527*IF(G527="H",H527,0))</x:f>
      </x:c>
      <x:c r="AD527">
        <x:f>(S527*IF(E527="V",F527,0))+(S527*IF(G527="V",H527,0))</x:f>
      </x:c>
      <x:c r="AE527">
        <x:f>(S527*IF(E527="R",F527,0))+(S527*IF(G527="R",H527,0))</x:f>
      </x:c>
      <x:c r="AF527">
        <x:f>(S527*IF(E527="F",F527,0))+(S527*IF(G527="F",H527,0))</x:f>
      </x:c>
      <x:c r="AG527">
        <x:f>(S527*IF(E527="W",F527,0))+(S527*IF(G527="W",H527,0))</x:f>
      </x:c>
      <x:c r="AH527" t="inlineStr">
        <x:is>
          <x:t xml:space="preserve">3. Risk Management</x:t>
        </x:is>
      </x:c>
      <x:c r="AI527" t="inlineStr">
        <x:is>
          <x:t xml:space="preserve">Inventory &amp; Scope</x:t>
        </x:is>
      </x:c>
      <x:c r="AJ527" t="inlineStr">
        <x:is>
          <x:t xml:space="preserve">Third-party/contractor scoping</x:t>
        </x:is>
      </x:c>
    </x:row>
    <x:row r="528">
      <x:c r="A528" t="inlineStr">
        <x:is>
          <x:t xml:space="preserve">Legal</x:t>
        </x:is>
      </x:c>
      <x:c r="B528" t="inlineStr">
        <x:is>
          <x:t xml:space="preserve">LEG-D5-Q15</x:t>
        </x:is>
      </x:c>
      <x:c r="C528" t="inlineStr">
        <x:is>
          <x:t xml:space="preserve">T2</x:t>
        </x:is>
      </x:c>
      <x:c r="D528" t="inlineStr">
        <x:is>
          <x:t xml:space="preserve">4. Legal &amp; Privacy</x:t>
        </x:is>
      </x:c>
      <x:c r="E528" t="inlineStr">
        <x:is>
          <x:t xml:space="preserve">L</x:t>
        </x:is>
      </x:c>
      <x:c r="F528" t="n">
        <x:v>0.6</x:v>
      </x:c>
      <x:c r="G528" t="inlineStr">
        <x:is>
          <x:t xml:space="preserve">G</x:t>
        </x:is>
      </x:c>
      <x:c r="H528" t="n">
        <x:v>0.4</x:v>
      </x:c>
      <x:c r="I528" t="inlineStr">
        <x:is>
          <x:t xml:space="preserve">Do supplier/contractor agreements include acceptable-use, monitoring notices, and audit/cooperation clauses for investigations?</x:t>
        </x:is>
      </x:c>
      <x:c r="J528" t="inlineStr">
        <x:is>
          <x:t xml:space="preserve">Think: right to collect logs, preserve evidence, cooperate on incidents, and comply with privacy requirements.</x:t>
        </x:is>
      </x:c>
      <x:c r="L528" t="inlineStr">
        <x:is>
          <x:t xml:space="preserve">LEG_STRICT</x:t>
        </x:is>
      </x:c>
      <x:c r="M528" t="n">
        <x:v>1</x:v>
      </x:c>
      <x:c r="P528" t="inlineStr">
        <x:is>
          <x:t xml:space="preserve">LEG-D5-Q15-A1</x:t>
        </x:is>
      </x:c>
      <x:c r="Q528" t="n">
        <x:v>2</x:v>
      </x:c>
      <x:c r="R528" t="inlineStr">
        <x:is>
          <x:t xml:space="preserve">Partial: Standard clauses exist but not consistently applied.</x:t>
        </x:is>
      </x:c>
      <x:c r="S528" t="n">
        <x:v>1</x:v>
      </x:c>
      <x:c r="T528" t="inlineStr">
        <x:is>
          <x:t xml:space="preserve">paper_dragon_signal</x:t>
        </x:is>
      </x:c>
      <x:c r="U528" t="inlineStr">
        <x:is>
          <x:t xml:space="preserve">Paper Dragon</x:t>
        </x:is>
      </x:c>
      <x:c r="V528" t="inlineStr">
        <x:is>
          <x:t xml:space="preserve">Standardize_Contract_Clauses</x:t>
        </x:is>
      </x:c>
      <x:c r="W528" t="inlineStr">
        <x:is>
          <x:t xml:space="preserve">N</x:t>
        </x:is>
      </x:c>
      <x:c r="Y528">
        <x:f>(S528*IF(E528="G",F528,0))+(S528*IF(G528="G",H528,0))</x:f>
      </x:c>
      <x:c r="Z528">
        <x:f>(S528*IF(E528="E",F528,0))+(S528*IF(G528="E",H528,0))</x:f>
      </x:c>
      <x:c r="AA528">
        <x:f>(S528*IF(E528="T",F528,0))+(S528*IF(G528="T",H528,0))</x:f>
      </x:c>
      <x:c r="AB528">
        <x:f>(S528*IF(E528="L",F528,0))+(S528*IF(G528="L",H528,0))</x:f>
      </x:c>
      <x:c r="AC528">
        <x:f>(S528*IF(E528="H",F528,0))+(S528*IF(G528="H",H528,0))</x:f>
      </x:c>
      <x:c r="AD528">
        <x:f>(S528*IF(E528="V",F528,0))+(S528*IF(G528="V",H528,0))</x:f>
      </x:c>
      <x:c r="AE528">
        <x:f>(S528*IF(E528="R",F528,0))+(S528*IF(G528="R",H528,0))</x:f>
      </x:c>
      <x:c r="AF528">
        <x:f>(S528*IF(E528="F",F528,0))+(S528*IF(G528="F",H528,0))</x:f>
      </x:c>
      <x:c r="AG528">
        <x:f>(S528*IF(E528="W",F528,0))+(S528*IF(G528="W",H528,0))</x:f>
      </x:c>
      <x:c r="AH528" t="inlineStr">
        <x:is>
          <x:t xml:space="preserve">3. Risk Management</x:t>
        </x:is>
      </x:c>
      <x:c r="AI528" t="inlineStr">
        <x:is>
          <x:t xml:space="preserve">Inventory &amp; Scope</x:t>
        </x:is>
      </x:c>
      <x:c r="AJ528" t="inlineStr">
        <x:is>
          <x:t xml:space="preserve">Third-party/contractor scoping</x:t>
        </x:is>
      </x:c>
    </x:row>
    <x:row r="529">
      <x:c r="A529" t="inlineStr">
        <x:is>
          <x:t xml:space="preserve">Legal</x:t>
        </x:is>
      </x:c>
      <x:c r="B529" t="inlineStr">
        <x:is>
          <x:t xml:space="preserve">LEG-D5-Q15</x:t>
        </x:is>
      </x:c>
      <x:c r="C529" t="inlineStr">
        <x:is>
          <x:t xml:space="preserve">T2</x:t>
        </x:is>
      </x:c>
      <x:c r="D529" t="inlineStr">
        <x:is>
          <x:t xml:space="preserve">4. Legal &amp; Privacy</x:t>
        </x:is>
      </x:c>
      <x:c r="E529" t="inlineStr">
        <x:is>
          <x:t xml:space="preserve">L</x:t>
        </x:is>
      </x:c>
      <x:c r="F529" t="n">
        <x:v>0.6</x:v>
      </x:c>
      <x:c r="G529" t="inlineStr">
        <x:is>
          <x:t xml:space="preserve">G</x:t>
        </x:is>
      </x:c>
      <x:c r="H529" t="n">
        <x:v>0.4</x:v>
      </x:c>
      <x:c r="I529" t="inlineStr">
        <x:is>
          <x:t xml:space="preserve">Do supplier/contractor agreements include acceptable-use, monitoring notices, and audit/cooperation clauses for investigations?</x:t>
        </x:is>
      </x:c>
      <x:c r="J529" t="inlineStr">
        <x:is>
          <x:t xml:space="preserve">Think: right to collect logs, preserve evidence, cooperate on incidents, and comply with privacy requirements.</x:t>
        </x:is>
      </x:c>
      <x:c r="L529" t="inlineStr">
        <x:is>
          <x:t xml:space="preserve">LEG_STRICT</x:t>
        </x:is>
      </x:c>
      <x:c r="M529" t="n">
        <x:v>1</x:v>
      </x:c>
      <x:c r="P529" t="inlineStr">
        <x:is>
          <x:t xml:space="preserve">LEG-D5-Q15-A2</x:t>
        </x:is>
      </x:c>
      <x:c r="Q529" t="n">
        <x:v>3</x:v>
      </x:c>
      <x:c r="R529" t="inlineStr">
        <x:is>
          <x:t xml:space="preserve">Yes: Clauses exist for key vendors and are checked during onboarding.</x:t>
        </x:is>
      </x:c>
      <x:c r="S529" t="n">
        <x:v>3</x:v>
      </x:c>
      <x:c r="V529" t="inlineStr">
        <x:is>
          <x:t xml:space="preserve">Evidence_Request_Contracts</x:t>
        </x:is>
      </x:c>
      <x:c r="W529" t="inlineStr">
        <x:is>
          <x:t xml:space="preserve">N</x:t>
        </x:is>
      </x:c>
      <x:c r="Y529">
        <x:f>(S529*IF(E529="G",F529,0))+(S529*IF(G529="G",H529,0))</x:f>
      </x:c>
      <x:c r="Z529">
        <x:f>(S529*IF(E529="E",F529,0))+(S529*IF(G529="E",H529,0))</x:f>
      </x:c>
      <x:c r="AA529">
        <x:f>(S529*IF(E529="T",F529,0))+(S529*IF(G529="T",H529,0))</x:f>
      </x:c>
      <x:c r="AB529">
        <x:f>(S529*IF(E529="L",F529,0))+(S529*IF(G529="L",H529,0))</x:f>
      </x:c>
      <x:c r="AC529">
        <x:f>(S529*IF(E529="H",F529,0))+(S529*IF(G529="H",H529,0))</x:f>
      </x:c>
      <x:c r="AD529">
        <x:f>(S529*IF(E529="V",F529,0))+(S529*IF(G529="V",H529,0))</x:f>
      </x:c>
      <x:c r="AE529">
        <x:f>(S529*IF(E529="R",F529,0))+(S529*IF(G529="R",H529,0))</x:f>
      </x:c>
      <x:c r="AF529">
        <x:f>(S529*IF(E529="F",F529,0))+(S529*IF(G529="F",H529,0))</x:f>
      </x:c>
      <x:c r="AG529">
        <x:f>(S529*IF(E529="W",F529,0))+(S529*IF(G529="W",H529,0))</x:f>
      </x:c>
      <x:c r="AH529" t="inlineStr">
        <x:is>
          <x:t xml:space="preserve">3. Risk Management</x:t>
        </x:is>
      </x:c>
      <x:c r="AI529" t="inlineStr">
        <x:is>
          <x:t xml:space="preserve">Inventory &amp; Scope</x:t>
        </x:is>
      </x:c>
      <x:c r="AJ529" t="inlineStr">
        <x:is>
          <x:t xml:space="preserve">Third-party/contractor scoping</x:t>
        </x:is>
      </x:c>
    </x:row>
    <x:row r="530">
      <x:c r="A530" t="inlineStr">
        <x:is>
          <x:t xml:space="preserve">Legal</x:t>
        </x:is>
      </x:c>
      <x:c r="B530" t="inlineStr">
        <x:is>
          <x:t xml:space="preserve">LEG-D5-Q15</x:t>
        </x:is>
      </x:c>
      <x:c r="C530" t="inlineStr">
        <x:is>
          <x:t xml:space="preserve">T2</x:t>
        </x:is>
      </x:c>
      <x:c r="D530" t="inlineStr">
        <x:is>
          <x:t xml:space="preserve">4. Legal &amp; Privacy</x:t>
        </x:is>
      </x:c>
      <x:c r="E530" t="inlineStr">
        <x:is>
          <x:t xml:space="preserve">L</x:t>
        </x:is>
      </x:c>
      <x:c r="F530" t="n">
        <x:v>0.6</x:v>
      </x:c>
      <x:c r="G530" t="inlineStr">
        <x:is>
          <x:t xml:space="preserve">G</x:t>
        </x:is>
      </x:c>
      <x:c r="H530" t="n">
        <x:v>0.4</x:v>
      </x:c>
      <x:c r="I530" t="inlineStr">
        <x:is>
          <x:t xml:space="preserve">Do supplier/contractor agreements include acceptable-use, monitoring notices, and audit/cooperation clauses for investigations?</x:t>
        </x:is>
      </x:c>
      <x:c r="J530" t="inlineStr">
        <x:is>
          <x:t xml:space="preserve">Think: right to collect logs, preserve evidence, cooperate on incidents, and comply with privacy requirements.</x:t>
        </x:is>
      </x:c>
      <x:c r="L530" t="inlineStr">
        <x:is>
          <x:t xml:space="preserve">LEG_STRICT</x:t>
        </x:is>
      </x:c>
      <x:c r="M530" t="n">
        <x:v>1</x:v>
      </x:c>
      <x:c r="P530" t="inlineStr">
        <x:is>
          <x:t xml:space="preserve">LEG-D5-Q15-A3</x:t>
        </x:is>
      </x:c>
      <x:c r="Q530" t="n">
        <x:v>4</x:v>
      </x:c>
      <x:c r="R530" t="inlineStr">
        <x:is>
          <x:t xml:space="preserve">Optimized: Clauses + periodic assurance + vendor cooperation playbooks.</x:t>
        </x:is>
      </x:c>
      <x:c r="S530" t="n">
        <x:v>4</x:v>
      </x:c>
      <x:c r="V530" t="inlineStr">
        <x:is>
          <x:t xml:space="preserve">Maintain_and_Audit</x:t>
        </x:is>
      </x:c>
      <x:c r="W530" t="inlineStr">
        <x:is>
          <x:t xml:space="preserve">N</x:t>
        </x:is>
      </x:c>
      <x:c r="Y530">
        <x:f>(S530*IF(E530="G",F530,0))+(S530*IF(G530="G",H530,0))</x:f>
      </x:c>
      <x:c r="Z530">
        <x:f>(S530*IF(E530="E",F530,0))+(S530*IF(G530="E",H530,0))</x:f>
      </x:c>
      <x:c r="AA530">
        <x:f>(S530*IF(E530="T",F530,0))+(S530*IF(G530="T",H530,0))</x:f>
      </x:c>
      <x:c r="AB530">
        <x:f>(S530*IF(E530="L",F530,0))+(S530*IF(G530="L",H530,0))</x:f>
      </x:c>
      <x:c r="AC530">
        <x:f>(S530*IF(E530="H",F530,0))+(S530*IF(G530="H",H530,0))</x:f>
      </x:c>
      <x:c r="AD530">
        <x:f>(S530*IF(E530="V",F530,0))+(S530*IF(G530="V",H530,0))</x:f>
      </x:c>
      <x:c r="AE530">
        <x:f>(S530*IF(E530="R",F530,0))+(S530*IF(G530="R",H530,0))</x:f>
      </x:c>
      <x:c r="AF530">
        <x:f>(S530*IF(E530="F",F530,0))+(S530*IF(G530="F",H530,0))</x:f>
      </x:c>
      <x:c r="AG530">
        <x:f>(S530*IF(E530="W",F530,0))+(S530*IF(G530="W",H530,0))</x:f>
      </x:c>
      <x:c r="AH530" t="inlineStr">
        <x:is>
          <x:t xml:space="preserve">3. Risk Management</x:t>
        </x:is>
      </x:c>
      <x:c r="AI530" t="inlineStr">
        <x:is>
          <x:t xml:space="preserve">Inventory &amp; Scope</x:t>
        </x:is>
      </x:c>
      <x:c r="AJ530" t="inlineStr">
        <x:is>
          <x:t xml:space="preserve">Third-party/contractor scoping</x:t>
        </x:is>
      </x:c>
    </x:row>
    <x:row r="531">
      <x:c r="A531" t="inlineStr">
        <x:is>
          <x:t xml:space="preserve">Legal</x:t>
        </x:is>
      </x:c>
      <x:c r="B531" t="inlineStr">
        <x:is>
          <x:t xml:space="preserve">LEG-D6-Q16</x:t>
        </x:is>
      </x:c>
      <x:c r="C531" t="inlineStr">
        <x:is>
          <x:t xml:space="preserve">T2</x:t>
        </x:is>
      </x:c>
      <x:c r="D531" t="inlineStr">
        <x:is>
          <x:t xml:space="preserve">8. Response &amp; Investigations</x:t>
        </x:is>
      </x:c>
      <x:c r="E531" t="inlineStr">
        <x:is>
          <x:t xml:space="preserve">L</x:t>
        </x:is>
      </x:c>
      <x:c r="F531" t="n">
        <x:v>0.5</x:v>
      </x:c>
      <x:c r="G531" t="inlineStr">
        <x:is>
          <x:t xml:space="preserve">R</x:t>
        </x:is>
      </x:c>
      <x:c r="H531" t="n">
        <x:v>0.5</x:v>
      </x:c>
      <x:c r="I531" t="inlineStr">
        <x:is>
          <x:t xml:space="preserve">Do we have clear criteria for involving law enforcement and preserving evidence accordingly?</x:t>
        </x:is>
      </x:c>
      <x:c r="J531" t="inlineStr">
        <x:is>
          <x:t xml:space="preserve">This doesn’t mean you always involve law enforcement—only that you know when and how.</x:t>
        </x:is>
      </x:c>
      <x:c r="L531" t="inlineStr">
        <x:is>
          <x:t xml:space="preserve">LEG_STRICT</x:t>
        </x:is>
      </x:c>
      <x:c r="M531" t="n">
        <x:v>1</x:v>
      </x:c>
      <x:c r="P531" t="inlineStr">
        <x:is>
          <x:t xml:space="preserve">LEG-D6-Q16-A0</x:t>
        </x:is>
      </x:c>
      <x:c r="Q531" t="n">
        <x:v>1</x:v>
      </x:c>
      <x:c r="R531" t="inlineStr">
        <x:is>
          <x:t xml:space="preserve">No: We decide during a crisis; roles and criteria are unclear.</x:t>
        </x:is>
      </x:c>
      <x:c r="S531" t="n">
        <x:v>0</x:v>
      </x:c>
      <x:c r="T531" t="inlineStr">
        <x:is>
          <x:t xml:space="preserve">resilience_gap</x:t>
        </x:is>
      </x:c>
      <x:c r="U531" t="inlineStr">
        <x:is>
          <x:t xml:space="preserve">Resilience Gap</x:t>
        </x:is>
      </x:c>
      <x:c r="V531" t="inlineStr">
        <x:is>
          <x:t xml:space="preserve">Define_LE_Criteria</x:t>
        </x:is>
      </x:c>
      <x:c r="W531" t="inlineStr">
        <x:is>
          <x:t xml:space="preserve">N</x:t>
        </x:is>
      </x:c>
      <x:c r="Y531">
        <x:f>(S531*IF(E531="G",F531,0))+(S531*IF(G531="G",H531,0))</x:f>
      </x:c>
      <x:c r="Z531">
        <x:f>(S531*IF(E531="E",F531,0))+(S531*IF(G531="E",H531,0))</x:f>
      </x:c>
      <x:c r="AA531">
        <x:f>(S531*IF(E531="T",F531,0))+(S531*IF(G531="T",H531,0))</x:f>
      </x:c>
      <x:c r="AB531">
        <x:f>(S531*IF(E531="L",F531,0))+(S531*IF(G531="L",H531,0))</x:f>
      </x:c>
      <x:c r="AC531">
        <x:f>(S531*IF(E531="H",F531,0))+(S531*IF(G531="H",H531,0))</x:f>
      </x:c>
      <x:c r="AD531">
        <x:f>(S531*IF(E531="V",F531,0))+(S531*IF(G531="V",H531,0))</x:f>
      </x:c>
      <x:c r="AE531">
        <x:f>(S531*IF(E531="R",F531,0))+(S531*IF(G531="R",H531,0))</x:f>
      </x:c>
      <x:c r="AF531">
        <x:f>(S531*IF(E531="F",F531,0))+(S531*IF(G531="F",H531,0))</x:f>
      </x:c>
      <x:c r="AG531">
        <x:f>(S531*IF(E531="W",F531,0))+(S531*IF(G531="W",H531,0))</x:f>
      </x:c>
      <x:c r="AH531" t="inlineStr">
        <x:is>
          <x:t xml:space="preserve">8. Investigation &amp; Response</x:t>
        </x:is>
      </x:c>
      <x:c r="AI531" t="inlineStr">
        <x:is>
          <x:t xml:space="preserve">Incident Action</x:t>
        </x:is>
      </x:c>
      <x:c r="AJ531" t="inlineStr">
        <x:is>
          <x:t xml:space="preserve">Law enforcement &amp; external liaison</x:t>
        </x:is>
      </x:c>
    </x:row>
    <x:row r="532">
      <x:c r="A532" t="inlineStr">
        <x:is>
          <x:t xml:space="preserve">Legal</x:t>
        </x:is>
      </x:c>
      <x:c r="B532" t="inlineStr">
        <x:is>
          <x:t xml:space="preserve">LEG-D6-Q16</x:t>
        </x:is>
      </x:c>
      <x:c r="C532" t="inlineStr">
        <x:is>
          <x:t xml:space="preserve">T2</x:t>
        </x:is>
      </x:c>
      <x:c r="D532" t="inlineStr">
        <x:is>
          <x:t xml:space="preserve">8. Response &amp; Investigations</x:t>
        </x:is>
      </x:c>
      <x:c r="E532" t="inlineStr">
        <x:is>
          <x:t xml:space="preserve">L</x:t>
        </x:is>
      </x:c>
      <x:c r="F532" t="n">
        <x:v>0.5</x:v>
      </x:c>
      <x:c r="G532" t="inlineStr">
        <x:is>
          <x:t xml:space="preserve">R</x:t>
        </x:is>
      </x:c>
      <x:c r="H532" t="n">
        <x:v>0.5</x:v>
      </x:c>
      <x:c r="I532" t="inlineStr">
        <x:is>
          <x:t xml:space="preserve">Do we have clear criteria for involving law enforcement and preserving evidence accordingly?</x:t>
        </x:is>
      </x:c>
      <x:c r="J532" t="inlineStr">
        <x:is>
          <x:t xml:space="preserve">This doesn’t mean you always involve law enforcement—only that you know when and how.</x:t>
        </x:is>
      </x:c>
      <x:c r="L532" t="inlineStr">
        <x:is>
          <x:t xml:space="preserve">LEG_STRICT</x:t>
        </x:is>
      </x:c>
      <x:c r="M532" t="n">
        <x:v>1</x:v>
      </x:c>
      <x:c r="P532" t="inlineStr">
        <x:is>
          <x:t xml:space="preserve">LEG-D6-Q16-A1</x:t>
        </x:is>
      </x:c>
      <x:c r="Q532" t="n">
        <x:v>2</x:v>
      </x:c>
      <x:c r="R532" t="inlineStr">
        <x:is>
          <x:t xml:space="preserve">Ad-hoc: A few leaders know contacts, but it’s not documented.</x:t>
        </x:is>
      </x:c>
      <x:c r="S532" t="n">
        <x:v>1</x:v>
      </x:c>
      <x:c r="T532" t="inlineStr">
        <x:is>
          <x:t xml:space="preserve">operating_model_gap</x:t>
        </x:is>
      </x:c>
      <x:c r="U532" t="inlineStr">
        <x:is>
          <x:t xml:space="preserve">Operating Model Gap</x:t>
        </x:is>
      </x:c>
      <x:c r="V532" t="inlineStr">
        <x:is>
          <x:t xml:space="preserve">Document_LE_Process</x:t>
        </x:is>
      </x:c>
      <x:c r="W532" t="inlineStr">
        <x:is>
          <x:t xml:space="preserve">N</x:t>
        </x:is>
      </x:c>
      <x:c r="Y532">
        <x:f>(S532*IF(E532="G",F532,0))+(S532*IF(G532="G",H532,0))</x:f>
      </x:c>
      <x:c r="Z532">
        <x:f>(S532*IF(E532="E",F532,0))+(S532*IF(G532="E",H532,0))</x:f>
      </x:c>
      <x:c r="AA532">
        <x:f>(S532*IF(E532="T",F532,0))+(S532*IF(G532="T",H532,0))</x:f>
      </x:c>
      <x:c r="AB532">
        <x:f>(S532*IF(E532="L",F532,0))+(S532*IF(G532="L",H532,0))</x:f>
      </x:c>
      <x:c r="AC532">
        <x:f>(S532*IF(E532="H",F532,0))+(S532*IF(G532="H",H532,0))</x:f>
      </x:c>
      <x:c r="AD532">
        <x:f>(S532*IF(E532="V",F532,0))+(S532*IF(G532="V",H532,0))</x:f>
      </x:c>
      <x:c r="AE532">
        <x:f>(S532*IF(E532="R",F532,0))+(S532*IF(G532="R",H532,0))</x:f>
      </x:c>
      <x:c r="AF532">
        <x:f>(S532*IF(E532="F",F532,0))+(S532*IF(G532="F",H532,0))</x:f>
      </x:c>
      <x:c r="AG532">
        <x:f>(S532*IF(E532="W",F532,0))+(S532*IF(G532="W",H532,0))</x:f>
      </x:c>
      <x:c r="AH532" t="inlineStr">
        <x:is>
          <x:t xml:space="preserve">8. Investigation &amp; Response</x:t>
        </x:is>
      </x:c>
      <x:c r="AI532" t="inlineStr">
        <x:is>
          <x:t xml:space="preserve">Incident Action</x:t>
        </x:is>
      </x:c>
      <x:c r="AJ532" t="inlineStr">
        <x:is>
          <x:t xml:space="preserve">Law enforcement &amp; external liaison</x:t>
        </x:is>
      </x:c>
    </x:row>
    <x:row r="533">
      <x:c r="A533" t="inlineStr">
        <x:is>
          <x:t xml:space="preserve">Legal</x:t>
        </x:is>
      </x:c>
      <x:c r="B533" t="inlineStr">
        <x:is>
          <x:t xml:space="preserve">LEG-D6-Q16</x:t>
        </x:is>
      </x:c>
      <x:c r="C533" t="inlineStr">
        <x:is>
          <x:t xml:space="preserve">T2</x:t>
        </x:is>
      </x:c>
      <x:c r="D533" t="inlineStr">
        <x:is>
          <x:t xml:space="preserve">8. Response &amp; Investigations</x:t>
        </x:is>
      </x:c>
      <x:c r="E533" t="inlineStr">
        <x:is>
          <x:t xml:space="preserve">L</x:t>
        </x:is>
      </x:c>
      <x:c r="F533" t="n">
        <x:v>0.5</x:v>
      </x:c>
      <x:c r="G533" t="inlineStr">
        <x:is>
          <x:t xml:space="preserve">R</x:t>
        </x:is>
      </x:c>
      <x:c r="H533" t="n">
        <x:v>0.5</x:v>
      </x:c>
      <x:c r="I533" t="inlineStr">
        <x:is>
          <x:t xml:space="preserve">Do we have clear criteria for involving law enforcement and preserving evidence accordingly?</x:t>
        </x:is>
      </x:c>
      <x:c r="J533" t="inlineStr">
        <x:is>
          <x:t xml:space="preserve">This doesn’t mean you always involve law enforcement—only that you know when and how.</x:t>
        </x:is>
      </x:c>
      <x:c r="L533" t="inlineStr">
        <x:is>
          <x:t xml:space="preserve">LEG_STRICT</x:t>
        </x:is>
      </x:c>
      <x:c r="M533" t="n">
        <x:v>1</x:v>
      </x:c>
      <x:c r="P533" t="inlineStr">
        <x:is>
          <x:t xml:space="preserve">LEG-D6-Q16-A2</x:t>
        </x:is>
      </x:c>
      <x:c r="Q533" t="n">
        <x:v>3</x:v>
      </x:c>
      <x:c r="R533" t="inlineStr">
        <x:is>
          <x:t xml:space="preserve">Yes: Criteria and process exist; tested in tabletop exercises.</x:t>
        </x:is>
      </x:c>
      <x:c r="S533" t="n">
        <x:v>3</x:v>
      </x:c>
      <x:c r="V533" t="inlineStr">
        <x:is>
          <x:t xml:space="preserve">Evidence_Request_LE_Playbook</x:t>
        </x:is>
      </x:c>
      <x:c r="W533" t="inlineStr">
        <x:is>
          <x:t xml:space="preserve">N</x:t>
        </x:is>
      </x:c>
      <x:c r="Y533">
        <x:f>(S533*IF(E533="G",F533,0))+(S533*IF(G533="G",H533,0))</x:f>
      </x:c>
      <x:c r="Z533">
        <x:f>(S533*IF(E533="E",F533,0))+(S533*IF(G533="E",H533,0))</x:f>
      </x:c>
      <x:c r="AA533">
        <x:f>(S533*IF(E533="T",F533,0))+(S533*IF(G533="T",H533,0))</x:f>
      </x:c>
      <x:c r="AB533">
        <x:f>(S533*IF(E533="L",F533,0))+(S533*IF(G533="L",H533,0))</x:f>
      </x:c>
      <x:c r="AC533">
        <x:f>(S533*IF(E533="H",F533,0))+(S533*IF(G533="H",H533,0))</x:f>
      </x:c>
      <x:c r="AD533">
        <x:f>(S533*IF(E533="V",F533,0))+(S533*IF(G533="V",H533,0))</x:f>
      </x:c>
      <x:c r="AE533">
        <x:f>(S533*IF(E533="R",F533,0))+(S533*IF(G533="R",H533,0))</x:f>
      </x:c>
      <x:c r="AF533">
        <x:f>(S533*IF(E533="F",F533,0))+(S533*IF(G533="F",H533,0))</x:f>
      </x:c>
      <x:c r="AG533">
        <x:f>(S533*IF(E533="W",F533,0))+(S533*IF(G533="W",H533,0))</x:f>
      </x:c>
      <x:c r="AH533" t="inlineStr">
        <x:is>
          <x:t xml:space="preserve">8. Investigation &amp; Response</x:t>
        </x:is>
      </x:c>
      <x:c r="AI533" t="inlineStr">
        <x:is>
          <x:t xml:space="preserve">Incident Action</x:t>
        </x:is>
      </x:c>
      <x:c r="AJ533" t="inlineStr">
        <x:is>
          <x:t xml:space="preserve">Law enforcement &amp; external liaison</x:t>
        </x:is>
      </x:c>
    </x:row>
    <x:row r="534">
      <x:c r="A534" t="inlineStr">
        <x:is>
          <x:t xml:space="preserve">Legal</x:t>
        </x:is>
      </x:c>
      <x:c r="B534" t="inlineStr">
        <x:is>
          <x:t xml:space="preserve">LEG-D6-Q16</x:t>
        </x:is>
      </x:c>
      <x:c r="C534" t="inlineStr">
        <x:is>
          <x:t xml:space="preserve">T2</x:t>
        </x:is>
      </x:c>
      <x:c r="D534" t="inlineStr">
        <x:is>
          <x:t xml:space="preserve">8. Response &amp; Investigations</x:t>
        </x:is>
      </x:c>
      <x:c r="E534" t="inlineStr">
        <x:is>
          <x:t xml:space="preserve">L</x:t>
        </x:is>
      </x:c>
      <x:c r="F534" t="n">
        <x:v>0.5</x:v>
      </x:c>
      <x:c r="G534" t="inlineStr">
        <x:is>
          <x:t xml:space="preserve">R</x:t>
        </x:is>
      </x:c>
      <x:c r="H534" t="n">
        <x:v>0.5</x:v>
      </x:c>
      <x:c r="I534" t="inlineStr">
        <x:is>
          <x:t xml:space="preserve">Do we have clear criteria for involving law enforcement and preserving evidence accordingly?</x:t>
        </x:is>
      </x:c>
      <x:c r="J534" t="inlineStr">
        <x:is>
          <x:t xml:space="preserve">This doesn’t mean you always involve law enforcement—only that you know when and how.</x:t>
        </x:is>
      </x:c>
      <x:c r="L534" t="inlineStr">
        <x:is>
          <x:t xml:space="preserve">LEG_STRICT</x:t>
        </x:is>
      </x:c>
      <x:c r="M534" t="n">
        <x:v>1</x:v>
      </x:c>
      <x:c r="P534" t="inlineStr">
        <x:is>
          <x:t xml:space="preserve">LEG-D6-Q16-A3</x:t>
        </x:is>
      </x:c>
      <x:c r="Q534" t="n">
        <x:v>4</x:v>
      </x:c>
      <x:c r="R534" t="inlineStr">
        <x:is>
          <x:t xml:space="preserve">Mature: Pre-arranged contacts + evidence standards + regular reviews.</x:t>
        </x:is>
      </x:c>
      <x:c r="S534" t="n">
        <x:v>4</x:v>
      </x:c>
      <x:c r="V534" t="inlineStr">
        <x:is>
          <x:t xml:space="preserve">Maintain_and_Audit</x:t>
        </x:is>
      </x:c>
      <x:c r="W534" t="inlineStr">
        <x:is>
          <x:t xml:space="preserve">N</x:t>
        </x:is>
      </x:c>
      <x:c r="Y534">
        <x:f>(S534*IF(E534="G",F534,0))+(S534*IF(G534="G",H534,0))</x:f>
      </x:c>
      <x:c r="Z534">
        <x:f>(S534*IF(E534="E",F534,0))+(S534*IF(G534="E",H534,0))</x:f>
      </x:c>
      <x:c r="AA534">
        <x:f>(S534*IF(E534="T",F534,0))+(S534*IF(G534="T",H534,0))</x:f>
      </x:c>
      <x:c r="AB534">
        <x:f>(S534*IF(E534="L",F534,0))+(S534*IF(G534="L",H534,0))</x:f>
      </x:c>
      <x:c r="AC534">
        <x:f>(S534*IF(E534="H",F534,0))+(S534*IF(G534="H",H534,0))</x:f>
      </x:c>
      <x:c r="AD534">
        <x:f>(S534*IF(E534="V",F534,0))+(S534*IF(G534="V",H534,0))</x:f>
      </x:c>
      <x:c r="AE534">
        <x:f>(S534*IF(E534="R",F534,0))+(S534*IF(G534="R",H534,0))</x:f>
      </x:c>
      <x:c r="AF534">
        <x:f>(S534*IF(E534="F",F534,0))+(S534*IF(G534="F",H534,0))</x:f>
      </x:c>
      <x:c r="AG534">
        <x:f>(S534*IF(E534="W",F534,0))+(S534*IF(G534="W",H534,0))</x:f>
      </x:c>
      <x:c r="AH534" t="inlineStr">
        <x:is>
          <x:t xml:space="preserve">8. Investigation &amp; Response</x:t>
        </x:is>
      </x:c>
      <x:c r="AI534" t="inlineStr">
        <x:is>
          <x:t xml:space="preserve">Incident Action</x:t>
        </x:is>
      </x:c>
      <x:c r="AJ534" t="inlineStr">
        <x:is>
          <x:t xml:space="preserve">Law enforcement &amp; external liaison</x:t>
        </x:is>
      </x:c>
    </x:row>
    <x:row r="535">
      <x:c r="A535" t="inlineStr">
        <x:is>
          <x:t xml:space="preserve">Legal</x:t>
        </x:is>
      </x:c>
      <x:c r="B535" t="inlineStr">
        <x:is>
          <x:t xml:space="preserve">LEG-D6-Q17</x:t>
        </x:is>
      </x:c>
      <x:c r="C535" t="inlineStr">
        <x:is>
          <x:t xml:space="preserve">T2</x:t>
        </x:is>
      </x:c>
      <x:c r="D535" t="inlineStr">
        <x:is>
          <x:t xml:space="preserve">4. Legal &amp; Privacy</x:t>
        </x:is>
      </x:c>
      <x:c r="E535" t="inlineStr">
        <x:is>
          <x:t xml:space="preserve">G</x:t>
        </x:is>
      </x:c>
      <x:c r="F535" t="n">
        <x:v>0.5</x:v>
      </x:c>
      <x:c r="G535" t="inlineStr">
        <x:is>
          <x:t xml:space="preserve">L</x:t>
        </x:is>
      </x:c>
      <x:c r="H535" t="n">
        <x:v>0.5</x:v>
      </x:c>
      <x:c r="I535" t="inlineStr">
        <x:is>
          <x:t xml:space="preserve">Who approves high-intrusion actions (e.g., mailbox review, device imaging, covert monitoring), and is it documented each time?</x:t>
        </x:is>
      </x:c>
      <x:c r="J535" t="inlineStr">
        <x:is>
          <x:t xml:space="preserve">Look for separation of duties: not one person deciding and executing alone.</x:t>
        </x:is>
      </x:c>
      <x:c r="L535" t="inlineStr">
        <x:is>
          <x:t xml:space="preserve">LEG_STRICT</x:t>
        </x:is>
      </x:c>
      <x:c r="M535" t="n">
        <x:v>1.3</x:v>
      </x:c>
      <x:c r="N535" t="n">
        <x:v>0.5</x:v>
      </x:c>
      <x:c r="P535" t="inlineStr">
        <x:is>
          <x:t xml:space="preserve">LEG-D6-Q17-A0</x:t>
        </x:is>
      </x:c>
      <x:c r="Q535" t="n">
        <x:v>1</x:v>
      </x:c>
      <x:c r="R535" t="inlineStr">
        <x:is>
          <x:t xml:space="preserve">No defined approvals; whoever has admin access decides.</x:t>
        </x:is>
      </x:c>
      <x:c r="S535" t="n">
        <x:v>0</x:v>
      </x:c>
      <x:c r="T535" t="inlineStr">
        <x:is>
          <x:t xml:space="preserve">legal_exposure</x:t>
        </x:is>
      </x:c>
      <x:c r="U535" t="inlineStr">
        <x:is>
          <x:t xml:space="preserve">Legal Exposure</x:t>
        </x:is>
      </x:c>
      <x:c r="V535" t="inlineStr">
        <x:is>
          <x:t xml:space="preserve">Define_Approval_Workflow</x:t>
        </x:is>
      </x:c>
      <x:c r="W535" t="inlineStr">
        <x:is>
          <x:t xml:space="preserve">N</x:t>
        </x:is>
      </x:c>
      <x:c r="Y535">
        <x:f>(S535*IF(E535="G",F535,0))+(S535*IF(G535="G",H535,0))</x:f>
      </x:c>
      <x:c r="Z535">
        <x:f>(S535*IF(E535="E",F535,0))+(S535*IF(G535="E",H535,0))</x:f>
      </x:c>
      <x:c r="AA535">
        <x:f>(S535*IF(E535="T",F535,0))+(S535*IF(G535="T",H535,0))</x:f>
      </x:c>
      <x:c r="AB535">
        <x:f>(S535*IF(E535="L",F535,0))+(S535*IF(G535="L",H535,0))</x:f>
      </x:c>
      <x:c r="AC535">
        <x:f>(S535*IF(E535="H",F535,0))+(S535*IF(G535="H",H535,0))</x:f>
      </x:c>
      <x:c r="AD535">
        <x:f>(S535*IF(E535="V",F535,0))+(S535*IF(G535="V",H535,0))</x:f>
      </x:c>
      <x:c r="AE535">
        <x:f>(S535*IF(E535="R",F535,0))+(S535*IF(G535="R",H535,0))</x:f>
      </x:c>
      <x:c r="AF535">
        <x:f>(S535*IF(E535="F",F535,0))+(S535*IF(G535="F",H535,0))</x:f>
      </x:c>
      <x:c r="AG535">
        <x:f>(S535*IF(E535="W",F535,0))+(S535*IF(G535="W",H535,0))</x:f>
      </x:c>
      <x:c r="AH535" t="inlineStr">
        <x:is>
          <x:t xml:space="preserve">4. Legal, Privacy &amp; Ethics</x:t>
        </x:is>
      </x:c>
      <x:c r="AI535" t="inlineStr">
        <x:is>
          <x:t xml:space="preserve">Oversight &amp; Safeguards</x:t>
        </x:is>
      </x:c>
      <x:c r="AJ535" t="inlineStr">
        <x:is>
          <x:t xml:space="preserve">Monitoring Access Governance</x:t>
        </x:is>
      </x:c>
    </x:row>
    <x:row r="536">
      <x:c r="A536" t="inlineStr">
        <x:is>
          <x:t xml:space="preserve">Legal</x:t>
        </x:is>
      </x:c>
      <x:c r="B536" t="inlineStr">
        <x:is>
          <x:t xml:space="preserve">LEG-D6-Q17</x:t>
        </x:is>
      </x:c>
      <x:c r="C536" t="inlineStr">
        <x:is>
          <x:t xml:space="preserve">T2</x:t>
        </x:is>
      </x:c>
      <x:c r="D536" t="inlineStr">
        <x:is>
          <x:t xml:space="preserve">4. Legal &amp; Privacy</x:t>
        </x:is>
      </x:c>
      <x:c r="E536" t="inlineStr">
        <x:is>
          <x:t xml:space="preserve">G</x:t>
        </x:is>
      </x:c>
      <x:c r="F536" t="n">
        <x:v>0.5</x:v>
      </x:c>
      <x:c r="G536" t="inlineStr">
        <x:is>
          <x:t xml:space="preserve">L</x:t>
        </x:is>
      </x:c>
      <x:c r="H536" t="n">
        <x:v>0.5</x:v>
      </x:c>
      <x:c r="I536" t="inlineStr">
        <x:is>
          <x:t xml:space="preserve">Who approves high-intrusion actions (e.g., mailbox review, device imaging, covert monitoring), and is it documented each time?</x:t>
        </x:is>
      </x:c>
      <x:c r="J536" t="inlineStr">
        <x:is>
          <x:t xml:space="preserve">Look for separation of duties: not one person deciding and executing alone.</x:t>
        </x:is>
      </x:c>
      <x:c r="L536" t="inlineStr">
        <x:is>
          <x:t xml:space="preserve">LEG_STRICT</x:t>
        </x:is>
      </x:c>
      <x:c r="M536" t="n">
        <x:v>1.3</x:v>
      </x:c>
      <x:c r="N536" t="n">
        <x:v>0.5</x:v>
      </x:c>
      <x:c r="P536" t="inlineStr">
        <x:is>
          <x:t xml:space="preserve">LEG-D6-Q17-A1</x:t>
        </x:is>
      </x:c>
      <x:c r="Q536" t="n">
        <x:v>2</x:v>
      </x:c>
      <x:c r="R536" t="inlineStr">
        <x:is>
          <x:t xml:space="preserve">Partial: Approvals exist but are informal (chat/email) and not retained.</x:t>
        </x:is>
      </x:c>
      <x:c r="S536" t="n">
        <x:v>1</x:v>
      </x:c>
      <x:c r="T536" t="inlineStr">
        <x:is>
          <x:t xml:space="preserve">operating_model_gap</x:t>
        </x:is>
      </x:c>
      <x:c r="U536" t="inlineStr">
        <x:is>
          <x:t xml:space="preserve">Operating Model Gap</x:t>
        </x:is>
      </x:c>
      <x:c r="V536" t="inlineStr">
        <x:is>
          <x:t xml:space="preserve">Formalize_Approvals</x:t>
        </x:is>
      </x:c>
      <x:c r="W536" t="inlineStr">
        <x:is>
          <x:t xml:space="preserve">N</x:t>
        </x:is>
      </x:c>
      <x:c r="Y536">
        <x:f>(S536*IF(E536="G",F536,0))+(S536*IF(G536="G",H536,0))</x:f>
      </x:c>
      <x:c r="Z536">
        <x:f>(S536*IF(E536="E",F536,0))+(S536*IF(G536="E",H536,0))</x:f>
      </x:c>
      <x:c r="AA536">
        <x:f>(S536*IF(E536="T",F536,0))+(S536*IF(G536="T",H536,0))</x:f>
      </x:c>
      <x:c r="AB536">
        <x:f>(S536*IF(E536="L",F536,0))+(S536*IF(G536="L",H536,0))</x:f>
      </x:c>
      <x:c r="AC536">
        <x:f>(S536*IF(E536="H",F536,0))+(S536*IF(G536="H",H536,0))</x:f>
      </x:c>
      <x:c r="AD536">
        <x:f>(S536*IF(E536="V",F536,0))+(S536*IF(G536="V",H536,0))</x:f>
      </x:c>
      <x:c r="AE536">
        <x:f>(S536*IF(E536="R",F536,0))+(S536*IF(G536="R",H536,0))</x:f>
      </x:c>
      <x:c r="AF536">
        <x:f>(S536*IF(E536="F",F536,0))+(S536*IF(G536="F",H536,0))</x:f>
      </x:c>
      <x:c r="AG536">
        <x:f>(S536*IF(E536="W",F536,0))+(S536*IF(G536="W",H536,0))</x:f>
      </x:c>
      <x:c r="AH536" t="inlineStr">
        <x:is>
          <x:t xml:space="preserve">4. Legal, Privacy &amp; Ethics</x:t>
        </x:is>
      </x:c>
      <x:c r="AI536" t="inlineStr">
        <x:is>
          <x:t xml:space="preserve">Oversight &amp; Safeguards</x:t>
        </x:is>
      </x:c>
      <x:c r="AJ536" t="inlineStr">
        <x:is>
          <x:t xml:space="preserve">Monitoring Access Governance</x:t>
        </x:is>
      </x:c>
    </x:row>
    <x:row r="537">
      <x:c r="A537" t="inlineStr">
        <x:is>
          <x:t xml:space="preserve">Legal</x:t>
        </x:is>
      </x:c>
      <x:c r="B537" t="inlineStr">
        <x:is>
          <x:t xml:space="preserve">LEG-D6-Q17</x:t>
        </x:is>
      </x:c>
      <x:c r="C537" t="inlineStr">
        <x:is>
          <x:t xml:space="preserve">T2</x:t>
        </x:is>
      </x:c>
      <x:c r="D537" t="inlineStr">
        <x:is>
          <x:t xml:space="preserve">4. Legal &amp; Privacy</x:t>
        </x:is>
      </x:c>
      <x:c r="E537" t="inlineStr">
        <x:is>
          <x:t xml:space="preserve">G</x:t>
        </x:is>
      </x:c>
      <x:c r="F537" t="n">
        <x:v>0.5</x:v>
      </x:c>
      <x:c r="G537" t="inlineStr">
        <x:is>
          <x:t xml:space="preserve">L</x:t>
        </x:is>
      </x:c>
      <x:c r="H537" t="n">
        <x:v>0.5</x:v>
      </x:c>
      <x:c r="I537" t="inlineStr">
        <x:is>
          <x:t xml:space="preserve">Who approves high-intrusion actions (e.g., mailbox review, device imaging, covert monitoring), and is it documented each time?</x:t>
        </x:is>
      </x:c>
      <x:c r="J537" t="inlineStr">
        <x:is>
          <x:t xml:space="preserve">Look for separation of duties: not one person deciding and executing alone.</x:t>
        </x:is>
      </x:c>
      <x:c r="L537" t="inlineStr">
        <x:is>
          <x:t xml:space="preserve">LEG_STRICT</x:t>
        </x:is>
      </x:c>
      <x:c r="M537" t="n">
        <x:v>1.3</x:v>
      </x:c>
      <x:c r="N537" t="n">
        <x:v>0.5</x:v>
      </x:c>
      <x:c r="P537" t="inlineStr">
        <x:is>
          <x:t xml:space="preserve">LEG-D6-Q17-A2</x:t>
        </x:is>
      </x:c>
      <x:c r="Q537" t="n">
        <x:v>3</x:v>
      </x:c>
      <x:c r="R537" t="inlineStr">
        <x:is>
          <x:t xml:space="preserve">Yes: Approvals are documented and retained for most cases.</x:t>
        </x:is>
      </x:c>
      <x:c r="S537" t="n">
        <x:v>3</x:v>
      </x:c>
      <x:c r="V537" t="inlineStr">
        <x:is>
          <x:t xml:space="preserve">Evidence_Request_Approvals</x:t>
        </x:is>
      </x:c>
      <x:c r="W537" t="inlineStr">
        <x:is>
          <x:t xml:space="preserve">N</x:t>
        </x:is>
      </x:c>
      <x:c r="Y537">
        <x:f>(S537*IF(E537="G",F537,0))+(S537*IF(G537="G",H537,0))</x:f>
      </x:c>
      <x:c r="Z537">
        <x:f>(S537*IF(E537="E",F537,0))+(S537*IF(G537="E",H537,0))</x:f>
      </x:c>
      <x:c r="AA537">
        <x:f>(S537*IF(E537="T",F537,0))+(S537*IF(G537="T",H537,0))</x:f>
      </x:c>
      <x:c r="AB537">
        <x:f>(S537*IF(E537="L",F537,0))+(S537*IF(G537="L",H537,0))</x:f>
      </x:c>
      <x:c r="AC537">
        <x:f>(S537*IF(E537="H",F537,0))+(S537*IF(G537="H",H537,0))</x:f>
      </x:c>
      <x:c r="AD537">
        <x:f>(S537*IF(E537="V",F537,0))+(S537*IF(G537="V",H537,0))</x:f>
      </x:c>
      <x:c r="AE537">
        <x:f>(S537*IF(E537="R",F537,0))+(S537*IF(G537="R",H537,0))</x:f>
      </x:c>
      <x:c r="AF537">
        <x:f>(S537*IF(E537="F",F537,0))+(S537*IF(G537="F",H537,0))</x:f>
      </x:c>
      <x:c r="AG537">
        <x:f>(S537*IF(E537="W",F537,0))+(S537*IF(G537="W",H537,0))</x:f>
      </x:c>
      <x:c r="AH537" t="inlineStr">
        <x:is>
          <x:t xml:space="preserve">4. Legal, Privacy &amp; Ethics</x:t>
        </x:is>
      </x:c>
      <x:c r="AI537" t="inlineStr">
        <x:is>
          <x:t xml:space="preserve">Oversight &amp; Safeguards</x:t>
        </x:is>
      </x:c>
      <x:c r="AJ537" t="inlineStr">
        <x:is>
          <x:t xml:space="preserve">Monitoring Access Governance</x:t>
        </x:is>
      </x:c>
    </x:row>
    <x:row r="538">
      <x:c r="A538" t="inlineStr">
        <x:is>
          <x:t xml:space="preserve">Legal</x:t>
        </x:is>
      </x:c>
      <x:c r="B538" t="inlineStr">
        <x:is>
          <x:t xml:space="preserve">LEG-D6-Q17</x:t>
        </x:is>
      </x:c>
      <x:c r="C538" t="inlineStr">
        <x:is>
          <x:t xml:space="preserve">T2</x:t>
        </x:is>
      </x:c>
      <x:c r="D538" t="inlineStr">
        <x:is>
          <x:t xml:space="preserve">4. Legal &amp; Privacy</x:t>
        </x:is>
      </x:c>
      <x:c r="E538" t="inlineStr">
        <x:is>
          <x:t xml:space="preserve">G</x:t>
        </x:is>
      </x:c>
      <x:c r="F538" t="n">
        <x:v>0.5</x:v>
      </x:c>
      <x:c r="G538" t="inlineStr">
        <x:is>
          <x:t xml:space="preserve">L</x:t>
        </x:is>
      </x:c>
      <x:c r="H538" t="n">
        <x:v>0.5</x:v>
      </x:c>
      <x:c r="I538" t="inlineStr">
        <x:is>
          <x:t xml:space="preserve">Who approves high-intrusion actions (e.g., mailbox review, device imaging, covert monitoring), and is it documented each time?</x:t>
        </x:is>
      </x:c>
      <x:c r="J538" t="inlineStr">
        <x:is>
          <x:t xml:space="preserve">Look for separation of duties: not one person deciding and executing alone.</x:t>
        </x:is>
      </x:c>
      <x:c r="L538" t="inlineStr">
        <x:is>
          <x:t xml:space="preserve">LEG_STRICT</x:t>
        </x:is>
      </x:c>
      <x:c r="M538" t="n">
        <x:v>1.3</x:v>
      </x:c>
      <x:c r="N538" t="n">
        <x:v>0.5</x:v>
      </x:c>
      <x:c r="P538" t="inlineStr">
        <x:is>
          <x:t xml:space="preserve">LEG-D6-Q17-A3</x:t>
        </x:is>
      </x:c>
      <x:c r="Q538" t="n">
        <x:v>4</x:v>
      </x:c>
      <x:c r="R538" t="inlineStr">
        <x:is>
          <x:t xml:space="preserve">Mature: Multi-party approvals + periodic audit of intrusions.</x:t>
        </x:is>
      </x:c>
      <x:c r="S538" t="n">
        <x:v>4</x:v>
      </x:c>
      <x:c r="V538" t="inlineStr">
        <x:is>
          <x:t xml:space="preserve">Maintain_and_Audit</x:t>
        </x:is>
      </x:c>
      <x:c r="W538" t="inlineStr">
        <x:is>
          <x:t xml:space="preserve">N</x:t>
        </x:is>
      </x:c>
      <x:c r="Y538">
        <x:f>(S538*IF(E538="G",F538,0))+(S538*IF(G538="G",H538,0))</x:f>
      </x:c>
      <x:c r="Z538">
        <x:f>(S538*IF(E538="E",F538,0))+(S538*IF(G538="E",H538,0))</x:f>
      </x:c>
      <x:c r="AA538">
        <x:f>(S538*IF(E538="T",F538,0))+(S538*IF(G538="T",H538,0))</x:f>
      </x:c>
      <x:c r="AB538">
        <x:f>(S538*IF(E538="L",F538,0))+(S538*IF(G538="L",H538,0))</x:f>
      </x:c>
      <x:c r="AC538">
        <x:f>(S538*IF(E538="H",F538,0))+(S538*IF(G538="H",H538,0))</x:f>
      </x:c>
      <x:c r="AD538">
        <x:f>(S538*IF(E538="V",F538,0))+(S538*IF(G538="V",H538,0))</x:f>
      </x:c>
      <x:c r="AE538">
        <x:f>(S538*IF(E538="R",F538,0))+(S538*IF(G538="R",H538,0))</x:f>
      </x:c>
      <x:c r="AF538">
        <x:f>(S538*IF(E538="F",F538,0))+(S538*IF(G538="F",H538,0))</x:f>
      </x:c>
      <x:c r="AG538">
        <x:f>(S538*IF(E538="W",F538,0))+(S538*IF(G538="W",H538,0))</x:f>
      </x:c>
      <x:c r="AH538" t="inlineStr">
        <x:is>
          <x:t xml:space="preserve">4. Legal, Privacy &amp; Ethics</x:t>
        </x:is>
      </x:c>
      <x:c r="AI538" t="inlineStr">
        <x:is>
          <x:t xml:space="preserve">Oversight &amp; Safeguards</x:t>
        </x:is>
      </x:c>
      <x:c r="AJ538" t="inlineStr">
        <x:is>
          <x:t xml:space="preserve">Monitoring Access Governance</x:t>
        </x:is>
      </x:c>
    </x:row>
    <x:row r="539">
      <x:c r="A539" t="inlineStr">
        <x:is>
          <x:t xml:space="preserve">Legal</x:t>
        </x:is>
      </x:c>
      <x:c r="B539" t="inlineStr">
        <x:is>
          <x:t xml:space="preserve">LEG-D7-Q18</x:t>
        </x:is>
      </x:c>
      <x:c r="C539" t="inlineStr">
        <x:is>
          <x:t xml:space="preserve">T3</x:t>
        </x:is>
      </x:c>
      <x:c r="D539" t="inlineStr">
        <x:is>
          <x:t xml:space="preserve">5. Culture &amp; Speak-Up</x:t>
        </x:is>
      </x:c>
      <x:c r="E539" t="inlineStr">
        <x:is>
          <x:t xml:space="preserve">H</x:t>
        </x:is>
      </x:c>
      <x:c r="F539" t="n">
        <x:v>0.5</x:v>
      </x:c>
      <x:c r="G539" t="inlineStr">
        <x:is>
          <x:t xml:space="preserve">L</x:t>
        </x:is>
      </x:c>
      <x:c r="H539" t="n">
        <x:v>0.5</x:v>
      </x:c>
      <x:c r="I539" t="inlineStr">
        <x:is>
          <x:t xml:space="preserve">Do we review monitoring/investigation practices for fairness (bias risks) and document safeguards?</x:t>
        </x:is>
      </x:c>
      <x:c r="J539" t="inlineStr">
        <x:is>
          <x:t xml:space="preserve">Example: consistent criteria, blind review where possible, audit of outcomes across groups.</x:t>
        </x:is>
      </x:c>
      <x:c r="L539" t="inlineStr">
        <x:is>
          <x:t xml:space="preserve">LEG_STRICT</x:t>
        </x:is>
      </x:c>
      <x:c r="M539" t="n">
        <x:v>1</x:v>
      </x:c>
      <x:c r="P539" t="inlineStr">
        <x:is>
          <x:t xml:space="preserve">LEG-D7-Q18-A0</x:t>
        </x:is>
      </x:c>
      <x:c r="Q539" t="n">
        <x:v>1</x:v>
      </x:c>
      <x:c r="R539" t="inlineStr">
        <x:is>
          <x:t xml:space="preserve">No: We don’t review fairness or bias risks.</x:t>
        </x:is>
      </x:c>
      <x:c r="S539" t="n">
        <x:v>0</x:v>
      </x:c>
      <x:c r="T539" t="inlineStr">
        <x:is>
          <x:t xml:space="preserve">culture_risk,legal_exposure</x:t>
        </x:is>
      </x:c>
      <x:c r="U539" t="inlineStr">
        <x:is>
          <x:t xml:space="preserve">Culture Risk</x:t>
        </x:is>
      </x:c>
      <x:c r="V539" t="inlineStr">
        <x:is>
          <x:t xml:space="preserve">Bias_Audit</x:t>
        </x:is>
      </x:c>
      <x:c r="W539" t="inlineStr">
        <x:is>
          <x:t xml:space="preserve">N</x:t>
        </x:is>
      </x:c>
      <x:c r="Y539">
        <x:f>(S539*IF(E539="G",F539,0))+(S539*IF(G539="G",H539,0))</x:f>
      </x:c>
      <x:c r="Z539">
        <x:f>(S539*IF(E539="E",F539,0))+(S539*IF(G539="E",H539,0))</x:f>
      </x:c>
      <x:c r="AA539">
        <x:f>(S539*IF(E539="T",F539,0))+(S539*IF(G539="T",H539,0))</x:f>
      </x:c>
      <x:c r="AB539">
        <x:f>(S539*IF(E539="L",F539,0))+(S539*IF(G539="L",H539,0))</x:f>
      </x:c>
      <x:c r="AC539">
        <x:f>(S539*IF(E539="H",F539,0))+(S539*IF(G539="H",H539,0))</x:f>
      </x:c>
      <x:c r="AD539">
        <x:f>(S539*IF(E539="V",F539,0))+(S539*IF(G539="V",H539,0))</x:f>
      </x:c>
      <x:c r="AE539">
        <x:f>(S539*IF(E539="R",F539,0))+(S539*IF(G539="R",H539,0))</x:f>
      </x:c>
      <x:c r="AF539">
        <x:f>(S539*IF(E539="F",F539,0))+(S539*IF(G539="F",H539,0))</x:f>
      </x:c>
      <x:c r="AG539">
        <x:f>(S539*IF(E539="W",F539,0))+(S539*IF(G539="W",H539,0))</x:f>
      </x:c>
      <x:c r="AH539" t="inlineStr">
        <x:is>
          <x:t xml:space="preserve">4. Legal, Privacy &amp; Ethics</x:t>
        </x:is>
      </x:c>
      <x:c r="AI539" t="inlineStr">
        <x:is>
          <x:t xml:space="preserve">Oversight &amp; Safeguards</x:t>
        </x:is>
      </x:c>
      <x:c r="AJ539" t="inlineStr">
        <x:is>
          <x:t xml:space="preserve">Review, Redress &amp; Assurance</x:t>
        </x:is>
      </x:c>
    </x:row>
    <x:row r="540">
      <x:c r="A540" t="inlineStr">
        <x:is>
          <x:t xml:space="preserve">Legal</x:t>
        </x:is>
      </x:c>
      <x:c r="B540" t="inlineStr">
        <x:is>
          <x:t xml:space="preserve">LEG-D7-Q18</x:t>
        </x:is>
      </x:c>
      <x:c r="C540" t="inlineStr">
        <x:is>
          <x:t xml:space="preserve">T3</x:t>
        </x:is>
      </x:c>
      <x:c r="D540" t="inlineStr">
        <x:is>
          <x:t xml:space="preserve">5. Culture &amp; Speak-Up</x:t>
        </x:is>
      </x:c>
      <x:c r="E540" t="inlineStr">
        <x:is>
          <x:t xml:space="preserve">H</x:t>
        </x:is>
      </x:c>
      <x:c r="F540" t="n">
        <x:v>0.5</x:v>
      </x:c>
      <x:c r="G540" t="inlineStr">
        <x:is>
          <x:t xml:space="preserve">L</x:t>
        </x:is>
      </x:c>
      <x:c r="H540" t="n">
        <x:v>0.5</x:v>
      </x:c>
      <x:c r="I540" t="inlineStr">
        <x:is>
          <x:t xml:space="preserve">Do we review monitoring/investigation practices for fairness (bias risks) and document safeguards?</x:t>
        </x:is>
      </x:c>
      <x:c r="J540" t="inlineStr">
        <x:is>
          <x:t xml:space="preserve">Example: consistent criteria, blind review where possible, audit of outcomes across groups.</x:t>
        </x:is>
      </x:c>
      <x:c r="L540" t="inlineStr">
        <x:is>
          <x:t xml:space="preserve">LEG_STRICT</x:t>
        </x:is>
      </x:c>
      <x:c r="M540" t="n">
        <x:v>1</x:v>
      </x:c>
      <x:c r="P540" t="inlineStr">
        <x:is>
          <x:t xml:space="preserve">LEG-D7-Q18-A1</x:t>
        </x:is>
      </x:c>
      <x:c r="Q540" t="n">
        <x:v>2</x:v>
      </x:c>
      <x:c r="R540" t="inlineStr">
        <x:is>
          <x:t xml:space="preserve">Limited: Concerns handled case-by-case when raised.</x:t>
        </x:is>
      </x:c>
      <x:c r="S540" t="n">
        <x:v>1</x:v>
      </x:c>
      <x:c r="T540" t="inlineStr">
        <x:is>
          <x:t xml:space="preserve">operating_model_gap</x:t>
        </x:is>
      </x:c>
      <x:c r="U540" t="inlineStr">
        <x:is>
          <x:t xml:space="preserve">Operating Model Gap</x:t>
        </x:is>
      </x:c>
      <x:c r="V540" t="inlineStr">
        <x:is>
          <x:t xml:space="preserve">Define_Fairness_Safeguards</x:t>
        </x:is>
      </x:c>
      <x:c r="W540" t="inlineStr">
        <x:is>
          <x:t xml:space="preserve">N</x:t>
        </x:is>
      </x:c>
      <x:c r="Y540">
        <x:f>(S540*IF(E540="G",F540,0))+(S540*IF(G540="G",H540,0))</x:f>
      </x:c>
      <x:c r="Z540">
        <x:f>(S540*IF(E540="E",F540,0))+(S540*IF(G540="E",H540,0))</x:f>
      </x:c>
      <x:c r="AA540">
        <x:f>(S540*IF(E540="T",F540,0))+(S540*IF(G540="T",H540,0))</x:f>
      </x:c>
      <x:c r="AB540">
        <x:f>(S540*IF(E540="L",F540,0))+(S540*IF(G540="L",H540,0))</x:f>
      </x:c>
      <x:c r="AC540">
        <x:f>(S540*IF(E540="H",F540,0))+(S540*IF(G540="H",H540,0))</x:f>
      </x:c>
      <x:c r="AD540">
        <x:f>(S540*IF(E540="V",F540,0))+(S540*IF(G540="V",H540,0))</x:f>
      </x:c>
      <x:c r="AE540">
        <x:f>(S540*IF(E540="R",F540,0))+(S540*IF(G540="R",H540,0))</x:f>
      </x:c>
      <x:c r="AF540">
        <x:f>(S540*IF(E540="F",F540,0))+(S540*IF(G540="F",H540,0))</x:f>
      </x:c>
      <x:c r="AG540">
        <x:f>(S540*IF(E540="W",F540,0))+(S540*IF(G540="W",H540,0))</x:f>
      </x:c>
      <x:c r="AH540" t="inlineStr">
        <x:is>
          <x:t xml:space="preserve">4. Legal, Privacy &amp; Ethics</x:t>
        </x:is>
      </x:c>
      <x:c r="AI540" t="inlineStr">
        <x:is>
          <x:t xml:space="preserve">Oversight &amp; Safeguards</x:t>
        </x:is>
      </x:c>
      <x:c r="AJ540" t="inlineStr">
        <x:is>
          <x:t xml:space="preserve">Review, Redress &amp; Assurance</x:t>
        </x:is>
      </x:c>
    </x:row>
    <x:row r="541">
      <x:c r="A541" t="inlineStr">
        <x:is>
          <x:t xml:space="preserve">Legal</x:t>
        </x:is>
      </x:c>
      <x:c r="B541" t="inlineStr">
        <x:is>
          <x:t xml:space="preserve">LEG-D7-Q18</x:t>
        </x:is>
      </x:c>
      <x:c r="C541" t="inlineStr">
        <x:is>
          <x:t xml:space="preserve">T3</x:t>
        </x:is>
      </x:c>
      <x:c r="D541" t="inlineStr">
        <x:is>
          <x:t xml:space="preserve">5. Culture &amp; Speak-Up</x:t>
        </x:is>
      </x:c>
      <x:c r="E541" t="inlineStr">
        <x:is>
          <x:t xml:space="preserve">H</x:t>
        </x:is>
      </x:c>
      <x:c r="F541" t="n">
        <x:v>0.5</x:v>
      </x:c>
      <x:c r="G541" t="inlineStr">
        <x:is>
          <x:t xml:space="preserve">L</x:t>
        </x:is>
      </x:c>
      <x:c r="H541" t="n">
        <x:v>0.5</x:v>
      </x:c>
      <x:c r="I541" t="inlineStr">
        <x:is>
          <x:t xml:space="preserve">Do we review monitoring/investigation practices for fairness (bias risks) and document safeguards?</x:t>
        </x:is>
      </x:c>
      <x:c r="J541" t="inlineStr">
        <x:is>
          <x:t xml:space="preserve">Example: consistent criteria, blind review where possible, audit of outcomes across groups.</x:t>
        </x:is>
      </x:c>
      <x:c r="L541" t="inlineStr">
        <x:is>
          <x:t xml:space="preserve">LEG_STRICT</x:t>
        </x:is>
      </x:c>
      <x:c r="M541" t="n">
        <x:v>1</x:v>
      </x:c>
      <x:c r="P541" t="inlineStr">
        <x:is>
          <x:t xml:space="preserve">LEG-D7-Q18-A2</x:t>
        </x:is>
      </x:c>
      <x:c r="Q541" t="n">
        <x:v>3</x:v>
      </x:c>
      <x:c r="R541" t="inlineStr">
        <x:is>
          <x:t xml:space="preserve">Yes: Periodic review and documented safeguards for key processes.</x:t>
        </x:is>
      </x:c>
      <x:c r="S541" t="n">
        <x:v>3</x:v>
      </x:c>
      <x:c r="V541" t="inlineStr">
        <x:is>
          <x:t xml:space="preserve">Evidence_Request_BiasReview</x:t>
        </x:is>
      </x:c>
      <x:c r="W541" t="inlineStr">
        <x:is>
          <x:t xml:space="preserve">N</x:t>
        </x:is>
      </x:c>
      <x:c r="Y541">
        <x:f>(S541*IF(E541="G",F541,0))+(S541*IF(G541="G",H541,0))</x:f>
      </x:c>
      <x:c r="Z541">
        <x:f>(S541*IF(E541="E",F541,0))+(S541*IF(G541="E",H541,0))</x:f>
      </x:c>
      <x:c r="AA541">
        <x:f>(S541*IF(E541="T",F541,0))+(S541*IF(G541="T",H541,0))</x:f>
      </x:c>
      <x:c r="AB541">
        <x:f>(S541*IF(E541="L",F541,0))+(S541*IF(G541="L",H541,0))</x:f>
      </x:c>
      <x:c r="AC541">
        <x:f>(S541*IF(E541="H",F541,0))+(S541*IF(G541="H",H541,0))</x:f>
      </x:c>
      <x:c r="AD541">
        <x:f>(S541*IF(E541="V",F541,0))+(S541*IF(G541="V",H541,0))</x:f>
      </x:c>
      <x:c r="AE541">
        <x:f>(S541*IF(E541="R",F541,0))+(S541*IF(G541="R",H541,0))</x:f>
      </x:c>
      <x:c r="AF541">
        <x:f>(S541*IF(E541="F",F541,0))+(S541*IF(G541="F",H541,0))</x:f>
      </x:c>
      <x:c r="AG541">
        <x:f>(S541*IF(E541="W",F541,0))+(S541*IF(G541="W",H541,0))</x:f>
      </x:c>
      <x:c r="AH541" t="inlineStr">
        <x:is>
          <x:t xml:space="preserve">4. Legal, Privacy &amp; Ethics</x:t>
        </x:is>
      </x:c>
      <x:c r="AI541" t="inlineStr">
        <x:is>
          <x:t xml:space="preserve">Oversight &amp; Safeguards</x:t>
        </x:is>
      </x:c>
      <x:c r="AJ541" t="inlineStr">
        <x:is>
          <x:t xml:space="preserve">Review, Redress &amp; Assurance</x:t>
        </x:is>
      </x:c>
    </x:row>
    <x:row r="542">
      <x:c r="A542" t="inlineStr">
        <x:is>
          <x:t xml:space="preserve">Legal</x:t>
        </x:is>
      </x:c>
      <x:c r="B542" t="inlineStr">
        <x:is>
          <x:t xml:space="preserve">LEG-D7-Q18</x:t>
        </x:is>
      </x:c>
      <x:c r="C542" t="inlineStr">
        <x:is>
          <x:t xml:space="preserve">T3</x:t>
        </x:is>
      </x:c>
      <x:c r="D542" t="inlineStr">
        <x:is>
          <x:t xml:space="preserve">5. Culture &amp; Speak-Up</x:t>
        </x:is>
      </x:c>
      <x:c r="E542" t="inlineStr">
        <x:is>
          <x:t xml:space="preserve">H</x:t>
        </x:is>
      </x:c>
      <x:c r="F542" t="n">
        <x:v>0.5</x:v>
      </x:c>
      <x:c r="G542" t="inlineStr">
        <x:is>
          <x:t xml:space="preserve">L</x:t>
        </x:is>
      </x:c>
      <x:c r="H542" t="n">
        <x:v>0.5</x:v>
      </x:c>
      <x:c r="I542" t="inlineStr">
        <x:is>
          <x:t xml:space="preserve">Do we review monitoring/investigation practices for fairness (bias risks) and document safeguards?</x:t>
        </x:is>
      </x:c>
      <x:c r="J542" t="inlineStr">
        <x:is>
          <x:t xml:space="preserve">Example: consistent criteria, blind review where possible, audit of outcomes across groups.</x:t>
        </x:is>
      </x:c>
      <x:c r="L542" t="inlineStr">
        <x:is>
          <x:t xml:space="preserve">LEG_STRICT</x:t>
        </x:is>
      </x:c>
      <x:c r="M542" t="n">
        <x:v>1</x:v>
      </x:c>
      <x:c r="P542" t="inlineStr">
        <x:is>
          <x:t xml:space="preserve">LEG-D7-Q18-A3</x:t>
        </x:is>
      </x:c>
      <x:c r="Q542" t="n">
        <x:v>4</x:v>
      </x:c>
      <x:c r="R542" t="inlineStr">
        <x:is>
          <x:t xml:space="preserve">Mature: Regular audits + corrective actions + transparency reporting.</x:t>
        </x:is>
      </x:c>
      <x:c r="S542" t="n">
        <x:v>4</x:v>
      </x:c>
      <x:c r="V542" t="inlineStr">
        <x:is>
          <x:t xml:space="preserve">Maintain_and_Audit</x:t>
        </x:is>
      </x:c>
      <x:c r="W542" t="inlineStr">
        <x:is>
          <x:t xml:space="preserve">N</x:t>
        </x:is>
      </x:c>
      <x:c r="Y542">
        <x:f>(S542*IF(E542="G",F542,0))+(S542*IF(G542="G",H542,0))</x:f>
      </x:c>
      <x:c r="Z542">
        <x:f>(S542*IF(E542="E",F542,0))+(S542*IF(G542="E",H542,0))</x:f>
      </x:c>
      <x:c r="AA542">
        <x:f>(S542*IF(E542="T",F542,0))+(S542*IF(G542="T",H542,0))</x:f>
      </x:c>
      <x:c r="AB542">
        <x:f>(S542*IF(E542="L",F542,0))+(S542*IF(G542="L",H542,0))</x:f>
      </x:c>
      <x:c r="AC542">
        <x:f>(S542*IF(E542="H",F542,0))+(S542*IF(G542="H",H542,0))</x:f>
      </x:c>
      <x:c r="AD542">
        <x:f>(S542*IF(E542="V",F542,0))+(S542*IF(G542="V",H542,0))</x:f>
      </x:c>
      <x:c r="AE542">
        <x:f>(S542*IF(E542="R",F542,0))+(S542*IF(G542="R",H542,0))</x:f>
      </x:c>
      <x:c r="AF542">
        <x:f>(S542*IF(E542="F",F542,0))+(S542*IF(G542="F",H542,0))</x:f>
      </x:c>
      <x:c r="AG542">
        <x:f>(S542*IF(E542="W",F542,0))+(S542*IF(G542="W",H542,0))</x:f>
      </x:c>
      <x:c r="AH542" t="inlineStr">
        <x:is>
          <x:t xml:space="preserve">4. Legal, Privacy &amp; Ethics</x:t>
        </x:is>
      </x:c>
      <x:c r="AI542" t="inlineStr">
        <x:is>
          <x:t xml:space="preserve">Oversight &amp; Safeguards</x:t>
        </x:is>
      </x:c>
      <x:c r="AJ542" t="inlineStr">
        <x:is>
          <x:t xml:space="preserve">Review, Redress &amp; Assurance</x:t>
        </x:is>
      </x:c>
    </x:row>
    <x:row r="543">
      <x:c r="A543" t="inlineStr">
        <x:is>
          <x:t xml:space="preserve">DataBusiness</x:t>
        </x:is>
      </x:c>
      <x:c r="B543" t="inlineStr">
        <x:is>
          <x:t xml:space="preserve">DATA-D1-Q01</x:t>
        </x:is>
      </x:c>
      <x:c r="C543" t="inlineStr">
        <x:is>
          <x:t xml:space="preserve">T1</x:t>
        </x:is>
      </x:c>
      <x:c r="D543" t="inlineStr">
        <x:is>
          <x:t xml:space="preserve">3. Risk &amp; Crown Jewels</x:t>
        </x:is>
      </x:c>
      <x:c r="E543" t="inlineStr">
        <x:is>
          <x:t xml:space="preserve">V</x:t>
        </x:is>
      </x:c>
      <x:c r="F543" t="n">
        <x:v>1</x:v>
      </x:c>
      <x:c r="G543" t="inlineStr">
        <x:is>
          <x:t xml:space="preserve">-</x:t>
        </x:is>
      </x:c>
      <x:c r="I543" t="inlineStr">
        <x:is>
          <x:t xml:space="preserve">Do business leaders agree on which information/assets would hurt the organization most if stolen, leaked, or sabotaged?</x:t>
        </x:is>
      </x:c>
      <x:c r="J543" t="inlineStr">
        <x:is>
          <x:t xml:space="preserve">Examples: customer lists, pricing models, M&amp;A plans, source code, product designs, regulated data, key operational processes.</x:t>
        </x:is>
      </x:c>
      <x:c r="L543" t="inlineStr">
        <x:is>
          <x:t xml:space="preserve">RISK_STD</x:t>
        </x:is>
      </x:c>
      <x:c r="M543" t="n">
        <x:v>1.4</x:v>
      </x:c>
      <x:c r="N543" t="n">
        <x:v>0.5</x:v>
      </x:c>
      <x:c r="P543" t="inlineStr">
        <x:is>
          <x:t xml:space="preserve">DATA-D1-Q01-A0</x:t>
        </x:is>
      </x:c>
      <x:c r="Q543" t="n">
        <x:v>1</x:v>
      </x:c>
      <x:c r="R543" t="inlineStr">
        <x:is>
          <x:t xml:space="preserve">I don’t know / not sure.</x:t>
        </x:is>
      </x:c>
      <x:c r="S543" t="n">
        <x:v>0</x:v>
      </x:c>
      <x:c r="T543" t="inlineStr">
        <x:is>
          <x:t xml:space="preserve">unknown</x:t>
        </x:is>
      </x:c>
      <x:c r="U543" t="inlineStr">
        <x:is>
          <x:t xml:space="preserve">Unknown</x:t>
        </x:is>
      </x:c>
      <x:c r="V543" t="inlineStr">
        <x:is>
          <x:t xml:space="preserve">Clarify_CrownJewels</x:t>
        </x:is>
      </x:c>
      <x:c r="W543" t="inlineStr">
        <x:is>
          <x:t xml:space="preserve">N</x:t>
        </x:is>
      </x:c>
      <x:c r="Y543">
        <x:f>(S543*IF(E543="G",F543,0))+(S543*IF(G543="G",H543,0))</x:f>
      </x:c>
      <x:c r="Z543">
        <x:f>(S543*IF(E543="E",F543,0))+(S543*IF(G543="E",H543,0))</x:f>
      </x:c>
      <x:c r="AA543">
        <x:f>(S543*IF(E543="T",F543,0))+(S543*IF(G543="T",H543,0))</x:f>
      </x:c>
      <x:c r="AB543">
        <x:f>(S543*IF(E543="L",F543,0))+(S543*IF(G543="L",H543,0))</x:f>
      </x:c>
      <x:c r="AC543">
        <x:f>(S543*IF(E543="H",F543,0))+(S543*IF(G543="H",H543,0))</x:f>
      </x:c>
      <x:c r="AD543">
        <x:f>(S543*IF(E543="V",F543,0))+(S543*IF(G543="V",H543,0))</x:f>
      </x:c>
      <x:c r="AE543">
        <x:f>(S543*IF(E543="R",F543,0))+(S543*IF(G543="R",H543,0))</x:f>
      </x:c>
      <x:c r="AF543">
        <x:f>(S543*IF(E543="F",F543,0))+(S543*IF(G543="F",H543,0))</x:f>
      </x:c>
      <x:c r="AG543">
        <x:f>(S543*IF(E543="W",F543,0))+(S543*IF(G543="W",H543,0))</x:f>
      </x:c>
      <x:c r="AH543" t="inlineStr">
        <x:is>
          <x:t xml:space="preserve">3. Risk Management</x:t>
        </x:is>
      </x:c>
      <x:c r="AI543" t="inlineStr">
        <x:is>
          <x:t xml:space="preserve">Inventory &amp; Scope</x:t>
        </x:is>
      </x:c>
      <x:c r="AJ543" t="inlineStr">
        <x:is>
          <x:t xml:space="preserve">Crown jewels/HVA identification</x:t>
        </x:is>
      </x:c>
    </x:row>
    <x:row r="544">
      <x:c r="A544" t="inlineStr">
        <x:is>
          <x:t xml:space="preserve">DataBusiness</x:t>
        </x:is>
      </x:c>
      <x:c r="B544" t="inlineStr">
        <x:is>
          <x:t xml:space="preserve">DATA-D1-Q01</x:t>
        </x:is>
      </x:c>
      <x:c r="C544" t="inlineStr">
        <x:is>
          <x:t xml:space="preserve">T1</x:t>
        </x:is>
      </x:c>
      <x:c r="D544" t="inlineStr">
        <x:is>
          <x:t xml:space="preserve">3. Risk &amp; Crown Jewels</x:t>
        </x:is>
      </x:c>
      <x:c r="E544" t="inlineStr">
        <x:is>
          <x:t xml:space="preserve">V</x:t>
        </x:is>
      </x:c>
      <x:c r="F544" t="n">
        <x:v>1</x:v>
      </x:c>
      <x:c r="G544" t="inlineStr">
        <x:is>
          <x:t xml:space="preserve">-</x:t>
        </x:is>
      </x:c>
      <x:c r="I544" t="inlineStr">
        <x:is>
          <x:t xml:space="preserve">Do business leaders agree on which information/assets would hurt the organization most if stolen, leaked, or sabotaged?</x:t>
        </x:is>
      </x:c>
      <x:c r="J544" t="inlineStr">
        <x:is>
          <x:t xml:space="preserve">Examples: customer lists, pricing models, M&amp;A plans, source code, product designs, regulated data, key operational processes.</x:t>
        </x:is>
      </x:c>
      <x:c r="L544" t="inlineStr">
        <x:is>
          <x:t xml:space="preserve">RISK_STD</x:t>
        </x:is>
      </x:c>
      <x:c r="M544" t="n">
        <x:v>1.4</x:v>
      </x:c>
      <x:c r="N544" t="n">
        <x:v>0.5</x:v>
      </x:c>
      <x:c r="P544" t="inlineStr">
        <x:is>
          <x:t xml:space="preserve">DATA-D1-Q01-A1</x:t>
        </x:is>
      </x:c>
      <x:c r="Q544" t="n">
        <x:v>2</x:v>
      </x:c>
      <x:c r="R544" t="inlineStr">
        <x:is>
          <x:t xml:space="preserve">No: There is no shared view; everything is treated the same.</x:t>
        </x:is>
      </x:c>
      <x:c r="S544" t="n">
        <x:v>0</x:v>
      </x:c>
      <x:c r="T544" t="inlineStr">
        <x:is>
          <x:t xml:space="preserve">visibility_gap</x:t>
        </x:is>
      </x:c>
      <x:c r="U544" t="inlineStr">
        <x:is>
          <x:t xml:space="preserve">Visibility Gap</x:t>
        </x:is>
      </x:c>
      <x:c r="V544" t="inlineStr">
        <x:is>
          <x:t xml:space="preserve">CrownJewel_Workshop</x:t>
        </x:is>
      </x:c>
      <x:c r="W544" t="inlineStr">
        <x:is>
          <x:t xml:space="preserve">N</x:t>
        </x:is>
      </x:c>
      <x:c r="Y544">
        <x:f>(S544*IF(E544="G",F544,0))+(S544*IF(G544="G",H544,0))</x:f>
      </x:c>
      <x:c r="Z544">
        <x:f>(S544*IF(E544="E",F544,0))+(S544*IF(G544="E",H544,0))</x:f>
      </x:c>
      <x:c r="AA544">
        <x:f>(S544*IF(E544="T",F544,0))+(S544*IF(G544="T",H544,0))</x:f>
      </x:c>
      <x:c r="AB544">
        <x:f>(S544*IF(E544="L",F544,0))+(S544*IF(G544="L",H544,0))</x:f>
      </x:c>
      <x:c r="AC544">
        <x:f>(S544*IF(E544="H",F544,0))+(S544*IF(G544="H",H544,0))</x:f>
      </x:c>
      <x:c r="AD544">
        <x:f>(S544*IF(E544="V",F544,0))+(S544*IF(G544="V",H544,0))</x:f>
      </x:c>
      <x:c r="AE544">
        <x:f>(S544*IF(E544="R",F544,0))+(S544*IF(G544="R",H544,0))</x:f>
      </x:c>
      <x:c r="AF544">
        <x:f>(S544*IF(E544="F",F544,0))+(S544*IF(G544="F",H544,0))</x:f>
      </x:c>
      <x:c r="AG544">
        <x:f>(S544*IF(E544="W",F544,0))+(S544*IF(G544="W",H544,0))</x:f>
      </x:c>
      <x:c r="AH544" t="inlineStr">
        <x:is>
          <x:t xml:space="preserve">3. Risk Management</x:t>
        </x:is>
      </x:c>
      <x:c r="AI544" t="inlineStr">
        <x:is>
          <x:t xml:space="preserve">Inventory &amp; Scope</x:t>
        </x:is>
      </x:c>
      <x:c r="AJ544" t="inlineStr">
        <x:is>
          <x:t xml:space="preserve">Crown jewels/HVA identification</x:t>
        </x:is>
      </x:c>
    </x:row>
    <x:row r="545">
      <x:c r="A545" t="inlineStr">
        <x:is>
          <x:t xml:space="preserve">DataBusiness</x:t>
        </x:is>
      </x:c>
      <x:c r="B545" t="inlineStr">
        <x:is>
          <x:t xml:space="preserve">DATA-D1-Q01</x:t>
        </x:is>
      </x:c>
      <x:c r="C545" t="inlineStr">
        <x:is>
          <x:t xml:space="preserve">T1</x:t>
        </x:is>
      </x:c>
      <x:c r="D545" t="inlineStr">
        <x:is>
          <x:t xml:space="preserve">3. Risk &amp; Crown Jewels</x:t>
        </x:is>
      </x:c>
      <x:c r="E545" t="inlineStr">
        <x:is>
          <x:t xml:space="preserve">V</x:t>
        </x:is>
      </x:c>
      <x:c r="F545" t="n">
        <x:v>1</x:v>
      </x:c>
      <x:c r="G545" t="inlineStr">
        <x:is>
          <x:t xml:space="preserve">-</x:t>
        </x:is>
      </x:c>
      <x:c r="I545" t="inlineStr">
        <x:is>
          <x:t xml:space="preserve">Do business leaders agree on which information/assets would hurt the organization most if stolen, leaked, or sabotaged?</x:t>
        </x:is>
      </x:c>
      <x:c r="J545" t="inlineStr">
        <x:is>
          <x:t xml:space="preserve">Examples: customer lists, pricing models, M&amp;A plans, source code, product designs, regulated data, key operational processes.</x:t>
        </x:is>
      </x:c>
      <x:c r="L545" t="inlineStr">
        <x:is>
          <x:t xml:space="preserve">RISK_STD</x:t>
        </x:is>
      </x:c>
      <x:c r="M545" t="n">
        <x:v>1.4</x:v>
      </x:c>
      <x:c r="N545" t="n">
        <x:v>0.5</x:v>
      </x:c>
      <x:c r="P545" t="inlineStr">
        <x:is>
          <x:t xml:space="preserve">DATA-D1-Q01-A2</x:t>
        </x:is>
      </x:c>
      <x:c r="Q545" t="n">
        <x:v>3</x:v>
      </x:c>
      <x:c r="R545" t="inlineStr">
        <x:is>
          <x:t xml:space="preserve">Informal: Key people know, but it’s not written down or agreed broadly.</x:t>
        </x:is>
      </x:c>
      <x:c r="S545" t="n">
        <x:v>1</x:v>
      </x:c>
      <x:c r="T545" t="inlineStr">
        <x:is>
          <x:t xml:space="preserve">shadow_mature_signal</x:t>
        </x:is>
      </x:c>
      <x:c r="U545" t="inlineStr">
        <x:is>
          <x:t xml:space="preserve">Shadow Mature</x:t>
        </x:is>
      </x:c>
      <x:c r="V545" t="inlineStr">
        <x:is>
          <x:t xml:space="preserve">Document_CrownJewels</x:t>
        </x:is>
      </x:c>
      <x:c r="W545" t="inlineStr">
        <x:is>
          <x:t xml:space="preserve">N</x:t>
        </x:is>
      </x:c>
      <x:c r="Y545">
        <x:f>(S545*IF(E545="G",F545,0))+(S545*IF(G545="G",H545,0))</x:f>
      </x:c>
      <x:c r="Z545">
        <x:f>(S545*IF(E545="E",F545,0))+(S545*IF(G545="E",H545,0))</x:f>
      </x:c>
      <x:c r="AA545">
        <x:f>(S545*IF(E545="T",F545,0))+(S545*IF(G545="T",H545,0))</x:f>
      </x:c>
      <x:c r="AB545">
        <x:f>(S545*IF(E545="L",F545,0))+(S545*IF(G545="L",H545,0))</x:f>
      </x:c>
      <x:c r="AC545">
        <x:f>(S545*IF(E545="H",F545,0))+(S545*IF(G545="H",H545,0))</x:f>
      </x:c>
      <x:c r="AD545">
        <x:f>(S545*IF(E545="V",F545,0))+(S545*IF(G545="V",H545,0))</x:f>
      </x:c>
      <x:c r="AE545">
        <x:f>(S545*IF(E545="R",F545,0))+(S545*IF(G545="R",H545,0))</x:f>
      </x:c>
      <x:c r="AF545">
        <x:f>(S545*IF(E545="F",F545,0))+(S545*IF(G545="F",H545,0))</x:f>
      </x:c>
      <x:c r="AG545">
        <x:f>(S545*IF(E545="W",F545,0))+(S545*IF(G545="W",H545,0))</x:f>
      </x:c>
      <x:c r="AH545" t="inlineStr">
        <x:is>
          <x:t xml:space="preserve">3. Risk Management</x:t>
        </x:is>
      </x:c>
      <x:c r="AI545" t="inlineStr">
        <x:is>
          <x:t xml:space="preserve">Inventory &amp; Scope</x:t>
        </x:is>
      </x:c>
      <x:c r="AJ545" t="inlineStr">
        <x:is>
          <x:t xml:space="preserve">Crown jewels/HVA identification</x:t>
        </x:is>
      </x:c>
    </x:row>
    <x:row r="546">
      <x:c r="A546" t="inlineStr">
        <x:is>
          <x:t xml:space="preserve">DataBusiness</x:t>
        </x:is>
      </x:c>
      <x:c r="B546" t="inlineStr">
        <x:is>
          <x:t xml:space="preserve">DATA-D1-Q01</x:t>
        </x:is>
      </x:c>
      <x:c r="C546" t="inlineStr">
        <x:is>
          <x:t xml:space="preserve">T1</x:t>
        </x:is>
      </x:c>
      <x:c r="D546" t="inlineStr">
        <x:is>
          <x:t xml:space="preserve">3. Risk &amp; Crown Jewels</x:t>
        </x:is>
      </x:c>
      <x:c r="E546" t="inlineStr">
        <x:is>
          <x:t xml:space="preserve">V</x:t>
        </x:is>
      </x:c>
      <x:c r="F546" t="n">
        <x:v>1</x:v>
      </x:c>
      <x:c r="G546" t="inlineStr">
        <x:is>
          <x:t xml:space="preserve">-</x:t>
        </x:is>
      </x:c>
      <x:c r="I546" t="inlineStr">
        <x:is>
          <x:t xml:space="preserve">Do business leaders agree on which information/assets would hurt the organization most if stolen, leaked, or sabotaged?</x:t>
        </x:is>
      </x:c>
      <x:c r="J546" t="inlineStr">
        <x:is>
          <x:t xml:space="preserve">Examples: customer lists, pricing models, M&amp;A plans, source code, product designs, regulated data, key operational processes.</x:t>
        </x:is>
      </x:c>
      <x:c r="L546" t="inlineStr">
        <x:is>
          <x:t xml:space="preserve">RISK_STD</x:t>
        </x:is>
      </x:c>
      <x:c r="M546" t="n">
        <x:v>1.4</x:v>
      </x:c>
      <x:c r="N546" t="n">
        <x:v>0.5</x:v>
      </x:c>
      <x:c r="P546" t="inlineStr">
        <x:is>
          <x:t xml:space="preserve">DATA-D1-Q01-A3</x:t>
        </x:is>
      </x:c>
      <x:c r="Q546" t="n">
        <x:v>4</x:v>
      </x:c>
      <x:c r="R546" t="inlineStr">
        <x:is>
          <x:t xml:space="preserve">Defined: A list exists and is used for prioritizing protection.</x:t>
        </x:is>
      </x:c>
      <x:c r="S546" t="n">
        <x:v>3</x:v>
      </x:c>
      <x:c r="V546" t="inlineStr">
        <x:is>
          <x:t xml:space="preserve">Evidence_Request_CJ_List</x:t>
        </x:is>
      </x:c>
      <x:c r="W546" t="inlineStr">
        <x:is>
          <x:t xml:space="preserve">N</x:t>
        </x:is>
      </x:c>
      <x:c r="Y546">
        <x:f>(S546*IF(E546="G",F546,0))+(S546*IF(G546="G",H546,0))</x:f>
      </x:c>
      <x:c r="Z546">
        <x:f>(S546*IF(E546="E",F546,0))+(S546*IF(G546="E",H546,0))</x:f>
      </x:c>
      <x:c r="AA546">
        <x:f>(S546*IF(E546="T",F546,0))+(S546*IF(G546="T",H546,0))</x:f>
      </x:c>
      <x:c r="AB546">
        <x:f>(S546*IF(E546="L",F546,0))+(S546*IF(G546="L",H546,0))</x:f>
      </x:c>
      <x:c r="AC546">
        <x:f>(S546*IF(E546="H",F546,0))+(S546*IF(G546="H",H546,0))</x:f>
      </x:c>
      <x:c r="AD546">
        <x:f>(S546*IF(E546="V",F546,0))+(S546*IF(G546="V",H546,0))</x:f>
      </x:c>
      <x:c r="AE546">
        <x:f>(S546*IF(E546="R",F546,0))+(S546*IF(G546="R",H546,0))</x:f>
      </x:c>
      <x:c r="AF546">
        <x:f>(S546*IF(E546="F",F546,0))+(S546*IF(G546="F",H546,0))</x:f>
      </x:c>
      <x:c r="AG546">
        <x:f>(S546*IF(E546="W",F546,0))+(S546*IF(G546="W",H546,0))</x:f>
      </x:c>
      <x:c r="AH546" t="inlineStr">
        <x:is>
          <x:t xml:space="preserve">3. Risk Management</x:t>
        </x:is>
      </x:c>
      <x:c r="AI546" t="inlineStr">
        <x:is>
          <x:t xml:space="preserve">Inventory &amp; Scope</x:t>
        </x:is>
      </x:c>
      <x:c r="AJ546" t="inlineStr">
        <x:is>
          <x:t xml:space="preserve">Crown jewels/HVA identification</x:t>
        </x:is>
      </x:c>
    </x:row>
    <x:row r="547">
      <x:c r="A547" t="inlineStr">
        <x:is>
          <x:t xml:space="preserve">DataBusiness</x:t>
        </x:is>
      </x:c>
      <x:c r="B547" t="inlineStr">
        <x:is>
          <x:t xml:space="preserve">DATA-D1-Q01</x:t>
        </x:is>
      </x:c>
      <x:c r="C547" t="inlineStr">
        <x:is>
          <x:t xml:space="preserve">T1</x:t>
        </x:is>
      </x:c>
      <x:c r="D547" t="inlineStr">
        <x:is>
          <x:t xml:space="preserve">3. Risk &amp; Crown Jewels</x:t>
        </x:is>
      </x:c>
      <x:c r="E547" t="inlineStr">
        <x:is>
          <x:t xml:space="preserve">V</x:t>
        </x:is>
      </x:c>
      <x:c r="F547" t="n">
        <x:v>1</x:v>
      </x:c>
      <x:c r="G547" t="inlineStr">
        <x:is>
          <x:t xml:space="preserve">-</x:t>
        </x:is>
      </x:c>
      <x:c r="I547" t="inlineStr">
        <x:is>
          <x:t xml:space="preserve">Do business leaders agree on which information/assets would hurt the organization most if stolen, leaked, or sabotaged?</x:t>
        </x:is>
      </x:c>
      <x:c r="J547" t="inlineStr">
        <x:is>
          <x:t xml:space="preserve">Examples: customer lists, pricing models, M&amp;A plans, source code, product designs, regulated data, key operational processes.</x:t>
        </x:is>
      </x:c>
      <x:c r="L547" t="inlineStr">
        <x:is>
          <x:t xml:space="preserve">RISK_STD</x:t>
        </x:is>
      </x:c>
      <x:c r="M547" t="n">
        <x:v>1.4</x:v>
      </x:c>
      <x:c r="N547" t="n">
        <x:v>0.5</x:v>
      </x:c>
      <x:c r="P547" t="inlineStr">
        <x:is>
          <x:t xml:space="preserve">DATA-D1-Q01-A4</x:t>
        </x:is>
      </x:c>
      <x:c r="Q547" t="n">
        <x:v>5</x:v>
      </x:c>
      <x:c r="R547" t="inlineStr">
        <x:is>
          <x:t xml:space="preserve">Mature: Crown jewels are linked to business risk and reviewed after changes (new products/M&amp;A).</x:t>
        </x:is>
      </x:c>
      <x:c r="S547" t="n">
        <x:v>4</x:v>
      </x:c>
      <x:c r="V547" t="inlineStr">
        <x:is>
          <x:t xml:space="preserve">Maintain_and_Audit</x:t>
        </x:is>
      </x:c>
      <x:c r="W547" t="inlineStr">
        <x:is>
          <x:t xml:space="preserve">N</x:t>
        </x:is>
      </x:c>
      <x:c r="Y547">
        <x:f>(S547*IF(E547="G",F547,0))+(S547*IF(G547="G",H547,0))</x:f>
      </x:c>
      <x:c r="Z547">
        <x:f>(S547*IF(E547="E",F547,0))+(S547*IF(G547="E",H547,0))</x:f>
      </x:c>
      <x:c r="AA547">
        <x:f>(S547*IF(E547="T",F547,0))+(S547*IF(G547="T",H547,0))</x:f>
      </x:c>
      <x:c r="AB547">
        <x:f>(S547*IF(E547="L",F547,0))+(S547*IF(G547="L",H547,0))</x:f>
      </x:c>
      <x:c r="AC547">
        <x:f>(S547*IF(E547="H",F547,0))+(S547*IF(G547="H",H547,0))</x:f>
      </x:c>
      <x:c r="AD547">
        <x:f>(S547*IF(E547="V",F547,0))+(S547*IF(G547="V",H547,0))</x:f>
      </x:c>
      <x:c r="AE547">
        <x:f>(S547*IF(E547="R",F547,0))+(S547*IF(G547="R",H547,0))</x:f>
      </x:c>
      <x:c r="AF547">
        <x:f>(S547*IF(E547="F",F547,0))+(S547*IF(G547="F",H547,0))</x:f>
      </x:c>
      <x:c r="AG547">
        <x:f>(S547*IF(E547="W",F547,0))+(S547*IF(G547="W",H547,0))</x:f>
      </x:c>
      <x:c r="AH547" t="inlineStr">
        <x:is>
          <x:t xml:space="preserve">3. Risk Management</x:t>
        </x:is>
      </x:c>
      <x:c r="AI547" t="inlineStr">
        <x:is>
          <x:t xml:space="preserve">Inventory &amp; Scope</x:t>
        </x:is>
      </x:c>
      <x:c r="AJ547" t="inlineStr">
        <x:is>
          <x:t xml:space="preserve">Crown jewels/HVA identification</x:t>
        </x:is>
      </x:c>
    </x:row>
    <x:row r="548">
      <x:c r="A548" t="inlineStr">
        <x:is>
          <x:t xml:space="preserve">DataBusiness</x:t>
        </x:is>
      </x:c>
      <x:c r="B548" t="inlineStr">
        <x:is>
          <x:t xml:space="preserve">DATA-D1-Q02</x:t>
        </x:is>
      </x:c>
      <x:c r="C548" t="inlineStr">
        <x:is>
          <x:t xml:space="preserve">T2</x:t>
        </x:is>
      </x:c>
      <x:c r="D548" t="inlineStr">
        <x:is>
          <x:t xml:space="preserve">3. Risk &amp; Crown Jewels</x:t>
        </x:is>
      </x:c>
      <x:c r="E548" t="inlineStr">
        <x:is>
          <x:t xml:space="preserve">V</x:t>
        </x:is>
      </x:c>
      <x:c r="F548" t="n">
        <x:v>1</x:v>
      </x:c>
      <x:c r="G548" t="inlineStr">
        <x:is>
          <x:t xml:space="preserve">-</x:t>
        </x:is>
      </x:c>
      <x:c r="I548" t="inlineStr">
        <x:is>
          <x:t xml:space="preserve">(Shadow probe) Even if not documented, do leaders and long-tenured staff know the ‘crown jewels’ by experience?</x:t>
        </x:is>
      </x:c>
      <x:c r="J548" t="inlineStr">
        <x:is>
          <x:t xml:space="preserve">This identifies hidden maturity that isn’t formalized yet.</x:t>
        </x:is>
      </x:c>
      <x:c r="L548" t="inlineStr">
        <x:is>
          <x:t xml:space="preserve">RISK_STD</x:t>
        </x:is>
      </x:c>
      <x:c r="M548" t="n">
        <x:v>1</x:v>
      </x:c>
      <x:c r="P548" t="inlineStr">
        <x:is>
          <x:t xml:space="preserve">DATA-D1-Q02-A0</x:t>
        </x:is>
      </x:c>
      <x:c r="Q548" t="n">
        <x:v>1</x:v>
      </x:c>
      <x:c r="R548" t="inlineStr">
        <x:is>
          <x:t xml:space="preserve">No: People disagree or are unsure.</x:t>
        </x:is>
      </x:c>
      <x:c r="S548" t="n">
        <x:v>0</x:v>
      </x:c>
      <x:c r="T548" t="inlineStr">
        <x:is>
          <x:t xml:space="preserve">visibility_gap</x:t>
        </x:is>
      </x:c>
      <x:c r="U548" t="inlineStr">
        <x:is>
          <x:t xml:space="preserve">Visibility Gap</x:t>
        </x:is>
      </x:c>
      <x:c r="V548" t="inlineStr">
        <x:is>
          <x:t xml:space="preserve">CrownJewel_Workshop</x:t>
        </x:is>
      </x:c>
      <x:c r="W548" t="inlineStr">
        <x:is>
          <x:t xml:space="preserve">N</x:t>
        </x:is>
      </x:c>
      <x:c r="Y548">
        <x:f>(S548*IF(E548="G",F548,0))+(S548*IF(G548="G",H548,0))</x:f>
      </x:c>
      <x:c r="Z548">
        <x:f>(S548*IF(E548="E",F548,0))+(S548*IF(G548="E",H548,0))</x:f>
      </x:c>
      <x:c r="AA548">
        <x:f>(S548*IF(E548="T",F548,0))+(S548*IF(G548="T",H548,0))</x:f>
      </x:c>
      <x:c r="AB548">
        <x:f>(S548*IF(E548="L",F548,0))+(S548*IF(G548="L",H548,0))</x:f>
      </x:c>
      <x:c r="AC548">
        <x:f>(S548*IF(E548="H",F548,0))+(S548*IF(G548="H",H548,0))</x:f>
      </x:c>
      <x:c r="AD548">
        <x:f>(S548*IF(E548="V",F548,0))+(S548*IF(G548="V",H548,0))</x:f>
      </x:c>
      <x:c r="AE548">
        <x:f>(S548*IF(E548="R",F548,0))+(S548*IF(G548="R",H548,0))</x:f>
      </x:c>
      <x:c r="AF548">
        <x:f>(S548*IF(E548="F",F548,0))+(S548*IF(G548="F",H548,0))</x:f>
      </x:c>
      <x:c r="AG548">
        <x:f>(S548*IF(E548="W",F548,0))+(S548*IF(G548="W",H548,0))</x:f>
      </x:c>
      <x:c r="AH548" t="inlineStr">
        <x:is>
          <x:t xml:space="preserve">3. Risk Management</x:t>
        </x:is>
      </x:c>
      <x:c r="AI548" t="inlineStr">
        <x:is>
          <x:t xml:space="preserve">Inventory &amp; Scope</x:t>
        </x:is>
      </x:c>
      <x:c r="AJ548" t="inlineStr">
        <x:is>
          <x:t xml:space="preserve">Crown jewels/HVA identification</x:t>
        </x:is>
      </x:c>
    </x:row>
    <x:row r="549">
      <x:c r="A549" t="inlineStr">
        <x:is>
          <x:t xml:space="preserve">DataBusiness</x:t>
        </x:is>
      </x:c>
      <x:c r="B549" t="inlineStr">
        <x:is>
          <x:t xml:space="preserve">DATA-D1-Q02</x:t>
        </x:is>
      </x:c>
      <x:c r="C549" t="inlineStr">
        <x:is>
          <x:t xml:space="preserve">T2</x:t>
        </x:is>
      </x:c>
      <x:c r="D549" t="inlineStr">
        <x:is>
          <x:t xml:space="preserve">3. Risk &amp; Crown Jewels</x:t>
        </x:is>
      </x:c>
      <x:c r="E549" t="inlineStr">
        <x:is>
          <x:t xml:space="preserve">V</x:t>
        </x:is>
      </x:c>
      <x:c r="F549" t="n">
        <x:v>1</x:v>
      </x:c>
      <x:c r="G549" t="inlineStr">
        <x:is>
          <x:t xml:space="preserve">-</x:t>
        </x:is>
      </x:c>
      <x:c r="I549" t="inlineStr">
        <x:is>
          <x:t xml:space="preserve">(Shadow probe) Even if not documented, do leaders and long-tenured staff know the ‘crown jewels’ by experience?</x:t>
        </x:is>
      </x:c>
      <x:c r="J549" t="inlineStr">
        <x:is>
          <x:t xml:space="preserve">This identifies hidden maturity that isn’t formalized yet.</x:t>
        </x:is>
      </x:c>
      <x:c r="L549" t="inlineStr">
        <x:is>
          <x:t xml:space="preserve">RISK_STD</x:t>
        </x:is>
      </x:c>
      <x:c r="M549" t="n">
        <x:v>1</x:v>
      </x:c>
      <x:c r="P549" t="inlineStr">
        <x:is>
          <x:t xml:space="preserve">DATA-D1-Q02-A1</x:t>
        </x:is>
      </x:c>
      <x:c r="Q549" t="n">
        <x:v>2</x:v>
      </x:c>
      <x:c r="R549" t="inlineStr">
        <x:is>
          <x:t xml:space="preserve">Yes, but person-dependent: Only a few ‘veterans’ know.</x:t>
        </x:is>
      </x:c>
      <x:c r="S549" t="n">
        <x:v>2</x:v>
      </x:c>
      <x:c r="T549" t="inlineStr">
        <x:is>
          <x:t xml:space="preserve">shadow_mature_signal,key_person_dependency</x:t>
        </x:is>
      </x:c>
      <x:c r="U549" t="inlineStr">
        <x:is>
          <x:t xml:space="preserve">Shadow Mature</x:t>
        </x:is>
      </x:c>
      <x:c r="V549" t="inlineStr">
        <x:is>
          <x:t xml:space="preserve">Formalize_Knowledge</x:t>
        </x:is>
      </x:c>
      <x:c r="W549" t="inlineStr">
        <x:is>
          <x:t xml:space="preserve">N</x:t>
        </x:is>
      </x:c>
      <x:c r="Y549">
        <x:f>(S549*IF(E549="G",F549,0))+(S549*IF(G549="G",H549,0))</x:f>
      </x:c>
      <x:c r="Z549">
        <x:f>(S549*IF(E549="E",F549,0))+(S549*IF(G549="E",H549,0))</x:f>
      </x:c>
      <x:c r="AA549">
        <x:f>(S549*IF(E549="T",F549,0))+(S549*IF(G549="T",H549,0))</x:f>
      </x:c>
      <x:c r="AB549">
        <x:f>(S549*IF(E549="L",F549,0))+(S549*IF(G549="L",H549,0))</x:f>
      </x:c>
      <x:c r="AC549">
        <x:f>(S549*IF(E549="H",F549,0))+(S549*IF(G549="H",H549,0))</x:f>
      </x:c>
      <x:c r="AD549">
        <x:f>(S549*IF(E549="V",F549,0))+(S549*IF(G549="V",H549,0))</x:f>
      </x:c>
      <x:c r="AE549">
        <x:f>(S549*IF(E549="R",F549,0))+(S549*IF(G549="R",H549,0))</x:f>
      </x:c>
      <x:c r="AF549">
        <x:f>(S549*IF(E549="F",F549,0))+(S549*IF(G549="F",H549,0))</x:f>
      </x:c>
      <x:c r="AG549">
        <x:f>(S549*IF(E549="W",F549,0))+(S549*IF(G549="W",H549,0))</x:f>
      </x:c>
      <x:c r="AH549" t="inlineStr">
        <x:is>
          <x:t xml:space="preserve">3. Risk Management</x:t>
        </x:is>
      </x:c>
      <x:c r="AI549" t="inlineStr">
        <x:is>
          <x:t xml:space="preserve">Inventory &amp; Scope</x:t>
        </x:is>
      </x:c>
      <x:c r="AJ549" t="inlineStr">
        <x:is>
          <x:t xml:space="preserve">Crown jewels/HVA identification</x:t>
        </x:is>
      </x:c>
    </x:row>
    <x:row r="550">
      <x:c r="A550" t="inlineStr">
        <x:is>
          <x:t xml:space="preserve">DataBusiness</x:t>
        </x:is>
      </x:c>
      <x:c r="B550" t="inlineStr">
        <x:is>
          <x:t xml:space="preserve">DATA-D1-Q02</x:t>
        </x:is>
      </x:c>
      <x:c r="C550" t="inlineStr">
        <x:is>
          <x:t xml:space="preserve">T2</x:t>
        </x:is>
      </x:c>
      <x:c r="D550" t="inlineStr">
        <x:is>
          <x:t xml:space="preserve">3. Risk &amp; Crown Jewels</x:t>
        </x:is>
      </x:c>
      <x:c r="E550" t="inlineStr">
        <x:is>
          <x:t xml:space="preserve">V</x:t>
        </x:is>
      </x:c>
      <x:c r="F550" t="n">
        <x:v>1</x:v>
      </x:c>
      <x:c r="G550" t="inlineStr">
        <x:is>
          <x:t xml:space="preserve">-</x:t>
        </x:is>
      </x:c>
      <x:c r="I550" t="inlineStr">
        <x:is>
          <x:t xml:space="preserve">(Shadow probe) Even if not documented, do leaders and long-tenured staff know the ‘crown jewels’ by experience?</x:t>
        </x:is>
      </x:c>
      <x:c r="J550" t="inlineStr">
        <x:is>
          <x:t xml:space="preserve">This identifies hidden maturity that isn’t formalized yet.</x:t>
        </x:is>
      </x:c>
      <x:c r="L550" t="inlineStr">
        <x:is>
          <x:t xml:space="preserve">RISK_STD</x:t>
        </x:is>
      </x:c>
      <x:c r="M550" t="n">
        <x:v>1</x:v>
      </x:c>
      <x:c r="P550" t="inlineStr">
        <x:is>
          <x:t xml:space="preserve">DATA-D1-Q02-A2</x:t>
        </x:is>
      </x:c>
      <x:c r="Q550" t="n">
        <x:v>3</x:v>
      </x:c>
      <x:c r="R550" t="inlineStr">
        <x:is>
          <x:t xml:space="preserve">Yes, broadly: Most leaders could name the top assets and owners.</x:t>
        </x:is>
      </x:c>
      <x:c r="S550" t="n">
        <x:v>3</x:v>
      </x:c>
      <x:c r="T550" t="inlineStr">
        <x:is>
          <x:t xml:space="preserve">shadow_mature_signal</x:t>
        </x:is>
      </x:c>
      <x:c r="U550" t="inlineStr">
        <x:is>
          <x:t xml:space="preserve">Shadow Mature</x:t>
        </x:is>
      </x:c>
      <x:c r="V550" t="inlineStr">
        <x:is>
          <x:t xml:space="preserve">Document_CrownJewels</x:t>
        </x:is>
      </x:c>
      <x:c r="W550" t="inlineStr">
        <x:is>
          <x:t xml:space="preserve">N</x:t>
        </x:is>
      </x:c>
      <x:c r="Y550">
        <x:f>(S550*IF(E550="G",F550,0))+(S550*IF(G550="G",H550,0))</x:f>
      </x:c>
      <x:c r="Z550">
        <x:f>(S550*IF(E550="E",F550,0))+(S550*IF(G550="E",H550,0))</x:f>
      </x:c>
      <x:c r="AA550">
        <x:f>(S550*IF(E550="T",F550,0))+(S550*IF(G550="T",H550,0))</x:f>
      </x:c>
      <x:c r="AB550">
        <x:f>(S550*IF(E550="L",F550,0))+(S550*IF(G550="L",H550,0))</x:f>
      </x:c>
      <x:c r="AC550">
        <x:f>(S550*IF(E550="H",F550,0))+(S550*IF(G550="H",H550,0))</x:f>
      </x:c>
      <x:c r="AD550">
        <x:f>(S550*IF(E550="V",F550,0))+(S550*IF(G550="V",H550,0))</x:f>
      </x:c>
      <x:c r="AE550">
        <x:f>(S550*IF(E550="R",F550,0))+(S550*IF(G550="R",H550,0))</x:f>
      </x:c>
      <x:c r="AF550">
        <x:f>(S550*IF(E550="F",F550,0))+(S550*IF(G550="F",H550,0))</x:f>
      </x:c>
      <x:c r="AG550">
        <x:f>(S550*IF(E550="W",F550,0))+(S550*IF(G550="W",H550,0))</x:f>
      </x:c>
      <x:c r="AH550" t="inlineStr">
        <x:is>
          <x:t xml:space="preserve">3. Risk Management</x:t>
        </x:is>
      </x:c>
      <x:c r="AI550" t="inlineStr">
        <x:is>
          <x:t xml:space="preserve">Inventory &amp; Scope</x:t>
        </x:is>
      </x:c>
      <x:c r="AJ550" t="inlineStr">
        <x:is>
          <x:t xml:space="preserve">Crown jewels/HVA identification</x:t>
        </x:is>
      </x:c>
    </x:row>
    <x:row r="551">
      <x:c r="A551" t="inlineStr">
        <x:is>
          <x:t xml:space="preserve">DataBusiness</x:t>
        </x:is>
      </x:c>
      <x:c r="B551" t="inlineStr">
        <x:is>
          <x:t xml:space="preserve">DATA-D1-Q03</x:t>
        </x:is>
      </x:c>
      <x:c r="C551" t="inlineStr">
        <x:is>
          <x:t xml:space="preserve">T2</x:t>
        </x:is>
      </x:c>
      <x:c r="D551" t="inlineStr">
        <x:is>
          <x:t xml:space="preserve">3. Risk &amp; Crown Jewels</x:t>
        </x:is>
      </x:c>
      <x:c r="E551" t="inlineStr">
        <x:is>
          <x:t xml:space="preserve">G</x:t>
        </x:is>
      </x:c>
      <x:c r="F551" t="n">
        <x:v>0.5</x:v>
      </x:c>
      <x:c r="G551" t="inlineStr">
        <x:is>
          <x:t xml:space="preserve">V</x:t>
        </x:is>
      </x:c>
      <x:c r="H551" t="n">
        <x:v>0.5</x:v>
      </x:c>
      <x:c r="I551" t="inlineStr">
        <x:is>
          <x:t xml:space="preserve">Do we have named business owners for key data/assets, and do they approve who gets access?</x:t>
        </x:is>
      </x:c>
      <x:c r="J551" t="inlineStr">
        <x:is>
          <x:t xml:space="preserve">Owner means accountable for decisions, not just ‘IT knows where it is’.</x:t>
        </x:is>
      </x:c>
      <x:c r="L551" t="inlineStr">
        <x:is>
          <x:t xml:space="preserve">GOV_STD</x:t>
        </x:is>
      </x:c>
      <x:c r="M551" t="n">
        <x:v>1.2</x:v>
      </x:c>
      <x:c r="P551" t="inlineStr">
        <x:is>
          <x:t xml:space="preserve">DATA-D1-Q03-A0</x:t>
        </x:is>
      </x:c>
      <x:c r="Q551" t="n">
        <x:v>1</x:v>
      </x:c>
      <x:c r="R551" t="inlineStr">
        <x:is>
          <x:t xml:space="preserve">No: Ownership is unclear; access is decided by IT or local managers.</x:t>
        </x:is>
      </x:c>
      <x:c r="S551" t="n">
        <x:v>0</x:v>
      </x:c>
      <x:c r="T551" t="inlineStr">
        <x:is>
          <x:t xml:space="preserve">operating_model_gap</x:t>
        </x:is>
      </x:c>
      <x:c r="U551" t="inlineStr">
        <x:is>
          <x:t xml:space="preserve">Operating Model Gap</x:t>
        </x:is>
      </x:c>
      <x:c r="V551" t="inlineStr">
        <x:is>
          <x:t xml:space="preserve">Assign_Data_Owners</x:t>
        </x:is>
      </x:c>
      <x:c r="W551" t="inlineStr">
        <x:is>
          <x:t xml:space="preserve">N</x:t>
        </x:is>
      </x:c>
      <x:c r="Y551">
        <x:f>(S551*IF(E551="G",F551,0))+(S551*IF(G551="G",H551,0))</x:f>
      </x:c>
      <x:c r="Z551">
        <x:f>(S551*IF(E551="E",F551,0))+(S551*IF(G551="E",H551,0))</x:f>
      </x:c>
      <x:c r="AA551">
        <x:f>(S551*IF(E551="T",F551,0))+(S551*IF(G551="T",H551,0))</x:f>
      </x:c>
      <x:c r="AB551">
        <x:f>(S551*IF(E551="L",F551,0))+(S551*IF(G551="L",H551,0))</x:f>
      </x:c>
      <x:c r="AC551">
        <x:f>(S551*IF(E551="H",F551,0))+(S551*IF(G551="H",H551,0))</x:f>
      </x:c>
      <x:c r="AD551">
        <x:f>(S551*IF(E551="V",F551,0))+(S551*IF(G551="V",H551,0))</x:f>
      </x:c>
      <x:c r="AE551">
        <x:f>(S551*IF(E551="R",F551,0))+(S551*IF(G551="R",H551,0))</x:f>
      </x:c>
      <x:c r="AF551">
        <x:f>(S551*IF(E551="F",F551,0))+(S551*IF(G551="F",H551,0))</x:f>
      </x:c>
      <x:c r="AG551">
        <x:f>(S551*IF(E551="W",F551,0))+(S551*IF(G551="W",H551,0))</x:f>
      </x:c>
      <x:c r="AH551" t="inlineStr">
        <x:is>
          <x:t xml:space="preserve">4. Legal, Privacy &amp; Ethics</x:t>
        </x:is>
      </x:c>
      <x:c r="AI551" t="inlineStr">
        <x:is>
          <x:t xml:space="preserve">Oversight &amp; Safeguards</x:t>
        </x:is>
      </x:c>
      <x:c r="AJ551" t="inlineStr">
        <x:is>
          <x:t xml:space="preserve">Monitoring Access Governance</x:t>
        </x:is>
      </x:c>
    </x:row>
    <x:row r="552">
      <x:c r="A552" t="inlineStr">
        <x:is>
          <x:t xml:space="preserve">DataBusiness</x:t>
        </x:is>
      </x:c>
      <x:c r="B552" t="inlineStr">
        <x:is>
          <x:t xml:space="preserve">DATA-D1-Q03</x:t>
        </x:is>
      </x:c>
      <x:c r="C552" t="inlineStr">
        <x:is>
          <x:t xml:space="preserve">T2</x:t>
        </x:is>
      </x:c>
      <x:c r="D552" t="inlineStr">
        <x:is>
          <x:t xml:space="preserve">3. Risk &amp; Crown Jewels</x:t>
        </x:is>
      </x:c>
      <x:c r="E552" t="inlineStr">
        <x:is>
          <x:t xml:space="preserve">G</x:t>
        </x:is>
      </x:c>
      <x:c r="F552" t="n">
        <x:v>0.5</x:v>
      </x:c>
      <x:c r="G552" t="inlineStr">
        <x:is>
          <x:t xml:space="preserve">V</x:t>
        </x:is>
      </x:c>
      <x:c r="H552" t="n">
        <x:v>0.5</x:v>
      </x:c>
      <x:c r="I552" t="inlineStr">
        <x:is>
          <x:t xml:space="preserve">Do we have named business owners for key data/assets, and do they approve who gets access?</x:t>
        </x:is>
      </x:c>
      <x:c r="J552" t="inlineStr">
        <x:is>
          <x:t xml:space="preserve">Owner means accountable for decisions, not just ‘IT knows where it is’.</x:t>
        </x:is>
      </x:c>
      <x:c r="L552" t="inlineStr">
        <x:is>
          <x:t xml:space="preserve">GOV_STD</x:t>
        </x:is>
      </x:c>
      <x:c r="M552" t="n">
        <x:v>1.2</x:v>
      </x:c>
      <x:c r="P552" t="inlineStr">
        <x:is>
          <x:t xml:space="preserve">DATA-D1-Q03-A1</x:t>
        </x:is>
      </x:c>
      <x:c r="Q552" t="n">
        <x:v>2</x:v>
      </x:c>
      <x:c r="R552" t="inlineStr">
        <x:is>
          <x:t xml:space="preserve">Partial: Owners exist on paper but approvals are not consistent.</x:t>
        </x:is>
      </x:c>
      <x:c r="S552" t="n">
        <x:v>1</x:v>
      </x:c>
      <x:c r="T552" t="inlineStr">
        <x:is>
          <x:t xml:space="preserve">paper_dragon_signal</x:t>
        </x:is>
      </x:c>
      <x:c r="U552" t="inlineStr">
        <x:is>
          <x:t xml:space="preserve">Paper Dragon</x:t>
        </x:is>
      </x:c>
      <x:c r="V552" t="inlineStr">
        <x:is>
          <x:t xml:space="preserve">Operationalize_Ownership</x:t>
        </x:is>
      </x:c>
      <x:c r="W552" t="inlineStr">
        <x:is>
          <x:t xml:space="preserve">N</x:t>
        </x:is>
      </x:c>
      <x:c r="Y552">
        <x:f>(S552*IF(E552="G",F552,0))+(S552*IF(G552="G",H552,0))</x:f>
      </x:c>
      <x:c r="Z552">
        <x:f>(S552*IF(E552="E",F552,0))+(S552*IF(G552="E",H552,0))</x:f>
      </x:c>
      <x:c r="AA552">
        <x:f>(S552*IF(E552="T",F552,0))+(S552*IF(G552="T",H552,0))</x:f>
      </x:c>
      <x:c r="AB552">
        <x:f>(S552*IF(E552="L",F552,0))+(S552*IF(G552="L",H552,0))</x:f>
      </x:c>
      <x:c r="AC552">
        <x:f>(S552*IF(E552="H",F552,0))+(S552*IF(G552="H",H552,0))</x:f>
      </x:c>
      <x:c r="AD552">
        <x:f>(S552*IF(E552="V",F552,0))+(S552*IF(G552="V",H552,0))</x:f>
      </x:c>
      <x:c r="AE552">
        <x:f>(S552*IF(E552="R",F552,0))+(S552*IF(G552="R",H552,0))</x:f>
      </x:c>
      <x:c r="AF552">
        <x:f>(S552*IF(E552="F",F552,0))+(S552*IF(G552="F",H552,0))</x:f>
      </x:c>
      <x:c r="AG552">
        <x:f>(S552*IF(E552="W",F552,0))+(S552*IF(G552="W",H552,0))</x:f>
      </x:c>
      <x:c r="AH552" t="inlineStr">
        <x:is>
          <x:t xml:space="preserve">4. Legal, Privacy &amp; Ethics</x:t>
        </x:is>
      </x:c>
      <x:c r="AI552" t="inlineStr">
        <x:is>
          <x:t xml:space="preserve">Oversight &amp; Safeguards</x:t>
        </x:is>
      </x:c>
      <x:c r="AJ552" t="inlineStr">
        <x:is>
          <x:t xml:space="preserve">Monitoring Access Governance</x:t>
        </x:is>
      </x:c>
    </x:row>
    <x:row r="553">
      <x:c r="A553" t="inlineStr">
        <x:is>
          <x:t xml:space="preserve">DataBusiness</x:t>
        </x:is>
      </x:c>
      <x:c r="B553" t="inlineStr">
        <x:is>
          <x:t xml:space="preserve">DATA-D1-Q03</x:t>
        </x:is>
      </x:c>
      <x:c r="C553" t="inlineStr">
        <x:is>
          <x:t xml:space="preserve">T2</x:t>
        </x:is>
      </x:c>
      <x:c r="D553" t="inlineStr">
        <x:is>
          <x:t xml:space="preserve">3. Risk &amp; Crown Jewels</x:t>
        </x:is>
      </x:c>
      <x:c r="E553" t="inlineStr">
        <x:is>
          <x:t xml:space="preserve">G</x:t>
        </x:is>
      </x:c>
      <x:c r="F553" t="n">
        <x:v>0.5</x:v>
      </x:c>
      <x:c r="G553" t="inlineStr">
        <x:is>
          <x:t xml:space="preserve">V</x:t>
        </x:is>
      </x:c>
      <x:c r="H553" t="n">
        <x:v>0.5</x:v>
      </x:c>
      <x:c r="I553" t="inlineStr">
        <x:is>
          <x:t xml:space="preserve">Do we have named business owners for key data/assets, and do they approve who gets access?</x:t>
        </x:is>
      </x:c>
      <x:c r="J553" t="inlineStr">
        <x:is>
          <x:t xml:space="preserve">Owner means accountable for decisions, not just ‘IT knows where it is’.</x:t>
        </x:is>
      </x:c>
      <x:c r="L553" t="inlineStr">
        <x:is>
          <x:t xml:space="preserve">GOV_STD</x:t>
        </x:is>
      </x:c>
      <x:c r="M553" t="n">
        <x:v>1.2</x:v>
      </x:c>
      <x:c r="P553" t="inlineStr">
        <x:is>
          <x:t xml:space="preserve">DATA-D1-Q03-A2</x:t>
        </x:is>
      </x:c>
      <x:c r="Q553" t="n">
        <x:v>3</x:v>
      </x:c>
      <x:c r="R553" t="inlineStr">
        <x:is>
          <x:t xml:space="preserve">Yes: Owners approve access for key assets and are involved in exceptions.</x:t>
        </x:is>
      </x:c>
      <x:c r="S553" t="n">
        <x:v>3</x:v>
      </x:c>
      <x:c r="V553" t="inlineStr">
        <x:is>
          <x:t xml:space="preserve">Evidence_Request_Ownership</x:t>
        </x:is>
      </x:c>
      <x:c r="W553" t="inlineStr">
        <x:is>
          <x:t xml:space="preserve">N</x:t>
        </x:is>
      </x:c>
      <x:c r="Y553">
        <x:f>(S553*IF(E553="G",F553,0))+(S553*IF(G553="G",H553,0))</x:f>
      </x:c>
      <x:c r="Z553">
        <x:f>(S553*IF(E553="E",F553,0))+(S553*IF(G553="E",H553,0))</x:f>
      </x:c>
      <x:c r="AA553">
        <x:f>(S553*IF(E553="T",F553,0))+(S553*IF(G553="T",H553,0))</x:f>
      </x:c>
      <x:c r="AB553">
        <x:f>(S553*IF(E553="L",F553,0))+(S553*IF(G553="L",H553,0))</x:f>
      </x:c>
      <x:c r="AC553">
        <x:f>(S553*IF(E553="H",F553,0))+(S553*IF(G553="H",H553,0))</x:f>
      </x:c>
      <x:c r="AD553">
        <x:f>(S553*IF(E553="V",F553,0))+(S553*IF(G553="V",H553,0))</x:f>
      </x:c>
      <x:c r="AE553">
        <x:f>(S553*IF(E553="R",F553,0))+(S553*IF(G553="R",H553,0))</x:f>
      </x:c>
      <x:c r="AF553">
        <x:f>(S553*IF(E553="F",F553,0))+(S553*IF(G553="F",H553,0))</x:f>
      </x:c>
      <x:c r="AG553">
        <x:f>(S553*IF(E553="W",F553,0))+(S553*IF(G553="W",H553,0))</x:f>
      </x:c>
      <x:c r="AH553" t="inlineStr">
        <x:is>
          <x:t xml:space="preserve">4. Legal, Privacy &amp; Ethics</x:t>
        </x:is>
      </x:c>
      <x:c r="AI553" t="inlineStr">
        <x:is>
          <x:t xml:space="preserve">Oversight &amp; Safeguards</x:t>
        </x:is>
      </x:c>
      <x:c r="AJ553" t="inlineStr">
        <x:is>
          <x:t xml:space="preserve">Monitoring Access Governance</x:t>
        </x:is>
      </x:c>
    </x:row>
    <x:row r="554">
      <x:c r="A554" t="inlineStr">
        <x:is>
          <x:t xml:space="preserve">DataBusiness</x:t>
        </x:is>
      </x:c>
      <x:c r="B554" t="inlineStr">
        <x:is>
          <x:t xml:space="preserve">DATA-D1-Q03</x:t>
        </x:is>
      </x:c>
      <x:c r="C554" t="inlineStr">
        <x:is>
          <x:t xml:space="preserve">T2</x:t>
        </x:is>
      </x:c>
      <x:c r="D554" t="inlineStr">
        <x:is>
          <x:t xml:space="preserve">3. Risk &amp; Crown Jewels</x:t>
        </x:is>
      </x:c>
      <x:c r="E554" t="inlineStr">
        <x:is>
          <x:t xml:space="preserve">G</x:t>
        </x:is>
      </x:c>
      <x:c r="F554" t="n">
        <x:v>0.5</x:v>
      </x:c>
      <x:c r="G554" t="inlineStr">
        <x:is>
          <x:t xml:space="preserve">V</x:t>
        </x:is>
      </x:c>
      <x:c r="H554" t="n">
        <x:v>0.5</x:v>
      </x:c>
      <x:c r="I554" t="inlineStr">
        <x:is>
          <x:t xml:space="preserve">Do we have named business owners for key data/assets, and do they approve who gets access?</x:t>
        </x:is>
      </x:c>
      <x:c r="J554" t="inlineStr">
        <x:is>
          <x:t xml:space="preserve">Owner means accountable for decisions, not just ‘IT knows where it is’.</x:t>
        </x:is>
      </x:c>
      <x:c r="L554" t="inlineStr">
        <x:is>
          <x:t xml:space="preserve">GOV_STD</x:t>
        </x:is>
      </x:c>
      <x:c r="M554" t="n">
        <x:v>1.2</x:v>
      </x:c>
      <x:c r="P554" t="inlineStr">
        <x:is>
          <x:t xml:space="preserve">DATA-D1-Q03-A3</x:t>
        </x:is>
      </x:c>
      <x:c r="Q554" t="n">
        <x:v>4</x:v>
      </x:c>
      <x:c r="R554" t="inlineStr">
        <x:is>
          <x:t xml:space="preserve">Mature: Owners track access risk, review regularly, and remove unnecessary access.</x:t>
        </x:is>
      </x:c>
      <x:c r="S554" t="n">
        <x:v>4</x:v>
      </x:c>
      <x:c r="V554" t="inlineStr">
        <x:is>
          <x:t xml:space="preserve">Maintain_and_Audit</x:t>
        </x:is>
      </x:c>
      <x:c r="W554" t="inlineStr">
        <x:is>
          <x:t xml:space="preserve">N</x:t>
        </x:is>
      </x:c>
      <x:c r="Y554">
        <x:f>(S554*IF(E554="G",F554,0))+(S554*IF(G554="G",H554,0))</x:f>
      </x:c>
      <x:c r="Z554">
        <x:f>(S554*IF(E554="E",F554,0))+(S554*IF(G554="E",H554,0))</x:f>
      </x:c>
      <x:c r="AA554">
        <x:f>(S554*IF(E554="T",F554,0))+(S554*IF(G554="T",H554,0))</x:f>
      </x:c>
      <x:c r="AB554">
        <x:f>(S554*IF(E554="L",F554,0))+(S554*IF(G554="L",H554,0))</x:f>
      </x:c>
      <x:c r="AC554">
        <x:f>(S554*IF(E554="H",F554,0))+(S554*IF(G554="H",H554,0))</x:f>
      </x:c>
      <x:c r="AD554">
        <x:f>(S554*IF(E554="V",F554,0))+(S554*IF(G554="V",H554,0))</x:f>
      </x:c>
      <x:c r="AE554">
        <x:f>(S554*IF(E554="R",F554,0))+(S554*IF(G554="R",H554,0))</x:f>
      </x:c>
      <x:c r="AF554">
        <x:f>(S554*IF(E554="F",F554,0))+(S554*IF(G554="F",H554,0))</x:f>
      </x:c>
      <x:c r="AG554">
        <x:f>(S554*IF(E554="W",F554,0))+(S554*IF(G554="W",H554,0))</x:f>
      </x:c>
      <x:c r="AH554" t="inlineStr">
        <x:is>
          <x:t xml:space="preserve">4. Legal, Privacy &amp; Ethics</x:t>
        </x:is>
      </x:c>
      <x:c r="AI554" t="inlineStr">
        <x:is>
          <x:t xml:space="preserve">Oversight &amp; Safeguards</x:t>
        </x:is>
      </x:c>
      <x:c r="AJ554" t="inlineStr">
        <x:is>
          <x:t xml:space="preserve">Monitoring Access Governance</x:t>
        </x:is>
      </x:c>
    </x:row>
    <x:row r="555">
      <x:c r="A555" t="inlineStr">
        <x:is>
          <x:t xml:space="preserve">DataBusiness</x:t>
        </x:is>
      </x:c>
      <x:c r="B555" t="inlineStr">
        <x:is>
          <x:t xml:space="preserve">DATA-D2-Q04</x:t>
        </x:is>
      </x:c>
      <x:c r="C555" t="inlineStr">
        <x:is>
          <x:t xml:space="preserve">T1</x:t>
        </x:is>
      </x:c>
      <x:c r="D555" t="inlineStr">
        <x:is>
          <x:t xml:space="preserve">3. Risk &amp; Data Flows</x:t>
        </x:is>
      </x:c>
      <x:c r="E555" t="inlineStr">
        <x:is>
          <x:t xml:space="preserve">V</x:t>
        </x:is>
      </x:c>
      <x:c r="F555" t="n">
        <x:v>0.7</x:v>
      </x:c>
      <x:c r="G555" t="inlineStr">
        <x:is>
          <x:t xml:space="preserve">W</x:t>
        </x:is>
      </x:c>
      <x:c r="H555" t="n">
        <x:v>0.3</x:v>
      </x:c>
      <x:c r="I555" t="inlineStr">
        <x:is>
          <x:t xml:space="preserve">For the top assets, do we understand where the data goes (key systems, exports, sharing, vendors, and countries)?</x:t>
        </x:is>
      </x:c>
      <x:c r="J555" t="inlineStr">
        <x:is>
          <x:t xml:space="preserve">If you changed a major process tomorrow, could you predict where sensitive data would spread?</x:t>
        </x:is>
      </x:c>
      <x:c r="L555" t="inlineStr">
        <x:is>
          <x:t xml:space="preserve">RISK_STD</x:t>
        </x:is>
      </x:c>
      <x:c r="M555" t="n">
        <x:v>1.3</x:v>
      </x:c>
      <x:c r="N555" t="n">
        <x:v>0.5</x:v>
      </x:c>
      <x:c r="P555" t="inlineStr">
        <x:is>
          <x:t xml:space="preserve">DATA-D2-Q04-A0</x:t>
        </x:is>
      </x:c>
      <x:c r="Q555" t="n">
        <x:v>1</x:v>
      </x:c>
      <x:c r="R555" t="inlineStr">
        <x:is>
          <x:t xml:space="preserve">I don’t know / not sure.</x:t>
        </x:is>
      </x:c>
      <x:c r="S555" t="n">
        <x:v>0</x:v>
      </x:c>
      <x:c r="T555" t="inlineStr">
        <x:is>
          <x:t xml:space="preserve">unknown</x:t>
        </x:is>
      </x:c>
      <x:c r="U555" t="inlineStr">
        <x:is>
          <x:t xml:space="preserve">Unknown</x:t>
        </x:is>
      </x:c>
      <x:c r="V555" t="inlineStr">
        <x:is>
          <x:t xml:space="preserve">Clarify_DataFlows</x:t>
        </x:is>
      </x:c>
      <x:c r="W555" t="inlineStr">
        <x:is>
          <x:t xml:space="preserve">N</x:t>
        </x:is>
      </x:c>
      <x:c r="Y555">
        <x:f>(S555*IF(E555="G",F555,0))+(S555*IF(G555="G",H555,0))</x:f>
      </x:c>
      <x:c r="Z555">
        <x:f>(S555*IF(E555="E",F555,0))+(S555*IF(G555="E",H555,0))</x:f>
      </x:c>
      <x:c r="AA555">
        <x:f>(S555*IF(E555="T",F555,0))+(S555*IF(G555="T",H555,0))</x:f>
      </x:c>
      <x:c r="AB555">
        <x:f>(S555*IF(E555="L",F555,0))+(S555*IF(G555="L",H555,0))</x:f>
      </x:c>
      <x:c r="AC555">
        <x:f>(S555*IF(E555="H",F555,0))+(S555*IF(G555="H",H555,0))</x:f>
      </x:c>
      <x:c r="AD555">
        <x:f>(S555*IF(E555="V",F555,0))+(S555*IF(G555="V",H555,0))</x:f>
      </x:c>
      <x:c r="AE555">
        <x:f>(S555*IF(E555="R",F555,0))+(S555*IF(G555="R",H555,0))</x:f>
      </x:c>
      <x:c r="AF555">
        <x:f>(S555*IF(E555="F",F555,0))+(S555*IF(G555="F",H555,0))</x:f>
      </x:c>
      <x:c r="AG555">
        <x:f>(S555*IF(E555="W",F555,0))+(S555*IF(G555="W",H555,0))</x:f>
      </x:c>
      <x:c r="AH555" t="inlineStr">
        <x:is>
          <x:t xml:space="preserve">3. Risk Management</x:t>
        </x:is>
      </x:c>
      <x:c r="AI555" t="inlineStr">
        <x:is>
          <x:t xml:space="preserve">Inventory &amp; Scope</x:t>
        </x:is>
      </x:c>
      <x:c r="AJ555" t="inlineStr">
        <x:is>
          <x:t xml:space="preserve">Crown jewels/HVA identification</x:t>
        </x:is>
      </x:c>
    </x:row>
    <x:row r="556">
      <x:c r="A556" t="inlineStr">
        <x:is>
          <x:t xml:space="preserve">DataBusiness</x:t>
        </x:is>
      </x:c>
      <x:c r="B556" t="inlineStr">
        <x:is>
          <x:t xml:space="preserve">DATA-D2-Q04</x:t>
        </x:is>
      </x:c>
      <x:c r="C556" t="inlineStr">
        <x:is>
          <x:t xml:space="preserve">T1</x:t>
        </x:is>
      </x:c>
      <x:c r="D556" t="inlineStr">
        <x:is>
          <x:t xml:space="preserve">3. Risk &amp; Data Flows</x:t>
        </x:is>
      </x:c>
      <x:c r="E556" t="inlineStr">
        <x:is>
          <x:t xml:space="preserve">V</x:t>
        </x:is>
      </x:c>
      <x:c r="F556" t="n">
        <x:v>0.7</x:v>
      </x:c>
      <x:c r="G556" t="inlineStr">
        <x:is>
          <x:t xml:space="preserve">W</x:t>
        </x:is>
      </x:c>
      <x:c r="H556" t="n">
        <x:v>0.3</x:v>
      </x:c>
      <x:c r="I556" t="inlineStr">
        <x:is>
          <x:t xml:space="preserve">For the top assets, do we understand where the data goes (key systems, exports, sharing, vendors, and countries)?</x:t>
        </x:is>
      </x:c>
      <x:c r="J556" t="inlineStr">
        <x:is>
          <x:t xml:space="preserve">If you changed a major process tomorrow, could you predict where sensitive data would spread?</x:t>
        </x:is>
      </x:c>
      <x:c r="L556" t="inlineStr">
        <x:is>
          <x:t xml:space="preserve">RISK_STD</x:t>
        </x:is>
      </x:c>
      <x:c r="M556" t="n">
        <x:v>1.3</x:v>
      </x:c>
      <x:c r="N556" t="n">
        <x:v>0.5</x:v>
      </x:c>
      <x:c r="P556" t="inlineStr">
        <x:is>
          <x:t xml:space="preserve">DATA-D2-Q04-A1</x:t>
        </x:is>
      </x:c>
      <x:c r="Q556" t="n">
        <x:v>2</x:v>
      </x:c>
      <x:c r="R556" t="inlineStr">
        <x:is>
          <x:t xml:space="preserve">No: We don’t map data flows; sharing is mostly uncontrolled.</x:t>
        </x:is>
      </x:c>
      <x:c r="S556" t="n">
        <x:v>0</x:v>
      </x:c>
      <x:c r="T556" t="inlineStr">
        <x:is>
          <x:t xml:space="preserve">visibility_gap</x:t>
        </x:is>
      </x:c>
      <x:c r="U556" t="inlineStr">
        <x:is>
          <x:t xml:space="preserve">Visibility Gap</x:t>
        </x:is>
      </x:c>
      <x:c r="V556" t="inlineStr">
        <x:is>
          <x:t xml:space="preserve">Map_Data_Flows</x:t>
        </x:is>
      </x:c>
      <x:c r="W556" t="inlineStr">
        <x:is>
          <x:t xml:space="preserve">N</x:t>
        </x:is>
      </x:c>
      <x:c r="Y556">
        <x:f>(S556*IF(E556="G",F556,0))+(S556*IF(G556="G",H556,0))</x:f>
      </x:c>
      <x:c r="Z556">
        <x:f>(S556*IF(E556="E",F556,0))+(S556*IF(G556="E",H556,0))</x:f>
      </x:c>
      <x:c r="AA556">
        <x:f>(S556*IF(E556="T",F556,0))+(S556*IF(G556="T",H556,0))</x:f>
      </x:c>
      <x:c r="AB556">
        <x:f>(S556*IF(E556="L",F556,0))+(S556*IF(G556="L",H556,0))</x:f>
      </x:c>
      <x:c r="AC556">
        <x:f>(S556*IF(E556="H",F556,0))+(S556*IF(G556="H",H556,0))</x:f>
      </x:c>
      <x:c r="AD556">
        <x:f>(S556*IF(E556="V",F556,0))+(S556*IF(G556="V",H556,0))</x:f>
      </x:c>
      <x:c r="AE556">
        <x:f>(S556*IF(E556="R",F556,0))+(S556*IF(G556="R",H556,0))</x:f>
      </x:c>
      <x:c r="AF556">
        <x:f>(S556*IF(E556="F",F556,0))+(S556*IF(G556="F",H556,0))</x:f>
      </x:c>
      <x:c r="AG556">
        <x:f>(S556*IF(E556="W",F556,0))+(S556*IF(G556="W",H556,0))</x:f>
      </x:c>
      <x:c r="AH556" t="inlineStr">
        <x:is>
          <x:t xml:space="preserve">3. Risk Management</x:t>
        </x:is>
      </x:c>
      <x:c r="AI556" t="inlineStr">
        <x:is>
          <x:t xml:space="preserve">Inventory &amp; Scope</x:t>
        </x:is>
      </x:c>
      <x:c r="AJ556" t="inlineStr">
        <x:is>
          <x:t xml:space="preserve">Crown jewels/HVA identification</x:t>
        </x:is>
      </x:c>
    </x:row>
    <x:row r="557">
      <x:c r="A557" t="inlineStr">
        <x:is>
          <x:t xml:space="preserve">DataBusiness</x:t>
        </x:is>
      </x:c>
      <x:c r="B557" t="inlineStr">
        <x:is>
          <x:t xml:space="preserve">DATA-D2-Q04</x:t>
        </x:is>
      </x:c>
      <x:c r="C557" t="inlineStr">
        <x:is>
          <x:t xml:space="preserve">T1</x:t>
        </x:is>
      </x:c>
      <x:c r="D557" t="inlineStr">
        <x:is>
          <x:t xml:space="preserve">3. Risk &amp; Data Flows</x:t>
        </x:is>
      </x:c>
      <x:c r="E557" t="inlineStr">
        <x:is>
          <x:t xml:space="preserve">V</x:t>
        </x:is>
      </x:c>
      <x:c r="F557" t="n">
        <x:v>0.7</x:v>
      </x:c>
      <x:c r="G557" t="inlineStr">
        <x:is>
          <x:t xml:space="preserve">W</x:t>
        </x:is>
      </x:c>
      <x:c r="H557" t="n">
        <x:v>0.3</x:v>
      </x:c>
      <x:c r="I557" t="inlineStr">
        <x:is>
          <x:t xml:space="preserve">For the top assets, do we understand where the data goes (key systems, exports, sharing, vendors, and countries)?</x:t>
        </x:is>
      </x:c>
      <x:c r="J557" t="inlineStr">
        <x:is>
          <x:t xml:space="preserve">If you changed a major process tomorrow, could you predict where sensitive data would spread?</x:t>
        </x:is>
      </x:c>
      <x:c r="L557" t="inlineStr">
        <x:is>
          <x:t xml:space="preserve">RISK_STD</x:t>
        </x:is>
      </x:c>
      <x:c r="M557" t="n">
        <x:v>1.3</x:v>
      </x:c>
      <x:c r="N557" t="n">
        <x:v>0.5</x:v>
      </x:c>
      <x:c r="P557" t="inlineStr">
        <x:is>
          <x:t xml:space="preserve">DATA-D2-Q04-A2</x:t>
        </x:is>
      </x:c>
      <x:c r="Q557" t="n">
        <x:v>3</x:v>
      </x:c>
      <x:c r="R557" t="inlineStr">
        <x:is>
          <x:t xml:space="preserve">Partial: We know core systems, but exports/sharing/SaaS are unclear.</x:t>
        </x:is>
      </x:c>
      <x:c r="S557" t="n">
        <x:v>1</x:v>
      </x:c>
      <x:c r="T557" t="inlineStr">
        <x:is>
          <x:t xml:space="preserve">visibility_gap</x:t>
        </x:is>
      </x:c>
      <x:c r="U557" t="inlineStr">
        <x:is>
          <x:t xml:space="preserve">Visibility Gap</x:t>
        </x:is>
      </x:c>
      <x:c r="V557" t="inlineStr">
        <x:is>
          <x:t xml:space="preserve">Complete_Data_Flow_Map</x:t>
        </x:is>
      </x:c>
      <x:c r="W557" t="inlineStr">
        <x:is>
          <x:t xml:space="preserve">N</x:t>
        </x:is>
      </x:c>
      <x:c r="Y557">
        <x:f>(S557*IF(E557="G",F557,0))+(S557*IF(G557="G",H557,0))</x:f>
      </x:c>
      <x:c r="Z557">
        <x:f>(S557*IF(E557="E",F557,0))+(S557*IF(G557="E",H557,0))</x:f>
      </x:c>
      <x:c r="AA557">
        <x:f>(S557*IF(E557="T",F557,0))+(S557*IF(G557="T",H557,0))</x:f>
      </x:c>
      <x:c r="AB557">
        <x:f>(S557*IF(E557="L",F557,0))+(S557*IF(G557="L",H557,0))</x:f>
      </x:c>
      <x:c r="AC557">
        <x:f>(S557*IF(E557="H",F557,0))+(S557*IF(G557="H",H557,0))</x:f>
      </x:c>
      <x:c r="AD557">
        <x:f>(S557*IF(E557="V",F557,0))+(S557*IF(G557="V",H557,0))</x:f>
      </x:c>
      <x:c r="AE557">
        <x:f>(S557*IF(E557="R",F557,0))+(S557*IF(G557="R",H557,0))</x:f>
      </x:c>
      <x:c r="AF557">
        <x:f>(S557*IF(E557="F",F557,0))+(S557*IF(G557="F",H557,0))</x:f>
      </x:c>
      <x:c r="AG557">
        <x:f>(S557*IF(E557="W",F557,0))+(S557*IF(G557="W",H557,0))</x:f>
      </x:c>
      <x:c r="AH557" t="inlineStr">
        <x:is>
          <x:t xml:space="preserve">3. Risk Management</x:t>
        </x:is>
      </x:c>
      <x:c r="AI557" t="inlineStr">
        <x:is>
          <x:t xml:space="preserve">Inventory &amp; Scope</x:t>
        </x:is>
      </x:c>
      <x:c r="AJ557" t="inlineStr">
        <x:is>
          <x:t xml:space="preserve">Crown jewels/HVA identification</x:t>
        </x:is>
      </x:c>
    </x:row>
    <x:row r="558">
      <x:c r="A558" t="inlineStr">
        <x:is>
          <x:t xml:space="preserve">DataBusiness</x:t>
        </x:is>
      </x:c>
      <x:c r="B558" t="inlineStr">
        <x:is>
          <x:t xml:space="preserve">DATA-D2-Q04</x:t>
        </x:is>
      </x:c>
      <x:c r="C558" t="inlineStr">
        <x:is>
          <x:t xml:space="preserve">T1</x:t>
        </x:is>
      </x:c>
      <x:c r="D558" t="inlineStr">
        <x:is>
          <x:t xml:space="preserve">3. Risk &amp; Data Flows</x:t>
        </x:is>
      </x:c>
      <x:c r="E558" t="inlineStr">
        <x:is>
          <x:t xml:space="preserve">V</x:t>
        </x:is>
      </x:c>
      <x:c r="F558" t="n">
        <x:v>0.7</x:v>
      </x:c>
      <x:c r="G558" t="inlineStr">
        <x:is>
          <x:t xml:space="preserve">W</x:t>
        </x:is>
      </x:c>
      <x:c r="H558" t="n">
        <x:v>0.3</x:v>
      </x:c>
      <x:c r="I558" t="inlineStr">
        <x:is>
          <x:t xml:space="preserve">For the top assets, do we understand where the data goes (key systems, exports, sharing, vendors, and countries)?</x:t>
        </x:is>
      </x:c>
      <x:c r="J558" t="inlineStr">
        <x:is>
          <x:t xml:space="preserve">If you changed a major process tomorrow, could you predict where sensitive data would spread?</x:t>
        </x:is>
      </x:c>
      <x:c r="L558" t="inlineStr">
        <x:is>
          <x:t xml:space="preserve">RISK_STD</x:t>
        </x:is>
      </x:c>
      <x:c r="M558" t="n">
        <x:v>1.3</x:v>
      </x:c>
      <x:c r="N558" t="n">
        <x:v>0.5</x:v>
      </x:c>
      <x:c r="P558" t="inlineStr">
        <x:is>
          <x:t xml:space="preserve">DATA-D2-Q04-A3</x:t>
        </x:is>
      </x:c>
      <x:c r="Q558" t="n">
        <x:v>4</x:v>
      </x:c>
      <x:c r="R558" t="inlineStr">
        <x:is>
          <x:t xml:space="preserve">Yes: Flows are documented for key assets and used in decisions.</x:t>
        </x:is>
      </x:c>
      <x:c r="S558" t="n">
        <x:v>3</x:v>
      </x:c>
      <x:c r="V558" t="inlineStr">
        <x:is>
          <x:t xml:space="preserve">Evidence_Request_DataFlows</x:t>
        </x:is>
      </x:c>
      <x:c r="W558" t="inlineStr">
        <x:is>
          <x:t xml:space="preserve">N</x:t>
        </x:is>
      </x:c>
      <x:c r="Y558">
        <x:f>(S558*IF(E558="G",F558,0))+(S558*IF(G558="G",H558,0))</x:f>
      </x:c>
      <x:c r="Z558">
        <x:f>(S558*IF(E558="E",F558,0))+(S558*IF(G558="E",H558,0))</x:f>
      </x:c>
      <x:c r="AA558">
        <x:f>(S558*IF(E558="T",F558,0))+(S558*IF(G558="T",H558,0))</x:f>
      </x:c>
      <x:c r="AB558">
        <x:f>(S558*IF(E558="L",F558,0))+(S558*IF(G558="L",H558,0))</x:f>
      </x:c>
      <x:c r="AC558">
        <x:f>(S558*IF(E558="H",F558,0))+(S558*IF(G558="H",H558,0))</x:f>
      </x:c>
      <x:c r="AD558">
        <x:f>(S558*IF(E558="V",F558,0))+(S558*IF(G558="V",H558,0))</x:f>
      </x:c>
      <x:c r="AE558">
        <x:f>(S558*IF(E558="R",F558,0))+(S558*IF(G558="R",H558,0))</x:f>
      </x:c>
      <x:c r="AF558">
        <x:f>(S558*IF(E558="F",F558,0))+(S558*IF(G558="F",H558,0))</x:f>
      </x:c>
      <x:c r="AG558">
        <x:f>(S558*IF(E558="W",F558,0))+(S558*IF(G558="W",H558,0))</x:f>
      </x:c>
      <x:c r="AH558" t="inlineStr">
        <x:is>
          <x:t xml:space="preserve">3. Risk Management</x:t>
        </x:is>
      </x:c>
      <x:c r="AI558" t="inlineStr">
        <x:is>
          <x:t xml:space="preserve">Inventory &amp; Scope</x:t>
        </x:is>
      </x:c>
      <x:c r="AJ558" t="inlineStr">
        <x:is>
          <x:t xml:space="preserve">Crown jewels/HVA identification</x:t>
        </x:is>
      </x:c>
    </x:row>
    <x:row r="559">
      <x:c r="A559" t="inlineStr">
        <x:is>
          <x:t xml:space="preserve">DataBusiness</x:t>
        </x:is>
      </x:c>
      <x:c r="B559" t="inlineStr">
        <x:is>
          <x:t xml:space="preserve">DATA-D2-Q04</x:t>
        </x:is>
      </x:c>
      <x:c r="C559" t="inlineStr">
        <x:is>
          <x:t xml:space="preserve">T1</x:t>
        </x:is>
      </x:c>
      <x:c r="D559" t="inlineStr">
        <x:is>
          <x:t xml:space="preserve">3. Risk &amp; Data Flows</x:t>
        </x:is>
      </x:c>
      <x:c r="E559" t="inlineStr">
        <x:is>
          <x:t xml:space="preserve">V</x:t>
        </x:is>
      </x:c>
      <x:c r="F559" t="n">
        <x:v>0.7</x:v>
      </x:c>
      <x:c r="G559" t="inlineStr">
        <x:is>
          <x:t xml:space="preserve">W</x:t>
        </x:is>
      </x:c>
      <x:c r="H559" t="n">
        <x:v>0.3</x:v>
      </x:c>
      <x:c r="I559" t="inlineStr">
        <x:is>
          <x:t xml:space="preserve">For the top assets, do we understand where the data goes (key systems, exports, sharing, vendors, and countries)?</x:t>
        </x:is>
      </x:c>
      <x:c r="J559" t="inlineStr">
        <x:is>
          <x:t xml:space="preserve">If you changed a major process tomorrow, could you predict where sensitive data would spread?</x:t>
        </x:is>
      </x:c>
      <x:c r="L559" t="inlineStr">
        <x:is>
          <x:t xml:space="preserve">RISK_STD</x:t>
        </x:is>
      </x:c>
      <x:c r="M559" t="n">
        <x:v>1.3</x:v>
      </x:c>
      <x:c r="N559" t="n">
        <x:v>0.5</x:v>
      </x:c>
      <x:c r="P559" t="inlineStr">
        <x:is>
          <x:t xml:space="preserve">DATA-D2-Q04-A4</x:t>
        </x:is>
      </x:c>
      <x:c r="Q559" t="n">
        <x:v>5</x:v>
      </x:c>
      <x:c r="R559" t="inlineStr">
        <x:is>
          <x:t xml:space="preserve">Mature: Flows are validated and revisited after changes; owners are engaged.</x:t>
        </x:is>
      </x:c>
      <x:c r="S559" t="n">
        <x:v>4</x:v>
      </x:c>
      <x:c r="V559" t="inlineStr">
        <x:is>
          <x:t xml:space="preserve">Maintain_and_Audit</x:t>
        </x:is>
      </x:c>
      <x:c r="W559" t="inlineStr">
        <x:is>
          <x:t xml:space="preserve">N</x:t>
        </x:is>
      </x:c>
      <x:c r="Y559">
        <x:f>(S559*IF(E559="G",F559,0))+(S559*IF(G559="G",H559,0))</x:f>
      </x:c>
      <x:c r="Z559">
        <x:f>(S559*IF(E559="E",F559,0))+(S559*IF(G559="E",H559,0))</x:f>
      </x:c>
      <x:c r="AA559">
        <x:f>(S559*IF(E559="T",F559,0))+(S559*IF(G559="T",H559,0))</x:f>
      </x:c>
      <x:c r="AB559">
        <x:f>(S559*IF(E559="L",F559,0))+(S559*IF(G559="L",H559,0))</x:f>
      </x:c>
      <x:c r="AC559">
        <x:f>(S559*IF(E559="H",F559,0))+(S559*IF(G559="H",H559,0))</x:f>
      </x:c>
      <x:c r="AD559">
        <x:f>(S559*IF(E559="V",F559,0))+(S559*IF(G559="V",H559,0))</x:f>
      </x:c>
      <x:c r="AE559">
        <x:f>(S559*IF(E559="R",F559,0))+(S559*IF(G559="R",H559,0))</x:f>
      </x:c>
      <x:c r="AF559">
        <x:f>(S559*IF(E559="F",F559,0))+(S559*IF(G559="F",H559,0))</x:f>
      </x:c>
      <x:c r="AG559">
        <x:f>(S559*IF(E559="W",F559,0))+(S559*IF(G559="W",H559,0))</x:f>
      </x:c>
      <x:c r="AH559" t="inlineStr">
        <x:is>
          <x:t xml:space="preserve">3. Risk Management</x:t>
        </x:is>
      </x:c>
      <x:c r="AI559" t="inlineStr">
        <x:is>
          <x:t xml:space="preserve">Inventory &amp; Scope</x:t>
        </x:is>
      </x:c>
      <x:c r="AJ559" t="inlineStr">
        <x:is>
          <x:t xml:space="preserve">Crown jewels/HVA identification</x:t>
        </x:is>
      </x:c>
    </x:row>
    <x:row r="560">
      <x:c r="A560" t="inlineStr">
        <x:is>
          <x:t xml:space="preserve">DataBusiness</x:t>
        </x:is>
      </x:c>
      <x:c r="B560" t="inlineStr">
        <x:is>
          <x:t xml:space="preserve">DATA-D2-Q05</x:t>
        </x:is>
      </x:c>
      <x:c r="C560" t="inlineStr">
        <x:is>
          <x:t xml:space="preserve">T2</x:t>
        </x:is>
      </x:c>
      <x:c r="D560" t="inlineStr">
        <x:is>
          <x:t xml:space="preserve">3. Risk &amp; Data Flows</x:t>
        </x:is>
      </x:c>
      <x:c r="E560" t="inlineStr">
        <x:is>
          <x:t xml:space="preserve">W</x:t>
        </x:is>
      </x:c>
      <x:c r="F560" t="n">
        <x:v>0.6</x:v>
      </x:c>
      <x:c r="G560" t="inlineStr">
        <x:is>
          <x:t xml:space="preserve">V</x:t>
        </x:is>
      </x:c>
      <x:c r="H560" t="n">
        <x:v>0.4</x:v>
      </x:c>
      <x:c r="I560" t="inlineStr">
        <x:is>
          <x:t xml:space="preserve">When business processes change (new tool, new vendor, re-org), do we review data flows and access before going live?</x:t>
        </x:is>
      </x:c>
      <x:c r="J560" t="inlineStr">
        <x:is>
          <x:t xml:space="preserve">This is about avoiding ‘control lag’ after change.</x:t>
        </x:is>
      </x:c>
      <x:c r="L560" t="inlineStr">
        <x:is>
          <x:t xml:space="preserve">RISK_STD</x:t>
        </x:is>
      </x:c>
      <x:c r="M560" t="n">
        <x:v>1.1</x:v>
      </x:c>
      <x:c r="P560" t="inlineStr">
        <x:is>
          <x:t xml:space="preserve">DATA-D2-Q05-A0</x:t>
        </x:is>
      </x:c>
      <x:c r="Q560" t="n">
        <x:v>1</x:v>
      </x:c>
      <x:c r="R560" t="inlineStr">
        <x:is>
          <x:t xml:space="preserve">No: Changes happen first; reviews happen (if at all) after issues.</x:t>
        </x:is>
      </x:c>
      <x:c r="S560" t="n">
        <x:v>0</x:v>
      </x:c>
      <x:c r="T560" t="inlineStr">
        <x:is>
          <x:t xml:space="preserve">control_lag</x:t>
        </x:is>
      </x:c>
      <x:c r="U560" t="inlineStr">
        <x:is>
          <x:t xml:space="preserve">Control Lag</x:t>
        </x:is>
      </x:c>
      <x:c r="V560" t="inlineStr">
        <x:is>
          <x:t xml:space="preserve">Change_Governance</x:t>
        </x:is>
      </x:c>
      <x:c r="W560" t="inlineStr">
        <x:is>
          <x:t xml:space="preserve">N</x:t>
        </x:is>
      </x:c>
      <x:c r="Y560">
        <x:f>(S560*IF(E560="G",F560,0))+(S560*IF(G560="G",H560,0))</x:f>
      </x:c>
      <x:c r="Z560">
        <x:f>(S560*IF(E560="E",F560,0))+(S560*IF(G560="E",H560,0))</x:f>
      </x:c>
      <x:c r="AA560">
        <x:f>(S560*IF(E560="T",F560,0))+(S560*IF(G560="T",H560,0))</x:f>
      </x:c>
      <x:c r="AB560">
        <x:f>(S560*IF(E560="L",F560,0))+(S560*IF(G560="L",H560,0))</x:f>
      </x:c>
      <x:c r="AC560">
        <x:f>(S560*IF(E560="H",F560,0))+(S560*IF(G560="H",H560,0))</x:f>
      </x:c>
      <x:c r="AD560">
        <x:f>(S560*IF(E560="V",F560,0))+(S560*IF(G560="V",H560,0))</x:f>
      </x:c>
      <x:c r="AE560">
        <x:f>(S560*IF(E560="R",F560,0))+(S560*IF(G560="R",H560,0))</x:f>
      </x:c>
      <x:c r="AF560">
        <x:f>(S560*IF(E560="F",F560,0))+(S560*IF(G560="F",H560,0))</x:f>
      </x:c>
      <x:c r="AG560">
        <x:f>(S560*IF(E560="W",F560,0))+(S560*IF(G560="W",H560,0))</x:f>
      </x:c>
      <x:c r="AH560" t="inlineStr">
        <x:is>
          <x:t xml:space="preserve">9. Performance &amp; Resilience</x:t>
        </x:is>
      </x:c>
      <x:c r="AI560" t="inlineStr">
        <x:is>
          <x:t xml:space="preserve">Assurance &amp; Metrics</x:t>
        </x:is>
      </x:c>
      <x:c r="AJ560" t="inlineStr">
        <x:is>
          <x:t xml:space="preserve">Control testing &amp; continuous assurance</x:t>
        </x:is>
      </x:c>
    </x:row>
    <x:row r="561">
      <x:c r="A561" t="inlineStr">
        <x:is>
          <x:t xml:space="preserve">DataBusiness</x:t>
        </x:is>
      </x:c>
      <x:c r="B561" t="inlineStr">
        <x:is>
          <x:t xml:space="preserve">DATA-D2-Q05</x:t>
        </x:is>
      </x:c>
      <x:c r="C561" t="inlineStr">
        <x:is>
          <x:t xml:space="preserve">T2</x:t>
        </x:is>
      </x:c>
      <x:c r="D561" t="inlineStr">
        <x:is>
          <x:t xml:space="preserve">3. Risk &amp; Data Flows</x:t>
        </x:is>
      </x:c>
      <x:c r="E561" t="inlineStr">
        <x:is>
          <x:t xml:space="preserve">W</x:t>
        </x:is>
      </x:c>
      <x:c r="F561" t="n">
        <x:v>0.6</x:v>
      </x:c>
      <x:c r="G561" t="inlineStr">
        <x:is>
          <x:t xml:space="preserve">V</x:t>
        </x:is>
      </x:c>
      <x:c r="H561" t="n">
        <x:v>0.4</x:v>
      </x:c>
      <x:c r="I561" t="inlineStr">
        <x:is>
          <x:t xml:space="preserve">When business processes change (new tool, new vendor, re-org), do we review data flows and access before going live?</x:t>
        </x:is>
      </x:c>
      <x:c r="J561" t="inlineStr">
        <x:is>
          <x:t xml:space="preserve">This is about avoiding ‘control lag’ after change.</x:t>
        </x:is>
      </x:c>
      <x:c r="L561" t="inlineStr">
        <x:is>
          <x:t xml:space="preserve">RISK_STD</x:t>
        </x:is>
      </x:c>
      <x:c r="M561" t="n">
        <x:v>1.1</x:v>
      </x:c>
      <x:c r="P561" t="inlineStr">
        <x:is>
          <x:t xml:space="preserve">DATA-D2-Q05-A1</x:t>
        </x:is>
      </x:c>
      <x:c r="Q561" t="n">
        <x:v>2</x:v>
      </x:c>
      <x:c r="R561" t="inlineStr">
        <x:is>
          <x:t xml:space="preserve">Sometimes: Depends on project team; not consistent.</x:t>
        </x:is>
      </x:c>
      <x:c r="S561" t="n">
        <x:v>1</x:v>
      </x:c>
      <x:c r="T561" t="inlineStr">
        <x:is>
          <x:t xml:space="preserve">operating_model_gap</x:t>
        </x:is>
      </x:c>
      <x:c r="U561" t="inlineStr">
        <x:is>
          <x:t xml:space="preserve">Operating Model Gap</x:t>
        </x:is>
      </x:c>
      <x:c r="V561" t="inlineStr">
        <x:is>
          <x:t xml:space="preserve">Standardize_Change_Checks</x:t>
        </x:is>
      </x:c>
      <x:c r="W561" t="inlineStr">
        <x:is>
          <x:t xml:space="preserve">N</x:t>
        </x:is>
      </x:c>
      <x:c r="Y561">
        <x:f>(S561*IF(E561="G",F561,0))+(S561*IF(G561="G",H561,0))</x:f>
      </x:c>
      <x:c r="Z561">
        <x:f>(S561*IF(E561="E",F561,0))+(S561*IF(G561="E",H561,0))</x:f>
      </x:c>
      <x:c r="AA561">
        <x:f>(S561*IF(E561="T",F561,0))+(S561*IF(G561="T",H561,0))</x:f>
      </x:c>
      <x:c r="AB561">
        <x:f>(S561*IF(E561="L",F561,0))+(S561*IF(G561="L",H561,0))</x:f>
      </x:c>
      <x:c r="AC561">
        <x:f>(S561*IF(E561="H",F561,0))+(S561*IF(G561="H",H561,0))</x:f>
      </x:c>
      <x:c r="AD561">
        <x:f>(S561*IF(E561="V",F561,0))+(S561*IF(G561="V",H561,0))</x:f>
      </x:c>
      <x:c r="AE561">
        <x:f>(S561*IF(E561="R",F561,0))+(S561*IF(G561="R",H561,0))</x:f>
      </x:c>
      <x:c r="AF561">
        <x:f>(S561*IF(E561="F",F561,0))+(S561*IF(G561="F",H561,0))</x:f>
      </x:c>
      <x:c r="AG561">
        <x:f>(S561*IF(E561="W",F561,0))+(S561*IF(G561="W",H561,0))</x:f>
      </x:c>
      <x:c r="AH561" t="inlineStr">
        <x:is>
          <x:t xml:space="preserve">9. Performance &amp; Resilience</x:t>
        </x:is>
      </x:c>
      <x:c r="AI561" t="inlineStr">
        <x:is>
          <x:t xml:space="preserve">Assurance &amp; Metrics</x:t>
        </x:is>
      </x:c>
      <x:c r="AJ561" t="inlineStr">
        <x:is>
          <x:t xml:space="preserve">Control testing &amp; continuous assurance</x:t>
        </x:is>
      </x:c>
    </x:row>
    <x:row r="562">
      <x:c r="A562" t="inlineStr">
        <x:is>
          <x:t xml:space="preserve">DataBusiness</x:t>
        </x:is>
      </x:c>
      <x:c r="B562" t="inlineStr">
        <x:is>
          <x:t xml:space="preserve">DATA-D2-Q05</x:t>
        </x:is>
      </x:c>
      <x:c r="C562" t="inlineStr">
        <x:is>
          <x:t xml:space="preserve">T2</x:t>
        </x:is>
      </x:c>
      <x:c r="D562" t="inlineStr">
        <x:is>
          <x:t xml:space="preserve">3. Risk &amp; Data Flows</x:t>
        </x:is>
      </x:c>
      <x:c r="E562" t="inlineStr">
        <x:is>
          <x:t xml:space="preserve">W</x:t>
        </x:is>
      </x:c>
      <x:c r="F562" t="n">
        <x:v>0.6</x:v>
      </x:c>
      <x:c r="G562" t="inlineStr">
        <x:is>
          <x:t xml:space="preserve">V</x:t>
        </x:is>
      </x:c>
      <x:c r="H562" t="n">
        <x:v>0.4</x:v>
      </x:c>
      <x:c r="I562" t="inlineStr">
        <x:is>
          <x:t xml:space="preserve">When business processes change (new tool, new vendor, re-org), do we review data flows and access before going live?</x:t>
        </x:is>
      </x:c>
      <x:c r="J562" t="inlineStr">
        <x:is>
          <x:t xml:space="preserve">This is about avoiding ‘control lag’ after change.</x:t>
        </x:is>
      </x:c>
      <x:c r="L562" t="inlineStr">
        <x:is>
          <x:t xml:space="preserve">RISK_STD</x:t>
        </x:is>
      </x:c>
      <x:c r="M562" t="n">
        <x:v>1.1</x:v>
      </x:c>
      <x:c r="P562" t="inlineStr">
        <x:is>
          <x:t xml:space="preserve">DATA-D2-Q05-A2</x:t>
        </x:is>
      </x:c>
      <x:c r="Q562" t="n">
        <x:v>3</x:v>
      </x:c>
      <x:c r="R562" t="inlineStr">
        <x:is>
          <x:t xml:space="preserve">Yes: Key changes include a mandatory review step.</x:t>
        </x:is>
      </x:c>
      <x:c r="S562" t="n">
        <x:v>3</x:v>
      </x:c>
      <x:c r="V562" t="inlineStr">
        <x:is>
          <x:t xml:space="preserve">Evidence_Request_Change_Process</x:t>
        </x:is>
      </x:c>
      <x:c r="W562" t="inlineStr">
        <x:is>
          <x:t xml:space="preserve">N</x:t>
        </x:is>
      </x:c>
      <x:c r="Y562">
        <x:f>(S562*IF(E562="G",F562,0))+(S562*IF(G562="G",H562,0))</x:f>
      </x:c>
      <x:c r="Z562">
        <x:f>(S562*IF(E562="E",F562,0))+(S562*IF(G562="E",H562,0))</x:f>
      </x:c>
      <x:c r="AA562">
        <x:f>(S562*IF(E562="T",F562,0))+(S562*IF(G562="T",H562,0))</x:f>
      </x:c>
      <x:c r="AB562">
        <x:f>(S562*IF(E562="L",F562,0))+(S562*IF(G562="L",H562,0))</x:f>
      </x:c>
      <x:c r="AC562">
        <x:f>(S562*IF(E562="H",F562,0))+(S562*IF(G562="H",H562,0))</x:f>
      </x:c>
      <x:c r="AD562">
        <x:f>(S562*IF(E562="V",F562,0))+(S562*IF(G562="V",H562,0))</x:f>
      </x:c>
      <x:c r="AE562">
        <x:f>(S562*IF(E562="R",F562,0))+(S562*IF(G562="R",H562,0))</x:f>
      </x:c>
      <x:c r="AF562">
        <x:f>(S562*IF(E562="F",F562,0))+(S562*IF(G562="F",H562,0))</x:f>
      </x:c>
      <x:c r="AG562">
        <x:f>(S562*IF(E562="W",F562,0))+(S562*IF(G562="W",H562,0))</x:f>
      </x:c>
      <x:c r="AH562" t="inlineStr">
        <x:is>
          <x:t xml:space="preserve">9. Performance &amp; Resilience</x:t>
        </x:is>
      </x:c>
      <x:c r="AI562" t="inlineStr">
        <x:is>
          <x:t xml:space="preserve">Assurance &amp; Metrics</x:t>
        </x:is>
      </x:c>
      <x:c r="AJ562" t="inlineStr">
        <x:is>
          <x:t xml:space="preserve">Control testing &amp; continuous assurance</x:t>
        </x:is>
      </x:c>
    </x:row>
    <x:row r="563">
      <x:c r="A563" t="inlineStr">
        <x:is>
          <x:t xml:space="preserve">DataBusiness</x:t>
        </x:is>
      </x:c>
      <x:c r="B563" t="inlineStr">
        <x:is>
          <x:t xml:space="preserve">DATA-D2-Q05</x:t>
        </x:is>
      </x:c>
      <x:c r="C563" t="inlineStr">
        <x:is>
          <x:t xml:space="preserve">T2</x:t>
        </x:is>
      </x:c>
      <x:c r="D563" t="inlineStr">
        <x:is>
          <x:t xml:space="preserve">3. Risk &amp; Data Flows</x:t>
        </x:is>
      </x:c>
      <x:c r="E563" t="inlineStr">
        <x:is>
          <x:t xml:space="preserve">W</x:t>
        </x:is>
      </x:c>
      <x:c r="F563" t="n">
        <x:v>0.6</x:v>
      </x:c>
      <x:c r="G563" t="inlineStr">
        <x:is>
          <x:t xml:space="preserve">V</x:t>
        </x:is>
      </x:c>
      <x:c r="H563" t="n">
        <x:v>0.4</x:v>
      </x:c>
      <x:c r="I563" t="inlineStr">
        <x:is>
          <x:t xml:space="preserve">When business processes change (new tool, new vendor, re-org), do we review data flows and access before going live?</x:t>
        </x:is>
      </x:c>
      <x:c r="J563" t="inlineStr">
        <x:is>
          <x:t xml:space="preserve">This is about avoiding ‘control lag’ after change.</x:t>
        </x:is>
      </x:c>
      <x:c r="L563" t="inlineStr">
        <x:is>
          <x:t xml:space="preserve">RISK_STD</x:t>
        </x:is>
      </x:c>
      <x:c r="M563" t="n">
        <x:v>1.1</x:v>
      </x:c>
      <x:c r="P563" t="inlineStr">
        <x:is>
          <x:t xml:space="preserve">DATA-D2-Q05-A3</x:t>
        </x:is>
      </x:c>
      <x:c r="Q563" t="n">
        <x:v>4</x:v>
      </x:c>
      <x:c r="R563" t="inlineStr">
        <x:is>
          <x:t xml:space="preserve">Mature: Automated triggers (e.g., new SaaS/vendor) plus measured time-to-control.</x:t>
        </x:is>
      </x:c>
      <x:c r="S563" t="n">
        <x:v>4</x:v>
      </x:c>
      <x:c r="V563" t="inlineStr">
        <x:is>
          <x:t xml:space="preserve">Maintain_and_Audit</x:t>
        </x:is>
      </x:c>
      <x:c r="W563" t="inlineStr">
        <x:is>
          <x:t xml:space="preserve">N</x:t>
        </x:is>
      </x:c>
      <x:c r="Y563">
        <x:f>(S563*IF(E563="G",F563,0))+(S563*IF(G563="G",H563,0))</x:f>
      </x:c>
      <x:c r="Z563">
        <x:f>(S563*IF(E563="E",F563,0))+(S563*IF(G563="E",H563,0))</x:f>
      </x:c>
      <x:c r="AA563">
        <x:f>(S563*IF(E563="T",F563,0))+(S563*IF(G563="T",H563,0))</x:f>
      </x:c>
      <x:c r="AB563">
        <x:f>(S563*IF(E563="L",F563,0))+(S563*IF(G563="L",H563,0))</x:f>
      </x:c>
      <x:c r="AC563">
        <x:f>(S563*IF(E563="H",F563,0))+(S563*IF(G563="H",H563,0))</x:f>
      </x:c>
      <x:c r="AD563">
        <x:f>(S563*IF(E563="V",F563,0))+(S563*IF(G563="V",H563,0))</x:f>
      </x:c>
      <x:c r="AE563">
        <x:f>(S563*IF(E563="R",F563,0))+(S563*IF(G563="R",H563,0))</x:f>
      </x:c>
      <x:c r="AF563">
        <x:f>(S563*IF(E563="F",F563,0))+(S563*IF(G563="F",H563,0))</x:f>
      </x:c>
      <x:c r="AG563">
        <x:f>(S563*IF(E563="W",F563,0))+(S563*IF(G563="W",H563,0))</x:f>
      </x:c>
      <x:c r="AH563" t="inlineStr">
        <x:is>
          <x:t xml:space="preserve">9. Performance &amp; Resilience</x:t>
        </x:is>
      </x:c>
      <x:c r="AI563" t="inlineStr">
        <x:is>
          <x:t xml:space="preserve">Assurance &amp; Metrics</x:t>
        </x:is>
      </x:c>
      <x:c r="AJ563" t="inlineStr">
        <x:is>
          <x:t xml:space="preserve">Control testing &amp; continuous assurance</x:t>
        </x:is>
      </x:c>
    </x:row>
    <x:row r="564">
      <x:c r="A564" t="inlineStr">
        <x:is>
          <x:t xml:space="preserve">DataBusiness</x:t>
        </x:is>
      </x:c>
      <x:c r="B564" t="inlineStr">
        <x:is>
          <x:t xml:space="preserve">DATA-D3-Q06</x:t>
        </x:is>
      </x:c>
      <x:c r="C564" t="inlineStr">
        <x:is>
          <x:t xml:space="preserve">T1</x:t>
        </x:is>
      </x:c>
      <x:c r="D564" t="inlineStr">
        <x:is>
          <x:t xml:space="preserve">6. Operational Friction</x:t>
        </x:is>
      </x:c>
      <x:c r="E564" t="inlineStr">
        <x:is>
          <x:t xml:space="preserve">F</x:t>
        </x:is>
      </x:c>
      <x:c r="F564" t="n">
        <x:v>1</x:v>
      </x:c>
      <x:c r="G564" t="inlineStr">
        <x:is>
          <x:t xml:space="preserve">-</x:t>
        </x:is>
      </x:c>
      <x:c r="I564" t="inlineStr">
        <x:is>
          <x:t xml:space="preserve">Do security controls cause business workarounds (e.g., personal email/USB/consumer cloud), and do we measure this?</x:t>
        </x:is>
      </x:c>
      <x:c r="J564" t="inlineStr">
        <x:is>
          <x:t xml:space="preserve">This is not about blaming staff; it’s about designing controls that people can actually follow.</x:t>
        </x:is>
      </x:c>
      <x:c r="L564" t="inlineStr">
        <x:is>
          <x:t xml:space="preserve">OPS_STD</x:t>
        </x:is>
      </x:c>
      <x:c r="M564" t="n">
        <x:v>1.2</x:v>
      </x:c>
      <x:c r="P564" t="inlineStr">
        <x:is>
          <x:t xml:space="preserve">DATA-D3-Q06-A0</x:t>
        </x:is>
      </x:c>
      <x:c r="Q564" t="n">
        <x:v>1</x:v>
      </x:c>
      <x:c r="R564" t="inlineStr">
        <x:is>
          <x:t xml:space="preserve">I don’t know / not sure.</x:t>
        </x:is>
      </x:c>
      <x:c r="S564" t="n">
        <x:v>0</x:v>
      </x:c>
      <x:c r="T564" t="inlineStr">
        <x:is>
          <x:t xml:space="preserve">unknown</x:t>
        </x:is>
      </x:c>
      <x:c r="U564" t="inlineStr">
        <x:is>
          <x:t xml:space="preserve">Unknown</x:t>
        </x:is>
      </x:c>
      <x:c r="V564" t="inlineStr">
        <x:is>
          <x:t xml:space="preserve">Clarify_Workarounds</x:t>
        </x:is>
      </x:c>
      <x:c r="W564" t="inlineStr">
        <x:is>
          <x:t xml:space="preserve">N</x:t>
        </x:is>
      </x:c>
      <x:c r="Y564">
        <x:f>(S564*IF(E564="G",F564,0))+(S564*IF(G564="G",H564,0))</x:f>
      </x:c>
      <x:c r="Z564">
        <x:f>(S564*IF(E564="E",F564,0))+(S564*IF(G564="E",H564,0))</x:f>
      </x:c>
      <x:c r="AA564">
        <x:f>(S564*IF(E564="T",F564,0))+(S564*IF(G564="T",H564,0))</x:f>
      </x:c>
      <x:c r="AB564">
        <x:f>(S564*IF(E564="L",F564,0))+(S564*IF(G564="L",H564,0))</x:f>
      </x:c>
      <x:c r="AC564">
        <x:f>(S564*IF(E564="H",F564,0))+(S564*IF(G564="H",H564,0))</x:f>
      </x:c>
      <x:c r="AD564">
        <x:f>(S564*IF(E564="V",F564,0))+(S564*IF(G564="V",H564,0))</x:f>
      </x:c>
      <x:c r="AE564">
        <x:f>(S564*IF(E564="R",F564,0))+(S564*IF(G564="R",H564,0))</x:f>
      </x:c>
      <x:c r="AF564">
        <x:f>(S564*IF(E564="F",F564,0))+(S564*IF(G564="F",H564,0))</x:f>
      </x:c>
      <x:c r="AG564">
        <x:f>(S564*IF(E564="W",F564,0))+(S564*IF(G564="W",H564,0))</x:f>
      </x:c>
      <x:c r="AH564" t="inlineStr">
        <x:is>
          <x:t xml:space="preserve">6. Technical Controls</x:t>
        </x:is>
      </x:c>
      <x:c r="AI564" t="inlineStr">
        <x:is>
          <x:t xml:space="preserve">Data, Endpoint &amp; Cloud Controls</x:t>
        </x:is>
      </x:c>
      <x:c r="AJ564" t="inlineStr">
        <x:is>
          <x:t xml:space="preserve">DLP (endpoint + cloud + SaaS)</x:t>
        </x:is>
      </x:c>
    </x:row>
    <x:row r="565">
      <x:c r="A565" t="inlineStr">
        <x:is>
          <x:t xml:space="preserve">DataBusiness</x:t>
        </x:is>
      </x:c>
      <x:c r="B565" t="inlineStr">
        <x:is>
          <x:t xml:space="preserve">DATA-D3-Q06</x:t>
        </x:is>
      </x:c>
      <x:c r="C565" t="inlineStr">
        <x:is>
          <x:t xml:space="preserve">T1</x:t>
        </x:is>
      </x:c>
      <x:c r="D565" t="inlineStr">
        <x:is>
          <x:t xml:space="preserve">6. Operational Friction</x:t>
        </x:is>
      </x:c>
      <x:c r="E565" t="inlineStr">
        <x:is>
          <x:t xml:space="preserve">F</x:t>
        </x:is>
      </x:c>
      <x:c r="F565" t="n">
        <x:v>1</x:v>
      </x:c>
      <x:c r="G565" t="inlineStr">
        <x:is>
          <x:t xml:space="preserve">-</x:t>
        </x:is>
      </x:c>
      <x:c r="I565" t="inlineStr">
        <x:is>
          <x:t xml:space="preserve">Do security controls cause business workarounds (e.g., personal email/USB/consumer cloud), and do we measure this?</x:t>
        </x:is>
      </x:c>
      <x:c r="J565" t="inlineStr">
        <x:is>
          <x:t xml:space="preserve">This is not about blaming staff; it’s about designing controls that people can actually follow.</x:t>
        </x:is>
      </x:c>
      <x:c r="L565" t="inlineStr">
        <x:is>
          <x:t xml:space="preserve">OPS_STD</x:t>
        </x:is>
      </x:c>
      <x:c r="M565" t="n">
        <x:v>1.2</x:v>
      </x:c>
      <x:c r="P565" t="inlineStr">
        <x:is>
          <x:t xml:space="preserve">DATA-D3-Q06-A1</x:t>
        </x:is>
      </x:c>
      <x:c r="Q565" t="n">
        <x:v>2</x:v>
      </x:c>
      <x:c r="R565" t="inlineStr">
        <x:is>
          <x:t xml:space="preserve">High: Workarounds are common and accepted as ‘how work gets done’.</x:t>
        </x:is>
      </x:c>
      <x:c r="S565" t="n">
        <x:v>0</x:v>
      </x:c>
      <x:c r="T565" t="inlineStr">
        <x:is>
          <x:t xml:space="preserve">bypass_pressure</x:t>
        </x:is>
      </x:c>
      <x:c r="U565" t="inlineStr">
        <x:is>
          <x:t xml:space="preserve">Bypass Pressure</x:t>
        </x:is>
      </x:c>
      <x:c r="V565" t="inlineStr">
        <x:is>
          <x:t xml:space="preserve">Friction_Reduction</x:t>
        </x:is>
      </x:c>
      <x:c r="W565" t="inlineStr">
        <x:is>
          <x:t xml:space="preserve">N</x:t>
        </x:is>
      </x:c>
      <x:c r="Y565">
        <x:f>(S565*IF(E565="G",F565,0))+(S565*IF(G565="G",H565,0))</x:f>
      </x:c>
      <x:c r="Z565">
        <x:f>(S565*IF(E565="E",F565,0))+(S565*IF(G565="E",H565,0))</x:f>
      </x:c>
      <x:c r="AA565">
        <x:f>(S565*IF(E565="T",F565,0))+(S565*IF(G565="T",H565,0))</x:f>
      </x:c>
      <x:c r="AB565">
        <x:f>(S565*IF(E565="L",F565,0))+(S565*IF(G565="L",H565,0))</x:f>
      </x:c>
      <x:c r="AC565">
        <x:f>(S565*IF(E565="H",F565,0))+(S565*IF(G565="H",H565,0))</x:f>
      </x:c>
      <x:c r="AD565">
        <x:f>(S565*IF(E565="V",F565,0))+(S565*IF(G565="V",H565,0))</x:f>
      </x:c>
      <x:c r="AE565">
        <x:f>(S565*IF(E565="R",F565,0))+(S565*IF(G565="R",H565,0))</x:f>
      </x:c>
      <x:c r="AF565">
        <x:f>(S565*IF(E565="F",F565,0))+(S565*IF(G565="F",H565,0))</x:f>
      </x:c>
      <x:c r="AG565">
        <x:f>(S565*IF(E565="W",F565,0))+(S565*IF(G565="W",H565,0))</x:f>
      </x:c>
      <x:c r="AH565" t="inlineStr">
        <x:is>
          <x:t xml:space="preserve">6. Technical Controls</x:t>
        </x:is>
      </x:c>
      <x:c r="AI565" t="inlineStr">
        <x:is>
          <x:t xml:space="preserve">Data, Endpoint &amp; Cloud Controls</x:t>
        </x:is>
      </x:c>
      <x:c r="AJ565" t="inlineStr">
        <x:is>
          <x:t xml:space="preserve">DLP (endpoint + cloud + SaaS)</x:t>
        </x:is>
      </x:c>
    </x:row>
    <x:row r="566">
      <x:c r="A566" t="inlineStr">
        <x:is>
          <x:t xml:space="preserve">DataBusiness</x:t>
        </x:is>
      </x:c>
      <x:c r="B566" t="inlineStr">
        <x:is>
          <x:t xml:space="preserve">DATA-D3-Q06</x:t>
        </x:is>
      </x:c>
      <x:c r="C566" t="inlineStr">
        <x:is>
          <x:t xml:space="preserve">T1</x:t>
        </x:is>
      </x:c>
      <x:c r="D566" t="inlineStr">
        <x:is>
          <x:t xml:space="preserve">6. Operational Friction</x:t>
        </x:is>
      </x:c>
      <x:c r="E566" t="inlineStr">
        <x:is>
          <x:t xml:space="preserve">F</x:t>
        </x:is>
      </x:c>
      <x:c r="F566" t="n">
        <x:v>1</x:v>
      </x:c>
      <x:c r="G566" t="inlineStr">
        <x:is>
          <x:t xml:space="preserve">-</x:t>
        </x:is>
      </x:c>
      <x:c r="I566" t="inlineStr">
        <x:is>
          <x:t xml:space="preserve">Do security controls cause business workarounds (e.g., personal email/USB/consumer cloud), and do we measure this?</x:t>
        </x:is>
      </x:c>
      <x:c r="J566" t="inlineStr">
        <x:is>
          <x:t xml:space="preserve">This is not about blaming staff; it’s about designing controls that people can actually follow.</x:t>
        </x:is>
      </x:c>
      <x:c r="L566" t="inlineStr">
        <x:is>
          <x:t xml:space="preserve">OPS_STD</x:t>
        </x:is>
      </x:c>
      <x:c r="M566" t="n">
        <x:v>1.2</x:v>
      </x:c>
      <x:c r="P566" t="inlineStr">
        <x:is>
          <x:t xml:space="preserve">DATA-D3-Q06-A2</x:t>
        </x:is>
      </x:c>
      <x:c r="Q566" t="n">
        <x:v>3</x:v>
      </x:c>
      <x:c r="R566" t="inlineStr">
        <x:is>
          <x:t xml:space="preserve">Known but unmanaged: We hear about workarounds, but don’t track or fix causes.</x:t>
        </x:is>
      </x:c>
      <x:c r="S566" t="n">
        <x:v>1</x:v>
      </x:c>
      <x:c r="T566" t="inlineStr">
        <x:is>
          <x:t xml:space="preserve">operating_model_gap</x:t>
        </x:is>
      </x:c>
      <x:c r="U566" t="inlineStr">
        <x:is>
          <x:t xml:space="preserve">Operating Model Gap</x:t>
        </x:is>
      </x:c>
      <x:c r="V566" t="inlineStr">
        <x:is>
          <x:t xml:space="preserve">Measure_Workarounds</x:t>
        </x:is>
      </x:c>
      <x:c r="W566" t="inlineStr">
        <x:is>
          <x:t xml:space="preserve">N</x:t>
        </x:is>
      </x:c>
      <x:c r="Y566">
        <x:f>(S566*IF(E566="G",F566,0))+(S566*IF(G566="G",H566,0))</x:f>
      </x:c>
      <x:c r="Z566">
        <x:f>(S566*IF(E566="E",F566,0))+(S566*IF(G566="E",H566,0))</x:f>
      </x:c>
      <x:c r="AA566">
        <x:f>(S566*IF(E566="T",F566,0))+(S566*IF(G566="T",H566,0))</x:f>
      </x:c>
      <x:c r="AB566">
        <x:f>(S566*IF(E566="L",F566,0))+(S566*IF(G566="L",H566,0))</x:f>
      </x:c>
      <x:c r="AC566">
        <x:f>(S566*IF(E566="H",F566,0))+(S566*IF(G566="H",H566,0))</x:f>
      </x:c>
      <x:c r="AD566">
        <x:f>(S566*IF(E566="V",F566,0))+(S566*IF(G566="V",H566,0))</x:f>
      </x:c>
      <x:c r="AE566">
        <x:f>(S566*IF(E566="R",F566,0))+(S566*IF(G566="R",H566,0))</x:f>
      </x:c>
      <x:c r="AF566">
        <x:f>(S566*IF(E566="F",F566,0))+(S566*IF(G566="F",H566,0))</x:f>
      </x:c>
      <x:c r="AG566">
        <x:f>(S566*IF(E566="W",F566,0))+(S566*IF(G566="W",H566,0))</x:f>
      </x:c>
      <x:c r="AH566" t="inlineStr">
        <x:is>
          <x:t xml:space="preserve">6. Technical Controls</x:t>
        </x:is>
      </x:c>
      <x:c r="AI566" t="inlineStr">
        <x:is>
          <x:t xml:space="preserve">Data, Endpoint &amp; Cloud Controls</x:t>
        </x:is>
      </x:c>
      <x:c r="AJ566" t="inlineStr">
        <x:is>
          <x:t xml:space="preserve">DLP (endpoint + cloud + SaaS)</x:t>
        </x:is>
      </x:c>
    </x:row>
    <x:row r="567">
      <x:c r="A567" t="inlineStr">
        <x:is>
          <x:t xml:space="preserve">DataBusiness</x:t>
        </x:is>
      </x:c>
      <x:c r="B567" t="inlineStr">
        <x:is>
          <x:t xml:space="preserve">DATA-D3-Q06</x:t>
        </x:is>
      </x:c>
      <x:c r="C567" t="inlineStr">
        <x:is>
          <x:t xml:space="preserve">T1</x:t>
        </x:is>
      </x:c>
      <x:c r="D567" t="inlineStr">
        <x:is>
          <x:t xml:space="preserve">6. Operational Friction</x:t>
        </x:is>
      </x:c>
      <x:c r="E567" t="inlineStr">
        <x:is>
          <x:t xml:space="preserve">F</x:t>
        </x:is>
      </x:c>
      <x:c r="F567" t="n">
        <x:v>1</x:v>
      </x:c>
      <x:c r="G567" t="inlineStr">
        <x:is>
          <x:t xml:space="preserve">-</x:t>
        </x:is>
      </x:c>
      <x:c r="I567" t="inlineStr">
        <x:is>
          <x:t xml:space="preserve">Do security controls cause business workarounds (e.g., personal email/USB/consumer cloud), and do we measure this?</x:t>
        </x:is>
      </x:c>
      <x:c r="J567" t="inlineStr">
        <x:is>
          <x:t xml:space="preserve">This is not about blaming staff; it’s about designing controls that people can actually follow.</x:t>
        </x:is>
      </x:c>
      <x:c r="L567" t="inlineStr">
        <x:is>
          <x:t xml:space="preserve">OPS_STD</x:t>
        </x:is>
      </x:c>
      <x:c r="M567" t="n">
        <x:v>1.2</x:v>
      </x:c>
      <x:c r="P567" t="inlineStr">
        <x:is>
          <x:t xml:space="preserve">DATA-D3-Q06-A3</x:t>
        </x:is>
      </x:c>
      <x:c r="Q567" t="n">
        <x:v>4</x:v>
      </x:c>
      <x:c r="R567" t="inlineStr">
        <x:is>
          <x:t xml:space="preserve">Managed: We track key friction points and reduce them over time.</x:t>
        </x:is>
      </x:c>
      <x:c r="S567" t="n">
        <x:v>3</x:v>
      </x:c>
      <x:c r="V567" t="inlineStr">
        <x:is>
          <x:t xml:space="preserve">Evidence_Request_Friction_Metrics</x:t>
        </x:is>
      </x:c>
      <x:c r="W567" t="inlineStr">
        <x:is>
          <x:t xml:space="preserve">N</x:t>
        </x:is>
      </x:c>
      <x:c r="Y567">
        <x:f>(S567*IF(E567="G",F567,0))+(S567*IF(G567="G",H567,0))</x:f>
      </x:c>
      <x:c r="Z567">
        <x:f>(S567*IF(E567="E",F567,0))+(S567*IF(G567="E",H567,0))</x:f>
      </x:c>
      <x:c r="AA567">
        <x:f>(S567*IF(E567="T",F567,0))+(S567*IF(G567="T",H567,0))</x:f>
      </x:c>
      <x:c r="AB567">
        <x:f>(S567*IF(E567="L",F567,0))+(S567*IF(G567="L",H567,0))</x:f>
      </x:c>
      <x:c r="AC567">
        <x:f>(S567*IF(E567="H",F567,0))+(S567*IF(G567="H",H567,0))</x:f>
      </x:c>
      <x:c r="AD567">
        <x:f>(S567*IF(E567="V",F567,0))+(S567*IF(G567="V",H567,0))</x:f>
      </x:c>
      <x:c r="AE567">
        <x:f>(S567*IF(E567="R",F567,0))+(S567*IF(G567="R",H567,0))</x:f>
      </x:c>
      <x:c r="AF567">
        <x:f>(S567*IF(E567="F",F567,0))+(S567*IF(G567="F",H567,0))</x:f>
      </x:c>
      <x:c r="AG567">
        <x:f>(S567*IF(E567="W",F567,0))+(S567*IF(G567="W",H567,0))</x:f>
      </x:c>
      <x:c r="AH567" t="inlineStr">
        <x:is>
          <x:t xml:space="preserve">6. Technical Controls</x:t>
        </x:is>
      </x:c>
      <x:c r="AI567" t="inlineStr">
        <x:is>
          <x:t xml:space="preserve">Data, Endpoint &amp; Cloud Controls</x:t>
        </x:is>
      </x:c>
      <x:c r="AJ567" t="inlineStr">
        <x:is>
          <x:t xml:space="preserve">DLP (endpoint + cloud + SaaS)</x:t>
        </x:is>
      </x:c>
    </x:row>
    <x:row r="568">
      <x:c r="A568" t="inlineStr">
        <x:is>
          <x:t xml:space="preserve">DataBusiness</x:t>
        </x:is>
      </x:c>
      <x:c r="B568" t="inlineStr">
        <x:is>
          <x:t xml:space="preserve">DATA-D3-Q06</x:t>
        </x:is>
      </x:c>
      <x:c r="C568" t="inlineStr">
        <x:is>
          <x:t xml:space="preserve">T1</x:t>
        </x:is>
      </x:c>
      <x:c r="D568" t="inlineStr">
        <x:is>
          <x:t xml:space="preserve">6. Operational Friction</x:t>
        </x:is>
      </x:c>
      <x:c r="E568" t="inlineStr">
        <x:is>
          <x:t xml:space="preserve">F</x:t>
        </x:is>
      </x:c>
      <x:c r="F568" t="n">
        <x:v>1</x:v>
      </x:c>
      <x:c r="G568" t="inlineStr">
        <x:is>
          <x:t xml:space="preserve">-</x:t>
        </x:is>
      </x:c>
      <x:c r="I568" t="inlineStr">
        <x:is>
          <x:t xml:space="preserve">Do security controls cause business workarounds (e.g., personal email/USB/consumer cloud), and do we measure this?</x:t>
        </x:is>
      </x:c>
      <x:c r="J568" t="inlineStr">
        <x:is>
          <x:t xml:space="preserve">This is not about blaming staff; it’s about designing controls that people can actually follow.</x:t>
        </x:is>
      </x:c>
      <x:c r="L568" t="inlineStr">
        <x:is>
          <x:t xml:space="preserve">OPS_STD</x:t>
        </x:is>
      </x:c>
      <x:c r="M568" t="n">
        <x:v>1.2</x:v>
      </x:c>
      <x:c r="P568" t="inlineStr">
        <x:is>
          <x:t xml:space="preserve">DATA-D3-Q06-A4</x:t>
        </x:is>
      </x:c>
      <x:c r="Q568" t="n">
        <x:v>5</x:v>
      </x:c>
      <x:c r="R568" t="inlineStr">
        <x:is>
          <x:t xml:space="preserve">Mature: Controls are designed with business; low bypass and rapid exception handling.</x:t>
        </x:is>
      </x:c>
      <x:c r="S568" t="n">
        <x:v>4</x:v>
      </x:c>
      <x:c r="V568" t="inlineStr">
        <x:is>
          <x:t xml:space="preserve">Maintain_and_Audit</x:t>
        </x:is>
      </x:c>
      <x:c r="W568" t="inlineStr">
        <x:is>
          <x:t xml:space="preserve">N</x:t>
        </x:is>
      </x:c>
      <x:c r="Y568">
        <x:f>(S568*IF(E568="G",F568,0))+(S568*IF(G568="G",H568,0))</x:f>
      </x:c>
      <x:c r="Z568">
        <x:f>(S568*IF(E568="E",F568,0))+(S568*IF(G568="E",H568,0))</x:f>
      </x:c>
      <x:c r="AA568">
        <x:f>(S568*IF(E568="T",F568,0))+(S568*IF(G568="T",H568,0))</x:f>
      </x:c>
      <x:c r="AB568">
        <x:f>(S568*IF(E568="L",F568,0))+(S568*IF(G568="L",H568,0))</x:f>
      </x:c>
      <x:c r="AC568">
        <x:f>(S568*IF(E568="H",F568,0))+(S568*IF(G568="H",H568,0))</x:f>
      </x:c>
      <x:c r="AD568">
        <x:f>(S568*IF(E568="V",F568,0))+(S568*IF(G568="V",H568,0))</x:f>
      </x:c>
      <x:c r="AE568">
        <x:f>(S568*IF(E568="R",F568,0))+(S568*IF(G568="R",H568,0))</x:f>
      </x:c>
      <x:c r="AF568">
        <x:f>(S568*IF(E568="F",F568,0))+(S568*IF(G568="F",H568,0))</x:f>
      </x:c>
      <x:c r="AG568">
        <x:f>(S568*IF(E568="W",F568,0))+(S568*IF(G568="W",H568,0))</x:f>
      </x:c>
      <x:c r="AH568" t="inlineStr">
        <x:is>
          <x:t xml:space="preserve">6. Technical Controls</x:t>
        </x:is>
      </x:c>
      <x:c r="AI568" t="inlineStr">
        <x:is>
          <x:t xml:space="preserve">Data, Endpoint &amp; Cloud Controls</x:t>
        </x:is>
      </x:c>
      <x:c r="AJ568" t="inlineStr">
        <x:is>
          <x:t xml:space="preserve">DLP (endpoint + cloud + SaaS)</x:t>
        </x:is>
      </x:c>
    </x:row>
    <x:row r="569">
      <x:c r="A569" t="inlineStr">
        <x:is>
          <x:t xml:space="preserve">DataBusiness</x:t>
        </x:is>
      </x:c>
      <x:c r="B569" t="inlineStr">
        <x:is>
          <x:t xml:space="preserve">DATA-D3-Q07</x:t>
        </x:is>
      </x:c>
      <x:c r="C569" t="inlineStr">
        <x:is>
          <x:t xml:space="preserve">T2</x:t>
        </x:is>
      </x:c>
      <x:c r="D569" t="inlineStr">
        <x:is>
          <x:t xml:space="preserve">6. Operational Friction</x:t>
        </x:is>
      </x:c>
      <x:c r="E569" t="inlineStr">
        <x:is>
          <x:t xml:space="preserve">F</x:t>
        </x:is>
      </x:c>
      <x:c r="F569" t="n">
        <x:v>0.6</x:v>
      </x:c>
      <x:c r="G569" t="inlineStr">
        <x:is>
          <x:t xml:space="preserve">G</x:t>
        </x:is>
      </x:c>
      <x:c r="H569" t="n">
        <x:v>0.4</x:v>
      </x:c>
      <x:c r="I569" t="inlineStr">
        <x:is>
          <x:t xml:space="preserve">Is there a fast, business-friendly exception process (with risk-based approvals) when controls block legitimate work?</x:t>
        </x:is>
      </x:c>
      <x:c r="J569" t="inlineStr">
        <x:is>
          <x:t xml:space="preserve">Look for: clear decision rights, turnaround time, and documentation of exceptions.</x:t>
        </x:is>
      </x:c>
      <x:c r="L569" t="inlineStr">
        <x:is>
          <x:t xml:space="preserve">OPS_STD</x:t>
        </x:is>
      </x:c>
      <x:c r="M569" t="n">
        <x:v>1</x:v>
      </x:c>
      <x:c r="P569" t="inlineStr">
        <x:is>
          <x:t xml:space="preserve">DATA-D3-Q07-A0</x:t>
        </x:is>
      </x:c>
      <x:c r="Q569" t="n">
        <x:v>1</x:v>
      </x:c>
      <x:c r="R569" t="inlineStr">
        <x:is>
          <x:t xml:space="preserve">No: People bypass controls because exceptions take too long.</x:t>
        </x:is>
      </x:c>
      <x:c r="S569" t="n">
        <x:v>0</x:v>
      </x:c>
      <x:c r="T569" t="inlineStr">
        <x:is>
          <x:t xml:space="preserve">bypass_pressure</x:t>
        </x:is>
      </x:c>
      <x:c r="U569" t="inlineStr">
        <x:is>
          <x:t xml:space="preserve">Bypass Pressure</x:t>
        </x:is>
      </x:c>
      <x:c r="V569" t="inlineStr">
        <x:is>
          <x:t xml:space="preserve">Build_Exception_Process</x:t>
        </x:is>
      </x:c>
      <x:c r="W569" t="inlineStr">
        <x:is>
          <x:t xml:space="preserve">N</x:t>
        </x:is>
      </x:c>
      <x:c r="Y569">
        <x:f>(S569*IF(E569="G",F569,0))+(S569*IF(G569="G",H569,0))</x:f>
      </x:c>
      <x:c r="Z569">
        <x:f>(S569*IF(E569="E",F569,0))+(S569*IF(G569="E",H569,0))</x:f>
      </x:c>
      <x:c r="AA569">
        <x:f>(S569*IF(E569="T",F569,0))+(S569*IF(G569="T",H569,0))</x:f>
      </x:c>
      <x:c r="AB569">
        <x:f>(S569*IF(E569="L",F569,0))+(S569*IF(G569="L",H569,0))</x:f>
      </x:c>
      <x:c r="AC569">
        <x:f>(S569*IF(E569="H",F569,0))+(S569*IF(G569="H",H569,0))</x:f>
      </x:c>
      <x:c r="AD569">
        <x:f>(S569*IF(E569="V",F569,0))+(S569*IF(G569="V",H569,0))</x:f>
      </x:c>
      <x:c r="AE569">
        <x:f>(S569*IF(E569="R",F569,0))+(S569*IF(G569="R",H569,0))</x:f>
      </x:c>
      <x:c r="AF569">
        <x:f>(S569*IF(E569="F",F569,0))+(S569*IF(G569="F",H569,0))</x:f>
      </x:c>
      <x:c r="AG569">
        <x:f>(S569*IF(E569="W",F569,0))+(S569*IF(G569="W",H569,0))</x:f>
      </x:c>
      <x:c r="AH569" t="inlineStr">
        <x:is>
          <x:t xml:space="preserve">1. Strategy &amp; Governance</x:t>
        </x:is>
      </x:c>
      <x:c r="AI569" t="inlineStr">
        <x:is>
          <x:t xml:space="preserve">Organization &amp; RACI</x:t>
        </x:is>
      </x:c>
      <x:c r="AJ569" t="inlineStr">
        <x:is>
          <x:t xml:space="preserve">RACI &amp; decision rights</x:t>
        </x:is>
      </x:c>
    </x:row>
    <x:row r="570">
      <x:c r="A570" t="inlineStr">
        <x:is>
          <x:t xml:space="preserve">DataBusiness</x:t>
        </x:is>
      </x:c>
      <x:c r="B570" t="inlineStr">
        <x:is>
          <x:t xml:space="preserve">DATA-D3-Q07</x:t>
        </x:is>
      </x:c>
      <x:c r="C570" t="inlineStr">
        <x:is>
          <x:t xml:space="preserve">T2</x:t>
        </x:is>
      </x:c>
      <x:c r="D570" t="inlineStr">
        <x:is>
          <x:t xml:space="preserve">6. Operational Friction</x:t>
        </x:is>
      </x:c>
      <x:c r="E570" t="inlineStr">
        <x:is>
          <x:t xml:space="preserve">F</x:t>
        </x:is>
      </x:c>
      <x:c r="F570" t="n">
        <x:v>0.6</x:v>
      </x:c>
      <x:c r="G570" t="inlineStr">
        <x:is>
          <x:t xml:space="preserve">G</x:t>
        </x:is>
      </x:c>
      <x:c r="H570" t="n">
        <x:v>0.4</x:v>
      </x:c>
      <x:c r="I570" t="inlineStr">
        <x:is>
          <x:t xml:space="preserve">Is there a fast, business-friendly exception process (with risk-based approvals) when controls block legitimate work?</x:t>
        </x:is>
      </x:c>
      <x:c r="J570" t="inlineStr">
        <x:is>
          <x:t xml:space="preserve">Look for: clear decision rights, turnaround time, and documentation of exceptions.</x:t>
        </x:is>
      </x:c>
      <x:c r="L570" t="inlineStr">
        <x:is>
          <x:t xml:space="preserve">OPS_STD</x:t>
        </x:is>
      </x:c>
      <x:c r="M570" t="n">
        <x:v>1</x:v>
      </x:c>
      <x:c r="P570" t="inlineStr">
        <x:is>
          <x:t xml:space="preserve">DATA-D3-Q07-A1</x:t>
        </x:is>
      </x:c>
      <x:c r="Q570" t="n">
        <x:v>2</x:v>
      </x:c>
      <x:c r="R570" t="inlineStr">
        <x:is>
          <x:t xml:space="preserve">Ad-hoc: Exceptions happen via informal chats; not tracked.</x:t>
        </x:is>
      </x:c>
      <x:c r="S570" t="n">
        <x:v>1</x:v>
      </x:c>
      <x:c r="T570" t="inlineStr">
        <x:is>
          <x:t xml:space="preserve">operating_model_gap</x:t>
        </x:is>
      </x:c>
      <x:c r="U570" t="inlineStr">
        <x:is>
          <x:t xml:space="preserve">Operating Model Gap</x:t>
        </x:is>
      </x:c>
      <x:c r="V570" t="inlineStr">
        <x:is>
          <x:t xml:space="preserve">Formalize_Exceptions</x:t>
        </x:is>
      </x:c>
      <x:c r="W570" t="inlineStr">
        <x:is>
          <x:t xml:space="preserve">N</x:t>
        </x:is>
      </x:c>
      <x:c r="Y570">
        <x:f>(S570*IF(E570="G",F570,0))+(S570*IF(G570="G",H570,0))</x:f>
      </x:c>
      <x:c r="Z570">
        <x:f>(S570*IF(E570="E",F570,0))+(S570*IF(G570="E",H570,0))</x:f>
      </x:c>
      <x:c r="AA570">
        <x:f>(S570*IF(E570="T",F570,0))+(S570*IF(G570="T",H570,0))</x:f>
      </x:c>
      <x:c r="AB570">
        <x:f>(S570*IF(E570="L",F570,0))+(S570*IF(G570="L",H570,0))</x:f>
      </x:c>
      <x:c r="AC570">
        <x:f>(S570*IF(E570="H",F570,0))+(S570*IF(G570="H",H570,0))</x:f>
      </x:c>
      <x:c r="AD570">
        <x:f>(S570*IF(E570="V",F570,0))+(S570*IF(G570="V",H570,0))</x:f>
      </x:c>
      <x:c r="AE570">
        <x:f>(S570*IF(E570="R",F570,0))+(S570*IF(G570="R",H570,0))</x:f>
      </x:c>
      <x:c r="AF570">
        <x:f>(S570*IF(E570="F",F570,0))+(S570*IF(G570="F",H570,0))</x:f>
      </x:c>
      <x:c r="AG570">
        <x:f>(S570*IF(E570="W",F570,0))+(S570*IF(G570="W",H570,0))</x:f>
      </x:c>
      <x:c r="AH570" t="inlineStr">
        <x:is>
          <x:t xml:space="preserve">1. Strategy &amp; Governance</x:t>
        </x:is>
      </x:c>
      <x:c r="AI570" t="inlineStr">
        <x:is>
          <x:t xml:space="preserve">Organization &amp; RACI</x:t>
        </x:is>
      </x:c>
      <x:c r="AJ570" t="inlineStr">
        <x:is>
          <x:t xml:space="preserve">RACI &amp; decision rights</x:t>
        </x:is>
      </x:c>
    </x:row>
    <x:row r="571">
      <x:c r="A571" t="inlineStr">
        <x:is>
          <x:t xml:space="preserve">DataBusiness</x:t>
        </x:is>
      </x:c>
      <x:c r="B571" t="inlineStr">
        <x:is>
          <x:t xml:space="preserve">DATA-D3-Q07</x:t>
        </x:is>
      </x:c>
      <x:c r="C571" t="inlineStr">
        <x:is>
          <x:t xml:space="preserve">T2</x:t>
        </x:is>
      </x:c>
      <x:c r="D571" t="inlineStr">
        <x:is>
          <x:t xml:space="preserve">6. Operational Friction</x:t>
        </x:is>
      </x:c>
      <x:c r="E571" t="inlineStr">
        <x:is>
          <x:t xml:space="preserve">F</x:t>
        </x:is>
      </x:c>
      <x:c r="F571" t="n">
        <x:v>0.6</x:v>
      </x:c>
      <x:c r="G571" t="inlineStr">
        <x:is>
          <x:t xml:space="preserve">G</x:t>
        </x:is>
      </x:c>
      <x:c r="H571" t="n">
        <x:v>0.4</x:v>
      </x:c>
      <x:c r="I571" t="inlineStr">
        <x:is>
          <x:t xml:space="preserve">Is there a fast, business-friendly exception process (with risk-based approvals) when controls block legitimate work?</x:t>
        </x:is>
      </x:c>
      <x:c r="J571" t="inlineStr">
        <x:is>
          <x:t xml:space="preserve">Look for: clear decision rights, turnaround time, and documentation of exceptions.</x:t>
        </x:is>
      </x:c>
      <x:c r="L571" t="inlineStr">
        <x:is>
          <x:t xml:space="preserve">OPS_STD</x:t>
        </x:is>
      </x:c>
      <x:c r="M571" t="n">
        <x:v>1</x:v>
      </x:c>
      <x:c r="P571" t="inlineStr">
        <x:is>
          <x:t xml:space="preserve">DATA-D3-Q07-A2</x:t>
        </x:is>
      </x:c>
      <x:c r="Q571" t="n">
        <x:v>3</x:v>
      </x:c>
      <x:c r="R571" t="inlineStr">
        <x:is>
          <x:t xml:space="preserve">Yes: Process exists and meets business needs most of the time.</x:t>
        </x:is>
      </x:c>
      <x:c r="S571" t="n">
        <x:v>3</x:v>
      </x:c>
      <x:c r="V571" t="inlineStr">
        <x:is>
          <x:t xml:space="preserve">Evidence_Request_Exception_Process</x:t>
        </x:is>
      </x:c>
      <x:c r="W571" t="inlineStr">
        <x:is>
          <x:t xml:space="preserve">N</x:t>
        </x:is>
      </x:c>
      <x:c r="Y571">
        <x:f>(S571*IF(E571="G",F571,0))+(S571*IF(G571="G",H571,0))</x:f>
      </x:c>
      <x:c r="Z571">
        <x:f>(S571*IF(E571="E",F571,0))+(S571*IF(G571="E",H571,0))</x:f>
      </x:c>
      <x:c r="AA571">
        <x:f>(S571*IF(E571="T",F571,0))+(S571*IF(G571="T",H571,0))</x:f>
      </x:c>
      <x:c r="AB571">
        <x:f>(S571*IF(E571="L",F571,0))+(S571*IF(G571="L",H571,0))</x:f>
      </x:c>
      <x:c r="AC571">
        <x:f>(S571*IF(E571="H",F571,0))+(S571*IF(G571="H",H571,0))</x:f>
      </x:c>
      <x:c r="AD571">
        <x:f>(S571*IF(E571="V",F571,0))+(S571*IF(G571="V",H571,0))</x:f>
      </x:c>
      <x:c r="AE571">
        <x:f>(S571*IF(E571="R",F571,0))+(S571*IF(G571="R",H571,0))</x:f>
      </x:c>
      <x:c r="AF571">
        <x:f>(S571*IF(E571="F",F571,0))+(S571*IF(G571="F",H571,0))</x:f>
      </x:c>
      <x:c r="AG571">
        <x:f>(S571*IF(E571="W",F571,0))+(S571*IF(G571="W",H571,0))</x:f>
      </x:c>
      <x:c r="AH571" t="inlineStr">
        <x:is>
          <x:t xml:space="preserve">1. Strategy &amp; Governance</x:t>
        </x:is>
      </x:c>
      <x:c r="AI571" t="inlineStr">
        <x:is>
          <x:t xml:space="preserve">Organization &amp; RACI</x:t>
        </x:is>
      </x:c>
      <x:c r="AJ571" t="inlineStr">
        <x:is>
          <x:t xml:space="preserve">RACI &amp; decision rights</x:t>
        </x:is>
      </x:c>
    </x:row>
    <x:row r="572">
      <x:c r="A572" t="inlineStr">
        <x:is>
          <x:t xml:space="preserve">DataBusiness</x:t>
        </x:is>
      </x:c>
      <x:c r="B572" t="inlineStr">
        <x:is>
          <x:t xml:space="preserve">DATA-D3-Q07</x:t>
        </x:is>
      </x:c>
      <x:c r="C572" t="inlineStr">
        <x:is>
          <x:t xml:space="preserve">T2</x:t>
        </x:is>
      </x:c>
      <x:c r="D572" t="inlineStr">
        <x:is>
          <x:t xml:space="preserve">6. Operational Friction</x:t>
        </x:is>
      </x:c>
      <x:c r="E572" t="inlineStr">
        <x:is>
          <x:t xml:space="preserve">F</x:t>
        </x:is>
      </x:c>
      <x:c r="F572" t="n">
        <x:v>0.6</x:v>
      </x:c>
      <x:c r="G572" t="inlineStr">
        <x:is>
          <x:t xml:space="preserve">G</x:t>
        </x:is>
      </x:c>
      <x:c r="H572" t="n">
        <x:v>0.4</x:v>
      </x:c>
      <x:c r="I572" t="inlineStr">
        <x:is>
          <x:t xml:space="preserve">Is there a fast, business-friendly exception process (with risk-based approvals) when controls block legitimate work?</x:t>
        </x:is>
      </x:c>
      <x:c r="J572" t="inlineStr">
        <x:is>
          <x:t xml:space="preserve">Look for: clear decision rights, turnaround time, and documentation of exceptions.</x:t>
        </x:is>
      </x:c>
      <x:c r="L572" t="inlineStr">
        <x:is>
          <x:t xml:space="preserve">OPS_STD</x:t>
        </x:is>
      </x:c>
      <x:c r="M572" t="n">
        <x:v>1</x:v>
      </x:c>
      <x:c r="P572" t="inlineStr">
        <x:is>
          <x:t xml:space="preserve">DATA-D3-Q07-A3</x:t>
        </x:is>
      </x:c>
      <x:c r="Q572" t="n">
        <x:v>4</x:v>
      </x:c>
      <x:c r="R572" t="inlineStr">
        <x:is>
          <x:t xml:space="preserve">Mature: SLA-driven, risk-tiered, and exceptions are reviewed to reduce root causes.</x:t>
        </x:is>
      </x:c>
      <x:c r="S572" t="n">
        <x:v>4</x:v>
      </x:c>
      <x:c r="V572" t="inlineStr">
        <x:is>
          <x:t xml:space="preserve">Maintain_and_Audit</x:t>
        </x:is>
      </x:c>
      <x:c r="W572" t="inlineStr">
        <x:is>
          <x:t xml:space="preserve">N</x:t>
        </x:is>
      </x:c>
      <x:c r="Y572">
        <x:f>(S572*IF(E572="G",F572,0))+(S572*IF(G572="G",H572,0))</x:f>
      </x:c>
      <x:c r="Z572">
        <x:f>(S572*IF(E572="E",F572,0))+(S572*IF(G572="E",H572,0))</x:f>
      </x:c>
      <x:c r="AA572">
        <x:f>(S572*IF(E572="T",F572,0))+(S572*IF(G572="T",H572,0))</x:f>
      </x:c>
      <x:c r="AB572">
        <x:f>(S572*IF(E572="L",F572,0))+(S572*IF(G572="L",H572,0))</x:f>
      </x:c>
      <x:c r="AC572">
        <x:f>(S572*IF(E572="H",F572,0))+(S572*IF(G572="H",H572,0))</x:f>
      </x:c>
      <x:c r="AD572">
        <x:f>(S572*IF(E572="V",F572,0))+(S572*IF(G572="V",H572,0))</x:f>
      </x:c>
      <x:c r="AE572">
        <x:f>(S572*IF(E572="R",F572,0))+(S572*IF(G572="R",H572,0))</x:f>
      </x:c>
      <x:c r="AF572">
        <x:f>(S572*IF(E572="F",F572,0))+(S572*IF(G572="F",H572,0))</x:f>
      </x:c>
      <x:c r="AG572">
        <x:f>(S572*IF(E572="W",F572,0))+(S572*IF(G572="W",H572,0))</x:f>
      </x:c>
      <x:c r="AH572" t="inlineStr">
        <x:is>
          <x:t xml:space="preserve">1. Strategy &amp; Governance</x:t>
        </x:is>
      </x:c>
      <x:c r="AI572" t="inlineStr">
        <x:is>
          <x:t xml:space="preserve">Organization &amp; RACI</x:t>
        </x:is>
      </x:c>
      <x:c r="AJ572" t="inlineStr">
        <x:is>
          <x:t xml:space="preserve">RACI &amp; decision rights</x:t>
        </x:is>
      </x:c>
    </x:row>
    <x:row r="573">
      <x:c r="A573" t="inlineStr">
        <x:is>
          <x:t xml:space="preserve">DataBusiness</x:t>
        </x:is>
      </x:c>
      <x:c r="B573" t="inlineStr">
        <x:is>
          <x:t xml:space="preserve">DATA-D3-Q08</x:t>
        </x:is>
      </x:c>
      <x:c r="C573" t="inlineStr">
        <x:is>
          <x:t xml:space="preserve">T2</x:t>
        </x:is>
      </x:c>
      <x:c r="D573" t="inlineStr">
        <x:is>
          <x:t xml:space="preserve">6. Operational Friction</x:t>
        </x:is>
      </x:c>
      <x:c r="E573" t="inlineStr">
        <x:is>
          <x:t xml:space="preserve">F</x:t>
        </x:is>
      </x:c>
      <x:c r="F573" t="n">
        <x:v>0.5</x:v>
      </x:c>
      <x:c r="G573" t="inlineStr">
        <x:is>
          <x:t xml:space="preserve">E</x:t>
        </x:is>
      </x:c>
      <x:c r="H573" t="n">
        <x:v>0.5</x:v>
      </x:c>
      <x:c r="I573" t="inlineStr">
        <x:is>
          <x:t xml:space="preserve">Do we have an approved path for teams to adopt new SaaS/tools without going ‘shadow IT’?</x:t>
        </x:is>
      </x:c>
      <x:c r="J573" t="inlineStr">
        <x:is>
          <x:t xml:space="preserve">Example: a simple intake, fast security review, and approved list of tools.</x:t>
        </x:is>
      </x:c>
      <x:c r="L573" t="inlineStr">
        <x:is>
          <x:t xml:space="preserve">OPS_STD</x:t>
        </x:is>
      </x:c>
      <x:c r="M573" t="n">
        <x:v>1</x:v>
      </x:c>
      <x:c r="P573" t="inlineStr">
        <x:is>
          <x:t xml:space="preserve">DATA-D3-Q08-A0</x:t>
        </x:is>
      </x:c>
      <x:c r="Q573" t="n">
        <x:v>1</x:v>
      </x:c>
      <x:c r="R573" t="inlineStr">
        <x:is>
          <x:t xml:space="preserve">No: Teams choose tools independently; visibility is low.</x:t>
        </x:is>
      </x:c>
      <x:c r="S573" t="n">
        <x:v>0</x:v>
      </x:c>
      <x:c r="T573" t="inlineStr">
        <x:is>
          <x:t xml:space="preserve">visibility_gap,bypass_pressure</x:t>
        </x:is>
      </x:c>
      <x:c r="U573" t="inlineStr">
        <x:is>
          <x:t xml:space="preserve">Visibility Gap</x:t>
        </x:is>
      </x:c>
      <x:c r="V573" t="inlineStr">
        <x:is>
          <x:t xml:space="preserve">SaaS_Onboarding_Path</x:t>
        </x:is>
      </x:c>
      <x:c r="W573" t="inlineStr">
        <x:is>
          <x:t xml:space="preserve">N</x:t>
        </x:is>
      </x:c>
      <x:c r="Y573">
        <x:f>(S573*IF(E573="G",F573,0))+(S573*IF(G573="G",H573,0))</x:f>
      </x:c>
      <x:c r="Z573">
        <x:f>(S573*IF(E573="E",F573,0))+(S573*IF(G573="E",H573,0))</x:f>
      </x:c>
      <x:c r="AA573">
        <x:f>(S573*IF(E573="T",F573,0))+(S573*IF(G573="T",H573,0))</x:f>
      </x:c>
      <x:c r="AB573">
        <x:f>(S573*IF(E573="L",F573,0))+(S573*IF(G573="L",H573,0))</x:f>
      </x:c>
      <x:c r="AC573">
        <x:f>(S573*IF(E573="H",F573,0))+(S573*IF(G573="H",H573,0))</x:f>
      </x:c>
      <x:c r="AD573">
        <x:f>(S573*IF(E573="V",F573,0))+(S573*IF(G573="V",H573,0))</x:f>
      </x:c>
      <x:c r="AE573">
        <x:f>(S573*IF(E573="R",F573,0))+(S573*IF(G573="R",H573,0))</x:f>
      </x:c>
      <x:c r="AF573">
        <x:f>(S573*IF(E573="F",F573,0))+(S573*IF(G573="F",H573,0))</x:f>
      </x:c>
      <x:c r="AG573">
        <x:f>(S573*IF(E573="W",F573,0))+(S573*IF(G573="W",H573,0))</x:f>
      </x:c>
      <x:c r="AH573" t="inlineStr">
        <x:is>
          <x:t xml:space="preserve">6. Technical Controls</x:t>
        </x:is>
      </x:c>
      <x:c r="AI573" t="inlineStr">
        <x:is>
          <x:t xml:space="preserve">Data, Endpoint &amp; Cloud Controls</x:t>
        </x:is>
      </x:c>
      <x:c r="AJ573" t="inlineStr">
        <x:is>
          <x:t xml:space="preserve">Collaboration/SaaS sharing controls</x:t>
        </x:is>
      </x:c>
    </x:row>
    <x:row r="574">
      <x:c r="A574" t="inlineStr">
        <x:is>
          <x:t xml:space="preserve">DataBusiness</x:t>
        </x:is>
      </x:c>
      <x:c r="B574" t="inlineStr">
        <x:is>
          <x:t xml:space="preserve">DATA-D3-Q08</x:t>
        </x:is>
      </x:c>
      <x:c r="C574" t="inlineStr">
        <x:is>
          <x:t xml:space="preserve">T2</x:t>
        </x:is>
      </x:c>
      <x:c r="D574" t="inlineStr">
        <x:is>
          <x:t xml:space="preserve">6. Operational Friction</x:t>
        </x:is>
      </x:c>
      <x:c r="E574" t="inlineStr">
        <x:is>
          <x:t xml:space="preserve">F</x:t>
        </x:is>
      </x:c>
      <x:c r="F574" t="n">
        <x:v>0.5</x:v>
      </x:c>
      <x:c r="G574" t="inlineStr">
        <x:is>
          <x:t xml:space="preserve">E</x:t>
        </x:is>
      </x:c>
      <x:c r="H574" t="n">
        <x:v>0.5</x:v>
      </x:c>
      <x:c r="I574" t="inlineStr">
        <x:is>
          <x:t xml:space="preserve">Do we have an approved path for teams to adopt new SaaS/tools without going ‘shadow IT’?</x:t>
        </x:is>
      </x:c>
      <x:c r="J574" t="inlineStr">
        <x:is>
          <x:t xml:space="preserve">Example: a simple intake, fast security review, and approved list of tools.</x:t>
        </x:is>
      </x:c>
      <x:c r="L574" t="inlineStr">
        <x:is>
          <x:t xml:space="preserve">OPS_STD</x:t>
        </x:is>
      </x:c>
      <x:c r="M574" t="n">
        <x:v>1</x:v>
      </x:c>
      <x:c r="P574" t="inlineStr">
        <x:is>
          <x:t xml:space="preserve">DATA-D3-Q08-A1</x:t>
        </x:is>
      </x:c>
      <x:c r="Q574" t="n">
        <x:v>2</x:v>
      </x:c>
      <x:c r="R574" t="inlineStr">
        <x:is>
          <x:t xml:space="preserve">Partial: There is a process but it is slow, so teams bypass it.</x:t>
        </x:is>
      </x:c>
      <x:c r="S574" t="n">
        <x:v>1</x:v>
      </x:c>
      <x:c r="T574" t="inlineStr">
        <x:is>
          <x:t xml:space="preserve">bypass_pressure</x:t>
        </x:is>
      </x:c>
      <x:c r="U574" t="inlineStr">
        <x:is>
          <x:t xml:space="preserve">Bypass Pressure</x:t>
        </x:is>
      </x:c>
      <x:c r="V574" t="inlineStr">
        <x:is>
          <x:t xml:space="preserve">Speed_Up_Intake</x:t>
        </x:is>
      </x:c>
      <x:c r="W574" t="inlineStr">
        <x:is>
          <x:t xml:space="preserve">N</x:t>
        </x:is>
      </x:c>
      <x:c r="Y574">
        <x:f>(S574*IF(E574="G",F574,0))+(S574*IF(G574="G",H574,0))</x:f>
      </x:c>
      <x:c r="Z574">
        <x:f>(S574*IF(E574="E",F574,0))+(S574*IF(G574="E",H574,0))</x:f>
      </x:c>
      <x:c r="AA574">
        <x:f>(S574*IF(E574="T",F574,0))+(S574*IF(G574="T",H574,0))</x:f>
      </x:c>
      <x:c r="AB574">
        <x:f>(S574*IF(E574="L",F574,0))+(S574*IF(G574="L",H574,0))</x:f>
      </x:c>
      <x:c r="AC574">
        <x:f>(S574*IF(E574="H",F574,0))+(S574*IF(G574="H",H574,0))</x:f>
      </x:c>
      <x:c r="AD574">
        <x:f>(S574*IF(E574="V",F574,0))+(S574*IF(G574="V",H574,0))</x:f>
      </x:c>
      <x:c r="AE574">
        <x:f>(S574*IF(E574="R",F574,0))+(S574*IF(G574="R",H574,0))</x:f>
      </x:c>
      <x:c r="AF574">
        <x:f>(S574*IF(E574="F",F574,0))+(S574*IF(G574="F",H574,0))</x:f>
      </x:c>
      <x:c r="AG574">
        <x:f>(S574*IF(E574="W",F574,0))+(S574*IF(G574="W",H574,0))</x:f>
      </x:c>
      <x:c r="AH574" t="inlineStr">
        <x:is>
          <x:t xml:space="preserve">6. Technical Controls</x:t>
        </x:is>
      </x:c>
      <x:c r="AI574" t="inlineStr">
        <x:is>
          <x:t xml:space="preserve">Data, Endpoint &amp; Cloud Controls</x:t>
        </x:is>
      </x:c>
      <x:c r="AJ574" t="inlineStr">
        <x:is>
          <x:t xml:space="preserve">Collaboration/SaaS sharing controls</x:t>
        </x:is>
      </x:c>
    </x:row>
    <x:row r="575">
      <x:c r="A575" t="inlineStr">
        <x:is>
          <x:t xml:space="preserve">DataBusiness</x:t>
        </x:is>
      </x:c>
      <x:c r="B575" t="inlineStr">
        <x:is>
          <x:t xml:space="preserve">DATA-D3-Q08</x:t>
        </x:is>
      </x:c>
      <x:c r="C575" t="inlineStr">
        <x:is>
          <x:t xml:space="preserve">T2</x:t>
        </x:is>
      </x:c>
      <x:c r="D575" t="inlineStr">
        <x:is>
          <x:t xml:space="preserve">6. Operational Friction</x:t>
        </x:is>
      </x:c>
      <x:c r="E575" t="inlineStr">
        <x:is>
          <x:t xml:space="preserve">F</x:t>
        </x:is>
      </x:c>
      <x:c r="F575" t="n">
        <x:v>0.5</x:v>
      </x:c>
      <x:c r="G575" t="inlineStr">
        <x:is>
          <x:t xml:space="preserve">E</x:t>
        </x:is>
      </x:c>
      <x:c r="H575" t="n">
        <x:v>0.5</x:v>
      </x:c>
      <x:c r="I575" t="inlineStr">
        <x:is>
          <x:t xml:space="preserve">Do we have an approved path for teams to adopt new SaaS/tools without going ‘shadow IT’?</x:t>
        </x:is>
      </x:c>
      <x:c r="J575" t="inlineStr">
        <x:is>
          <x:t xml:space="preserve">Example: a simple intake, fast security review, and approved list of tools.</x:t>
        </x:is>
      </x:c>
      <x:c r="L575" t="inlineStr">
        <x:is>
          <x:t xml:space="preserve">OPS_STD</x:t>
        </x:is>
      </x:c>
      <x:c r="M575" t="n">
        <x:v>1</x:v>
      </x:c>
      <x:c r="P575" t="inlineStr">
        <x:is>
          <x:t xml:space="preserve">DATA-D3-Q08-A2</x:t>
        </x:is>
      </x:c>
      <x:c r="Q575" t="n">
        <x:v>3</x:v>
      </x:c>
      <x:c r="R575" t="inlineStr">
        <x:is>
          <x:t xml:space="preserve">Yes: Most teams use the process and it’s reasonably fast.</x:t>
        </x:is>
      </x:c>
      <x:c r="S575" t="n">
        <x:v>3</x:v>
      </x:c>
      <x:c r="V575" t="inlineStr">
        <x:is>
          <x:t xml:space="preserve">Evidence_Request_SaaS_Intake</x:t>
        </x:is>
      </x:c>
      <x:c r="W575" t="inlineStr">
        <x:is>
          <x:t xml:space="preserve">N</x:t>
        </x:is>
      </x:c>
      <x:c r="Y575">
        <x:f>(S575*IF(E575="G",F575,0))+(S575*IF(G575="G",H575,0))</x:f>
      </x:c>
      <x:c r="Z575">
        <x:f>(S575*IF(E575="E",F575,0))+(S575*IF(G575="E",H575,0))</x:f>
      </x:c>
      <x:c r="AA575">
        <x:f>(S575*IF(E575="T",F575,0))+(S575*IF(G575="T",H575,0))</x:f>
      </x:c>
      <x:c r="AB575">
        <x:f>(S575*IF(E575="L",F575,0))+(S575*IF(G575="L",H575,0))</x:f>
      </x:c>
      <x:c r="AC575">
        <x:f>(S575*IF(E575="H",F575,0))+(S575*IF(G575="H",H575,0))</x:f>
      </x:c>
      <x:c r="AD575">
        <x:f>(S575*IF(E575="V",F575,0))+(S575*IF(G575="V",H575,0))</x:f>
      </x:c>
      <x:c r="AE575">
        <x:f>(S575*IF(E575="R",F575,0))+(S575*IF(G575="R",H575,0))</x:f>
      </x:c>
      <x:c r="AF575">
        <x:f>(S575*IF(E575="F",F575,0))+(S575*IF(G575="F",H575,0))</x:f>
      </x:c>
      <x:c r="AG575">
        <x:f>(S575*IF(E575="W",F575,0))+(S575*IF(G575="W",H575,0))</x:f>
      </x:c>
      <x:c r="AH575" t="inlineStr">
        <x:is>
          <x:t xml:space="preserve">6. Technical Controls</x:t>
        </x:is>
      </x:c>
      <x:c r="AI575" t="inlineStr">
        <x:is>
          <x:t xml:space="preserve">Data, Endpoint &amp; Cloud Controls</x:t>
        </x:is>
      </x:c>
      <x:c r="AJ575" t="inlineStr">
        <x:is>
          <x:t xml:space="preserve">Collaboration/SaaS sharing controls</x:t>
        </x:is>
      </x:c>
    </x:row>
    <x:row r="576">
      <x:c r="A576" t="inlineStr">
        <x:is>
          <x:t xml:space="preserve">DataBusiness</x:t>
        </x:is>
      </x:c>
      <x:c r="B576" t="inlineStr">
        <x:is>
          <x:t xml:space="preserve">DATA-D3-Q08</x:t>
        </x:is>
      </x:c>
      <x:c r="C576" t="inlineStr">
        <x:is>
          <x:t xml:space="preserve">T2</x:t>
        </x:is>
      </x:c>
      <x:c r="D576" t="inlineStr">
        <x:is>
          <x:t xml:space="preserve">6. Operational Friction</x:t>
        </x:is>
      </x:c>
      <x:c r="E576" t="inlineStr">
        <x:is>
          <x:t xml:space="preserve">F</x:t>
        </x:is>
      </x:c>
      <x:c r="F576" t="n">
        <x:v>0.5</x:v>
      </x:c>
      <x:c r="G576" t="inlineStr">
        <x:is>
          <x:t xml:space="preserve">E</x:t>
        </x:is>
      </x:c>
      <x:c r="H576" t="n">
        <x:v>0.5</x:v>
      </x:c>
      <x:c r="I576" t="inlineStr">
        <x:is>
          <x:t xml:space="preserve">Do we have an approved path for teams to adopt new SaaS/tools without going ‘shadow IT’?</x:t>
        </x:is>
      </x:c>
      <x:c r="J576" t="inlineStr">
        <x:is>
          <x:t xml:space="preserve">Example: a simple intake, fast security review, and approved list of tools.</x:t>
        </x:is>
      </x:c>
      <x:c r="L576" t="inlineStr">
        <x:is>
          <x:t xml:space="preserve">OPS_STD</x:t>
        </x:is>
      </x:c>
      <x:c r="M576" t="n">
        <x:v>1</x:v>
      </x:c>
      <x:c r="P576" t="inlineStr">
        <x:is>
          <x:t xml:space="preserve">DATA-D3-Q08-A3</x:t>
        </x:is>
      </x:c>
      <x:c r="Q576" t="n">
        <x:v>4</x:v>
      </x:c>
      <x:c r="R576" t="inlineStr">
        <x:is>
          <x:t xml:space="preserve">Mature: Automated discovery + approved catalog + measured adoption outcomes.</x:t>
        </x:is>
      </x:c>
      <x:c r="S576" t="n">
        <x:v>4</x:v>
      </x:c>
      <x:c r="V576" t="inlineStr">
        <x:is>
          <x:t xml:space="preserve">Maintain_and_Audit</x:t>
        </x:is>
      </x:c>
      <x:c r="W576" t="inlineStr">
        <x:is>
          <x:t xml:space="preserve">N</x:t>
        </x:is>
      </x:c>
      <x:c r="Y576">
        <x:f>(S576*IF(E576="G",F576,0))+(S576*IF(G576="G",H576,0))</x:f>
      </x:c>
      <x:c r="Z576">
        <x:f>(S576*IF(E576="E",F576,0))+(S576*IF(G576="E",H576,0))</x:f>
      </x:c>
      <x:c r="AA576">
        <x:f>(S576*IF(E576="T",F576,0))+(S576*IF(G576="T",H576,0))</x:f>
      </x:c>
      <x:c r="AB576">
        <x:f>(S576*IF(E576="L",F576,0))+(S576*IF(G576="L",H576,0))</x:f>
      </x:c>
      <x:c r="AC576">
        <x:f>(S576*IF(E576="H",F576,0))+(S576*IF(G576="H",H576,0))</x:f>
      </x:c>
      <x:c r="AD576">
        <x:f>(S576*IF(E576="V",F576,0))+(S576*IF(G576="V",H576,0))</x:f>
      </x:c>
      <x:c r="AE576">
        <x:f>(S576*IF(E576="R",F576,0))+(S576*IF(G576="R",H576,0))</x:f>
      </x:c>
      <x:c r="AF576">
        <x:f>(S576*IF(E576="F",F576,0))+(S576*IF(G576="F",H576,0))</x:f>
      </x:c>
      <x:c r="AG576">
        <x:f>(S576*IF(E576="W",F576,0))+(S576*IF(G576="W",H576,0))</x:f>
      </x:c>
      <x:c r="AH576" t="inlineStr">
        <x:is>
          <x:t xml:space="preserve">6. Technical Controls</x:t>
        </x:is>
      </x:c>
      <x:c r="AI576" t="inlineStr">
        <x:is>
          <x:t xml:space="preserve">Data, Endpoint &amp; Cloud Controls</x:t>
        </x:is>
      </x:c>
      <x:c r="AJ576" t="inlineStr">
        <x:is>
          <x:t xml:space="preserve">Collaboration/SaaS sharing controls</x:t>
        </x:is>
      </x:c>
    </x:row>
    <x:row r="577">
      <x:c r="A577" t="inlineStr">
        <x:is>
          <x:t xml:space="preserve">DataBusiness</x:t>
        </x:is>
      </x:c>
      <x:c r="B577" t="inlineStr">
        <x:is>
          <x:t xml:space="preserve">DATA-D4-Q09</x:t>
        </x:is>
      </x:c>
      <x:c r="C577" t="inlineStr">
        <x:is>
          <x:t xml:space="preserve">T1</x:t>
        </x:is>
      </x:c>
      <x:c r="D577" t="inlineStr">
        <x:is>
          <x:t xml:space="preserve">3. Risk &amp; Access</x:t>
        </x:is>
      </x:c>
      <x:c r="E577" t="inlineStr">
        <x:is>
          <x:t xml:space="preserve">V</x:t>
        </x:is>
      </x:c>
      <x:c r="F577" t="n">
        <x:v>0.7</x:v>
      </x:c>
      <x:c r="G577" t="inlineStr">
        <x:is>
          <x:t xml:space="preserve">E</x:t>
        </x:is>
      </x:c>
      <x:c r="H577" t="n">
        <x:v>0.3</x:v>
      </x:c>
      <x:c r="I577" t="inlineStr">
        <x:is>
          <x:t xml:space="preserve">Are critical roles mapped (who has access to crown jewels), and is this reviewed at least annually?</x:t>
        </x:is>
      </x:c>
      <x:c r="J577" t="inlineStr">
        <x:is>
          <x:t xml:space="preserve">Critical roles include privileged admins, finance approvers, R&amp;D leads, etc.</x:t>
        </x:is>
      </x:c>
      <x:c r="L577" t="inlineStr">
        <x:is>
          <x:t xml:space="preserve">RISK_STD</x:t>
        </x:is>
      </x:c>
      <x:c r="M577" t="n">
        <x:v>1.2</x:v>
      </x:c>
      <x:c r="P577" t="inlineStr">
        <x:is>
          <x:t xml:space="preserve">DATA-D4-Q09-A0</x:t>
        </x:is>
      </x:c>
      <x:c r="Q577" t="n">
        <x:v>1</x:v>
      </x:c>
      <x:c r="R577" t="inlineStr">
        <x:is>
          <x:t xml:space="preserve">No: We can’t easily list who has high-value access.</x:t>
        </x:is>
      </x:c>
      <x:c r="S577" t="n">
        <x:v>0</x:v>
      </x:c>
      <x:c r="T577" t="inlineStr">
        <x:is>
          <x:t xml:space="preserve">visibility_gap</x:t>
        </x:is>
      </x:c>
      <x:c r="U577" t="inlineStr">
        <x:is>
          <x:t xml:space="preserve">Visibility Gap</x:t>
        </x:is>
      </x:c>
      <x:c r="V577" t="inlineStr">
        <x:is>
          <x:t xml:space="preserve">Map_Critical_Roles</x:t>
        </x:is>
      </x:c>
      <x:c r="W577" t="inlineStr">
        <x:is>
          <x:t xml:space="preserve">N</x:t>
        </x:is>
      </x:c>
      <x:c r="Y577">
        <x:f>(S577*IF(E577="G",F577,0))+(S577*IF(G577="G",H577,0))</x:f>
      </x:c>
      <x:c r="Z577">
        <x:f>(S577*IF(E577="E",F577,0))+(S577*IF(G577="E",H577,0))</x:f>
      </x:c>
      <x:c r="AA577">
        <x:f>(S577*IF(E577="T",F577,0))+(S577*IF(G577="T",H577,0))</x:f>
      </x:c>
      <x:c r="AB577">
        <x:f>(S577*IF(E577="L",F577,0))+(S577*IF(G577="L",H577,0))</x:f>
      </x:c>
      <x:c r="AC577">
        <x:f>(S577*IF(E577="H",F577,0))+(S577*IF(G577="H",H577,0))</x:f>
      </x:c>
      <x:c r="AD577">
        <x:f>(S577*IF(E577="V",F577,0))+(S577*IF(G577="V",H577,0))</x:f>
      </x:c>
      <x:c r="AE577">
        <x:f>(S577*IF(E577="R",F577,0))+(S577*IF(G577="R",H577,0))</x:f>
      </x:c>
      <x:c r="AF577">
        <x:f>(S577*IF(E577="F",F577,0))+(S577*IF(G577="F",H577,0))</x:f>
      </x:c>
      <x:c r="AG577">
        <x:f>(S577*IF(E577="W",F577,0))+(S577*IF(G577="W",H577,0))</x:f>
      </x:c>
      <x:c r="AH577" t="inlineStr">
        <x:is>
          <x:t xml:space="preserve">3. Risk Management</x:t>
        </x:is>
      </x:c>
      <x:c r="AI577" t="inlineStr">
        <x:is>
          <x:t xml:space="preserve">Inventory &amp; Scope</x:t>
        </x:is>
      </x:c>
      <x:c r="AJ577" t="inlineStr">
        <x:is>
          <x:t xml:space="preserve">Crown jewels/HVA identification</x:t>
        </x:is>
      </x:c>
    </x:row>
    <x:row r="578">
      <x:c r="A578" t="inlineStr">
        <x:is>
          <x:t xml:space="preserve">DataBusiness</x:t>
        </x:is>
      </x:c>
      <x:c r="B578" t="inlineStr">
        <x:is>
          <x:t xml:space="preserve">DATA-D4-Q09</x:t>
        </x:is>
      </x:c>
      <x:c r="C578" t="inlineStr">
        <x:is>
          <x:t xml:space="preserve">T1</x:t>
        </x:is>
      </x:c>
      <x:c r="D578" t="inlineStr">
        <x:is>
          <x:t xml:space="preserve">3. Risk &amp; Access</x:t>
        </x:is>
      </x:c>
      <x:c r="E578" t="inlineStr">
        <x:is>
          <x:t xml:space="preserve">V</x:t>
        </x:is>
      </x:c>
      <x:c r="F578" t="n">
        <x:v>0.7</x:v>
      </x:c>
      <x:c r="G578" t="inlineStr">
        <x:is>
          <x:t xml:space="preserve">E</x:t>
        </x:is>
      </x:c>
      <x:c r="H578" t="n">
        <x:v>0.3</x:v>
      </x:c>
      <x:c r="I578" t="inlineStr">
        <x:is>
          <x:t xml:space="preserve">Are critical roles mapped (who has access to crown jewels), and is this reviewed at least annually?</x:t>
        </x:is>
      </x:c>
      <x:c r="J578" t="inlineStr">
        <x:is>
          <x:t xml:space="preserve">Critical roles include privileged admins, finance approvers, R&amp;D leads, etc.</x:t>
        </x:is>
      </x:c>
      <x:c r="L578" t="inlineStr">
        <x:is>
          <x:t xml:space="preserve">RISK_STD</x:t>
        </x:is>
      </x:c>
      <x:c r="M578" t="n">
        <x:v>1.2</x:v>
      </x:c>
      <x:c r="P578" t="inlineStr">
        <x:is>
          <x:t xml:space="preserve">DATA-D4-Q09-A1</x:t>
        </x:is>
      </x:c>
      <x:c r="Q578" t="n">
        <x:v>2</x:v>
      </x:c>
      <x:c r="R578" t="inlineStr">
        <x:is>
          <x:t xml:space="preserve">Partial: IT can pull lists, but business does not review them.</x:t>
        </x:is>
      </x:c>
      <x:c r="S578" t="n">
        <x:v>1</x:v>
      </x:c>
      <x:c r="T578" t="inlineStr">
        <x:is>
          <x:t xml:space="preserve">paper_dragon_signal</x:t>
        </x:is>
      </x:c>
      <x:c r="U578" t="inlineStr">
        <x:is>
          <x:t xml:space="preserve">Paper Dragon</x:t>
        </x:is>
      </x:c>
      <x:c r="V578" t="inlineStr">
        <x:is>
          <x:t xml:space="preserve">Business_Review_Access</x:t>
        </x:is>
      </x:c>
      <x:c r="W578" t="inlineStr">
        <x:is>
          <x:t xml:space="preserve">N</x:t>
        </x:is>
      </x:c>
      <x:c r="Y578">
        <x:f>(S578*IF(E578="G",F578,0))+(S578*IF(G578="G",H578,0))</x:f>
      </x:c>
      <x:c r="Z578">
        <x:f>(S578*IF(E578="E",F578,0))+(S578*IF(G578="E",H578,0))</x:f>
      </x:c>
      <x:c r="AA578">
        <x:f>(S578*IF(E578="T",F578,0))+(S578*IF(G578="T",H578,0))</x:f>
      </x:c>
      <x:c r="AB578">
        <x:f>(S578*IF(E578="L",F578,0))+(S578*IF(G578="L",H578,0))</x:f>
      </x:c>
      <x:c r="AC578">
        <x:f>(S578*IF(E578="H",F578,0))+(S578*IF(G578="H",H578,0))</x:f>
      </x:c>
      <x:c r="AD578">
        <x:f>(S578*IF(E578="V",F578,0))+(S578*IF(G578="V",H578,0))</x:f>
      </x:c>
      <x:c r="AE578">
        <x:f>(S578*IF(E578="R",F578,0))+(S578*IF(G578="R",H578,0))</x:f>
      </x:c>
      <x:c r="AF578">
        <x:f>(S578*IF(E578="F",F578,0))+(S578*IF(G578="F",H578,0))</x:f>
      </x:c>
      <x:c r="AG578">
        <x:f>(S578*IF(E578="W",F578,0))+(S578*IF(G578="W",H578,0))</x:f>
      </x:c>
      <x:c r="AH578" t="inlineStr">
        <x:is>
          <x:t xml:space="preserve">3. Risk Management</x:t>
        </x:is>
      </x:c>
      <x:c r="AI578" t="inlineStr">
        <x:is>
          <x:t xml:space="preserve">Inventory &amp; Scope</x:t>
        </x:is>
      </x:c>
      <x:c r="AJ578" t="inlineStr">
        <x:is>
          <x:t xml:space="preserve">Crown jewels/HVA identification</x:t>
        </x:is>
      </x:c>
    </x:row>
    <x:row r="579">
      <x:c r="A579" t="inlineStr">
        <x:is>
          <x:t xml:space="preserve">DataBusiness</x:t>
        </x:is>
      </x:c>
      <x:c r="B579" t="inlineStr">
        <x:is>
          <x:t xml:space="preserve">DATA-D4-Q09</x:t>
        </x:is>
      </x:c>
      <x:c r="C579" t="inlineStr">
        <x:is>
          <x:t xml:space="preserve">T1</x:t>
        </x:is>
      </x:c>
      <x:c r="D579" t="inlineStr">
        <x:is>
          <x:t xml:space="preserve">3. Risk &amp; Access</x:t>
        </x:is>
      </x:c>
      <x:c r="E579" t="inlineStr">
        <x:is>
          <x:t xml:space="preserve">V</x:t>
        </x:is>
      </x:c>
      <x:c r="F579" t="n">
        <x:v>0.7</x:v>
      </x:c>
      <x:c r="G579" t="inlineStr">
        <x:is>
          <x:t xml:space="preserve">E</x:t>
        </x:is>
      </x:c>
      <x:c r="H579" t="n">
        <x:v>0.3</x:v>
      </x:c>
      <x:c r="I579" t="inlineStr">
        <x:is>
          <x:t xml:space="preserve">Are critical roles mapped (who has access to crown jewels), and is this reviewed at least annually?</x:t>
        </x:is>
      </x:c>
      <x:c r="J579" t="inlineStr">
        <x:is>
          <x:t xml:space="preserve">Critical roles include privileged admins, finance approvers, R&amp;D leads, etc.</x:t>
        </x:is>
      </x:c>
      <x:c r="L579" t="inlineStr">
        <x:is>
          <x:t xml:space="preserve">RISK_STD</x:t>
        </x:is>
      </x:c>
      <x:c r="M579" t="n">
        <x:v>1.2</x:v>
      </x:c>
      <x:c r="P579" t="inlineStr">
        <x:is>
          <x:t xml:space="preserve">DATA-D4-Q09-A2</x:t>
        </x:is>
      </x:c>
      <x:c r="Q579" t="n">
        <x:v>3</x:v>
      </x:c>
      <x:c r="R579" t="inlineStr">
        <x:is>
          <x:t xml:space="preserve">Yes: Critical roles are defined and reviewed periodically.</x:t>
        </x:is>
      </x:c>
      <x:c r="S579" t="n">
        <x:v>3</x:v>
      </x:c>
      <x:c r="V579" t="inlineStr">
        <x:is>
          <x:t xml:space="preserve">Evidence_Request_Role_Map</x:t>
        </x:is>
      </x:c>
      <x:c r="W579" t="inlineStr">
        <x:is>
          <x:t xml:space="preserve">N</x:t>
        </x:is>
      </x:c>
      <x:c r="Y579">
        <x:f>(S579*IF(E579="G",F579,0))+(S579*IF(G579="G",H579,0))</x:f>
      </x:c>
      <x:c r="Z579">
        <x:f>(S579*IF(E579="E",F579,0))+(S579*IF(G579="E",H579,0))</x:f>
      </x:c>
      <x:c r="AA579">
        <x:f>(S579*IF(E579="T",F579,0))+(S579*IF(G579="T",H579,0))</x:f>
      </x:c>
      <x:c r="AB579">
        <x:f>(S579*IF(E579="L",F579,0))+(S579*IF(G579="L",H579,0))</x:f>
      </x:c>
      <x:c r="AC579">
        <x:f>(S579*IF(E579="H",F579,0))+(S579*IF(G579="H",H579,0))</x:f>
      </x:c>
      <x:c r="AD579">
        <x:f>(S579*IF(E579="V",F579,0))+(S579*IF(G579="V",H579,0))</x:f>
      </x:c>
      <x:c r="AE579">
        <x:f>(S579*IF(E579="R",F579,0))+(S579*IF(G579="R",H579,0))</x:f>
      </x:c>
      <x:c r="AF579">
        <x:f>(S579*IF(E579="F",F579,0))+(S579*IF(G579="F",H579,0))</x:f>
      </x:c>
      <x:c r="AG579">
        <x:f>(S579*IF(E579="W",F579,0))+(S579*IF(G579="W",H579,0))</x:f>
      </x:c>
      <x:c r="AH579" t="inlineStr">
        <x:is>
          <x:t xml:space="preserve">3. Risk Management</x:t>
        </x:is>
      </x:c>
      <x:c r="AI579" t="inlineStr">
        <x:is>
          <x:t xml:space="preserve">Inventory &amp; Scope</x:t>
        </x:is>
      </x:c>
      <x:c r="AJ579" t="inlineStr">
        <x:is>
          <x:t xml:space="preserve">Crown jewels/HVA identification</x:t>
        </x:is>
      </x:c>
    </x:row>
    <x:row r="580">
      <x:c r="A580" t="inlineStr">
        <x:is>
          <x:t xml:space="preserve">DataBusiness</x:t>
        </x:is>
      </x:c>
      <x:c r="B580" t="inlineStr">
        <x:is>
          <x:t xml:space="preserve">DATA-D4-Q09</x:t>
        </x:is>
      </x:c>
      <x:c r="C580" t="inlineStr">
        <x:is>
          <x:t xml:space="preserve">T1</x:t>
        </x:is>
      </x:c>
      <x:c r="D580" t="inlineStr">
        <x:is>
          <x:t xml:space="preserve">3. Risk &amp; Access</x:t>
        </x:is>
      </x:c>
      <x:c r="E580" t="inlineStr">
        <x:is>
          <x:t xml:space="preserve">V</x:t>
        </x:is>
      </x:c>
      <x:c r="F580" t="n">
        <x:v>0.7</x:v>
      </x:c>
      <x:c r="G580" t="inlineStr">
        <x:is>
          <x:t xml:space="preserve">E</x:t>
        </x:is>
      </x:c>
      <x:c r="H580" t="n">
        <x:v>0.3</x:v>
      </x:c>
      <x:c r="I580" t="inlineStr">
        <x:is>
          <x:t xml:space="preserve">Are critical roles mapped (who has access to crown jewels), and is this reviewed at least annually?</x:t>
        </x:is>
      </x:c>
      <x:c r="J580" t="inlineStr">
        <x:is>
          <x:t xml:space="preserve">Critical roles include privileged admins, finance approvers, R&amp;D leads, etc.</x:t>
        </x:is>
      </x:c>
      <x:c r="L580" t="inlineStr">
        <x:is>
          <x:t xml:space="preserve">RISK_STD</x:t>
        </x:is>
      </x:c>
      <x:c r="M580" t="n">
        <x:v>1.2</x:v>
      </x:c>
      <x:c r="P580" t="inlineStr">
        <x:is>
          <x:t xml:space="preserve">DATA-D4-Q09-A3</x:t>
        </x:is>
      </x:c>
      <x:c r="Q580" t="n">
        <x:v>4</x:v>
      </x:c>
      <x:c r="R580" t="inlineStr">
        <x:is>
          <x:t xml:space="preserve">Mature: Reviews are risk-based, and access reductions are tracked.</x:t>
        </x:is>
      </x:c>
      <x:c r="S580" t="n">
        <x:v>4</x:v>
      </x:c>
      <x:c r="V580" t="inlineStr">
        <x:is>
          <x:t xml:space="preserve">Maintain_and_Audit</x:t>
        </x:is>
      </x:c>
      <x:c r="W580" t="inlineStr">
        <x:is>
          <x:t xml:space="preserve">N</x:t>
        </x:is>
      </x:c>
      <x:c r="Y580">
        <x:f>(S580*IF(E580="G",F580,0))+(S580*IF(G580="G",H580,0))</x:f>
      </x:c>
      <x:c r="Z580">
        <x:f>(S580*IF(E580="E",F580,0))+(S580*IF(G580="E",H580,0))</x:f>
      </x:c>
      <x:c r="AA580">
        <x:f>(S580*IF(E580="T",F580,0))+(S580*IF(G580="T",H580,0))</x:f>
      </x:c>
      <x:c r="AB580">
        <x:f>(S580*IF(E580="L",F580,0))+(S580*IF(G580="L",H580,0))</x:f>
      </x:c>
      <x:c r="AC580">
        <x:f>(S580*IF(E580="H",F580,0))+(S580*IF(G580="H",H580,0))</x:f>
      </x:c>
      <x:c r="AD580">
        <x:f>(S580*IF(E580="V",F580,0))+(S580*IF(G580="V",H580,0))</x:f>
      </x:c>
      <x:c r="AE580">
        <x:f>(S580*IF(E580="R",F580,0))+(S580*IF(G580="R",H580,0))</x:f>
      </x:c>
      <x:c r="AF580">
        <x:f>(S580*IF(E580="F",F580,0))+(S580*IF(G580="F",H580,0))</x:f>
      </x:c>
      <x:c r="AG580">
        <x:f>(S580*IF(E580="W",F580,0))+(S580*IF(G580="W",H580,0))</x:f>
      </x:c>
      <x:c r="AH580" t="inlineStr">
        <x:is>
          <x:t xml:space="preserve">3. Risk Management</x:t>
        </x:is>
      </x:c>
      <x:c r="AI580" t="inlineStr">
        <x:is>
          <x:t xml:space="preserve">Inventory &amp; Scope</x:t>
        </x:is>
      </x:c>
      <x:c r="AJ580" t="inlineStr">
        <x:is>
          <x:t xml:space="preserve">Crown jewels/HVA identification</x:t>
        </x:is>
      </x:c>
    </x:row>
    <x:row r="581">
      <x:c r="A581" t="inlineStr">
        <x:is>
          <x:t xml:space="preserve">DataBusiness</x:t>
        </x:is>
      </x:c>
      <x:c r="B581" t="inlineStr">
        <x:is>
          <x:t xml:space="preserve">DATA-D4-Q10</x:t>
        </x:is>
      </x:c>
      <x:c r="C581" t="inlineStr">
        <x:is>
          <x:t xml:space="preserve">T2</x:t>
        </x:is>
      </x:c>
      <x:c r="D581" t="inlineStr">
        <x:is>
          <x:t xml:space="preserve">3. Risk &amp; Access</x:t>
        </x:is>
      </x:c>
      <x:c r="E581" t="inlineStr">
        <x:is>
          <x:t xml:space="preserve">V</x:t>
        </x:is>
      </x:c>
      <x:c r="F581" t="n">
        <x:v>0.5</x:v>
      </x:c>
      <x:c r="G581" t="inlineStr">
        <x:is>
          <x:t xml:space="preserve">E</x:t>
        </x:is>
      </x:c>
      <x:c r="H581" t="n">
        <x:v>0.5</x:v>
      </x:c>
      <x:c r="I581" t="inlineStr">
        <x:is>
          <x:t xml:space="preserve">Do we actively reduce ‘too much access’ over time (remove unused access, reduce privilege concentration)?</x:t>
        </x:is>
      </x:c>
      <x:c r="J581" t="inlineStr">
        <x:is>
          <x:t xml:space="preserve">Look for: periodic cleanup, least privilege projects, and measured outcomes.</x:t>
        </x:is>
      </x:c>
      <x:c r="L581" t="inlineStr">
        <x:is>
          <x:t xml:space="preserve">RISK_STD</x:t>
        </x:is>
      </x:c>
      <x:c r="M581" t="n">
        <x:v>1</x:v>
      </x:c>
      <x:c r="P581" t="inlineStr">
        <x:is>
          <x:t xml:space="preserve">DATA-D4-Q10-A0</x:t>
        </x:is>
      </x:c>
      <x:c r="Q581" t="n">
        <x:v>1</x:v>
      </x:c>
      <x:c r="R581" t="inlineStr">
        <x:is>
          <x:t xml:space="preserve">No: Access only grows; removals happen mainly after incidents.</x:t>
        </x:is>
      </x:c>
      <x:c r="S581" t="n">
        <x:v>0</x:v>
      </x:c>
      <x:c r="T581" t="inlineStr">
        <x:is>
          <x:t xml:space="preserve">visibility_gap</x:t>
        </x:is>
      </x:c>
      <x:c r="U581" t="inlineStr">
        <x:is>
          <x:t xml:space="preserve">Visibility Gap</x:t>
        </x:is>
      </x:c>
      <x:c r="V581" t="inlineStr">
        <x:is>
          <x:t xml:space="preserve">Least_Privilege_Plan</x:t>
        </x:is>
      </x:c>
      <x:c r="W581" t="inlineStr">
        <x:is>
          <x:t xml:space="preserve">N</x:t>
        </x:is>
      </x:c>
      <x:c r="Y581">
        <x:f>(S581*IF(E581="G",F581,0))+(S581*IF(G581="G",H581,0))</x:f>
      </x:c>
      <x:c r="Z581">
        <x:f>(S581*IF(E581="E",F581,0))+(S581*IF(G581="E",H581,0))</x:f>
      </x:c>
      <x:c r="AA581">
        <x:f>(S581*IF(E581="T",F581,0))+(S581*IF(G581="T",H581,0))</x:f>
      </x:c>
      <x:c r="AB581">
        <x:f>(S581*IF(E581="L",F581,0))+(S581*IF(G581="L",H581,0))</x:f>
      </x:c>
      <x:c r="AC581">
        <x:f>(S581*IF(E581="H",F581,0))+(S581*IF(G581="H",H581,0))</x:f>
      </x:c>
      <x:c r="AD581">
        <x:f>(S581*IF(E581="V",F581,0))+(S581*IF(G581="V",H581,0))</x:f>
      </x:c>
      <x:c r="AE581">
        <x:f>(S581*IF(E581="R",F581,0))+(S581*IF(G581="R",H581,0))</x:f>
      </x:c>
      <x:c r="AF581">
        <x:f>(S581*IF(E581="F",F581,0))+(S581*IF(G581="F",H581,0))</x:f>
      </x:c>
      <x:c r="AG581">
        <x:f>(S581*IF(E581="W",F581,0))+(S581*IF(G581="W",H581,0))</x:f>
      </x:c>
      <x:c r="AH581" t="inlineStr">
        <x:is>
          <x:t xml:space="preserve">6. Technical Controls</x:t>
        </x:is>
      </x:c>
      <x:c r="AI581" t="inlineStr">
        <x:is>
          <x:t xml:space="preserve">Identity &amp; Access</x:t>
        </x:is>
      </x:c>
      <x:c r="AJ581" t="inlineStr">
        <x:is>
          <x:t xml:space="preserve">Least privilege &amp; role engineering</x:t>
        </x:is>
      </x:c>
    </x:row>
    <x:row r="582">
      <x:c r="A582" t="inlineStr">
        <x:is>
          <x:t xml:space="preserve">DataBusiness</x:t>
        </x:is>
      </x:c>
      <x:c r="B582" t="inlineStr">
        <x:is>
          <x:t xml:space="preserve">DATA-D4-Q10</x:t>
        </x:is>
      </x:c>
      <x:c r="C582" t="inlineStr">
        <x:is>
          <x:t xml:space="preserve">T2</x:t>
        </x:is>
      </x:c>
      <x:c r="D582" t="inlineStr">
        <x:is>
          <x:t xml:space="preserve">3. Risk &amp; Access</x:t>
        </x:is>
      </x:c>
      <x:c r="E582" t="inlineStr">
        <x:is>
          <x:t xml:space="preserve">V</x:t>
        </x:is>
      </x:c>
      <x:c r="F582" t="n">
        <x:v>0.5</x:v>
      </x:c>
      <x:c r="G582" t="inlineStr">
        <x:is>
          <x:t xml:space="preserve">E</x:t>
        </x:is>
      </x:c>
      <x:c r="H582" t="n">
        <x:v>0.5</x:v>
      </x:c>
      <x:c r="I582" t="inlineStr">
        <x:is>
          <x:t xml:space="preserve">Do we actively reduce ‘too much access’ over time (remove unused access, reduce privilege concentration)?</x:t>
        </x:is>
      </x:c>
      <x:c r="J582" t="inlineStr">
        <x:is>
          <x:t xml:space="preserve">Look for: periodic cleanup, least privilege projects, and measured outcomes.</x:t>
        </x:is>
      </x:c>
      <x:c r="L582" t="inlineStr">
        <x:is>
          <x:t xml:space="preserve">RISK_STD</x:t>
        </x:is>
      </x:c>
      <x:c r="M582" t="n">
        <x:v>1</x:v>
      </x:c>
      <x:c r="P582" t="inlineStr">
        <x:is>
          <x:t xml:space="preserve">DATA-D4-Q10-A1</x:t>
        </x:is>
      </x:c>
      <x:c r="Q582" t="n">
        <x:v>2</x:v>
      </x:c>
      <x:c r="R582" t="inlineStr">
        <x:is>
          <x:t xml:space="preserve">Sometimes: Cleanups occur during projects but aren’t routine.</x:t>
        </x:is>
      </x:c>
      <x:c r="S582" t="n">
        <x:v>1</x:v>
      </x:c>
      <x:c r="T582" t="inlineStr">
        <x:is>
          <x:t xml:space="preserve">operating_model_gap</x:t>
        </x:is>
      </x:c>
      <x:c r="U582" t="inlineStr">
        <x:is>
          <x:t xml:space="preserve">Operating Model Gap</x:t>
        </x:is>
      </x:c>
      <x:c r="V582" t="inlineStr">
        <x:is>
          <x:t xml:space="preserve">Routine_Access_Cleanup</x:t>
        </x:is>
      </x:c>
      <x:c r="W582" t="inlineStr">
        <x:is>
          <x:t xml:space="preserve">N</x:t>
        </x:is>
      </x:c>
      <x:c r="Y582">
        <x:f>(S582*IF(E582="G",F582,0))+(S582*IF(G582="G",H582,0))</x:f>
      </x:c>
      <x:c r="Z582">
        <x:f>(S582*IF(E582="E",F582,0))+(S582*IF(G582="E",H582,0))</x:f>
      </x:c>
      <x:c r="AA582">
        <x:f>(S582*IF(E582="T",F582,0))+(S582*IF(G582="T",H582,0))</x:f>
      </x:c>
      <x:c r="AB582">
        <x:f>(S582*IF(E582="L",F582,0))+(S582*IF(G582="L",H582,0))</x:f>
      </x:c>
      <x:c r="AC582">
        <x:f>(S582*IF(E582="H",F582,0))+(S582*IF(G582="H",H582,0))</x:f>
      </x:c>
      <x:c r="AD582">
        <x:f>(S582*IF(E582="V",F582,0))+(S582*IF(G582="V",H582,0))</x:f>
      </x:c>
      <x:c r="AE582">
        <x:f>(S582*IF(E582="R",F582,0))+(S582*IF(G582="R",H582,0))</x:f>
      </x:c>
      <x:c r="AF582">
        <x:f>(S582*IF(E582="F",F582,0))+(S582*IF(G582="F",H582,0))</x:f>
      </x:c>
      <x:c r="AG582">
        <x:f>(S582*IF(E582="W",F582,0))+(S582*IF(G582="W",H582,0))</x:f>
      </x:c>
      <x:c r="AH582" t="inlineStr">
        <x:is>
          <x:t xml:space="preserve">6. Technical Controls</x:t>
        </x:is>
      </x:c>
      <x:c r="AI582" t="inlineStr">
        <x:is>
          <x:t xml:space="preserve">Identity &amp; Access</x:t>
        </x:is>
      </x:c>
      <x:c r="AJ582" t="inlineStr">
        <x:is>
          <x:t xml:space="preserve">Least privilege &amp; role engineering</x:t>
        </x:is>
      </x:c>
    </x:row>
    <x:row r="583">
      <x:c r="A583" t="inlineStr">
        <x:is>
          <x:t xml:space="preserve">DataBusiness</x:t>
        </x:is>
      </x:c>
      <x:c r="B583" t="inlineStr">
        <x:is>
          <x:t xml:space="preserve">DATA-D4-Q10</x:t>
        </x:is>
      </x:c>
      <x:c r="C583" t="inlineStr">
        <x:is>
          <x:t xml:space="preserve">T2</x:t>
        </x:is>
      </x:c>
      <x:c r="D583" t="inlineStr">
        <x:is>
          <x:t xml:space="preserve">3. Risk &amp; Access</x:t>
        </x:is>
      </x:c>
      <x:c r="E583" t="inlineStr">
        <x:is>
          <x:t xml:space="preserve">V</x:t>
        </x:is>
      </x:c>
      <x:c r="F583" t="n">
        <x:v>0.5</x:v>
      </x:c>
      <x:c r="G583" t="inlineStr">
        <x:is>
          <x:t xml:space="preserve">E</x:t>
        </x:is>
      </x:c>
      <x:c r="H583" t="n">
        <x:v>0.5</x:v>
      </x:c>
      <x:c r="I583" t="inlineStr">
        <x:is>
          <x:t xml:space="preserve">Do we actively reduce ‘too much access’ over time (remove unused access, reduce privilege concentration)?</x:t>
        </x:is>
      </x:c>
      <x:c r="J583" t="inlineStr">
        <x:is>
          <x:t xml:space="preserve">Look for: periodic cleanup, least privilege projects, and measured outcomes.</x:t>
        </x:is>
      </x:c>
      <x:c r="L583" t="inlineStr">
        <x:is>
          <x:t xml:space="preserve">RISK_STD</x:t>
        </x:is>
      </x:c>
      <x:c r="M583" t="n">
        <x:v>1</x:v>
      </x:c>
      <x:c r="P583" t="inlineStr">
        <x:is>
          <x:t xml:space="preserve">DATA-D4-Q10-A2</x:t>
        </x:is>
      </x:c>
      <x:c r="Q583" t="n">
        <x:v>3</x:v>
      </x:c>
      <x:c r="R583" t="inlineStr">
        <x:is>
          <x:t xml:space="preserve">Yes: Regular cleanup for key systems; measured reductions.</x:t>
        </x:is>
      </x:c>
      <x:c r="S583" t="n">
        <x:v>3</x:v>
      </x:c>
      <x:c r="V583" t="inlineStr">
        <x:is>
          <x:t xml:space="preserve">Evidence_Request_Access_Review</x:t>
        </x:is>
      </x:c>
      <x:c r="W583" t="inlineStr">
        <x:is>
          <x:t xml:space="preserve">N</x:t>
        </x:is>
      </x:c>
      <x:c r="Y583">
        <x:f>(S583*IF(E583="G",F583,0))+(S583*IF(G583="G",H583,0))</x:f>
      </x:c>
      <x:c r="Z583">
        <x:f>(S583*IF(E583="E",F583,0))+(S583*IF(G583="E",H583,0))</x:f>
      </x:c>
      <x:c r="AA583">
        <x:f>(S583*IF(E583="T",F583,0))+(S583*IF(G583="T",H583,0))</x:f>
      </x:c>
      <x:c r="AB583">
        <x:f>(S583*IF(E583="L",F583,0))+(S583*IF(G583="L",H583,0))</x:f>
      </x:c>
      <x:c r="AC583">
        <x:f>(S583*IF(E583="H",F583,0))+(S583*IF(G583="H",H583,0))</x:f>
      </x:c>
      <x:c r="AD583">
        <x:f>(S583*IF(E583="V",F583,0))+(S583*IF(G583="V",H583,0))</x:f>
      </x:c>
      <x:c r="AE583">
        <x:f>(S583*IF(E583="R",F583,0))+(S583*IF(G583="R",H583,0))</x:f>
      </x:c>
      <x:c r="AF583">
        <x:f>(S583*IF(E583="F",F583,0))+(S583*IF(G583="F",H583,0))</x:f>
      </x:c>
      <x:c r="AG583">
        <x:f>(S583*IF(E583="W",F583,0))+(S583*IF(G583="W",H583,0))</x:f>
      </x:c>
      <x:c r="AH583" t="inlineStr">
        <x:is>
          <x:t xml:space="preserve">6. Technical Controls</x:t>
        </x:is>
      </x:c>
      <x:c r="AI583" t="inlineStr">
        <x:is>
          <x:t xml:space="preserve">Identity &amp; Access</x:t>
        </x:is>
      </x:c>
      <x:c r="AJ583" t="inlineStr">
        <x:is>
          <x:t xml:space="preserve">Least privilege &amp; role engineering</x:t>
        </x:is>
      </x:c>
    </x:row>
    <x:row r="584">
      <x:c r="A584" t="inlineStr">
        <x:is>
          <x:t xml:space="preserve">DataBusiness</x:t>
        </x:is>
      </x:c>
      <x:c r="B584" t="inlineStr">
        <x:is>
          <x:t xml:space="preserve">DATA-D4-Q10</x:t>
        </x:is>
      </x:c>
      <x:c r="C584" t="inlineStr">
        <x:is>
          <x:t xml:space="preserve">T2</x:t>
        </x:is>
      </x:c>
      <x:c r="D584" t="inlineStr">
        <x:is>
          <x:t xml:space="preserve">3. Risk &amp; Access</x:t>
        </x:is>
      </x:c>
      <x:c r="E584" t="inlineStr">
        <x:is>
          <x:t xml:space="preserve">V</x:t>
        </x:is>
      </x:c>
      <x:c r="F584" t="n">
        <x:v>0.5</x:v>
      </x:c>
      <x:c r="G584" t="inlineStr">
        <x:is>
          <x:t xml:space="preserve">E</x:t>
        </x:is>
      </x:c>
      <x:c r="H584" t="n">
        <x:v>0.5</x:v>
      </x:c>
      <x:c r="I584" t="inlineStr">
        <x:is>
          <x:t xml:space="preserve">Do we actively reduce ‘too much access’ over time (remove unused access, reduce privilege concentration)?</x:t>
        </x:is>
      </x:c>
      <x:c r="J584" t="inlineStr">
        <x:is>
          <x:t xml:space="preserve">Look for: periodic cleanup, least privilege projects, and measured outcomes.</x:t>
        </x:is>
      </x:c>
      <x:c r="L584" t="inlineStr">
        <x:is>
          <x:t xml:space="preserve">RISK_STD</x:t>
        </x:is>
      </x:c>
      <x:c r="M584" t="n">
        <x:v>1</x:v>
      </x:c>
      <x:c r="P584" t="inlineStr">
        <x:is>
          <x:t xml:space="preserve">DATA-D4-Q10-A3</x:t>
        </x:is>
      </x:c>
      <x:c r="Q584" t="n">
        <x:v>4</x:v>
      </x:c>
      <x:c r="R584" t="inlineStr">
        <x:is>
          <x:t xml:space="preserve">Mature: Automated signals + owner accountability + continuous improvement.</x:t>
        </x:is>
      </x:c>
      <x:c r="S584" t="n">
        <x:v>4</x:v>
      </x:c>
      <x:c r="V584" t="inlineStr">
        <x:is>
          <x:t xml:space="preserve">Maintain_and_Audit</x:t>
        </x:is>
      </x:c>
      <x:c r="W584" t="inlineStr">
        <x:is>
          <x:t xml:space="preserve">N</x:t>
        </x:is>
      </x:c>
      <x:c r="Y584">
        <x:f>(S584*IF(E584="G",F584,0))+(S584*IF(G584="G",H584,0))</x:f>
      </x:c>
      <x:c r="Z584">
        <x:f>(S584*IF(E584="E",F584,0))+(S584*IF(G584="E",H584,0))</x:f>
      </x:c>
      <x:c r="AA584">
        <x:f>(S584*IF(E584="T",F584,0))+(S584*IF(G584="T",H584,0))</x:f>
      </x:c>
      <x:c r="AB584">
        <x:f>(S584*IF(E584="L",F584,0))+(S584*IF(G584="L",H584,0))</x:f>
      </x:c>
      <x:c r="AC584">
        <x:f>(S584*IF(E584="H",F584,0))+(S584*IF(G584="H",H584,0))</x:f>
      </x:c>
      <x:c r="AD584">
        <x:f>(S584*IF(E584="V",F584,0))+(S584*IF(G584="V",H584,0))</x:f>
      </x:c>
      <x:c r="AE584">
        <x:f>(S584*IF(E584="R",F584,0))+(S584*IF(G584="R",H584,0))</x:f>
      </x:c>
      <x:c r="AF584">
        <x:f>(S584*IF(E584="F",F584,0))+(S584*IF(G584="F",H584,0))</x:f>
      </x:c>
      <x:c r="AG584">
        <x:f>(S584*IF(E584="W",F584,0))+(S584*IF(G584="W",H584,0))</x:f>
      </x:c>
      <x:c r="AH584" t="inlineStr">
        <x:is>
          <x:t xml:space="preserve">6. Technical Controls</x:t>
        </x:is>
      </x:c>
      <x:c r="AI584" t="inlineStr">
        <x:is>
          <x:t xml:space="preserve">Identity &amp; Access</x:t>
        </x:is>
      </x:c>
      <x:c r="AJ584" t="inlineStr">
        <x:is>
          <x:t xml:space="preserve">Least privilege &amp; role engineering</x:t>
        </x:is>
      </x:c>
    </x:row>
    <x:row r="585">
      <x:c r="A585" t="inlineStr">
        <x:is>
          <x:t xml:space="preserve">DataBusiness</x:t>
        </x:is>
      </x:c>
      <x:c r="B585" t="inlineStr">
        <x:is>
          <x:t xml:space="preserve">DATA-D5-Q11</x:t>
        </x:is>
      </x:c>
      <x:c r="C585" t="inlineStr">
        <x:is>
          <x:t xml:space="preserve">T1</x:t>
        </x:is>
      </x:c>
      <x:c r="D585" t="inlineStr">
        <x:is>
          <x:t xml:space="preserve">2. Threat &amp; Change Events</x:t>
        </x:is>
      </x:c>
      <x:c r="E585" t="inlineStr">
        <x:is>
          <x:t xml:space="preserve">W</x:t>
        </x:is>
      </x:c>
      <x:c r="F585" t="n">
        <x:v>1</x:v>
      </x:c>
      <x:c r="G585" t="inlineStr">
        <x:is>
          <x:t xml:space="preserve">-</x:t>
        </x:is>
      </x:c>
      <x:c r="I585" t="inlineStr">
        <x:is>
          <x:t xml:space="preserve">During major events (layoffs, M&amp;A, re-org), do we increase monitoring/reviews for high-risk access and data movement?</x:t>
        </x:is>
      </x:c>
      <x:c r="J585" t="inlineStr">
        <x:is>
          <x:t xml:space="preserve">Example: tighter reviews for departing staff, privileged roles, or sensitive projects.</x:t>
        </x:is>
      </x:c>
      <x:c r="L585" t="inlineStr">
        <x:is>
          <x:t xml:space="preserve">RISK_STD</x:t>
        </x:is>
      </x:c>
      <x:c r="M585" t="n">
        <x:v>1.3</x:v>
      </x:c>
      <x:c r="N585" t="n">
        <x:v>0.5</x:v>
      </x:c>
      <x:c r="P585" t="inlineStr">
        <x:is>
          <x:t xml:space="preserve">DATA-D5-Q11-A0</x:t>
        </x:is>
      </x:c>
      <x:c r="Q585" t="n">
        <x:v>1</x:v>
      </x:c>
      <x:c r="R585" t="inlineStr">
        <x:is>
          <x:t xml:space="preserve">No: Posture stays the same during events.</x:t>
        </x:is>
      </x:c>
      <x:c r="S585" t="n">
        <x:v>0</x:v>
      </x:c>
      <x:c r="T585" t="inlineStr">
        <x:is>
          <x:t xml:space="preserve">control_lag</x:t>
        </x:is>
      </x:c>
      <x:c r="U585" t="inlineStr">
        <x:is>
          <x:t xml:space="preserve">Control Lag</x:t>
        </x:is>
      </x:c>
      <x:c r="V585" t="inlineStr">
        <x:is>
          <x:t xml:space="preserve">Change_Event_Playbook</x:t>
        </x:is>
      </x:c>
      <x:c r="W585" t="inlineStr">
        <x:is>
          <x:t xml:space="preserve">N</x:t>
        </x:is>
      </x:c>
      <x:c r="Y585">
        <x:f>(S585*IF(E585="G",F585,0))+(S585*IF(G585="G",H585,0))</x:f>
      </x:c>
      <x:c r="Z585">
        <x:f>(S585*IF(E585="E",F585,0))+(S585*IF(G585="E",H585,0))</x:f>
      </x:c>
      <x:c r="AA585">
        <x:f>(S585*IF(E585="T",F585,0))+(S585*IF(G585="T",H585,0))</x:f>
      </x:c>
      <x:c r="AB585">
        <x:f>(S585*IF(E585="L",F585,0))+(S585*IF(G585="L",H585,0))</x:f>
      </x:c>
      <x:c r="AC585">
        <x:f>(S585*IF(E585="H",F585,0))+(S585*IF(G585="H",H585,0))</x:f>
      </x:c>
      <x:c r="AD585">
        <x:f>(S585*IF(E585="V",F585,0))+(S585*IF(G585="V",H585,0))</x:f>
      </x:c>
      <x:c r="AE585">
        <x:f>(S585*IF(E585="R",F585,0))+(S585*IF(G585="R",H585,0))</x:f>
      </x:c>
      <x:c r="AF585">
        <x:f>(S585*IF(E585="F",F585,0))+(S585*IF(G585="F",H585,0))</x:f>
      </x:c>
      <x:c r="AG585">
        <x:f>(S585*IF(E585="W",F585,0))+(S585*IF(G585="W",H585,0))</x:f>
      </x:c>
      <x:c r="AH585" t="inlineStr">
        <x:is>
          <x:t xml:space="preserve">6. Technical Controls</x:t>
        </x:is>
      </x:c>
      <x:c r="AI585" t="inlineStr">
        <x:is>
          <x:t xml:space="preserve">Identity &amp; Access</x:t>
        </x:is>
      </x:c>
      <x:c r="AJ585" t="inlineStr">
        <x:is>
          <x:t xml:space="preserve">PAM &amp; privileged session governance</x:t>
        </x:is>
      </x:c>
    </x:row>
    <x:row r="586">
      <x:c r="A586" t="inlineStr">
        <x:is>
          <x:t xml:space="preserve">DataBusiness</x:t>
        </x:is>
      </x:c>
      <x:c r="B586" t="inlineStr">
        <x:is>
          <x:t xml:space="preserve">DATA-D5-Q11</x:t>
        </x:is>
      </x:c>
      <x:c r="C586" t="inlineStr">
        <x:is>
          <x:t xml:space="preserve">T1</x:t>
        </x:is>
      </x:c>
      <x:c r="D586" t="inlineStr">
        <x:is>
          <x:t xml:space="preserve">2. Threat &amp; Change Events</x:t>
        </x:is>
      </x:c>
      <x:c r="E586" t="inlineStr">
        <x:is>
          <x:t xml:space="preserve">W</x:t>
        </x:is>
      </x:c>
      <x:c r="F586" t="n">
        <x:v>1</x:v>
      </x:c>
      <x:c r="G586" t="inlineStr">
        <x:is>
          <x:t xml:space="preserve">-</x:t>
        </x:is>
      </x:c>
      <x:c r="I586" t="inlineStr">
        <x:is>
          <x:t xml:space="preserve">During major events (layoffs, M&amp;A, re-org), do we increase monitoring/reviews for high-risk access and data movement?</x:t>
        </x:is>
      </x:c>
      <x:c r="J586" t="inlineStr">
        <x:is>
          <x:t xml:space="preserve">Example: tighter reviews for departing staff, privileged roles, or sensitive projects.</x:t>
        </x:is>
      </x:c>
      <x:c r="L586" t="inlineStr">
        <x:is>
          <x:t xml:space="preserve">RISK_STD</x:t>
        </x:is>
      </x:c>
      <x:c r="M586" t="n">
        <x:v>1.3</x:v>
      </x:c>
      <x:c r="N586" t="n">
        <x:v>0.5</x:v>
      </x:c>
      <x:c r="P586" t="inlineStr">
        <x:is>
          <x:t xml:space="preserve">DATA-D5-Q11-A1</x:t>
        </x:is>
      </x:c>
      <x:c r="Q586" t="n">
        <x:v>2</x:v>
      </x:c>
      <x:c r="R586" t="inlineStr">
        <x:is>
          <x:t xml:space="preserve">Ad-hoc: Leaders ask for checks when worried; no standard triggers.</x:t>
        </x:is>
      </x:c>
      <x:c r="S586" t="n">
        <x:v>1</x:v>
      </x:c>
      <x:c r="T586" t="inlineStr">
        <x:is>
          <x:t xml:space="preserve">operating_model_gap</x:t>
        </x:is>
      </x:c>
      <x:c r="U586" t="inlineStr">
        <x:is>
          <x:t xml:space="preserve">Operating Model Gap</x:t>
        </x:is>
      </x:c>
      <x:c r="V586" t="inlineStr">
        <x:is>
          <x:t xml:space="preserve">Define_Event_Triggers</x:t>
        </x:is>
      </x:c>
      <x:c r="W586" t="inlineStr">
        <x:is>
          <x:t xml:space="preserve">N</x:t>
        </x:is>
      </x:c>
      <x:c r="Y586">
        <x:f>(S586*IF(E586="G",F586,0))+(S586*IF(G586="G",H586,0))</x:f>
      </x:c>
      <x:c r="Z586">
        <x:f>(S586*IF(E586="E",F586,0))+(S586*IF(G586="E",H586,0))</x:f>
      </x:c>
      <x:c r="AA586">
        <x:f>(S586*IF(E586="T",F586,0))+(S586*IF(G586="T",H586,0))</x:f>
      </x:c>
      <x:c r="AB586">
        <x:f>(S586*IF(E586="L",F586,0))+(S586*IF(G586="L",H586,0))</x:f>
      </x:c>
      <x:c r="AC586">
        <x:f>(S586*IF(E586="H",F586,0))+(S586*IF(G586="H",H586,0))</x:f>
      </x:c>
      <x:c r="AD586">
        <x:f>(S586*IF(E586="V",F586,0))+(S586*IF(G586="V",H586,0))</x:f>
      </x:c>
      <x:c r="AE586">
        <x:f>(S586*IF(E586="R",F586,0))+(S586*IF(G586="R",H586,0))</x:f>
      </x:c>
      <x:c r="AF586">
        <x:f>(S586*IF(E586="F",F586,0))+(S586*IF(G586="F",H586,0))</x:f>
      </x:c>
      <x:c r="AG586">
        <x:f>(S586*IF(E586="W",F586,0))+(S586*IF(G586="W",H586,0))</x:f>
      </x:c>
      <x:c r="AH586" t="inlineStr">
        <x:is>
          <x:t xml:space="preserve">6. Technical Controls</x:t>
        </x:is>
      </x:c>
      <x:c r="AI586" t="inlineStr">
        <x:is>
          <x:t xml:space="preserve">Identity &amp; Access</x:t>
        </x:is>
      </x:c>
      <x:c r="AJ586" t="inlineStr">
        <x:is>
          <x:t xml:space="preserve">PAM &amp; privileged session governance</x:t>
        </x:is>
      </x:c>
    </x:row>
    <x:row r="587">
      <x:c r="A587" t="inlineStr">
        <x:is>
          <x:t xml:space="preserve">DataBusiness</x:t>
        </x:is>
      </x:c>
      <x:c r="B587" t="inlineStr">
        <x:is>
          <x:t xml:space="preserve">DATA-D5-Q11</x:t>
        </x:is>
      </x:c>
      <x:c r="C587" t="inlineStr">
        <x:is>
          <x:t xml:space="preserve">T1</x:t>
        </x:is>
      </x:c>
      <x:c r="D587" t="inlineStr">
        <x:is>
          <x:t xml:space="preserve">2. Threat &amp; Change Events</x:t>
        </x:is>
      </x:c>
      <x:c r="E587" t="inlineStr">
        <x:is>
          <x:t xml:space="preserve">W</x:t>
        </x:is>
      </x:c>
      <x:c r="F587" t="n">
        <x:v>1</x:v>
      </x:c>
      <x:c r="G587" t="inlineStr">
        <x:is>
          <x:t xml:space="preserve">-</x:t>
        </x:is>
      </x:c>
      <x:c r="I587" t="inlineStr">
        <x:is>
          <x:t xml:space="preserve">During major events (layoffs, M&amp;A, re-org), do we increase monitoring/reviews for high-risk access and data movement?</x:t>
        </x:is>
      </x:c>
      <x:c r="J587" t="inlineStr">
        <x:is>
          <x:t xml:space="preserve">Example: tighter reviews for departing staff, privileged roles, or sensitive projects.</x:t>
        </x:is>
      </x:c>
      <x:c r="L587" t="inlineStr">
        <x:is>
          <x:t xml:space="preserve">RISK_STD</x:t>
        </x:is>
      </x:c>
      <x:c r="M587" t="n">
        <x:v>1.3</x:v>
      </x:c>
      <x:c r="N587" t="n">
        <x:v>0.5</x:v>
      </x:c>
      <x:c r="P587" t="inlineStr">
        <x:is>
          <x:t xml:space="preserve">DATA-D5-Q11-A2</x:t>
        </x:is>
      </x:c>
      <x:c r="Q587" t="n">
        <x:v>3</x:v>
      </x:c>
      <x:c r="R587" t="inlineStr">
        <x:is>
          <x:t xml:space="preserve">Yes: Standard playbook used for most major events.</x:t>
        </x:is>
      </x:c>
      <x:c r="S587" t="n">
        <x:v>3</x:v>
      </x:c>
      <x:c r="V587" t="inlineStr">
        <x:is>
          <x:t xml:space="preserve">Evidence_Request_Event_Playbook</x:t>
        </x:is>
      </x:c>
      <x:c r="W587" t="inlineStr">
        <x:is>
          <x:t xml:space="preserve">N</x:t>
        </x:is>
      </x:c>
      <x:c r="Y587">
        <x:f>(S587*IF(E587="G",F587,0))+(S587*IF(G587="G",H587,0))</x:f>
      </x:c>
      <x:c r="Z587">
        <x:f>(S587*IF(E587="E",F587,0))+(S587*IF(G587="E",H587,0))</x:f>
      </x:c>
      <x:c r="AA587">
        <x:f>(S587*IF(E587="T",F587,0))+(S587*IF(G587="T",H587,0))</x:f>
      </x:c>
      <x:c r="AB587">
        <x:f>(S587*IF(E587="L",F587,0))+(S587*IF(G587="L",H587,0))</x:f>
      </x:c>
      <x:c r="AC587">
        <x:f>(S587*IF(E587="H",F587,0))+(S587*IF(G587="H",H587,0))</x:f>
      </x:c>
      <x:c r="AD587">
        <x:f>(S587*IF(E587="V",F587,0))+(S587*IF(G587="V",H587,0))</x:f>
      </x:c>
      <x:c r="AE587">
        <x:f>(S587*IF(E587="R",F587,0))+(S587*IF(G587="R",H587,0))</x:f>
      </x:c>
      <x:c r="AF587">
        <x:f>(S587*IF(E587="F",F587,0))+(S587*IF(G587="F",H587,0))</x:f>
      </x:c>
      <x:c r="AG587">
        <x:f>(S587*IF(E587="W",F587,0))+(S587*IF(G587="W",H587,0))</x:f>
      </x:c>
      <x:c r="AH587" t="inlineStr">
        <x:is>
          <x:t xml:space="preserve">6. Technical Controls</x:t>
        </x:is>
      </x:c>
      <x:c r="AI587" t="inlineStr">
        <x:is>
          <x:t xml:space="preserve">Identity &amp; Access</x:t>
        </x:is>
      </x:c>
      <x:c r="AJ587" t="inlineStr">
        <x:is>
          <x:t xml:space="preserve">PAM &amp; privileged session governance</x:t>
        </x:is>
      </x:c>
    </x:row>
    <x:row r="588">
      <x:c r="A588" t="inlineStr">
        <x:is>
          <x:t xml:space="preserve">DataBusiness</x:t>
        </x:is>
      </x:c>
      <x:c r="B588" t="inlineStr">
        <x:is>
          <x:t xml:space="preserve">DATA-D5-Q11</x:t>
        </x:is>
      </x:c>
      <x:c r="C588" t="inlineStr">
        <x:is>
          <x:t xml:space="preserve">T1</x:t>
        </x:is>
      </x:c>
      <x:c r="D588" t="inlineStr">
        <x:is>
          <x:t xml:space="preserve">2. Threat &amp; Change Events</x:t>
        </x:is>
      </x:c>
      <x:c r="E588" t="inlineStr">
        <x:is>
          <x:t xml:space="preserve">W</x:t>
        </x:is>
      </x:c>
      <x:c r="F588" t="n">
        <x:v>1</x:v>
      </x:c>
      <x:c r="G588" t="inlineStr">
        <x:is>
          <x:t xml:space="preserve">-</x:t>
        </x:is>
      </x:c>
      <x:c r="I588" t="inlineStr">
        <x:is>
          <x:t xml:space="preserve">During major events (layoffs, M&amp;A, re-org), do we increase monitoring/reviews for high-risk access and data movement?</x:t>
        </x:is>
      </x:c>
      <x:c r="J588" t="inlineStr">
        <x:is>
          <x:t xml:space="preserve">Example: tighter reviews for departing staff, privileged roles, or sensitive projects.</x:t>
        </x:is>
      </x:c>
      <x:c r="L588" t="inlineStr">
        <x:is>
          <x:t xml:space="preserve">RISK_STD</x:t>
        </x:is>
      </x:c>
      <x:c r="M588" t="n">
        <x:v>1.3</x:v>
      </x:c>
      <x:c r="N588" t="n">
        <x:v>0.5</x:v>
      </x:c>
      <x:c r="P588" t="inlineStr">
        <x:is>
          <x:t xml:space="preserve">DATA-D5-Q11-A3</x:t>
        </x:is>
      </x:c>
      <x:c r="Q588" t="n">
        <x:v>4</x:v>
      </x:c>
      <x:c r="R588" t="inlineStr">
        <x:is>
          <x:t xml:space="preserve">Mature: Automated triggers + measured time-to-tighten/relax controls.</x:t>
        </x:is>
      </x:c>
      <x:c r="S588" t="n">
        <x:v>4</x:v>
      </x:c>
      <x:c r="V588" t="inlineStr">
        <x:is>
          <x:t xml:space="preserve">Maintain_and_Audit</x:t>
        </x:is>
      </x:c>
      <x:c r="W588" t="inlineStr">
        <x:is>
          <x:t xml:space="preserve">N</x:t>
        </x:is>
      </x:c>
      <x:c r="Y588">
        <x:f>(S588*IF(E588="G",F588,0))+(S588*IF(G588="G",H588,0))</x:f>
      </x:c>
      <x:c r="Z588">
        <x:f>(S588*IF(E588="E",F588,0))+(S588*IF(G588="E",H588,0))</x:f>
      </x:c>
      <x:c r="AA588">
        <x:f>(S588*IF(E588="T",F588,0))+(S588*IF(G588="T",H588,0))</x:f>
      </x:c>
      <x:c r="AB588">
        <x:f>(S588*IF(E588="L",F588,0))+(S588*IF(G588="L",H588,0))</x:f>
      </x:c>
      <x:c r="AC588">
        <x:f>(S588*IF(E588="H",F588,0))+(S588*IF(G588="H",H588,0))</x:f>
      </x:c>
      <x:c r="AD588">
        <x:f>(S588*IF(E588="V",F588,0))+(S588*IF(G588="V",H588,0))</x:f>
      </x:c>
      <x:c r="AE588">
        <x:f>(S588*IF(E588="R",F588,0))+(S588*IF(G588="R",H588,0))</x:f>
      </x:c>
      <x:c r="AF588">
        <x:f>(S588*IF(E588="F",F588,0))+(S588*IF(G588="F",H588,0))</x:f>
      </x:c>
      <x:c r="AG588">
        <x:f>(S588*IF(E588="W",F588,0))+(S588*IF(G588="W",H588,0))</x:f>
      </x:c>
      <x:c r="AH588" t="inlineStr">
        <x:is>
          <x:t xml:space="preserve">6. Technical Controls</x:t>
        </x:is>
      </x:c>
      <x:c r="AI588" t="inlineStr">
        <x:is>
          <x:t xml:space="preserve">Identity &amp; Access</x:t>
        </x:is>
      </x:c>
      <x:c r="AJ588" t="inlineStr">
        <x:is>
          <x:t xml:space="preserve">PAM &amp; privileged session governance</x:t>
        </x:is>
      </x:c>
    </x:row>
    <x:row r="589">
      <x:c r="A589" t="inlineStr">
        <x:is>
          <x:t xml:space="preserve">DataBusiness</x:t>
        </x:is>
      </x:c>
      <x:c r="B589" t="inlineStr">
        <x:is>
          <x:t xml:space="preserve">DATA-D5-Q12</x:t>
        </x:is>
      </x:c>
      <x:c r="C589" t="inlineStr">
        <x:is>
          <x:t xml:space="preserve">T2</x:t>
        </x:is>
      </x:c>
      <x:c r="D589" t="inlineStr">
        <x:is>
          <x:t xml:space="preserve">2. Threat &amp; Change Events</x:t>
        </x:is>
      </x:c>
      <x:c r="E589" t="inlineStr">
        <x:is>
          <x:t xml:space="preserve">G</x:t>
        </x:is>
      </x:c>
      <x:c r="F589" t="n">
        <x:v>0.4</x:v>
      </x:c>
      <x:c r="G589" t="inlineStr">
        <x:is>
          <x:t xml:space="preserve">W</x:t>
        </x:is>
      </x:c>
      <x:c r="H589" t="n">
        <x:v>0.6</x:v>
      </x:c>
      <x:c r="I589" t="inlineStr">
        <x:is>
          <x:t xml:space="preserve">Can business leaders trigger an ‘elevated risk’ posture with clear criteria (not just ‘bad vibes’)?</x:t>
        </x:is>
      </x:c>
      <x:c r="J589" t="inlineStr">
        <x:is>
          <x:t xml:space="preserve">Criteria might include layoffs, contentious exits, access to sensitive projects, or unusual data movements.</x:t>
        </x:is>
      </x:c>
      <x:c r="L589" t="inlineStr">
        <x:is>
          <x:t xml:space="preserve">GOV_STD</x:t>
        </x:is>
      </x:c>
      <x:c r="M589" t="n">
        <x:v>1</x:v>
      </x:c>
      <x:c r="P589" t="inlineStr">
        <x:is>
          <x:t xml:space="preserve">DATA-D5-Q12-A0</x:t>
        </x:is>
      </x:c>
      <x:c r="Q589" t="n">
        <x:v>1</x:v>
      </x:c>
      <x:c r="R589" t="inlineStr">
        <x:is>
          <x:t xml:space="preserve">No: There is no agreed trigger or process.</x:t>
        </x:is>
      </x:c>
      <x:c r="S589" t="n">
        <x:v>0</x:v>
      </x:c>
      <x:c r="T589" t="inlineStr">
        <x:is>
          <x:t xml:space="preserve">control_lag</x:t>
        </x:is>
      </x:c>
      <x:c r="U589" t="inlineStr">
        <x:is>
          <x:t xml:space="preserve">Control Lag</x:t>
        </x:is>
      </x:c>
      <x:c r="V589" t="inlineStr">
        <x:is>
          <x:t xml:space="preserve">Define_Risk_Posture_Triggers</x:t>
        </x:is>
      </x:c>
      <x:c r="W589" t="inlineStr">
        <x:is>
          <x:t xml:space="preserve">N</x:t>
        </x:is>
      </x:c>
      <x:c r="Y589">
        <x:f>(S589*IF(E589="G",F589,0))+(S589*IF(G589="G",H589,0))</x:f>
      </x:c>
      <x:c r="Z589">
        <x:f>(S589*IF(E589="E",F589,0))+(S589*IF(G589="E",H589,0))</x:f>
      </x:c>
      <x:c r="AA589">
        <x:f>(S589*IF(E589="T",F589,0))+(S589*IF(G589="T",H589,0))</x:f>
      </x:c>
      <x:c r="AB589">
        <x:f>(S589*IF(E589="L",F589,0))+(S589*IF(G589="L",H589,0))</x:f>
      </x:c>
      <x:c r="AC589">
        <x:f>(S589*IF(E589="H",F589,0))+(S589*IF(G589="H",H589,0))</x:f>
      </x:c>
      <x:c r="AD589">
        <x:f>(S589*IF(E589="V",F589,0))+(S589*IF(G589="V",H589,0))</x:f>
      </x:c>
      <x:c r="AE589">
        <x:f>(S589*IF(E589="R",F589,0))+(S589*IF(G589="R",H589,0))</x:f>
      </x:c>
      <x:c r="AF589">
        <x:f>(S589*IF(E589="F",F589,0))+(S589*IF(G589="F",H589,0))</x:f>
      </x:c>
      <x:c r="AG589">
        <x:f>(S589*IF(E589="W",F589,0))+(S589*IF(G589="W",H589,0))</x:f>
      </x:c>
      <x:c r="AH589" t="inlineStr">
        <x:is>
          <x:t xml:space="preserve">2. Threat Model &amp; Operations</x:t>
        </x:is>
      </x:c>
      <x:c r="AI589" t="inlineStr">
        <x:is>
          <x:t xml:space="preserve">Deterrence &amp; Disruption</x:t>
        </x:is>
      </x:c>
      <x:c r="AJ589" t="inlineStr">
        <x:is>
          <x:t xml:space="preserve">Sensitive transition workflow (flight-risk)</x:t>
        </x:is>
      </x:c>
    </x:row>
    <x:row r="590">
      <x:c r="A590" t="inlineStr">
        <x:is>
          <x:t xml:space="preserve">DataBusiness</x:t>
        </x:is>
      </x:c>
      <x:c r="B590" t="inlineStr">
        <x:is>
          <x:t xml:space="preserve">DATA-D5-Q12</x:t>
        </x:is>
      </x:c>
      <x:c r="C590" t="inlineStr">
        <x:is>
          <x:t xml:space="preserve">T2</x:t>
        </x:is>
      </x:c>
      <x:c r="D590" t="inlineStr">
        <x:is>
          <x:t xml:space="preserve">2. Threat &amp; Change Events</x:t>
        </x:is>
      </x:c>
      <x:c r="E590" t="inlineStr">
        <x:is>
          <x:t xml:space="preserve">G</x:t>
        </x:is>
      </x:c>
      <x:c r="F590" t="n">
        <x:v>0.4</x:v>
      </x:c>
      <x:c r="G590" t="inlineStr">
        <x:is>
          <x:t xml:space="preserve">W</x:t>
        </x:is>
      </x:c>
      <x:c r="H590" t="n">
        <x:v>0.6</x:v>
      </x:c>
      <x:c r="I590" t="inlineStr">
        <x:is>
          <x:t xml:space="preserve">Can business leaders trigger an ‘elevated risk’ posture with clear criteria (not just ‘bad vibes’)?</x:t>
        </x:is>
      </x:c>
      <x:c r="J590" t="inlineStr">
        <x:is>
          <x:t xml:space="preserve">Criteria might include layoffs, contentious exits, access to sensitive projects, or unusual data movements.</x:t>
        </x:is>
      </x:c>
      <x:c r="L590" t="inlineStr">
        <x:is>
          <x:t xml:space="preserve">GOV_STD</x:t>
        </x:is>
      </x:c>
      <x:c r="M590" t="n">
        <x:v>1</x:v>
      </x:c>
      <x:c r="P590" t="inlineStr">
        <x:is>
          <x:t xml:space="preserve">DATA-D5-Q12-A1</x:t>
        </x:is>
      </x:c>
      <x:c r="Q590" t="n">
        <x:v>2</x:v>
      </x:c>
      <x:c r="R590" t="inlineStr">
        <x:is>
          <x:t xml:space="preserve">Informal: Leaders alert security in chats; outcomes vary.</x:t>
        </x:is>
      </x:c>
      <x:c r="S590" t="n">
        <x:v>1</x:v>
      </x:c>
      <x:c r="T590" t="inlineStr">
        <x:is>
          <x:t xml:space="preserve">operating_model_gap</x:t>
        </x:is>
      </x:c>
      <x:c r="U590" t="inlineStr">
        <x:is>
          <x:t xml:space="preserve">Operating Model Gap</x:t>
        </x:is>
      </x:c>
      <x:c r="V590" t="inlineStr">
        <x:is>
          <x:t xml:space="preserve">Formalize_Trigger_Process</x:t>
        </x:is>
      </x:c>
      <x:c r="W590" t="inlineStr">
        <x:is>
          <x:t xml:space="preserve">N</x:t>
        </x:is>
      </x:c>
      <x:c r="Y590">
        <x:f>(S590*IF(E590="G",F590,0))+(S590*IF(G590="G",H590,0))</x:f>
      </x:c>
      <x:c r="Z590">
        <x:f>(S590*IF(E590="E",F590,0))+(S590*IF(G590="E",H590,0))</x:f>
      </x:c>
      <x:c r="AA590">
        <x:f>(S590*IF(E590="T",F590,0))+(S590*IF(G590="T",H590,0))</x:f>
      </x:c>
      <x:c r="AB590">
        <x:f>(S590*IF(E590="L",F590,0))+(S590*IF(G590="L",H590,0))</x:f>
      </x:c>
      <x:c r="AC590">
        <x:f>(S590*IF(E590="H",F590,0))+(S590*IF(G590="H",H590,0))</x:f>
      </x:c>
      <x:c r="AD590">
        <x:f>(S590*IF(E590="V",F590,0))+(S590*IF(G590="V",H590,0))</x:f>
      </x:c>
      <x:c r="AE590">
        <x:f>(S590*IF(E590="R",F590,0))+(S590*IF(G590="R",H590,0))</x:f>
      </x:c>
      <x:c r="AF590">
        <x:f>(S590*IF(E590="F",F590,0))+(S590*IF(G590="F",H590,0))</x:f>
      </x:c>
      <x:c r="AG590">
        <x:f>(S590*IF(E590="W",F590,0))+(S590*IF(G590="W",H590,0))</x:f>
      </x:c>
      <x:c r="AH590" t="inlineStr">
        <x:is>
          <x:t xml:space="preserve">2. Threat Model &amp; Operations</x:t>
        </x:is>
      </x:c>
      <x:c r="AI590" t="inlineStr">
        <x:is>
          <x:t xml:space="preserve">Deterrence &amp; Disruption</x:t>
        </x:is>
      </x:c>
      <x:c r="AJ590" t="inlineStr">
        <x:is>
          <x:t xml:space="preserve">Sensitive transition workflow (flight-risk)</x:t>
        </x:is>
      </x:c>
    </x:row>
    <x:row r="591">
      <x:c r="A591" t="inlineStr">
        <x:is>
          <x:t xml:space="preserve">DataBusiness</x:t>
        </x:is>
      </x:c>
      <x:c r="B591" t="inlineStr">
        <x:is>
          <x:t xml:space="preserve">DATA-D5-Q12</x:t>
        </x:is>
      </x:c>
      <x:c r="C591" t="inlineStr">
        <x:is>
          <x:t xml:space="preserve">T2</x:t>
        </x:is>
      </x:c>
      <x:c r="D591" t="inlineStr">
        <x:is>
          <x:t xml:space="preserve">2. Threat &amp; Change Events</x:t>
        </x:is>
      </x:c>
      <x:c r="E591" t="inlineStr">
        <x:is>
          <x:t xml:space="preserve">G</x:t>
        </x:is>
      </x:c>
      <x:c r="F591" t="n">
        <x:v>0.4</x:v>
      </x:c>
      <x:c r="G591" t="inlineStr">
        <x:is>
          <x:t xml:space="preserve">W</x:t>
        </x:is>
      </x:c>
      <x:c r="H591" t="n">
        <x:v>0.6</x:v>
      </x:c>
      <x:c r="I591" t="inlineStr">
        <x:is>
          <x:t xml:space="preserve">Can business leaders trigger an ‘elevated risk’ posture with clear criteria (not just ‘bad vibes’)?</x:t>
        </x:is>
      </x:c>
      <x:c r="J591" t="inlineStr">
        <x:is>
          <x:t xml:space="preserve">Criteria might include layoffs, contentious exits, access to sensitive projects, or unusual data movements.</x:t>
        </x:is>
      </x:c>
      <x:c r="L591" t="inlineStr">
        <x:is>
          <x:t xml:space="preserve">GOV_STD</x:t>
        </x:is>
      </x:c>
      <x:c r="M591" t="n">
        <x:v>1</x:v>
      </x:c>
      <x:c r="P591" t="inlineStr">
        <x:is>
          <x:t xml:space="preserve">DATA-D5-Q12-A2</x:t>
        </x:is>
      </x:c>
      <x:c r="Q591" t="n">
        <x:v>3</x:v>
      </x:c>
      <x:c r="R591" t="inlineStr">
        <x:is>
          <x:t xml:space="preserve">Yes: Documented criteria and approvals; used when needed.</x:t>
        </x:is>
      </x:c>
      <x:c r="S591" t="n">
        <x:v>3</x:v>
      </x:c>
      <x:c r="V591" t="inlineStr">
        <x:is>
          <x:t xml:space="preserve">Evidence_Request_Trigger_Criteria</x:t>
        </x:is>
      </x:c>
      <x:c r="W591" t="inlineStr">
        <x:is>
          <x:t xml:space="preserve">N</x:t>
        </x:is>
      </x:c>
      <x:c r="Y591">
        <x:f>(S591*IF(E591="G",F591,0))+(S591*IF(G591="G",H591,0))</x:f>
      </x:c>
      <x:c r="Z591">
        <x:f>(S591*IF(E591="E",F591,0))+(S591*IF(G591="E",H591,0))</x:f>
      </x:c>
      <x:c r="AA591">
        <x:f>(S591*IF(E591="T",F591,0))+(S591*IF(G591="T",H591,0))</x:f>
      </x:c>
      <x:c r="AB591">
        <x:f>(S591*IF(E591="L",F591,0))+(S591*IF(G591="L",H591,0))</x:f>
      </x:c>
      <x:c r="AC591">
        <x:f>(S591*IF(E591="H",F591,0))+(S591*IF(G591="H",H591,0))</x:f>
      </x:c>
      <x:c r="AD591">
        <x:f>(S591*IF(E591="V",F591,0))+(S591*IF(G591="V",H591,0))</x:f>
      </x:c>
      <x:c r="AE591">
        <x:f>(S591*IF(E591="R",F591,0))+(S591*IF(G591="R",H591,0))</x:f>
      </x:c>
      <x:c r="AF591">
        <x:f>(S591*IF(E591="F",F591,0))+(S591*IF(G591="F",H591,0))</x:f>
      </x:c>
      <x:c r="AG591">
        <x:f>(S591*IF(E591="W",F591,0))+(S591*IF(G591="W",H591,0))</x:f>
      </x:c>
      <x:c r="AH591" t="inlineStr">
        <x:is>
          <x:t xml:space="preserve">2. Threat Model &amp; Operations</x:t>
        </x:is>
      </x:c>
      <x:c r="AI591" t="inlineStr">
        <x:is>
          <x:t xml:space="preserve">Deterrence &amp; Disruption</x:t>
        </x:is>
      </x:c>
      <x:c r="AJ591" t="inlineStr">
        <x:is>
          <x:t xml:space="preserve">Sensitive transition workflow (flight-risk)</x:t>
        </x:is>
      </x:c>
    </x:row>
    <x:row r="592">
      <x:c r="A592" t="inlineStr">
        <x:is>
          <x:t xml:space="preserve">DataBusiness</x:t>
        </x:is>
      </x:c>
      <x:c r="B592" t="inlineStr">
        <x:is>
          <x:t xml:space="preserve">DATA-D5-Q12</x:t>
        </x:is>
      </x:c>
      <x:c r="C592" t="inlineStr">
        <x:is>
          <x:t xml:space="preserve">T2</x:t>
        </x:is>
      </x:c>
      <x:c r="D592" t="inlineStr">
        <x:is>
          <x:t xml:space="preserve">2. Threat &amp; Change Events</x:t>
        </x:is>
      </x:c>
      <x:c r="E592" t="inlineStr">
        <x:is>
          <x:t xml:space="preserve">G</x:t>
        </x:is>
      </x:c>
      <x:c r="F592" t="n">
        <x:v>0.4</x:v>
      </x:c>
      <x:c r="G592" t="inlineStr">
        <x:is>
          <x:t xml:space="preserve">W</x:t>
        </x:is>
      </x:c>
      <x:c r="H592" t="n">
        <x:v>0.6</x:v>
      </x:c>
      <x:c r="I592" t="inlineStr">
        <x:is>
          <x:t xml:space="preserve">Can business leaders trigger an ‘elevated risk’ posture with clear criteria (not just ‘bad vibes’)?</x:t>
        </x:is>
      </x:c>
      <x:c r="J592" t="inlineStr">
        <x:is>
          <x:t xml:space="preserve">Criteria might include layoffs, contentious exits, access to sensitive projects, or unusual data movements.</x:t>
        </x:is>
      </x:c>
      <x:c r="L592" t="inlineStr">
        <x:is>
          <x:t xml:space="preserve">GOV_STD</x:t>
        </x:is>
      </x:c>
      <x:c r="M592" t="n">
        <x:v>1</x:v>
      </x:c>
      <x:c r="P592" t="inlineStr">
        <x:is>
          <x:t xml:space="preserve">DATA-D5-Q12-A3</x:t>
        </x:is>
      </x:c>
      <x:c r="Q592" t="n">
        <x:v>4</x:v>
      </x:c>
      <x:c r="R592" t="inlineStr">
        <x:is>
          <x:t xml:space="preserve">Mature: Integrated into workflow with audit trail and measured effectiveness.</x:t>
        </x:is>
      </x:c>
      <x:c r="S592" t="n">
        <x:v>4</x:v>
      </x:c>
      <x:c r="V592" t="inlineStr">
        <x:is>
          <x:t xml:space="preserve">Maintain_and_Audit</x:t>
        </x:is>
      </x:c>
      <x:c r="W592" t="inlineStr">
        <x:is>
          <x:t xml:space="preserve">N</x:t>
        </x:is>
      </x:c>
      <x:c r="Y592">
        <x:f>(S592*IF(E592="G",F592,0))+(S592*IF(G592="G",H592,0))</x:f>
      </x:c>
      <x:c r="Z592">
        <x:f>(S592*IF(E592="E",F592,0))+(S592*IF(G592="E",H592,0))</x:f>
      </x:c>
      <x:c r="AA592">
        <x:f>(S592*IF(E592="T",F592,0))+(S592*IF(G592="T",H592,0))</x:f>
      </x:c>
      <x:c r="AB592">
        <x:f>(S592*IF(E592="L",F592,0))+(S592*IF(G592="L",H592,0))</x:f>
      </x:c>
      <x:c r="AC592">
        <x:f>(S592*IF(E592="H",F592,0))+(S592*IF(G592="H",H592,0))</x:f>
      </x:c>
      <x:c r="AD592">
        <x:f>(S592*IF(E592="V",F592,0))+(S592*IF(G592="V",H592,0))</x:f>
      </x:c>
      <x:c r="AE592">
        <x:f>(S592*IF(E592="R",F592,0))+(S592*IF(G592="R",H592,0))</x:f>
      </x:c>
      <x:c r="AF592">
        <x:f>(S592*IF(E592="F",F592,0))+(S592*IF(G592="F",H592,0))</x:f>
      </x:c>
      <x:c r="AG592">
        <x:f>(S592*IF(E592="W",F592,0))+(S592*IF(G592="W",H592,0))</x:f>
      </x:c>
      <x:c r="AH592" t="inlineStr">
        <x:is>
          <x:t xml:space="preserve">2. Threat Model &amp; Operations</x:t>
        </x:is>
      </x:c>
      <x:c r="AI592" t="inlineStr">
        <x:is>
          <x:t xml:space="preserve">Deterrence &amp; Disruption</x:t>
        </x:is>
      </x:c>
      <x:c r="AJ592" t="inlineStr">
        <x:is>
          <x:t xml:space="preserve">Sensitive transition workflow (flight-risk)</x:t>
        </x:is>
      </x:c>
    </x:row>
    <x:row r="593">
      <x:c r="A593" t="inlineStr">
        <x:is>
          <x:t xml:space="preserve">DataBusiness</x:t>
        </x:is>
      </x:c>
      <x:c r="B593" t="inlineStr">
        <x:is>
          <x:t xml:space="preserve">DATA-D6-Q13</x:t>
        </x:is>
      </x:c>
      <x:c r="C593" t="inlineStr">
        <x:is>
          <x:t xml:space="preserve">T2</x:t>
        </x:is>
      </x:c>
      <x:c r="D593" t="inlineStr">
        <x:is>
          <x:t xml:space="preserve">3. Risk &amp; Third Parties</x:t>
        </x:is>
      </x:c>
      <x:c r="E593" t="inlineStr">
        <x:is>
          <x:t xml:space="preserve">V</x:t>
        </x:is>
      </x:c>
      <x:c r="F593" t="n">
        <x:v>0.6</x:v>
      </x:c>
      <x:c r="G593" t="inlineStr">
        <x:is>
          <x:t xml:space="preserve">G</x:t>
        </x:is>
      </x:c>
      <x:c r="H593" t="n">
        <x:v>0.4</x:v>
      </x:c>
      <x:c r="I593" t="inlineStr">
        <x:is>
          <x:t xml:space="preserve">Are third-party data sharing arrangements inventoried with a business owner and a simple risk rating?</x:t>
        </x:is>
      </x:c>
      <x:c r="J593" t="inlineStr">
        <x:is>
          <x:t xml:space="preserve">Includes: vendors, partners, outsourcers, contractors, and joint projects.</x:t>
        </x:is>
      </x:c>
      <x:c r="L593" t="inlineStr">
        <x:is>
          <x:t xml:space="preserve">RISK_STD</x:t>
        </x:is>
      </x:c>
      <x:c r="M593" t="n">
        <x:v>1</x:v>
      </x:c>
      <x:c r="P593" t="inlineStr">
        <x:is>
          <x:t xml:space="preserve">DATA-D6-Q13-A0</x:t>
        </x:is>
      </x:c>
      <x:c r="Q593" t="n">
        <x:v>1</x:v>
      </x:c>
      <x:c r="R593" t="inlineStr">
        <x:is>
          <x:t xml:space="preserve">No: We can’t easily list who receives sensitive data.</x:t>
        </x:is>
      </x:c>
      <x:c r="S593" t="n">
        <x:v>0</x:v>
      </x:c>
      <x:c r="T593" t="inlineStr">
        <x:is>
          <x:t xml:space="preserve">visibility_gap</x:t>
        </x:is>
      </x:c>
      <x:c r="U593" t="inlineStr">
        <x:is>
          <x:t xml:space="preserve">Visibility Gap</x:t>
        </x:is>
      </x:c>
      <x:c r="V593" t="inlineStr">
        <x:is>
          <x:t xml:space="preserve">ThirdParty_Inventory</x:t>
        </x:is>
      </x:c>
      <x:c r="W593" t="inlineStr">
        <x:is>
          <x:t xml:space="preserve">N</x:t>
        </x:is>
      </x:c>
      <x:c r="Y593">
        <x:f>(S593*IF(E593="G",F593,0))+(S593*IF(G593="G",H593,0))</x:f>
      </x:c>
      <x:c r="Z593">
        <x:f>(S593*IF(E593="E",F593,0))+(S593*IF(G593="E",H593,0))</x:f>
      </x:c>
      <x:c r="AA593">
        <x:f>(S593*IF(E593="T",F593,0))+(S593*IF(G593="T",H593,0))</x:f>
      </x:c>
      <x:c r="AB593">
        <x:f>(S593*IF(E593="L",F593,0))+(S593*IF(G593="L",H593,0))</x:f>
      </x:c>
      <x:c r="AC593">
        <x:f>(S593*IF(E593="H",F593,0))+(S593*IF(G593="H",H593,0))</x:f>
      </x:c>
      <x:c r="AD593">
        <x:f>(S593*IF(E593="V",F593,0))+(S593*IF(G593="V",H593,0))</x:f>
      </x:c>
      <x:c r="AE593">
        <x:f>(S593*IF(E593="R",F593,0))+(S593*IF(G593="R",H593,0))</x:f>
      </x:c>
      <x:c r="AF593">
        <x:f>(S593*IF(E593="F",F593,0))+(S593*IF(G593="F",H593,0))</x:f>
      </x:c>
      <x:c r="AG593">
        <x:f>(S593*IF(E593="W",F593,0))+(S593*IF(G593="W",H593,0))</x:f>
      </x:c>
      <x:c r="AH593" t="inlineStr">
        <x:is>
          <x:t xml:space="preserve">3. Risk Management</x:t>
        </x:is>
      </x:c>
      <x:c r="AI593" t="inlineStr">
        <x:is>
          <x:t xml:space="preserve">Inventory &amp; Scope</x:t>
        </x:is>
      </x:c>
      <x:c r="AJ593" t="inlineStr">
        <x:is>
          <x:t xml:space="preserve">Third-party/contractor scoping</x:t>
        </x:is>
      </x:c>
    </x:row>
    <x:row r="594">
      <x:c r="A594" t="inlineStr">
        <x:is>
          <x:t xml:space="preserve">DataBusiness</x:t>
        </x:is>
      </x:c>
      <x:c r="B594" t="inlineStr">
        <x:is>
          <x:t xml:space="preserve">DATA-D6-Q13</x:t>
        </x:is>
      </x:c>
      <x:c r="C594" t="inlineStr">
        <x:is>
          <x:t xml:space="preserve">T2</x:t>
        </x:is>
      </x:c>
      <x:c r="D594" t="inlineStr">
        <x:is>
          <x:t xml:space="preserve">3. Risk &amp; Third Parties</x:t>
        </x:is>
      </x:c>
      <x:c r="E594" t="inlineStr">
        <x:is>
          <x:t xml:space="preserve">V</x:t>
        </x:is>
      </x:c>
      <x:c r="F594" t="n">
        <x:v>0.6</x:v>
      </x:c>
      <x:c r="G594" t="inlineStr">
        <x:is>
          <x:t xml:space="preserve">G</x:t>
        </x:is>
      </x:c>
      <x:c r="H594" t="n">
        <x:v>0.4</x:v>
      </x:c>
      <x:c r="I594" t="inlineStr">
        <x:is>
          <x:t xml:space="preserve">Are third-party data sharing arrangements inventoried with a business owner and a simple risk rating?</x:t>
        </x:is>
      </x:c>
      <x:c r="J594" t="inlineStr">
        <x:is>
          <x:t xml:space="preserve">Includes: vendors, partners, outsourcers, contractors, and joint projects.</x:t>
        </x:is>
      </x:c>
      <x:c r="L594" t="inlineStr">
        <x:is>
          <x:t xml:space="preserve">RISK_STD</x:t>
        </x:is>
      </x:c>
      <x:c r="M594" t="n">
        <x:v>1</x:v>
      </x:c>
      <x:c r="P594" t="inlineStr">
        <x:is>
          <x:t xml:space="preserve">DATA-D6-Q13-A1</x:t>
        </x:is>
      </x:c>
      <x:c r="Q594" t="n">
        <x:v>2</x:v>
      </x:c>
      <x:c r="R594" t="inlineStr">
        <x:is>
          <x:t xml:space="preserve">Partial: Procurement has a list, but risk/owners are unclear.</x:t>
        </x:is>
      </x:c>
      <x:c r="S594" t="n">
        <x:v>1</x:v>
      </x:c>
      <x:c r="T594" t="inlineStr">
        <x:is>
          <x:t xml:space="preserve">paper_dragon_signal</x:t>
        </x:is>
      </x:c>
      <x:c r="U594" t="inlineStr">
        <x:is>
          <x:t xml:space="preserve">Paper Dragon</x:t>
        </x:is>
      </x:c>
      <x:c r="V594" t="inlineStr">
        <x:is>
          <x:t xml:space="preserve">Assign_ThirdParty_Owners</x:t>
        </x:is>
      </x:c>
      <x:c r="W594" t="inlineStr">
        <x:is>
          <x:t xml:space="preserve">N</x:t>
        </x:is>
      </x:c>
      <x:c r="Y594">
        <x:f>(S594*IF(E594="G",F594,0))+(S594*IF(G594="G",H594,0))</x:f>
      </x:c>
      <x:c r="Z594">
        <x:f>(S594*IF(E594="E",F594,0))+(S594*IF(G594="E",H594,0))</x:f>
      </x:c>
      <x:c r="AA594">
        <x:f>(S594*IF(E594="T",F594,0))+(S594*IF(G594="T",H594,0))</x:f>
      </x:c>
      <x:c r="AB594">
        <x:f>(S594*IF(E594="L",F594,0))+(S594*IF(G594="L",H594,0))</x:f>
      </x:c>
      <x:c r="AC594">
        <x:f>(S594*IF(E594="H",F594,0))+(S594*IF(G594="H",H594,0))</x:f>
      </x:c>
      <x:c r="AD594">
        <x:f>(S594*IF(E594="V",F594,0))+(S594*IF(G594="V",H594,0))</x:f>
      </x:c>
      <x:c r="AE594">
        <x:f>(S594*IF(E594="R",F594,0))+(S594*IF(G594="R",H594,0))</x:f>
      </x:c>
      <x:c r="AF594">
        <x:f>(S594*IF(E594="F",F594,0))+(S594*IF(G594="F",H594,0))</x:f>
      </x:c>
      <x:c r="AG594">
        <x:f>(S594*IF(E594="W",F594,0))+(S594*IF(G594="W",H594,0))</x:f>
      </x:c>
      <x:c r="AH594" t="inlineStr">
        <x:is>
          <x:t xml:space="preserve">3. Risk Management</x:t>
        </x:is>
      </x:c>
      <x:c r="AI594" t="inlineStr">
        <x:is>
          <x:t xml:space="preserve">Inventory &amp; Scope</x:t>
        </x:is>
      </x:c>
      <x:c r="AJ594" t="inlineStr">
        <x:is>
          <x:t xml:space="preserve">Third-party/contractor scoping</x:t>
        </x:is>
      </x:c>
    </x:row>
    <x:row r="595">
      <x:c r="A595" t="inlineStr">
        <x:is>
          <x:t xml:space="preserve">DataBusiness</x:t>
        </x:is>
      </x:c>
      <x:c r="B595" t="inlineStr">
        <x:is>
          <x:t xml:space="preserve">DATA-D6-Q13</x:t>
        </x:is>
      </x:c>
      <x:c r="C595" t="inlineStr">
        <x:is>
          <x:t xml:space="preserve">T2</x:t>
        </x:is>
      </x:c>
      <x:c r="D595" t="inlineStr">
        <x:is>
          <x:t xml:space="preserve">3. Risk &amp; Third Parties</x:t>
        </x:is>
      </x:c>
      <x:c r="E595" t="inlineStr">
        <x:is>
          <x:t xml:space="preserve">V</x:t>
        </x:is>
      </x:c>
      <x:c r="F595" t="n">
        <x:v>0.6</x:v>
      </x:c>
      <x:c r="G595" t="inlineStr">
        <x:is>
          <x:t xml:space="preserve">G</x:t>
        </x:is>
      </x:c>
      <x:c r="H595" t="n">
        <x:v>0.4</x:v>
      </x:c>
      <x:c r="I595" t="inlineStr">
        <x:is>
          <x:t xml:space="preserve">Are third-party data sharing arrangements inventoried with a business owner and a simple risk rating?</x:t>
        </x:is>
      </x:c>
      <x:c r="J595" t="inlineStr">
        <x:is>
          <x:t xml:space="preserve">Includes: vendors, partners, outsourcers, contractors, and joint projects.</x:t>
        </x:is>
      </x:c>
      <x:c r="L595" t="inlineStr">
        <x:is>
          <x:t xml:space="preserve">RISK_STD</x:t>
        </x:is>
      </x:c>
      <x:c r="M595" t="n">
        <x:v>1</x:v>
      </x:c>
      <x:c r="P595" t="inlineStr">
        <x:is>
          <x:t xml:space="preserve">DATA-D6-Q13-A2</x:t>
        </x:is>
      </x:c>
      <x:c r="Q595" t="n">
        <x:v>3</x:v>
      </x:c>
      <x:c r="R595" t="inlineStr">
        <x:is>
          <x:t xml:space="preserve">Yes: Inventory exists for key vendors and is maintained.</x:t>
        </x:is>
      </x:c>
      <x:c r="S595" t="n">
        <x:v>3</x:v>
      </x:c>
      <x:c r="V595" t="inlineStr">
        <x:is>
          <x:t xml:space="preserve">Evidence_Request_ThirdParty_List</x:t>
        </x:is>
      </x:c>
      <x:c r="W595" t="inlineStr">
        <x:is>
          <x:t xml:space="preserve">N</x:t>
        </x:is>
      </x:c>
      <x:c r="Y595">
        <x:f>(S595*IF(E595="G",F595,0))+(S595*IF(G595="G",H595,0))</x:f>
      </x:c>
      <x:c r="Z595">
        <x:f>(S595*IF(E595="E",F595,0))+(S595*IF(G595="E",H595,0))</x:f>
      </x:c>
      <x:c r="AA595">
        <x:f>(S595*IF(E595="T",F595,0))+(S595*IF(G595="T",H595,0))</x:f>
      </x:c>
      <x:c r="AB595">
        <x:f>(S595*IF(E595="L",F595,0))+(S595*IF(G595="L",H595,0))</x:f>
      </x:c>
      <x:c r="AC595">
        <x:f>(S595*IF(E595="H",F595,0))+(S595*IF(G595="H",H595,0))</x:f>
      </x:c>
      <x:c r="AD595">
        <x:f>(S595*IF(E595="V",F595,0))+(S595*IF(G595="V",H595,0))</x:f>
      </x:c>
      <x:c r="AE595">
        <x:f>(S595*IF(E595="R",F595,0))+(S595*IF(G595="R",H595,0))</x:f>
      </x:c>
      <x:c r="AF595">
        <x:f>(S595*IF(E595="F",F595,0))+(S595*IF(G595="F",H595,0))</x:f>
      </x:c>
      <x:c r="AG595">
        <x:f>(S595*IF(E595="W",F595,0))+(S595*IF(G595="W",H595,0))</x:f>
      </x:c>
      <x:c r="AH595" t="inlineStr">
        <x:is>
          <x:t xml:space="preserve">3. Risk Management</x:t>
        </x:is>
      </x:c>
      <x:c r="AI595" t="inlineStr">
        <x:is>
          <x:t xml:space="preserve">Inventory &amp; Scope</x:t>
        </x:is>
      </x:c>
      <x:c r="AJ595" t="inlineStr">
        <x:is>
          <x:t xml:space="preserve">Third-party/contractor scoping</x:t>
        </x:is>
      </x:c>
    </x:row>
    <x:row r="596">
      <x:c r="A596" t="inlineStr">
        <x:is>
          <x:t xml:space="preserve">DataBusiness</x:t>
        </x:is>
      </x:c>
      <x:c r="B596" t="inlineStr">
        <x:is>
          <x:t xml:space="preserve">DATA-D6-Q13</x:t>
        </x:is>
      </x:c>
      <x:c r="C596" t="inlineStr">
        <x:is>
          <x:t xml:space="preserve">T2</x:t>
        </x:is>
      </x:c>
      <x:c r="D596" t="inlineStr">
        <x:is>
          <x:t xml:space="preserve">3. Risk &amp; Third Parties</x:t>
        </x:is>
      </x:c>
      <x:c r="E596" t="inlineStr">
        <x:is>
          <x:t xml:space="preserve">V</x:t>
        </x:is>
      </x:c>
      <x:c r="F596" t="n">
        <x:v>0.6</x:v>
      </x:c>
      <x:c r="G596" t="inlineStr">
        <x:is>
          <x:t xml:space="preserve">G</x:t>
        </x:is>
      </x:c>
      <x:c r="H596" t="n">
        <x:v>0.4</x:v>
      </x:c>
      <x:c r="I596" t="inlineStr">
        <x:is>
          <x:t xml:space="preserve">Are third-party data sharing arrangements inventoried with a business owner and a simple risk rating?</x:t>
        </x:is>
      </x:c>
      <x:c r="J596" t="inlineStr">
        <x:is>
          <x:t xml:space="preserve">Includes: vendors, partners, outsourcers, contractors, and joint projects.</x:t>
        </x:is>
      </x:c>
      <x:c r="L596" t="inlineStr">
        <x:is>
          <x:t xml:space="preserve">RISK_STD</x:t>
        </x:is>
      </x:c>
      <x:c r="M596" t="n">
        <x:v>1</x:v>
      </x:c>
      <x:c r="P596" t="inlineStr">
        <x:is>
          <x:t xml:space="preserve">DATA-D6-Q13-A3</x:t>
        </x:is>
      </x:c>
      <x:c r="Q596" t="n">
        <x:v>4</x:v>
      </x:c>
      <x:c r="R596" t="inlineStr">
        <x:is>
          <x:t xml:space="preserve">Mature: Inventory + risk scoring + periodic reviews and exit plans.</x:t>
        </x:is>
      </x:c>
      <x:c r="S596" t="n">
        <x:v>4</x:v>
      </x:c>
      <x:c r="V596" t="inlineStr">
        <x:is>
          <x:t xml:space="preserve">Maintain_and_Audit</x:t>
        </x:is>
      </x:c>
      <x:c r="W596" t="inlineStr">
        <x:is>
          <x:t xml:space="preserve">N</x:t>
        </x:is>
      </x:c>
      <x:c r="Y596">
        <x:f>(S596*IF(E596="G",F596,0))+(S596*IF(G596="G",H596,0))</x:f>
      </x:c>
      <x:c r="Z596">
        <x:f>(S596*IF(E596="E",F596,0))+(S596*IF(G596="E",H596,0))</x:f>
      </x:c>
      <x:c r="AA596">
        <x:f>(S596*IF(E596="T",F596,0))+(S596*IF(G596="T",H596,0))</x:f>
      </x:c>
      <x:c r="AB596">
        <x:f>(S596*IF(E596="L",F596,0))+(S596*IF(G596="L",H596,0))</x:f>
      </x:c>
      <x:c r="AC596">
        <x:f>(S596*IF(E596="H",F596,0))+(S596*IF(G596="H",H596,0))</x:f>
      </x:c>
      <x:c r="AD596">
        <x:f>(S596*IF(E596="V",F596,0))+(S596*IF(G596="V",H596,0))</x:f>
      </x:c>
      <x:c r="AE596">
        <x:f>(S596*IF(E596="R",F596,0))+(S596*IF(G596="R",H596,0))</x:f>
      </x:c>
      <x:c r="AF596">
        <x:f>(S596*IF(E596="F",F596,0))+(S596*IF(G596="F",H596,0))</x:f>
      </x:c>
      <x:c r="AG596">
        <x:f>(S596*IF(E596="W",F596,0))+(S596*IF(G596="W",H596,0))</x:f>
      </x:c>
      <x:c r="AH596" t="inlineStr">
        <x:is>
          <x:t xml:space="preserve">3. Risk Management</x:t>
        </x:is>
      </x:c>
      <x:c r="AI596" t="inlineStr">
        <x:is>
          <x:t xml:space="preserve">Inventory &amp; Scope</x:t>
        </x:is>
      </x:c>
      <x:c r="AJ596" t="inlineStr">
        <x:is>
          <x:t xml:space="preserve">Third-party/contractor scoping</x:t>
        </x:is>
      </x:c>
    </x:row>
    <x:row r="597">
      <x:c r="A597" t="inlineStr">
        <x:is>
          <x:t xml:space="preserve">DataBusiness</x:t>
        </x:is>
      </x:c>
      <x:c r="B597" t="inlineStr">
        <x:is>
          <x:t xml:space="preserve">DATA-D7-Q14</x:t>
        </x:is>
      </x:c>
      <x:c r="C597" t="inlineStr">
        <x:is>
          <x:t xml:space="preserve">T2</x:t>
        </x:is>
      </x:c>
      <x:c r="D597" t="inlineStr">
        <x:is>
          <x:t xml:space="preserve">9. Performance &amp; Reporting</x:t>
        </x:is>
      </x:c>
      <x:c r="E597" t="inlineStr">
        <x:is>
          <x:t xml:space="preserve">G</x:t>
        </x:is>
      </x:c>
      <x:c r="F597" t="n">
        <x:v>0.6</x:v>
      </x:c>
      <x:c r="G597" t="inlineStr">
        <x:is>
          <x:t xml:space="preserve">H</x:t>
        </x:is>
      </x:c>
      <x:c r="H597" t="n">
        <x:v>0.4</x:v>
      </x:c>
      <x:c r="I597" t="inlineStr">
        <x:is>
          <x:t xml:space="preserve">Do we report insider-risk related metrics in business terms (e.g., near-misses, exception rate, trust indicators), not just ‘alerts’?</x:t>
        </x:is>
      </x:c>
      <x:c r="J597" t="inlineStr">
        <x:is>
          <x:t xml:space="preserve">The goal is to show business impact and trust health.</x:t>
        </x:is>
      </x:c>
      <x:c r="L597" t="inlineStr">
        <x:is>
          <x:t xml:space="preserve">GOV_STD</x:t>
        </x:is>
      </x:c>
      <x:c r="M597" t="n">
        <x:v>1</x:v>
      </x:c>
      <x:c r="P597" t="inlineStr">
        <x:is>
          <x:t xml:space="preserve">DATA-D7-Q14-A0</x:t>
        </x:is>
      </x:c>
      <x:c r="Q597" t="n">
        <x:v>1</x:v>
      </x:c>
      <x:c r="R597" t="inlineStr">
        <x:is>
          <x:t xml:space="preserve">No: Reporting is mostly technical or compliance-only.</x:t>
        </x:is>
      </x:c>
      <x:c r="S597" t="n">
        <x:v>0</x:v>
      </x:c>
      <x:c r="T597" t="inlineStr">
        <x:is>
          <x:t xml:space="preserve">paper_dragon_signal</x:t>
        </x:is>
      </x:c>
      <x:c r="U597" t="inlineStr">
        <x:is>
          <x:t xml:space="preserve">Paper Dragon</x:t>
        </x:is>
      </x:c>
      <x:c r="V597" t="inlineStr">
        <x:is>
          <x:t xml:space="preserve">Business_Metrics</x:t>
        </x:is>
      </x:c>
      <x:c r="W597" t="inlineStr">
        <x:is>
          <x:t xml:space="preserve">N</x:t>
        </x:is>
      </x:c>
      <x:c r="Y597">
        <x:f>(S597*IF(E597="G",F597,0))+(S597*IF(G597="G",H597,0))</x:f>
      </x:c>
      <x:c r="Z597">
        <x:f>(S597*IF(E597="E",F597,0))+(S597*IF(G597="E",H597,0))</x:f>
      </x:c>
      <x:c r="AA597">
        <x:f>(S597*IF(E597="T",F597,0))+(S597*IF(G597="T",H597,0))</x:f>
      </x:c>
      <x:c r="AB597">
        <x:f>(S597*IF(E597="L",F597,0))+(S597*IF(G597="L",H597,0))</x:f>
      </x:c>
      <x:c r="AC597">
        <x:f>(S597*IF(E597="H",F597,0))+(S597*IF(G597="H",H597,0))</x:f>
      </x:c>
      <x:c r="AD597">
        <x:f>(S597*IF(E597="V",F597,0))+(S597*IF(G597="V",H597,0))</x:f>
      </x:c>
      <x:c r="AE597">
        <x:f>(S597*IF(E597="R",F597,0))+(S597*IF(G597="R",H597,0))</x:f>
      </x:c>
      <x:c r="AF597">
        <x:f>(S597*IF(E597="F",F597,0))+(S597*IF(G597="F",H597,0))</x:f>
      </x:c>
      <x:c r="AG597">
        <x:f>(S597*IF(E597="W",F597,0))+(S597*IF(G597="W",H597,0))</x:f>
      </x:c>
      <x:c r="AH597" t="inlineStr">
        <x:is>
          <x:t xml:space="preserve">1. Strategy &amp; Governance</x:t>
        </x:is>
      </x:c>
      <x:c r="AI597" t="inlineStr">
        <x:is>
          <x:t xml:space="preserve">Scope &amp; Boundaries</x:t>
        </x:is>
      </x:c>
      <x:c r="AJ597" t="inlineStr">
        <x:is>
          <x:t xml:space="preserve">Exceptions &amp; risk acceptance</x:t>
        </x:is>
      </x:c>
    </x:row>
    <x:row r="598">
      <x:c r="A598" t="inlineStr">
        <x:is>
          <x:t xml:space="preserve">DataBusiness</x:t>
        </x:is>
      </x:c>
      <x:c r="B598" t="inlineStr">
        <x:is>
          <x:t xml:space="preserve">DATA-D7-Q14</x:t>
        </x:is>
      </x:c>
      <x:c r="C598" t="inlineStr">
        <x:is>
          <x:t xml:space="preserve">T2</x:t>
        </x:is>
      </x:c>
      <x:c r="D598" t="inlineStr">
        <x:is>
          <x:t xml:space="preserve">9. Performance &amp; Reporting</x:t>
        </x:is>
      </x:c>
      <x:c r="E598" t="inlineStr">
        <x:is>
          <x:t xml:space="preserve">G</x:t>
        </x:is>
      </x:c>
      <x:c r="F598" t="n">
        <x:v>0.6</x:v>
      </x:c>
      <x:c r="G598" t="inlineStr">
        <x:is>
          <x:t xml:space="preserve">H</x:t>
        </x:is>
      </x:c>
      <x:c r="H598" t="n">
        <x:v>0.4</x:v>
      </x:c>
      <x:c r="I598" t="inlineStr">
        <x:is>
          <x:t xml:space="preserve">Do we report insider-risk related metrics in business terms (e.g., near-misses, exception rate, trust indicators), not just ‘alerts’?</x:t>
        </x:is>
      </x:c>
      <x:c r="J598" t="inlineStr">
        <x:is>
          <x:t xml:space="preserve">The goal is to show business impact and trust health.</x:t>
        </x:is>
      </x:c>
      <x:c r="L598" t="inlineStr">
        <x:is>
          <x:t xml:space="preserve">GOV_STD</x:t>
        </x:is>
      </x:c>
      <x:c r="M598" t="n">
        <x:v>1</x:v>
      </x:c>
      <x:c r="P598" t="inlineStr">
        <x:is>
          <x:t xml:space="preserve">DATA-D7-Q14-A1</x:t>
        </x:is>
      </x:c>
      <x:c r="Q598" t="n">
        <x:v>2</x:v>
      </x:c>
      <x:c r="R598" t="inlineStr">
        <x:is>
          <x:t xml:space="preserve">Some: We have occasional business reporting but it’s not consistent.</x:t>
        </x:is>
      </x:c>
      <x:c r="S598" t="n">
        <x:v>1</x:v>
      </x:c>
      <x:c r="T598" t="inlineStr">
        <x:is>
          <x:t xml:space="preserve">operating_model_gap</x:t>
        </x:is>
      </x:c>
      <x:c r="U598" t="inlineStr">
        <x:is>
          <x:t xml:space="preserve">Operating Model Gap</x:t>
        </x:is>
      </x:c>
      <x:c r="V598" t="inlineStr">
        <x:is>
          <x:t xml:space="preserve">Standardize_Business_Reporting</x:t>
        </x:is>
      </x:c>
      <x:c r="W598" t="inlineStr">
        <x:is>
          <x:t xml:space="preserve">N</x:t>
        </x:is>
      </x:c>
      <x:c r="Y598">
        <x:f>(S598*IF(E598="G",F598,0))+(S598*IF(G598="G",H598,0))</x:f>
      </x:c>
      <x:c r="Z598">
        <x:f>(S598*IF(E598="E",F598,0))+(S598*IF(G598="E",H598,0))</x:f>
      </x:c>
      <x:c r="AA598">
        <x:f>(S598*IF(E598="T",F598,0))+(S598*IF(G598="T",H598,0))</x:f>
      </x:c>
      <x:c r="AB598">
        <x:f>(S598*IF(E598="L",F598,0))+(S598*IF(G598="L",H598,0))</x:f>
      </x:c>
      <x:c r="AC598">
        <x:f>(S598*IF(E598="H",F598,0))+(S598*IF(G598="H",H598,0))</x:f>
      </x:c>
      <x:c r="AD598">
        <x:f>(S598*IF(E598="V",F598,0))+(S598*IF(G598="V",H598,0))</x:f>
      </x:c>
      <x:c r="AE598">
        <x:f>(S598*IF(E598="R",F598,0))+(S598*IF(G598="R",H598,0))</x:f>
      </x:c>
      <x:c r="AF598">
        <x:f>(S598*IF(E598="F",F598,0))+(S598*IF(G598="F",H598,0))</x:f>
      </x:c>
      <x:c r="AG598">
        <x:f>(S598*IF(E598="W",F598,0))+(S598*IF(G598="W",H598,0))</x:f>
      </x:c>
      <x:c r="AH598" t="inlineStr">
        <x:is>
          <x:t xml:space="preserve">1. Strategy &amp; Governance</x:t>
        </x:is>
      </x:c>
      <x:c r="AI598" t="inlineStr">
        <x:is>
          <x:t xml:space="preserve">Scope &amp; Boundaries</x:t>
        </x:is>
      </x:c>
      <x:c r="AJ598" t="inlineStr">
        <x:is>
          <x:t xml:space="preserve">Exceptions &amp; risk acceptance</x:t>
        </x:is>
      </x:c>
    </x:row>
    <x:row r="599">
      <x:c r="A599" t="inlineStr">
        <x:is>
          <x:t xml:space="preserve">DataBusiness</x:t>
        </x:is>
      </x:c>
      <x:c r="B599" t="inlineStr">
        <x:is>
          <x:t xml:space="preserve">DATA-D7-Q14</x:t>
        </x:is>
      </x:c>
      <x:c r="C599" t="inlineStr">
        <x:is>
          <x:t xml:space="preserve">T2</x:t>
        </x:is>
      </x:c>
      <x:c r="D599" t="inlineStr">
        <x:is>
          <x:t xml:space="preserve">9. Performance &amp; Reporting</x:t>
        </x:is>
      </x:c>
      <x:c r="E599" t="inlineStr">
        <x:is>
          <x:t xml:space="preserve">G</x:t>
        </x:is>
      </x:c>
      <x:c r="F599" t="n">
        <x:v>0.6</x:v>
      </x:c>
      <x:c r="G599" t="inlineStr">
        <x:is>
          <x:t xml:space="preserve">H</x:t>
        </x:is>
      </x:c>
      <x:c r="H599" t="n">
        <x:v>0.4</x:v>
      </x:c>
      <x:c r="I599" t="inlineStr">
        <x:is>
          <x:t xml:space="preserve">Do we report insider-risk related metrics in business terms (e.g., near-misses, exception rate, trust indicators), not just ‘alerts’?</x:t>
        </x:is>
      </x:c>
      <x:c r="J599" t="inlineStr">
        <x:is>
          <x:t xml:space="preserve">The goal is to show business impact and trust health.</x:t>
        </x:is>
      </x:c>
      <x:c r="L599" t="inlineStr">
        <x:is>
          <x:t xml:space="preserve">GOV_STD</x:t>
        </x:is>
      </x:c>
      <x:c r="M599" t="n">
        <x:v>1</x:v>
      </x:c>
      <x:c r="P599" t="inlineStr">
        <x:is>
          <x:t xml:space="preserve">DATA-D7-Q14-A2</x:t>
        </x:is>
      </x:c>
      <x:c r="Q599" t="n">
        <x:v>3</x:v>
      </x:c>
      <x:c r="R599" t="inlineStr">
        <x:is>
          <x:t xml:space="preserve">Yes: Regular dashboard with meaningful business indicators.</x:t>
        </x:is>
      </x:c>
      <x:c r="S599" t="n">
        <x:v>3</x:v>
      </x:c>
      <x:c r="V599" t="inlineStr">
        <x:is>
          <x:t xml:space="preserve">Evidence_Request_Dashboard</x:t>
        </x:is>
      </x:c>
      <x:c r="W599" t="inlineStr">
        <x:is>
          <x:t xml:space="preserve">N</x:t>
        </x:is>
      </x:c>
      <x:c r="Y599">
        <x:f>(S599*IF(E599="G",F599,0))+(S599*IF(G599="G",H599,0))</x:f>
      </x:c>
      <x:c r="Z599">
        <x:f>(S599*IF(E599="E",F599,0))+(S599*IF(G599="E",H599,0))</x:f>
      </x:c>
      <x:c r="AA599">
        <x:f>(S599*IF(E599="T",F599,0))+(S599*IF(G599="T",H599,0))</x:f>
      </x:c>
      <x:c r="AB599">
        <x:f>(S599*IF(E599="L",F599,0))+(S599*IF(G599="L",H599,0))</x:f>
      </x:c>
      <x:c r="AC599">
        <x:f>(S599*IF(E599="H",F599,0))+(S599*IF(G599="H",H599,0))</x:f>
      </x:c>
      <x:c r="AD599">
        <x:f>(S599*IF(E599="V",F599,0))+(S599*IF(G599="V",H599,0))</x:f>
      </x:c>
      <x:c r="AE599">
        <x:f>(S599*IF(E599="R",F599,0))+(S599*IF(G599="R",H599,0))</x:f>
      </x:c>
      <x:c r="AF599">
        <x:f>(S599*IF(E599="F",F599,0))+(S599*IF(G599="F",H599,0))</x:f>
      </x:c>
      <x:c r="AG599">
        <x:f>(S599*IF(E599="W",F599,0))+(S599*IF(G599="W",H599,0))</x:f>
      </x:c>
      <x:c r="AH599" t="inlineStr">
        <x:is>
          <x:t xml:space="preserve">1. Strategy &amp; Governance</x:t>
        </x:is>
      </x:c>
      <x:c r="AI599" t="inlineStr">
        <x:is>
          <x:t xml:space="preserve">Scope &amp; Boundaries</x:t>
        </x:is>
      </x:c>
      <x:c r="AJ599" t="inlineStr">
        <x:is>
          <x:t xml:space="preserve">Exceptions &amp; risk acceptance</x:t>
        </x:is>
      </x:c>
    </x:row>
    <x:row r="600">
      <x:c r="A600" t="inlineStr">
        <x:is>
          <x:t xml:space="preserve">DataBusiness</x:t>
        </x:is>
      </x:c>
      <x:c r="B600" t="inlineStr">
        <x:is>
          <x:t xml:space="preserve">DATA-D7-Q14</x:t>
        </x:is>
      </x:c>
      <x:c r="C600" t="inlineStr">
        <x:is>
          <x:t xml:space="preserve">T2</x:t>
        </x:is>
      </x:c>
      <x:c r="D600" t="inlineStr">
        <x:is>
          <x:t xml:space="preserve">9. Performance &amp; Reporting</x:t>
        </x:is>
      </x:c>
      <x:c r="E600" t="inlineStr">
        <x:is>
          <x:t xml:space="preserve">G</x:t>
        </x:is>
      </x:c>
      <x:c r="F600" t="n">
        <x:v>0.6</x:v>
      </x:c>
      <x:c r="G600" t="inlineStr">
        <x:is>
          <x:t xml:space="preserve">H</x:t>
        </x:is>
      </x:c>
      <x:c r="H600" t="n">
        <x:v>0.4</x:v>
      </x:c>
      <x:c r="I600" t="inlineStr">
        <x:is>
          <x:t xml:space="preserve">Do we report insider-risk related metrics in business terms (e.g., near-misses, exception rate, trust indicators), not just ‘alerts’?</x:t>
        </x:is>
      </x:c>
      <x:c r="J600" t="inlineStr">
        <x:is>
          <x:t xml:space="preserve">The goal is to show business impact and trust health.</x:t>
        </x:is>
      </x:c>
      <x:c r="L600" t="inlineStr">
        <x:is>
          <x:t xml:space="preserve">GOV_STD</x:t>
        </x:is>
      </x:c>
      <x:c r="M600" t="n">
        <x:v>1</x:v>
      </x:c>
      <x:c r="P600" t="inlineStr">
        <x:is>
          <x:t xml:space="preserve">DATA-D7-Q14-A3</x:t>
        </x:is>
      </x:c>
      <x:c r="Q600" t="n">
        <x:v>4</x:v>
      </x:c>
      <x:c r="R600" t="inlineStr">
        <x:is>
          <x:t xml:space="preserve">Mature: Metrics drive decisions and are tied to remediation priorities.</x:t>
        </x:is>
      </x:c>
      <x:c r="S600" t="n">
        <x:v>4</x:v>
      </x:c>
      <x:c r="V600" t="inlineStr">
        <x:is>
          <x:t xml:space="preserve">Maintain_and_Audit</x:t>
        </x:is>
      </x:c>
      <x:c r="W600" t="inlineStr">
        <x:is>
          <x:t xml:space="preserve">N</x:t>
        </x:is>
      </x:c>
      <x:c r="Y600">
        <x:f>(S600*IF(E600="G",F600,0))+(S600*IF(G600="G",H600,0))</x:f>
      </x:c>
      <x:c r="Z600">
        <x:f>(S600*IF(E600="E",F600,0))+(S600*IF(G600="E",H600,0))</x:f>
      </x:c>
      <x:c r="AA600">
        <x:f>(S600*IF(E600="T",F600,0))+(S600*IF(G600="T",H600,0))</x:f>
      </x:c>
      <x:c r="AB600">
        <x:f>(S600*IF(E600="L",F600,0))+(S600*IF(G600="L",H600,0))</x:f>
      </x:c>
      <x:c r="AC600">
        <x:f>(S600*IF(E600="H",F600,0))+(S600*IF(G600="H",H600,0))</x:f>
      </x:c>
      <x:c r="AD600">
        <x:f>(S600*IF(E600="V",F600,0))+(S600*IF(G600="V",H600,0))</x:f>
      </x:c>
      <x:c r="AE600">
        <x:f>(S600*IF(E600="R",F600,0))+(S600*IF(G600="R",H600,0))</x:f>
      </x:c>
      <x:c r="AF600">
        <x:f>(S600*IF(E600="F",F600,0))+(S600*IF(G600="F",H600,0))</x:f>
      </x:c>
      <x:c r="AG600">
        <x:f>(S600*IF(E600="W",F600,0))+(S600*IF(G600="W",H600,0))</x:f>
      </x:c>
      <x:c r="AH600" t="inlineStr">
        <x:is>
          <x:t xml:space="preserve">1. Strategy &amp; Governance</x:t>
        </x:is>
      </x:c>
      <x:c r="AI600" t="inlineStr">
        <x:is>
          <x:t xml:space="preserve">Scope &amp; Boundaries</x:t>
        </x:is>
      </x:c>
      <x:c r="AJ600" t="inlineStr">
        <x:is>
          <x:t xml:space="preserve">Exceptions &amp; risk acceptance</x:t>
        </x:is>
      </x:c>
    </x:row>
    <x:row r="601">
      <x:c r="A601" t="inlineStr">
        <x:is>
          <x:t xml:space="preserve">DataBusiness</x:t>
        </x:is>
      </x:c>
      <x:c r="B601" t="inlineStr">
        <x:is>
          <x:t xml:space="preserve">DATA-D8-Q15</x:t>
        </x:is>
      </x:c>
      <x:c r="C601" t="inlineStr">
        <x:is>
          <x:t xml:space="preserve">T3</x:t>
        </x:is>
      </x:c>
      <x:c r="D601" t="inlineStr">
        <x:is>
          <x:t xml:space="preserve">3. Risk &amp; Data Handling</x:t>
        </x:is>
      </x:c>
      <x:c r="E601" t="inlineStr">
        <x:is>
          <x:t xml:space="preserve">E</x:t>
        </x:is>
      </x:c>
      <x:c r="F601" t="n">
        <x:v>0.5</x:v>
      </x:c>
      <x:c r="G601" t="inlineStr">
        <x:is>
          <x:t xml:space="preserve">V</x:t>
        </x:is>
      </x:c>
      <x:c r="H601" t="n">
        <x:v>0.5</x:v>
      </x:c>
      <x:c r="I601" t="inlineStr">
        <x:is>
          <x:t xml:space="preserve">Do teams classify/label sensitive data in a way that actually influences daily handling and sharing?</x:t>
        </x:is>
      </x:c>
      <x:c r="J601" t="inlineStr">
        <x:is>
          <x:t xml:space="preserve">This isn’t about perfect taxonomy—it’s about practical use (e.g., marking a file as confidential and seeing behavior change).</x:t>
        </x:is>
      </x:c>
      <x:c r="L601" t="inlineStr">
        <x:is>
          <x:t xml:space="preserve">OPS_STD</x:t>
        </x:is>
      </x:c>
      <x:c r="M601" t="n">
        <x:v>1</x:v>
      </x:c>
      <x:c r="P601" t="inlineStr">
        <x:is>
          <x:t xml:space="preserve">DATA-D8-Q15-A0</x:t>
        </x:is>
      </x:c>
      <x:c r="Q601" t="n">
        <x:v>1</x:v>
      </x:c>
      <x:c r="R601" t="inlineStr">
        <x:is>
          <x:t xml:space="preserve">No: Classification exists only as policy; not used in practice.</x:t>
        </x:is>
      </x:c>
      <x:c r="S601" t="n">
        <x:v>0</x:v>
      </x:c>
      <x:c r="T601" t="inlineStr">
        <x:is>
          <x:t xml:space="preserve">paper_dragon_signal</x:t>
        </x:is>
      </x:c>
      <x:c r="U601" t="inlineStr">
        <x:is>
          <x:t xml:space="preserve">Paper Dragon</x:t>
        </x:is>
      </x:c>
      <x:c r="V601" t="inlineStr">
        <x:is>
          <x:t xml:space="preserve">Practical_Labeling</x:t>
        </x:is>
      </x:c>
      <x:c r="W601" t="inlineStr">
        <x:is>
          <x:t xml:space="preserve">N</x:t>
        </x:is>
      </x:c>
      <x:c r="Y601">
        <x:f>(S601*IF(E601="G",F601,0))+(S601*IF(G601="G",H601,0))</x:f>
      </x:c>
      <x:c r="Z601">
        <x:f>(S601*IF(E601="E",F601,0))+(S601*IF(G601="E",H601,0))</x:f>
      </x:c>
      <x:c r="AA601">
        <x:f>(S601*IF(E601="T",F601,0))+(S601*IF(G601="T",H601,0))</x:f>
      </x:c>
      <x:c r="AB601">
        <x:f>(S601*IF(E601="L",F601,0))+(S601*IF(G601="L",H601,0))</x:f>
      </x:c>
      <x:c r="AC601">
        <x:f>(S601*IF(E601="H",F601,0))+(S601*IF(G601="H",H601,0))</x:f>
      </x:c>
      <x:c r="AD601">
        <x:f>(S601*IF(E601="V",F601,0))+(S601*IF(G601="V",H601,0))</x:f>
      </x:c>
      <x:c r="AE601">
        <x:f>(S601*IF(E601="R",F601,0))+(S601*IF(G601="R",H601,0))</x:f>
      </x:c>
      <x:c r="AF601">
        <x:f>(S601*IF(E601="F",F601,0))+(S601*IF(G601="F",H601,0))</x:f>
      </x:c>
      <x:c r="AG601">
        <x:f>(S601*IF(E601="W",F601,0))+(S601*IF(G601="W",H601,0))</x:f>
      </x:c>
      <x:c r="AH601" t="inlineStr">
        <x:is>
          <x:t xml:space="preserve">3. Risk Management</x:t>
        </x:is>
      </x:c>
      <x:c r="AI601" t="inlineStr">
        <x:is>
          <x:t xml:space="preserve">Inventory &amp; Scope</x:t>
        </x:is>
      </x:c>
      <x:c r="AJ601" t="inlineStr">
        <x:is>
          <x:t xml:space="preserve">Crown jewels/HVA identification</x:t>
        </x:is>
      </x:c>
    </x:row>
    <x:row r="602">
      <x:c r="A602" t="inlineStr">
        <x:is>
          <x:t xml:space="preserve">DataBusiness</x:t>
        </x:is>
      </x:c>
      <x:c r="B602" t="inlineStr">
        <x:is>
          <x:t xml:space="preserve">DATA-D8-Q15</x:t>
        </x:is>
      </x:c>
      <x:c r="C602" t="inlineStr">
        <x:is>
          <x:t xml:space="preserve">T3</x:t>
        </x:is>
      </x:c>
      <x:c r="D602" t="inlineStr">
        <x:is>
          <x:t xml:space="preserve">3. Risk &amp; Data Handling</x:t>
        </x:is>
      </x:c>
      <x:c r="E602" t="inlineStr">
        <x:is>
          <x:t xml:space="preserve">E</x:t>
        </x:is>
      </x:c>
      <x:c r="F602" t="n">
        <x:v>0.5</x:v>
      </x:c>
      <x:c r="G602" t="inlineStr">
        <x:is>
          <x:t xml:space="preserve">V</x:t>
        </x:is>
      </x:c>
      <x:c r="H602" t="n">
        <x:v>0.5</x:v>
      </x:c>
      <x:c r="I602" t="inlineStr">
        <x:is>
          <x:t xml:space="preserve">Do teams classify/label sensitive data in a way that actually influences daily handling and sharing?</x:t>
        </x:is>
      </x:c>
      <x:c r="J602" t="inlineStr">
        <x:is>
          <x:t xml:space="preserve">This isn’t about perfect taxonomy—it’s about practical use (e.g., marking a file as confidential and seeing behavior change).</x:t>
        </x:is>
      </x:c>
      <x:c r="L602" t="inlineStr">
        <x:is>
          <x:t xml:space="preserve">OPS_STD</x:t>
        </x:is>
      </x:c>
      <x:c r="M602" t="n">
        <x:v>1</x:v>
      </x:c>
      <x:c r="P602" t="inlineStr">
        <x:is>
          <x:t xml:space="preserve">DATA-D8-Q15-A1</x:t>
        </x:is>
      </x:c>
      <x:c r="Q602" t="n">
        <x:v>2</x:v>
      </x:c>
      <x:c r="R602" t="inlineStr">
        <x:is>
          <x:t xml:space="preserve">Partial: Some teams use it, but adoption is uneven.</x:t>
        </x:is>
      </x:c>
      <x:c r="S602" t="n">
        <x:v>1</x:v>
      </x:c>
      <x:c r="T602" t="inlineStr">
        <x:is>
          <x:t xml:space="preserve">operating_model_gap</x:t>
        </x:is>
      </x:c>
      <x:c r="U602" t="inlineStr">
        <x:is>
          <x:t xml:space="preserve">Operating Model Gap</x:t>
        </x:is>
      </x:c>
      <x:c r="V602" t="inlineStr">
        <x:is>
          <x:t xml:space="preserve">Increase_Adoption</x:t>
        </x:is>
      </x:c>
      <x:c r="W602" t="inlineStr">
        <x:is>
          <x:t xml:space="preserve">N</x:t>
        </x:is>
      </x:c>
      <x:c r="Y602">
        <x:f>(S602*IF(E602="G",F602,0))+(S602*IF(G602="G",H602,0))</x:f>
      </x:c>
      <x:c r="Z602">
        <x:f>(S602*IF(E602="E",F602,0))+(S602*IF(G602="E",H602,0))</x:f>
      </x:c>
      <x:c r="AA602">
        <x:f>(S602*IF(E602="T",F602,0))+(S602*IF(G602="T",H602,0))</x:f>
      </x:c>
      <x:c r="AB602">
        <x:f>(S602*IF(E602="L",F602,0))+(S602*IF(G602="L",H602,0))</x:f>
      </x:c>
      <x:c r="AC602">
        <x:f>(S602*IF(E602="H",F602,0))+(S602*IF(G602="H",H602,0))</x:f>
      </x:c>
      <x:c r="AD602">
        <x:f>(S602*IF(E602="V",F602,0))+(S602*IF(G602="V",H602,0))</x:f>
      </x:c>
      <x:c r="AE602">
        <x:f>(S602*IF(E602="R",F602,0))+(S602*IF(G602="R",H602,0))</x:f>
      </x:c>
      <x:c r="AF602">
        <x:f>(S602*IF(E602="F",F602,0))+(S602*IF(G602="F",H602,0))</x:f>
      </x:c>
      <x:c r="AG602">
        <x:f>(S602*IF(E602="W",F602,0))+(S602*IF(G602="W",H602,0))</x:f>
      </x:c>
      <x:c r="AH602" t="inlineStr">
        <x:is>
          <x:t xml:space="preserve">3. Risk Management</x:t>
        </x:is>
      </x:c>
      <x:c r="AI602" t="inlineStr">
        <x:is>
          <x:t xml:space="preserve">Inventory &amp; Scope</x:t>
        </x:is>
      </x:c>
      <x:c r="AJ602" t="inlineStr">
        <x:is>
          <x:t xml:space="preserve">Crown jewels/HVA identification</x:t>
        </x:is>
      </x:c>
    </x:row>
    <x:row r="603">
      <x:c r="A603" t="inlineStr">
        <x:is>
          <x:t xml:space="preserve">DataBusiness</x:t>
        </x:is>
      </x:c>
      <x:c r="B603" t="inlineStr">
        <x:is>
          <x:t xml:space="preserve">DATA-D8-Q15</x:t>
        </x:is>
      </x:c>
      <x:c r="C603" t="inlineStr">
        <x:is>
          <x:t xml:space="preserve">T3</x:t>
        </x:is>
      </x:c>
      <x:c r="D603" t="inlineStr">
        <x:is>
          <x:t xml:space="preserve">3. Risk &amp; Data Handling</x:t>
        </x:is>
      </x:c>
      <x:c r="E603" t="inlineStr">
        <x:is>
          <x:t xml:space="preserve">E</x:t>
        </x:is>
      </x:c>
      <x:c r="F603" t="n">
        <x:v>0.5</x:v>
      </x:c>
      <x:c r="G603" t="inlineStr">
        <x:is>
          <x:t xml:space="preserve">V</x:t>
        </x:is>
      </x:c>
      <x:c r="H603" t="n">
        <x:v>0.5</x:v>
      </x:c>
      <x:c r="I603" t="inlineStr">
        <x:is>
          <x:t xml:space="preserve">Do teams classify/label sensitive data in a way that actually influences daily handling and sharing?</x:t>
        </x:is>
      </x:c>
      <x:c r="J603" t="inlineStr">
        <x:is>
          <x:t xml:space="preserve">This isn’t about perfect taxonomy—it’s about practical use (e.g., marking a file as confidential and seeing behavior change).</x:t>
        </x:is>
      </x:c>
      <x:c r="L603" t="inlineStr">
        <x:is>
          <x:t xml:space="preserve">OPS_STD</x:t>
        </x:is>
      </x:c>
      <x:c r="M603" t="n">
        <x:v>1</x:v>
      </x:c>
      <x:c r="P603" t="inlineStr">
        <x:is>
          <x:t xml:space="preserve">DATA-D8-Q15-A2</x:t>
        </x:is>
      </x:c>
      <x:c r="Q603" t="n">
        <x:v>3</x:v>
      </x:c>
      <x:c r="R603" t="inlineStr">
        <x:is>
          <x:t xml:space="preserve">Yes: Classification is embedded in key workflows and used broadly.</x:t>
        </x:is>
      </x:c>
      <x:c r="S603" t="n">
        <x:v>3</x:v>
      </x:c>
      <x:c r="V603" t="inlineStr">
        <x:is>
          <x:t xml:space="preserve">Evidence_Request_Labeling</x:t>
        </x:is>
      </x:c>
      <x:c r="W603" t="inlineStr">
        <x:is>
          <x:t xml:space="preserve">N</x:t>
        </x:is>
      </x:c>
      <x:c r="Y603">
        <x:f>(S603*IF(E603="G",F603,0))+(S603*IF(G603="G",H603,0))</x:f>
      </x:c>
      <x:c r="Z603">
        <x:f>(S603*IF(E603="E",F603,0))+(S603*IF(G603="E",H603,0))</x:f>
      </x:c>
      <x:c r="AA603">
        <x:f>(S603*IF(E603="T",F603,0))+(S603*IF(G603="T",H603,0))</x:f>
      </x:c>
      <x:c r="AB603">
        <x:f>(S603*IF(E603="L",F603,0))+(S603*IF(G603="L",H603,0))</x:f>
      </x:c>
      <x:c r="AC603">
        <x:f>(S603*IF(E603="H",F603,0))+(S603*IF(G603="H",H603,0))</x:f>
      </x:c>
      <x:c r="AD603">
        <x:f>(S603*IF(E603="V",F603,0))+(S603*IF(G603="V",H603,0))</x:f>
      </x:c>
      <x:c r="AE603">
        <x:f>(S603*IF(E603="R",F603,0))+(S603*IF(G603="R",H603,0))</x:f>
      </x:c>
      <x:c r="AF603">
        <x:f>(S603*IF(E603="F",F603,0))+(S603*IF(G603="F",H603,0))</x:f>
      </x:c>
      <x:c r="AG603">
        <x:f>(S603*IF(E603="W",F603,0))+(S603*IF(G603="W",H603,0))</x:f>
      </x:c>
      <x:c r="AH603" t="inlineStr">
        <x:is>
          <x:t xml:space="preserve">3. Risk Management</x:t>
        </x:is>
      </x:c>
      <x:c r="AI603" t="inlineStr">
        <x:is>
          <x:t xml:space="preserve">Inventory &amp; Scope</x:t>
        </x:is>
      </x:c>
      <x:c r="AJ603" t="inlineStr">
        <x:is>
          <x:t xml:space="preserve">Crown jewels/HVA identification</x:t>
        </x:is>
      </x:c>
    </x:row>
    <x:row r="604">
      <x:c r="A604" t="inlineStr">
        <x:is>
          <x:t xml:space="preserve">DataBusiness</x:t>
        </x:is>
      </x:c>
      <x:c r="B604" t="inlineStr">
        <x:is>
          <x:t xml:space="preserve">DATA-D8-Q15</x:t>
        </x:is>
      </x:c>
      <x:c r="C604" t="inlineStr">
        <x:is>
          <x:t xml:space="preserve">T3</x:t>
        </x:is>
      </x:c>
      <x:c r="D604" t="inlineStr">
        <x:is>
          <x:t xml:space="preserve">3. Risk &amp; Data Handling</x:t>
        </x:is>
      </x:c>
      <x:c r="E604" t="inlineStr">
        <x:is>
          <x:t xml:space="preserve">E</x:t>
        </x:is>
      </x:c>
      <x:c r="F604" t="n">
        <x:v>0.5</x:v>
      </x:c>
      <x:c r="G604" t="inlineStr">
        <x:is>
          <x:t xml:space="preserve">V</x:t>
        </x:is>
      </x:c>
      <x:c r="H604" t="n">
        <x:v>0.5</x:v>
      </x:c>
      <x:c r="I604" t="inlineStr">
        <x:is>
          <x:t xml:space="preserve">Do teams classify/label sensitive data in a way that actually influences daily handling and sharing?</x:t>
        </x:is>
      </x:c>
      <x:c r="J604" t="inlineStr">
        <x:is>
          <x:t xml:space="preserve">This isn’t about perfect taxonomy—it’s about practical use (e.g., marking a file as confidential and seeing behavior change).</x:t>
        </x:is>
      </x:c>
      <x:c r="L604" t="inlineStr">
        <x:is>
          <x:t xml:space="preserve">OPS_STD</x:t>
        </x:is>
      </x:c>
      <x:c r="M604" t="n">
        <x:v>1</x:v>
      </x:c>
      <x:c r="P604" t="inlineStr">
        <x:is>
          <x:t xml:space="preserve">DATA-D8-Q15-A3</x:t>
        </x:is>
      </x:c>
      <x:c r="Q604" t="n">
        <x:v>4</x:v>
      </x:c>
      <x:c r="R604" t="inlineStr">
        <x:is>
          <x:t xml:space="preserve">Mature: Measured adoption + automation + continuous improvement.</x:t>
        </x:is>
      </x:c>
      <x:c r="S604" t="n">
        <x:v>4</x:v>
      </x:c>
      <x:c r="V604" t="inlineStr">
        <x:is>
          <x:t xml:space="preserve">Maintain_and_Audit</x:t>
        </x:is>
      </x:c>
      <x:c r="W604" t="inlineStr">
        <x:is>
          <x:t xml:space="preserve">N</x:t>
        </x:is>
      </x:c>
      <x:c r="Y604">
        <x:f>(S604*IF(E604="G",F604,0))+(S604*IF(G604="G",H604,0))</x:f>
      </x:c>
      <x:c r="Z604">
        <x:f>(S604*IF(E604="E",F604,0))+(S604*IF(G604="E",H604,0))</x:f>
      </x:c>
      <x:c r="AA604">
        <x:f>(S604*IF(E604="T",F604,0))+(S604*IF(G604="T",H604,0))</x:f>
      </x:c>
      <x:c r="AB604">
        <x:f>(S604*IF(E604="L",F604,0))+(S604*IF(G604="L",H604,0))</x:f>
      </x:c>
      <x:c r="AC604">
        <x:f>(S604*IF(E604="H",F604,0))+(S604*IF(G604="H",H604,0))</x:f>
      </x:c>
      <x:c r="AD604">
        <x:f>(S604*IF(E604="V",F604,0))+(S604*IF(G604="V",H604,0))</x:f>
      </x:c>
      <x:c r="AE604">
        <x:f>(S604*IF(E604="R",F604,0))+(S604*IF(G604="R",H604,0))</x:f>
      </x:c>
      <x:c r="AF604">
        <x:f>(S604*IF(E604="F",F604,0))+(S604*IF(G604="F",H604,0))</x:f>
      </x:c>
      <x:c r="AG604">
        <x:f>(S604*IF(E604="W",F604,0))+(S604*IF(G604="W",H604,0))</x:f>
      </x:c>
      <x:c r="AH604" t="inlineStr">
        <x:is>
          <x:t xml:space="preserve">3. Risk Management</x:t>
        </x:is>
      </x:c>
      <x:c r="AI604" t="inlineStr">
        <x:is>
          <x:t xml:space="preserve">Inventory &amp; Scope</x:t>
        </x:is>
      </x:c>
      <x:c r="AJ604" t="inlineStr">
        <x:is>
          <x:t xml:space="preserve">Crown jewels/HVA identification</x:t>
        </x:is>
      </x:c>
    </x:row>
    <x:row r="605">
      <x:c r="A605" t="inlineStr">
        <x:is>
          <x:t xml:space="preserve">IT_IAM</x:t>
        </x:is>
      </x:c>
      <x:c r="B605" t="inlineStr">
        <x:is>
          <x:t xml:space="preserve">ITIAM-D1-Q01</x:t>
        </x:is>
      </x:c>
      <x:c r="C605" t="inlineStr">
        <x:is>
          <x:t xml:space="preserve">T1</x:t>
        </x:is>
      </x:c>
      <x:c r="D605" t="inlineStr">
        <x:is>
          <x:t xml:space="preserve">6. Tech &amp; Identity</x:t>
        </x:is>
      </x:c>
      <x:c r="E605" t="inlineStr">
        <x:is>
          <x:t xml:space="preserve">E</x:t>
        </x:is>
      </x:c>
      <x:c r="F605" t="n">
        <x:v>0.7</x:v>
      </x:c>
      <x:c r="G605" t="inlineStr">
        <x:is>
          <x:t xml:space="preserve">T</x:t>
        </x:is>
      </x:c>
      <x:c r="H605" t="n">
        <x:v>0.3</x:v>
      </x:c>
      <x:c r="I605" t="inlineStr">
        <x:is>
          <x:t xml:space="preserve">When someone leaves the organization, how quickly is their access removed across core systems (email, VPN, SaaS, key apps)?</x:t>
        </x:is>
      </x:c>
      <x:c r="J605" t="inlineStr">
        <x:is>
          <x:t xml:space="preserve">Think about both planned exits and urgent terminations. Speed matters for insider risk.</x:t>
        </x:is>
      </x:c>
      <x:c r="L605" t="inlineStr">
        <x:is>
          <x:t xml:space="preserve">OPS_STD</x:t>
        </x:is>
      </x:c>
      <x:c r="M605" t="n">
        <x:v>1.5</x:v>
      </x:c>
      <x:c r="N605" t="n">
        <x:v>0.5</x:v>
      </x:c>
      <x:c r="P605" t="inlineStr">
        <x:is>
          <x:t xml:space="preserve">ITIAM-D1-Q01-A0</x:t>
        </x:is>
      </x:c>
      <x:c r="Q605" t="n">
        <x:v>1</x:v>
      </x:c>
      <x:c r="R605" t="inlineStr">
        <x:is>
          <x:t xml:space="preserve">I don’t know / not sure.</x:t>
        </x:is>
      </x:c>
      <x:c r="S605" t="n">
        <x:v>0</x:v>
      </x:c>
      <x:c r="T605" t="inlineStr">
        <x:is>
          <x:t xml:space="preserve">unknown</x:t>
        </x:is>
      </x:c>
      <x:c r="U605" t="inlineStr">
        <x:is>
          <x:t xml:space="preserve">Unknown</x:t>
        </x:is>
      </x:c>
      <x:c r="V605" t="inlineStr">
        <x:is>
          <x:t xml:space="preserve">Clarify_Offboarding</x:t>
        </x:is>
      </x:c>
      <x:c r="W605" t="inlineStr">
        <x:is>
          <x:t xml:space="preserve">N</x:t>
        </x:is>
      </x:c>
      <x:c r="Y605">
        <x:f>(S605*IF(E605="G",F605,0))+(S605*IF(G605="G",H605,0))</x:f>
      </x:c>
      <x:c r="Z605">
        <x:f>(S605*IF(E605="E",F605,0))+(S605*IF(G605="E",H605,0))</x:f>
      </x:c>
      <x:c r="AA605">
        <x:f>(S605*IF(E605="T",F605,0))+(S605*IF(G605="T",H605,0))</x:f>
      </x:c>
      <x:c r="AB605">
        <x:f>(S605*IF(E605="L",F605,0))+(S605*IF(G605="L",H605,0))</x:f>
      </x:c>
      <x:c r="AC605">
        <x:f>(S605*IF(E605="H",F605,0))+(S605*IF(G605="H",H605,0))</x:f>
      </x:c>
      <x:c r="AD605">
        <x:f>(S605*IF(E605="V",F605,0))+(S605*IF(G605="V",H605,0))</x:f>
      </x:c>
      <x:c r="AE605">
        <x:f>(S605*IF(E605="R",F605,0))+(S605*IF(G605="R",H605,0))</x:f>
      </x:c>
      <x:c r="AF605">
        <x:f>(S605*IF(E605="F",F605,0))+(S605*IF(G605="F",H605,0))</x:f>
      </x:c>
      <x:c r="AG605">
        <x:f>(S605*IF(E605="W",F605,0))+(S605*IF(G605="W",H605,0))</x:f>
      </x:c>
      <x:c r="AH605" t="inlineStr">
        <x:is>
          <x:t xml:space="preserve">1. Strategy &amp; Governance</x:t>
        </x:is>
      </x:c>
      <x:c r="AI605" t="inlineStr">
        <x:is>
          <x:t xml:space="preserve">Scope &amp; Boundaries</x:t>
        </x:is>
      </x:c>
      <x:c r="AJ605" t="inlineStr">
        <x:is>
          <x:t xml:space="preserve">Exceptions &amp; risk acceptance</x:t>
        </x:is>
      </x:c>
    </x:row>
    <x:row r="606">
      <x:c r="A606" t="inlineStr">
        <x:is>
          <x:t xml:space="preserve">IT_IAM</x:t>
        </x:is>
      </x:c>
      <x:c r="B606" t="inlineStr">
        <x:is>
          <x:t xml:space="preserve">ITIAM-D1-Q01</x:t>
        </x:is>
      </x:c>
      <x:c r="C606" t="inlineStr">
        <x:is>
          <x:t xml:space="preserve">T1</x:t>
        </x:is>
      </x:c>
      <x:c r="D606" t="inlineStr">
        <x:is>
          <x:t xml:space="preserve">6. Tech &amp; Identity</x:t>
        </x:is>
      </x:c>
      <x:c r="E606" t="inlineStr">
        <x:is>
          <x:t xml:space="preserve">E</x:t>
        </x:is>
      </x:c>
      <x:c r="F606" t="n">
        <x:v>0.7</x:v>
      </x:c>
      <x:c r="G606" t="inlineStr">
        <x:is>
          <x:t xml:space="preserve">T</x:t>
        </x:is>
      </x:c>
      <x:c r="H606" t="n">
        <x:v>0.3</x:v>
      </x:c>
      <x:c r="I606" t="inlineStr">
        <x:is>
          <x:t xml:space="preserve">When someone leaves the organization, how quickly is their access removed across core systems (email, VPN, SaaS, key apps)?</x:t>
        </x:is>
      </x:c>
      <x:c r="J606" t="inlineStr">
        <x:is>
          <x:t xml:space="preserve">Think about both planned exits and urgent terminations. Speed matters for insider risk.</x:t>
        </x:is>
      </x:c>
      <x:c r="L606" t="inlineStr">
        <x:is>
          <x:t xml:space="preserve">OPS_STD</x:t>
        </x:is>
      </x:c>
      <x:c r="M606" t="n">
        <x:v>1.5</x:v>
      </x:c>
      <x:c r="N606" t="n">
        <x:v>0.5</x:v>
      </x:c>
      <x:c r="P606" t="inlineStr">
        <x:is>
          <x:t xml:space="preserve">ITIAM-D1-Q01-A1</x:t>
        </x:is>
      </x:c>
      <x:c r="Q606" t="n">
        <x:v>2</x:v>
      </x:c>
      <x:c r="R606" t="inlineStr">
        <x:is>
          <x:t xml:space="preserve">Slow: Access removal can take days or weeks; depends on tickets.</x:t>
        </x:is>
      </x:c>
      <x:c r="S606" t="n">
        <x:v>0</x:v>
      </x:c>
      <x:c r="T606" t="inlineStr">
        <x:is>
          <x:t xml:space="preserve">control_lag</x:t>
        </x:is>
      </x:c>
      <x:c r="U606" t="inlineStr">
        <x:is>
          <x:t xml:space="preserve">Control Lag</x:t>
        </x:is>
      </x:c>
      <x:c r="V606" t="inlineStr">
        <x:is>
          <x:t xml:space="preserve">Improve_Offboarding</x:t>
        </x:is>
      </x:c>
      <x:c r="W606" t="inlineStr">
        <x:is>
          <x:t xml:space="preserve">N</x:t>
        </x:is>
      </x:c>
      <x:c r="Y606">
        <x:f>(S606*IF(E606="G",F606,0))+(S606*IF(G606="G",H606,0))</x:f>
      </x:c>
      <x:c r="Z606">
        <x:f>(S606*IF(E606="E",F606,0))+(S606*IF(G606="E",H606,0))</x:f>
      </x:c>
      <x:c r="AA606">
        <x:f>(S606*IF(E606="T",F606,0))+(S606*IF(G606="T",H606,0))</x:f>
      </x:c>
      <x:c r="AB606">
        <x:f>(S606*IF(E606="L",F606,0))+(S606*IF(G606="L",H606,0))</x:f>
      </x:c>
      <x:c r="AC606">
        <x:f>(S606*IF(E606="H",F606,0))+(S606*IF(G606="H",H606,0))</x:f>
      </x:c>
      <x:c r="AD606">
        <x:f>(S606*IF(E606="V",F606,0))+(S606*IF(G606="V",H606,0))</x:f>
      </x:c>
      <x:c r="AE606">
        <x:f>(S606*IF(E606="R",F606,0))+(S606*IF(G606="R",H606,0))</x:f>
      </x:c>
      <x:c r="AF606">
        <x:f>(S606*IF(E606="F",F606,0))+(S606*IF(G606="F",H606,0))</x:f>
      </x:c>
      <x:c r="AG606">
        <x:f>(S606*IF(E606="W",F606,0))+(S606*IF(G606="W",H606,0))</x:f>
      </x:c>
      <x:c r="AH606" t="inlineStr">
        <x:is>
          <x:t xml:space="preserve">1. Strategy &amp; Governance</x:t>
        </x:is>
      </x:c>
      <x:c r="AI606" t="inlineStr">
        <x:is>
          <x:t xml:space="preserve">Scope &amp; Boundaries</x:t>
        </x:is>
      </x:c>
      <x:c r="AJ606" t="inlineStr">
        <x:is>
          <x:t xml:space="preserve">Exceptions &amp; risk acceptance</x:t>
        </x:is>
      </x:c>
    </x:row>
    <x:row r="607">
      <x:c r="A607" t="inlineStr">
        <x:is>
          <x:t xml:space="preserve">IT_IAM</x:t>
        </x:is>
      </x:c>
      <x:c r="B607" t="inlineStr">
        <x:is>
          <x:t xml:space="preserve">ITIAM-D1-Q01</x:t>
        </x:is>
      </x:c>
      <x:c r="C607" t="inlineStr">
        <x:is>
          <x:t xml:space="preserve">T1</x:t>
        </x:is>
      </x:c>
      <x:c r="D607" t="inlineStr">
        <x:is>
          <x:t xml:space="preserve">6. Tech &amp; Identity</x:t>
        </x:is>
      </x:c>
      <x:c r="E607" t="inlineStr">
        <x:is>
          <x:t xml:space="preserve">E</x:t>
        </x:is>
      </x:c>
      <x:c r="F607" t="n">
        <x:v>0.7</x:v>
      </x:c>
      <x:c r="G607" t="inlineStr">
        <x:is>
          <x:t xml:space="preserve">T</x:t>
        </x:is>
      </x:c>
      <x:c r="H607" t="n">
        <x:v>0.3</x:v>
      </x:c>
      <x:c r="I607" t="inlineStr">
        <x:is>
          <x:t xml:space="preserve">When someone leaves the organization, how quickly is their access removed across core systems (email, VPN, SaaS, key apps)?</x:t>
        </x:is>
      </x:c>
      <x:c r="J607" t="inlineStr">
        <x:is>
          <x:t xml:space="preserve">Think about both planned exits and urgent terminations. Speed matters for insider risk.</x:t>
        </x:is>
      </x:c>
      <x:c r="L607" t="inlineStr">
        <x:is>
          <x:t xml:space="preserve">OPS_STD</x:t>
        </x:is>
      </x:c>
      <x:c r="M607" t="n">
        <x:v>1.5</x:v>
      </x:c>
      <x:c r="N607" t="n">
        <x:v>0.5</x:v>
      </x:c>
      <x:c r="P607" t="inlineStr">
        <x:is>
          <x:t xml:space="preserve">ITIAM-D1-Q01-A2</x:t>
        </x:is>
      </x:c>
      <x:c r="Q607" t="n">
        <x:v>3</x:v>
      </x:c>
      <x:c r="R607" t="inlineStr">
        <x:is>
          <x:t xml:space="preserve">Same-day, manual: Admins usually remove access within a day using checklists.</x:t>
        </x:is>
      </x:c>
      <x:c r="S607" t="n">
        <x:v>2</x:v>
      </x:c>
      <x:c r="T607" t="inlineStr">
        <x:is>
          <x:t xml:space="preserve">shadow_mature_signal</x:t>
        </x:is>
      </x:c>
      <x:c r="U607" t="inlineStr">
        <x:is>
          <x:t xml:space="preserve">Shadow Mature</x:t>
        </x:is>
      </x:c>
      <x:c r="V607" t="inlineStr">
        <x:is>
          <x:t xml:space="preserve">Automate_JML</x:t>
        </x:is>
      </x:c>
      <x:c r="W607" t="inlineStr">
        <x:is>
          <x:t xml:space="preserve">N</x:t>
        </x:is>
      </x:c>
      <x:c r="Y607">
        <x:f>(S607*IF(E607="G",F607,0))+(S607*IF(G607="G",H607,0))</x:f>
      </x:c>
      <x:c r="Z607">
        <x:f>(S607*IF(E607="E",F607,0))+(S607*IF(G607="E",H607,0))</x:f>
      </x:c>
      <x:c r="AA607">
        <x:f>(S607*IF(E607="T",F607,0))+(S607*IF(G607="T",H607,0))</x:f>
      </x:c>
      <x:c r="AB607">
        <x:f>(S607*IF(E607="L",F607,0))+(S607*IF(G607="L",H607,0))</x:f>
      </x:c>
      <x:c r="AC607">
        <x:f>(S607*IF(E607="H",F607,0))+(S607*IF(G607="H",H607,0))</x:f>
      </x:c>
      <x:c r="AD607">
        <x:f>(S607*IF(E607="V",F607,0))+(S607*IF(G607="V",H607,0))</x:f>
      </x:c>
      <x:c r="AE607">
        <x:f>(S607*IF(E607="R",F607,0))+(S607*IF(G607="R",H607,0))</x:f>
      </x:c>
      <x:c r="AF607">
        <x:f>(S607*IF(E607="F",F607,0))+(S607*IF(G607="F",H607,0))</x:f>
      </x:c>
      <x:c r="AG607">
        <x:f>(S607*IF(E607="W",F607,0))+(S607*IF(G607="W",H607,0))</x:f>
      </x:c>
      <x:c r="AH607" t="inlineStr">
        <x:is>
          <x:t xml:space="preserve">1. Strategy &amp; Governance</x:t>
        </x:is>
      </x:c>
      <x:c r="AI607" t="inlineStr">
        <x:is>
          <x:t xml:space="preserve">Scope &amp; Boundaries</x:t>
        </x:is>
      </x:c>
      <x:c r="AJ607" t="inlineStr">
        <x:is>
          <x:t xml:space="preserve">Exceptions &amp; risk acceptance</x:t>
        </x:is>
      </x:c>
    </x:row>
    <x:row r="608">
      <x:c r="A608" t="inlineStr">
        <x:is>
          <x:t xml:space="preserve">IT_IAM</x:t>
        </x:is>
      </x:c>
      <x:c r="B608" t="inlineStr">
        <x:is>
          <x:t xml:space="preserve">ITIAM-D1-Q01</x:t>
        </x:is>
      </x:c>
      <x:c r="C608" t="inlineStr">
        <x:is>
          <x:t xml:space="preserve">T1</x:t>
        </x:is>
      </x:c>
      <x:c r="D608" t="inlineStr">
        <x:is>
          <x:t xml:space="preserve">6. Tech &amp; Identity</x:t>
        </x:is>
      </x:c>
      <x:c r="E608" t="inlineStr">
        <x:is>
          <x:t xml:space="preserve">E</x:t>
        </x:is>
      </x:c>
      <x:c r="F608" t="n">
        <x:v>0.7</x:v>
      </x:c>
      <x:c r="G608" t="inlineStr">
        <x:is>
          <x:t xml:space="preserve">T</x:t>
        </x:is>
      </x:c>
      <x:c r="H608" t="n">
        <x:v>0.3</x:v>
      </x:c>
      <x:c r="I608" t="inlineStr">
        <x:is>
          <x:t xml:space="preserve">When someone leaves the organization, how quickly is their access removed across core systems (email, VPN, SaaS, key apps)?</x:t>
        </x:is>
      </x:c>
      <x:c r="J608" t="inlineStr">
        <x:is>
          <x:t xml:space="preserve">Think about both planned exits and urgent terminations. Speed matters for insider risk.</x:t>
        </x:is>
      </x:c>
      <x:c r="L608" t="inlineStr">
        <x:is>
          <x:t xml:space="preserve">OPS_STD</x:t>
        </x:is>
      </x:c>
      <x:c r="M608" t="n">
        <x:v>1.5</x:v>
      </x:c>
      <x:c r="N608" t="n">
        <x:v>0.5</x:v>
      </x:c>
      <x:c r="P608" t="inlineStr">
        <x:is>
          <x:t xml:space="preserve">ITIAM-D1-Q01-A3</x:t>
        </x:is>
      </x:c>
      <x:c r="Q608" t="n">
        <x:v>4</x:v>
      </x:c>
      <x:c r="R608" t="inlineStr">
        <x:is>
          <x:t xml:space="preserve">Fast: Most access removed within hours using standardized process.</x:t>
        </x:is>
      </x:c>
      <x:c r="S608" t="n">
        <x:v>3</x:v>
      </x:c>
      <x:c r="V608" t="inlineStr">
        <x:is>
          <x:t xml:space="preserve">Evidence_Request_JML</x:t>
        </x:is>
      </x:c>
      <x:c r="W608" t="inlineStr">
        <x:is>
          <x:t xml:space="preserve">N</x:t>
        </x:is>
      </x:c>
      <x:c r="Y608">
        <x:f>(S608*IF(E608="G",F608,0))+(S608*IF(G608="G",H608,0))</x:f>
      </x:c>
      <x:c r="Z608">
        <x:f>(S608*IF(E608="E",F608,0))+(S608*IF(G608="E",H608,0))</x:f>
      </x:c>
      <x:c r="AA608">
        <x:f>(S608*IF(E608="T",F608,0))+(S608*IF(G608="T",H608,0))</x:f>
      </x:c>
      <x:c r="AB608">
        <x:f>(S608*IF(E608="L",F608,0))+(S608*IF(G608="L",H608,0))</x:f>
      </x:c>
      <x:c r="AC608">
        <x:f>(S608*IF(E608="H",F608,0))+(S608*IF(G608="H",H608,0))</x:f>
      </x:c>
      <x:c r="AD608">
        <x:f>(S608*IF(E608="V",F608,0))+(S608*IF(G608="V",H608,0))</x:f>
      </x:c>
      <x:c r="AE608">
        <x:f>(S608*IF(E608="R",F608,0))+(S608*IF(G608="R",H608,0))</x:f>
      </x:c>
      <x:c r="AF608">
        <x:f>(S608*IF(E608="F",F608,0))+(S608*IF(G608="F",H608,0))</x:f>
      </x:c>
      <x:c r="AG608">
        <x:f>(S608*IF(E608="W",F608,0))+(S608*IF(G608="W",H608,0))</x:f>
      </x:c>
      <x:c r="AH608" t="inlineStr">
        <x:is>
          <x:t xml:space="preserve">1. Strategy &amp; Governance</x:t>
        </x:is>
      </x:c>
      <x:c r="AI608" t="inlineStr">
        <x:is>
          <x:t xml:space="preserve">Scope &amp; Boundaries</x:t>
        </x:is>
      </x:c>
      <x:c r="AJ608" t="inlineStr">
        <x:is>
          <x:t xml:space="preserve">Exceptions &amp; risk acceptance</x:t>
        </x:is>
      </x:c>
    </x:row>
    <x:row r="609">
      <x:c r="A609" t="inlineStr">
        <x:is>
          <x:t xml:space="preserve">IT_IAM</x:t>
        </x:is>
      </x:c>
      <x:c r="B609" t="inlineStr">
        <x:is>
          <x:t xml:space="preserve">ITIAM-D1-Q01</x:t>
        </x:is>
      </x:c>
      <x:c r="C609" t="inlineStr">
        <x:is>
          <x:t xml:space="preserve">T1</x:t>
        </x:is>
      </x:c>
      <x:c r="D609" t="inlineStr">
        <x:is>
          <x:t xml:space="preserve">6. Tech &amp; Identity</x:t>
        </x:is>
      </x:c>
      <x:c r="E609" t="inlineStr">
        <x:is>
          <x:t xml:space="preserve">E</x:t>
        </x:is>
      </x:c>
      <x:c r="F609" t="n">
        <x:v>0.7</x:v>
      </x:c>
      <x:c r="G609" t="inlineStr">
        <x:is>
          <x:t xml:space="preserve">T</x:t>
        </x:is>
      </x:c>
      <x:c r="H609" t="n">
        <x:v>0.3</x:v>
      </x:c>
      <x:c r="I609" t="inlineStr">
        <x:is>
          <x:t xml:space="preserve">When someone leaves the organization, how quickly is their access removed across core systems (email, VPN, SaaS, key apps)?</x:t>
        </x:is>
      </x:c>
      <x:c r="J609" t="inlineStr">
        <x:is>
          <x:t xml:space="preserve">Think about both planned exits and urgent terminations. Speed matters for insider risk.</x:t>
        </x:is>
      </x:c>
      <x:c r="L609" t="inlineStr">
        <x:is>
          <x:t xml:space="preserve">OPS_STD</x:t>
        </x:is>
      </x:c>
      <x:c r="M609" t="n">
        <x:v>1.5</x:v>
      </x:c>
      <x:c r="N609" t="n">
        <x:v>0.5</x:v>
      </x:c>
      <x:c r="P609" t="inlineStr">
        <x:is>
          <x:t xml:space="preserve">ITIAM-D1-Q01-A4</x:t>
        </x:is>
      </x:c>
      <x:c r="Q609" t="n">
        <x:v>5</x:v>
      </x:c>
      <x:c r="R609" t="inlineStr">
        <x:is>
          <x:t xml:space="preserve">Optimized: Automated deprovisioning triggered by HR events; verified completion.</x:t>
        </x:is>
      </x:c>
      <x:c r="S609" t="n">
        <x:v>4</x:v>
      </x:c>
      <x:c r="V609" t="inlineStr">
        <x:is>
          <x:t xml:space="preserve">Maintain_and_Audit</x:t>
        </x:is>
      </x:c>
      <x:c r="W609" t="inlineStr">
        <x:is>
          <x:t xml:space="preserve">N</x:t>
        </x:is>
      </x:c>
      <x:c r="Y609">
        <x:f>(S609*IF(E609="G",F609,0))+(S609*IF(G609="G",H609,0))</x:f>
      </x:c>
      <x:c r="Z609">
        <x:f>(S609*IF(E609="E",F609,0))+(S609*IF(G609="E",H609,0))</x:f>
      </x:c>
      <x:c r="AA609">
        <x:f>(S609*IF(E609="T",F609,0))+(S609*IF(G609="T",H609,0))</x:f>
      </x:c>
      <x:c r="AB609">
        <x:f>(S609*IF(E609="L",F609,0))+(S609*IF(G609="L",H609,0))</x:f>
      </x:c>
      <x:c r="AC609">
        <x:f>(S609*IF(E609="H",F609,0))+(S609*IF(G609="H",H609,0))</x:f>
      </x:c>
      <x:c r="AD609">
        <x:f>(S609*IF(E609="V",F609,0))+(S609*IF(G609="V",H609,0))</x:f>
      </x:c>
      <x:c r="AE609">
        <x:f>(S609*IF(E609="R",F609,0))+(S609*IF(G609="R",H609,0))</x:f>
      </x:c>
      <x:c r="AF609">
        <x:f>(S609*IF(E609="F",F609,0))+(S609*IF(G609="F",H609,0))</x:f>
      </x:c>
      <x:c r="AG609">
        <x:f>(S609*IF(E609="W",F609,0))+(S609*IF(G609="W",H609,0))</x:f>
      </x:c>
      <x:c r="AH609" t="inlineStr">
        <x:is>
          <x:t xml:space="preserve">1. Strategy &amp; Governance</x:t>
        </x:is>
      </x:c>
      <x:c r="AI609" t="inlineStr">
        <x:is>
          <x:t xml:space="preserve">Scope &amp; Boundaries</x:t>
        </x:is>
      </x:c>
      <x:c r="AJ609" t="inlineStr">
        <x:is>
          <x:t xml:space="preserve">Exceptions &amp; risk acceptance</x:t>
        </x:is>
      </x:c>
    </x:row>
    <x:row r="610">
      <x:c r="A610" t="inlineStr">
        <x:is>
          <x:t xml:space="preserve">IT_IAM</x:t>
        </x:is>
      </x:c>
      <x:c r="B610" t="inlineStr">
        <x:is>
          <x:t xml:space="preserve">ITIAM-D1-Q02</x:t>
        </x:is>
      </x:c>
      <x:c r="C610" t="inlineStr">
        <x:is>
          <x:t xml:space="preserve">T2</x:t>
        </x:is>
      </x:c>
      <x:c r="D610" t="inlineStr">
        <x:is>
          <x:t xml:space="preserve">6. Tech &amp; Identity</x:t>
        </x:is>
      </x:c>
      <x:c r="E610" t="inlineStr">
        <x:is>
          <x:t xml:space="preserve">E</x:t>
        </x:is>
      </x:c>
      <x:c r="F610" t="n">
        <x:v>1</x:v>
      </x:c>
      <x:c r="G610" t="inlineStr">
        <x:is>
          <x:t xml:space="preserve">-</x:t>
        </x:is>
      </x:c>
      <x:c r="I610" t="inlineStr">
        <x:is>
          <x:t xml:space="preserve">(Shadow probe) If automation is limited, do admins still remove access consistently using a checklist and escalation rules?</x:t>
        </x:is>
      </x:c>
      <x:c r="J610" t="inlineStr">
        <x:is>
          <x:t xml:space="preserve">This captures hidden maturity in manual environments.</x:t>
        </x:is>
      </x:c>
      <x:c r="L610" t="inlineStr">
        <x:is>
          <x:t xml:space="preserve">OPS_STD</x:t>
        </x:is>
      </x:c>
      <x:c r="M610" t="n">
        <x:v>1</x:v>
      </x:c>
      <x:c r="P610" t="inlineStr">
        <x:is>
          <x:t xml:space="preserve">ITIAM-D1-Q02-A0</x:t>
        </x:is>
      </x:c>
      <x:c r="Q610" t="n">
        <x:v>1</x:v>
      </x:c>
      <x:c r="R610" t="inlineStr">
        <x:is>
          <x:t xml:space="preserve">No: It’s inconsistent; depends on who is available.</x:t>
        </x:is>
      </x:c>
      <x:c r="S610" t="n">
        <x:v>0</x:v>
      </x:c>
      <x:c r="T610" t="inlineStr">
        <x:is>
          <x:t xml:space="preserve">operating_model_gap</x:t>
        </x:is>
      </x:c>
      <x:c r="U610" t="inlineStr">
        <x:is>
          <x:t xml:space="preserve">Operating Model Gap</x:t>
        </x:is>
      </x:c>
      <x:c r="V610" t="inlineStr">
        <x:is>
          <x:t xml:space="preserve">Standardize_Manual_JML</x:t>
        </x:is>
      </x:c>
      <x:c r="W610" t="inlineStr">
        <x:is>
          <x:t xml:space="preserve">N</x:t>
        </x:is>
      </x:c>
      <x:c r="Y610">
        <x:f>(S610*IF(E610="G",F610,0))+(S610*IF(G610="G",H610,0))</x:f>
      </x:c>
      <x:c r="Z610">
        <x:f>(S610*IF(E610="E",F610,0))+(S610*IF(G610="E",H610,0))</x:f>
      </x:c>
      <x:c r="AA610">
        <x:f>(S610*IF(E610="T",F610,0))+(S610*IF(G610="T",H610,0))</x:f>
      </x:c>
      <x:c r="AB610">
        <x:f>(S610*IF(E610="L",F610,0))+(S610*IF(G610="L",H610,0))</x:f>
      </x:c>
      <x:c r="AC610">
        <x:f>(S610*IF(E610="H",F610,0))+(S610*IF(G610="H",H610,0))</x:f>
      </x:c>
      <x:c r="AD610">
        <x:f>(S610*IF(E610="V",F610,0))+(S610*IF(G610="V",H610,0))</x:f>
      </x:c>
      <x:c r="AE610">
        <x:f>(S610*IF(E610="R",F610,0))+(S610*IF(G610="R",H610,0))</x:f>
      </x:c>
      <x:c r="AF610">
        <x:f>(S610*IF(E610="F",F610,0))+(S610*IF(G610="F",H610,0))</x:f>
      </x:c>
      <x:c r="AG610">
        <x:f>(S610*IF(E610="W",F610,0))+(S610*IF(G610="W",H610,0))</x:f>
      </x:c>
      <x:c r="AH610" t="inlineStr">
        <x:is>
          <x:t xml:space="preserve">6. Technical Controls</x:t>
        </x:is>
      </x:c>
      <x:c r="AI610" t="inlineStr">
        <x:is>
          <x:t xml:space="preserve">Physical/OT Overlay</x:t>
        </x:is>
      </x:c>
      <x:c r="AJ610" t="inlineStr">
        <x:is>
          <x:t xml:space="preserve">OT privileged access &amp; engineering workstation governance</x:t>
        </x:is>
      </x:c>
    </x:row>
    <x:row r="611">
      <x:c r="A611" t="inlineStr">
        <x:is>
          <x:t xml:space="preserve">IT_IAM</x:t>
        </x:is>
      </x:c>
      <x:c r="B611" t="inlineStr">
        <x:is>
          <x:t xml:space="preserve">ITIAM-D1-Q02</x:t>
        </x:is>
      </x:c>
      <x:c r="C611" t="inlineStr">
        <x:is>
          <x:t xml:space="preserve">T2</x:t>
        </x:is>
      </x:c>
      <x:c r="D611" t="inlineStr">
        <x:is>
          <x:t xml:space="preserve">6. Tech &amp; Identity</x:t>
        </x:is>
      </x:c>
      <x:c r="E611" t="inlineStr">
        <x:is>
          <x:t xml:space="preserve">E</x:t>
        </x:is>
      </x:c>
      <x:c r="F611" t="n">
        <x:v>1</x:v>
      </x:c>
      <x:c r="G611" t="inlineStr">
        <x:is>
          <x:t xml:space="preserve">-</x:t>
        </x:is>
      </x:c>
      <x:c r="I611" t="inlineStr">
        <x:is>
          <x:t xml:space="preserve">(Shadow probe) If automation is limited, do admins still remove access consistently using a checklist and escalation rules?</x:t>
        </x:is>
      </x:c>
      <x:c r="J611" t="inlineStr">
        <x:is>
          <x:t xml:space="preserve">This captures hidden maturity in manual environments.</x:t>
        </x:is>
      </x:c>
      <x:c r="L611" t="inlineStr">
        <x:is>
          <x:t xml:space="preserve">OPS_STD</x:t>
        </x:is>
      </x:c>
      <x:c r="M611" t="n">
        <x:v>1</x:v>
      </x:c>
      <x:c r="P611" t="inlineStr">
        <x:is>
          <x:t xml:space="preserve">ITIAM-D1-Q02-A1</x:t>
        </x:is>
      </x:c>
      <x:c r="Q611" t="n">
        <x:v>2</x:v>
      </x:c>
      <x:c r="R611" t="inlineStr">
        <x:is>
          <x:t xml:space="preserve">Yes, but person-dependent: A few admins ‘know the steps’.</x:t>
        </x:is>
      </x:c>
      <x:c r="S611" t="n">
        <x:v>2</x:v>
      </x:c>
      <x:c r="T611" t="inlineStr">
        <x:is>
          <x:t xml:space="preserve">shadow_mature_signal,key_person_dependency</x:t>
        </x:is>
      </x:c>
      <x:c r="U611" t="inlineStr">
        <x:is>
          <x:t xml:space="preserve">Shadow Mature</x:t>
        </x:is>
      </x:c>
      <x:c r="V611" t="inlineStr">
        <x:is>
          <x:t xml:space="preserve">Document_Checklists</x:t>
        </x:is>
      </x:c>
      <x:c r="W611" t="inlineStr">
        <x:is>
          <x:t xml:space="preserve">N</x:t>
        </x:is>
      </x:c>
      <x:c r="Y611">
        <x:f>(S611*IF(E611="G",F611,0))+(S611*IF(G611="G",H611,0))</x:f>
      </x:c>
      <x:c r="Z611">
        <x:f>(S611*IF(E611="E",F611,0))+(S611*IF(G611="E",H611,0))</x:f>
      </x:c>
      <x:c r="AA611">
        <x:f>(S611*IF(E611="T",F611,0))+(S611*IF(G611="T",H611,0))</x:f>
      </x:c>
      <x:c r="AB611">
        <x:f>(S611*IF(E611="L",F611,0))+(S611*IF(G611="L",H611,0))</x:f>
      </x:c>
      <x:c r="AC611">
        <x:f>(S611*IF(E611="H",F611,0))+(S611*IF(G611="H",H611,0))</x:f>
      </x:c>
      <x:c r="AD611">
        <x:f>(S611*IF(E611="V",F611,0))+(S611*IF(G611="V",H611,0))</x:f>
      </x:c>
      <x:c r="AE611">
        <x:f>(S611*IF(E611="R",F611,0))+(S611*IF(G611="R",H611,0))</x:f>
      </x:c>
      <x:c r="AF611">
        <x:f>(S611*IF(E611="F",F611,0))+(S611*IF(G611="F",H611,0))</x:f>
      </x:c>
      <x:c r="AG611">
        <x:f>(S611*IF(E611="W",F611,0))+(S611*IF(G611="W",H611,0))</x:f>
      </x:c>
      <x:c r="AH611" t="inlineStr">
        <x:is>
          <x:t xml:space="preserve">6. Technical Controls</x:t>
        </x:is>
      </x:c>
      <x:c r="AI611" t="inlineStr">
        <x:is>
          <x:t xml:space="preserve">Physical/OT Overlay</x:t>
        </x:is>
      </x:c>
      <x:c r="AJ611" t="inlineStr">
        <x:is>
          <x:t xml:space="preserve">OT privileged access &amp; engineering workstation governance</x:t>
        </x:is>
      </x:c>
    </x:row>
    <x:row r="612">
      <x:c r="A612" t="inlineStr">
        <x:is>
          <x:t xml:space="preserve">IT_IAM</x:t>
        </x:is>
      </x:c>
      <x:c r="B612" t="inlineStr">
        <x:is>
          <x:t xml:space="preserve">ITIAM-D1-Q02</x:t>
        </x:is>
      </x:c>
      <x:c r="C612" t="inlineStr">
        <x:is>
          <x:t xml:space="preserve">T2</x:t>
        </x:is>
      </x:c>
      <x:c r="D612" t="inlineStr">
        <x:is>
          <x:t xml:space="preserve">6. Tech &amp; Identity</x:t>
        </x:is>
      </x:c>
      <x:c r="E612" t="inlineStr">
        <x:is>
          <x:t xml:space="preserve">E</x:t>
        </x:is>
      </x:c>
      <x:c r="F612" t="n">
        <x:v>1</x:v>
      </x:c>
      <x:c r="G612" t="inlineStr">
        <x:is>
          <x:t xml:space="preserve">-</x:t>
        </x:is>
      </x:c>
      <x:c r="I612" t="inlineStr">
        <x:is>
          <x:t xml:space="preserve">(Shadow probe) If automation is limited, do admins still remove access consistently using a checklist and escalation rules?</x:t>
        </x:is>
      </x:c>
      <x:c r="J612" t="inlineStr">
        <x:is>
          <x:t xml:space="preserve">This captures hidden maturity in manual environments.</x:t>
        </x:is>
      </x:c>
      <x:c r="L612" t="inlineStr">
        <x:is>
          <x:t xml:space="preserve">OPS_STD</x:t>
        </x:is>
      </x:c>
      <x:c r="M612" t="n">
        <x:v>1</x:v>
      </x:c>
      <x:c r="P612" t="inlineStr">
        <x:is>
          <x:t xml:space="preserve">ITIAM-D1-Q02-A2</x:t>
        </x:is>
      </x:c>
      <x:c r="Q612" t="n">
        <x:v>3</x:v>
      </x:c>
      <x:c r="R612" t="inlineStr">
        <x:is>
          <x:t xml:space="preserve">Yes: Checklist + approvals are used consistently for most exits.</x:t>
        </x:is>
      </x:c>
      <x:c r="S612" t="n">
        <x:v>3</x:v>
      </x:c>
      <x:c r="T612" t="inlineStr">
        <x:is>
          <x:t xml:space="preserve">shadow_mature_signal</x:t>
        </x:is>
      </x:c>
      <x:c r="U612" t="inlineStr">
        <x:is>
          <x:t xml:space="preserve">Shadow Mature</x:t>
        </x:is>
      </x:c>
      <x:c r="V612" t="inlineStr">
        <x:is>
          <x:t xml:space="preserve">Automate_JML</x:t>
        </x:is>
      </x:c>
      <x:c r="W612" t="inlineStr">
        <x:is>
          <x:t xml:space="preserve">N</x:t>
        </x:is>
      </x:c>
      <x:c r="Y612">
        <x:f>(S612*IF(E612="G",F612,0))+(S612*IF(G612="G",H612,0))</x:f>
      </x:c>
      <x:c r="Z612">
        <x:f>(S612*IF(E612="E",F612,0))+(S612*IF(G612="E",H612,0))</x:f>
      </x:c>
      <x:c r="AA612">
        <x:f>(S612*IF(E612="T",F612,0))+(S612*IF(G612="T",H612,0))</x:f>
      </x:c>
      <x:c r="AB612">
        <x:f>(S612*IF(E612="L",F612,0))+(S612*IF(G612="L",H612,0))</x:f>
      </x:c>
      <x:c r="AC612">
        <x:f>(S612*IF(E612="H",F612,0))+(S612*IF(G612="H",H612,0))</x:f>
      </x:c>
      <x:c r="AD612">
        <x:f>(S612*IF(E612="V",F612,0))+(S612*IF(G612="V",H612,0))</x:f>
      </x:c>
      <x:c r="AE612">
        <x:f>(S612*IF(E612="R",F612,0))+(S612*IF(G612="R",H612,0))</x:f>
      </x:c>
      <x:c r="AF612">
        <x:f>(S612*IF(E612="F",F612,0))+(S612*IF(G612="F",H612,0))</x:f>
      </x:c>
      <x:c r="AG612">
        <x:f>(S612*IF(E612="W",F612,0))+(S612*IF(G612="W",H612,0))</x:f>
      </x:c>
      <x:c r="AH612" t="inlineStr">
        <x:is>
          <x:t xml:space="preserve">6. Technical Controls</x:t>
        </x:is>
      </x:c>
      <x:c r="AI612" t="inlineStr">
        <x:is>
          <x:t xml:space="preserve">Physical/OT Overlay</x:t>
        </x:is>
      </x:c>
      <x:c r="AJ612" t="inlineStr">
        <x:is>
          <x:t xml:space="preserve">OT privileged access &amp; engineering workstation governance</x:t>
        </x:is>
      </x:c>
    </x:row>
    <x:row r="613">
      <x:c r="A613" t="inlineStr">
        <x:is>
          <x:t xml:space="preserve">IT_IAM</x:t>
        </x:is>
      </x:c>
      <x:c r="B613" t="inlineStr">
        <x:is>
          <x:t xml:space="preserve">ITIAM-D1-Q03</x:t>
        </x:is>
      </x:c>
      <x:c r="C613" t="inlineStr">
        <x:is>
          <x:t xml:space="preserve">T2</x:t>
        </x:is>
      </x:c>
      <x:c r="D613" t="inlineStr">
        <x:is>
          <x:t xml:space="preserve">6. Tech &amp; Identity</x:t>
        </x:is>
      </x:c>
      <x:c r="E613" t="inlineStr">
        <x:is>
          <x:t xml:space="preserve">T</x:t>
        </x:is>
      </x:c>
      <x:c r="F613" t="n">
        <x:v>0.6</x:v>
      </x:c>
      <x:c r="G613" t="inlineStr">
        <x:is>
          <x:t xml:space="preserve">E</x:t>
        </x:is>
      </x:c>
      <x:c r="H613" t="n">
        <x:v>0.4</x:v>
      </x:c>
      <x:c r="I613" t="inlineStr">
        <x:is>
          <x:t xml:space="preserve">Are joiner/mover/leaver (JML) changes connected to HR events automatically (so access changes aren’t missed)?</x:t>
        </x:is>
      </x:c>
      <x:c r="J613" t="inlineStr">
        <x:is>
          <x:t xml:space="preserve">Example: HR termination triggers account disablement, group removal, and SaaS access cleanup.</x:t>
        </x:is>
      </x:c>
      <x:c r="L613" t="inlineStr">
        <x:is>
          <x:t xml:space="preserve">OPS_STD</x:t>
        </x:is>
      </x:c>
      <x:c r="M613" t="n">
        <x:v>1.2</x:v>
      </x:c>
      <x:c r="P613" t="inlineStr">
        <x:is>
          <x:t xml:space="preserve">ITIAM-D1-Q03-A0</x:t>
        </x:is>
      </x:c>
      <x:c r="Q613" t="n">
        <x:v>1</x:v>
      </x:c>
      <x:c r="R613" t="inlineStr">
        <x:is>
          <x:t xml:space="preserve">No: HR and IT processes are disconnected.</x:t>
        </x:is>
      </x:c>
      <x:c r="S613" t="n">
        <x:v>0</x:v>
      </x:c>
      <x:c r="T613" t="inlineStr">
        <x:is>
          <x:t xml:space="preserve">control_lag</x:t>
        </x:is>
      </x:c>
      <x:c r="U613" t="inlineStr">
        <x:is>
          <x:t xml:space="preserve">Control Lag</x:t>
        </x:is>
      </x:c>
      <x:c r="V613" t="inlineStr">
        <x:is>
          <x:t xml:space="preserve">Integrate_HR_IT</x:t>
        </x:is>
      </x:c>
      <x:c r="W613" t="inlineStr">
        <x:is>
          <x:t xml:space="preserve">N</x:t>
        </x:is>
      </x:c>
      <x:c r="Y613">
        <x:f>(S613*IF(E613="G",F613,0))+(S613*IF(G613="G",H613,0))</x:f>
      </x:c>
      <x:c r="Z613">
        <x:f>(S613*IF(E613="E",F613,0))+(S613*IF(G613="E",H613,0))</x:f>
      </x:c>
      <x:c r="AA613">
        <x:f>(S613*IF(E613="T",F613,0))+(S613*IF(G613="T",H613,0))</x:f>
      </x:c>
      <x:c r="AB613">
        <x:f>(S613*IF(E613="L",F613,0))+(S613*IF(G613="L",H613,0))</x:f>
      </x:c>
      <x:c r="AC613">
        <x:f>(S613*IF(E613="H",F613,0))+(S613*IF(G613="H",H613,0))</x:f>
      </x:c>
      <x:c r="AD613">
        <x:f>(S613*IF(E613="V",F613,0))+(S613*IF(G613="V",H613,0))</x:f>
      </x:c>
      <x:c r="AE613">
        <x:f>(S613*IF(E613="R",F613,0))+(S613*IF(G613="R",H613,0))</x:f>
      </x:c>
      <x:c r="AF613">
        <x:f>(S613*IF(E613="F",F613,0))+(S613*IF(G613="F",H613,0))</x:f>
      </x:c>
      <x:c r="AG613">
        <x:f>(S613*IF(E613="W",F613,0))+(S613*IF(G613="W",H613,0))</x:f>
      </x:c>
      <x:c r="AH613" t="inlineStr">
        <x:is>
          <x:t xml:space="preserve">5. Human-Centric Culture</x:t>
        </x:is>
      </x:c>
      <x:c r="AI613" t="inlineStr">
        <x:is>
          <x:t xml:space="preserve">Human Lifecycle</x:t>
        </x:is>
      </x:c>
      <x:c r="AJ613" t="inlineStr">
        <x:is>
          <x:t xml:space="preserve">Enhanced JML Synchronization</x:t>
        </x:is>
      </x:c>
    </x:row>
    <x:row r="614">
      <x:c r="A614" t="inlineStr">
        <x:is>
          <x:t xml:space="preserve">IT_IAM</x:t>
        </x:is>
      </x:c>
      <x:c r="B614" t="inlineStr">
        <x:is>
          <x:t xml:space="preserve">ITIAM-D1-Q03</x:t>
        </x:is>
      </x:c>
      <x:c r="C614" t="inlineStr">
        <x:is>
          <x:t xml:space="preserve">T2</x:t>
        </x:is>
      </x:c>
      <x:c r="D614" t="inlineStr">
        <x:is>
          <x:t xml:space="preserve">6. Tech &amp; Identity</x:t>
        </x:is>
      </x:c>
      <x:c r="E614" t="inlineStr">
        <x:is>
          <x:t xml:space="preserve">T</x:t>
        </x:is>
      </x:c>
      <x:c r="F614" t="n">
        <x:v>0.6</x:v>
      </x:c>
      <x:c r="G614" t="inlineStr">
        <x:is>
          <x:t xml:space="preserve">E</x:t>
        </x:is>
      </x:c>
      <x:c r="H614" t="n">
        <x:v>0.4</x:v>
      </x:c>
      <x:c r="I614" t="inlineStr">
        <x:is>
          <x:t xml:space="preserve">Are joiner/mover/leaver (JML) changes connected to HR events automatically (so access changes aren’t missed)?</x:t>
        </x:is>
      </x:c>
      <x:c r="J614" t="inlineStr">
        <x:is>
          <x:t xml:space="preserve">Example: HR termination triggers account disablement, group removal, and SaaS access cleanup.</x:t>
        </x:is>
      </x:c>
      <x:c r="L614" t="inlineStr">
        <x:is>
          <x:t xml:space="preserve">OPS_STD</x:t>
        </x:is>
      </x:c>
      <x:c r="M614" t="n">
        <x:v>1.2</x:v>
      </x:c>
      <x:c r="P614" t="inlineStr">
        <x:is>
          <x:t xml:space="preserve">ITIAM-D1-Q03-A1</x:t>
        </x:is>
      </x:c>
      <x:c r="Q614" t="n">
        <x:v>2</x:v>
      </x:c>
      <x:c r="R614" t="inlineStr">
        <x:is>
          <x:t xml:space="preserve">Partial: Some systems are automated; others rely on tickets/emails.</x:t>
        </x:is>
      </x:c>
      <x:c r="S614" t="n">
        <x:v>1</x:v>
      </x:c>
      <x:c r="T614" t="inlineStr">
        <x:is>
          <x:t xml:space="preserve">operating_model_gap</x:t>
        </x:is>
      </x:c>
      <x:c r="U614" t="inlineStr">
        <x:is>
          <x:t xml:space="preserve">Operating Model Gap</x:t>
        </x:is>
      </x:c>
      <x:c r="V614" t="inlineStr">
        <x:is>
          <x:t xml:space="preserve">Expand_Automation</x:t>
        </x:is>
      </x:c>
      <x:c r="W614" t="inlineStr">
        <x:is>
          <x:t xml:space="preserve">N</x:t>
        </x:is>
      </x:c>
      <x:c r="Y614">
        <x:f>(S614*IF(E614="G",F614,0))+(S614*IF(G614="G",H614,0))</x:f>
      </x:c>
      <x:c r="Z614">
        <x:f>(S614*IF(E614="E",F614,0))+(S614*IF(G614="E",H614,0))</x:f>
      </x:c>
      <x:c r="AA614">
        <x:f>(S614*IF(E614="T",F614,0))+(S614*IF(G614="T",H614,0))</x:f>
      </x:c>
      <x:c r="AB614">
        <x:f>(S614*IF(E614="L",F614,0))+(S614*IF(G614="L",H614,0))</x:f>
      </x:c>
      <x:c r="AC614">
        <x:f>(S614*IF(E614="H",F614,0))+(S614*IF(G614="H",H614,0))</x:f>
      </x:c>
      <x:c r="AD614">
        <x:f>(S614*IF(E614="V",F614,0))+(S614*IF(G614="V",H614,0))</x:f>
      </x:c>
      <x:c r="AE614">
        <x:f>(S614*IF(E614="R",F614,0))+(S614*IF(G614="R",H614,0))</x:f>
      </x:c>
      <x:c r="AF614">
        <x:f>(S614*IF(E614="F",F614,0))+(S614*IF(G614="F",H614,0))</x:f>
      </x:c>
      <x:c r="AG614">
        <x:f>(S614*IF(E614="W",F614,0))+(S614*IF(G614="W",H614,0))</x:f>
      </x:c>
      <x:c r="AH614" t="inlineStr">
        <x:is>
          <x:t xml:space="preserve">5. Human-Centric Culture</x:t>
        </x:is>
      </x:c>
      <x:c r="AI614" t="inlineStr">
        <x:is>
          <x:t xml:space="preserve">Human Lifecycle</x:t>
        </x:is>
      </x:c>
      <x:c r="AJ614" t="inlineStr">
        <x:is>
          <x:t xml:space="preserve">Enhanced JML Synchronization</x:t>
        </x:is>
      </x:c>
    </x:row>
    <x:row r="615">
      <x:c r="A615" t="inlineStr">
        <x:is>
          <x:t xml:space="preserve">IT_IAM</x:t>
        </x:is>
      </x:c>
      <x:c r="B615" t="inlineStr">
        <x:is>
          <x:t xml:space="preserve">ITIAM-D1-Q03</x:t>
        </x:is>
      </x:c>
      <x:c r="C615" t="inlineStr">
        <x:is>
          <x:t xml:space="preserve">T2</x:t>
        </x:is>
      </x:c>
      <x:c r="D615" t="inlineStr">
        <x:is>
          <x:t xml:space="preserve">6. Tech &amp; Identity</x:t>
        </x:is>
      </x:c>
      <x:c r="E615" t="inlineStr">
        <x:is>
          <x:t xml:space="preserve">T</x:t>
        </x:is>
      </x:c>
      <x:c r="F615" t="n">
        <x:v>0.6</x:v>
      </x:c>
      <x:c r="G615" t="inlineStr">
        <x:is>
          <x:t xml:space="preserve">E</x:t>
        </x:is>
      </x:c>
      <x:c r="H615" t="n">
        <x:v>0.4</x:v>
      </x:c>
      <x:c r="I615" t="inlineStr">
        <x:is>
          <x:t xml:space="preserve">Are joiner/mover/leaver (JML) changes connected to HR events automatically (so access changes aren’t missed)?</x:t>
        </x:is>
      </x:c>
      <x:c r="J615" t="inlineStr">
        <x:is>
          <x:t xml:space="preserve">Example: HR termination triggers account disablement, group removal, and SaaS access cleanup.</x:t>
        </x:is>
      </x:c>
      <x:c r="L615" t="inlineStr">
        <x:is>
          <x:t xml:space="preserve">OPS_STD</x:t>
        </x:is>
      </x:c>
      <x:c r="M615" t="n">
        <x:v>1.2</x:v>
      </x:c>
      <x:c r="P615" t="inlineStr">
        <x:is>
          <x:t xml:space="preserve">ITIAM-D1-Q03-A2</x:t>
        </x:is>
      </x:c>
      <x:c r="Q615" t="n">
        <x:v>3</x:v>
      </x:c>
      <x:c r="R615" t="inlineStr">
        <x:is>
          <x:t xml:space="preserve">Yes: Most systems are automated for JML events.</x:t>
        </x:is>
      </x:c>
      <x:c r="S615" t="n">
        <x:v>3</x:v>
      </x:c>
      <x:c r="V615" t="inlineStr">
        <x:is>
          <x:t xml:space="preserve">Evidence_Request_Integration</x:t>
        </x:is>
      </x:c>
      <x:c r="W615" t="inlineStr">
        <x:is>
          <x:t xml:space="preserve">N</x:t>
        </x:is>
      </x:c>
      <x:c r="Y615">
        <x:f>(S615*IF(E615="G",F615,0))+(S615*IF(G615="G",H615,0))</x:f>
      </x:c>
      <x:c r="Z615">
        <x:f>(S615*IF(E615="E",F615,0))+(S615*IF(G615="E",H615,0))</x:f>
      </x:c>
      <x:c r="AA615">
        <x:f>(S615*IF(E615="T",F615,0))+(S615*IF(G615="T",H615,0))</x:f>
      </x:c>
      <x:c r="AB615">
        <x:f>(S615*IF(E615="L",F615,0))+(S615*IF(G615="L",H615,0))</x:f>
      </x:c>
      <x:c r="AC615">
        <x:f>(S615*IF(E615="H",F615,0))+(S615*IF(G615="H",H615,0))</x:f>
      </x:c>
      <x:c r="AD615">
        <x:f>(S615*IF(E615="V",F615,0))+(S615*IF(G615="V",H615,0))</x:f>
      </x:c>
      <x:c r="AE615">
        <x:f>(S615*IF(E615="R",F615,0))+(S615*IF(G615="R",H615,0))</x:f>
      </x:c>
      <x:c r="AF615">
        <x:f>(S615*IF(E615="F",F615,0))+(S615*IF(G615="F",H615,0))</x:f>
      </x:c>
      <x:c r="AG615">
        <x:f>(S615*IF(E615="W",F615,0))+(S615*IF(G615="W",H615,0))</x:f>
      </x:c>
      <x:c r="AH615" t="inlineStr">
        <x:is>
          <x:t xml:space="preserve">5. Human-Centric Culture</x:t>
        </x:is>
      </x:c>
      <x:c r="AI615" t="inlineStr">
        <x:is>
          <x:t xml:space="preserve">Human Lifecycle</x:t>
        </x:is>
      </x:c>
      <x:c r="AJ615" t="inlineStr">
        <x:is>
          <x:t xml:space="preserve">Enhanced JML Synchronization</x:t>
        </x:is>
      </x:c>
    </x:row>
    <x:row r="616">
      <x:c r="A616" t="inlineStr">
        <x:is>
          <x:t xml:space="preserve">IT_IAM</x:t>
        </x:is>
      </x:c>
      <x:c r="B616" t="inlineStr">
        <x:is>
          <x:t xml:space="preserve">ITIAM-D1-Q03</x:t>
        </x:is>
      </x:c>
      <x:c r="C616" t="inlineStr">
        <x:is>
          <x:t xml:space="preserve">T2</x:t>
        </x:is>
      </x:c>
      <x:c r="D616" t="inlineStr">
        <x:is>
          <x:t xml:space="preserve">6. Tech &amp; Identity</x:t>
        </x:is>
      </x:c>
      <x:c r="E616" t="inlineStr">
        <x:is>
          <x:t xml:space="preserve">T</x:t>
        </x:is>
      </x:c>
      <x:c r="F616" t="n">
        <x:v>0.6</x:v>
      </x:c>
      <x:c r="G616" t="inlineStr">
        <x:is>
          <x:t xml:space="preserve">E</x:t>
        </x:is>
      </x:c>
      <x:c r="H616" t="n">
        <x:v>0.4</x:v>
      </x:c>
      <x:c r="I616" t="inlineStr">
        <x:is>
          <x:t xml:space="preserve">Are joiner/mover/leaver (JML) changes connected to HR events automatically (so access changes aren’t missed)?</x:t>
        </x:is>
      </x:c>
      <x:c r="J616" t="inlineStr">
        <x:is>
          <x:t xml:space="preserve">Example: HR termination triggers account disablement, group removal, and SaaS access cleanup.</x:t>
        </x:is>
      </x:c>
      <x:c r="L616" t="inlineStr">
        <x:is>
          <x:t xml:space="preserve">OPS_STD</x:t>
        </x:is>
      </x:c>
      <x:c r="M616" t="n">
        <x:v>1.2</x:v>
      </x:c>
      <x:c r="P616" t="inlineStr">
        <x:is>
          <x:t xml:space="preserve">ITIAM-D1-Q03-A3</x:t>
        </x:is>
      </x:c>
      <x:c r="Q616" t="n">
        <x:v>4</x:v>
      </x:c>
      <x:c r="R616" t="inlineStr">
        <x:is>
          <x:t xml:space="preserve">Optimized: Automated + reconciliation reports confirm all access removed/updated.</x:t>
        </x:is>
      </x:c>
      <x:c r="S616" t="n">
        <x:v>4</x:v>
      </x:c>
      <x:c r="V616" t="inlineStr">
        <x:is>
          <x:t xml:space="preserve">Maintain_and_Audit</x:t>
        </x:is>
      </x:c>
      <x:c r="W616" t="inlineStr">
        <x:is>
          <x:t xml:space="preserve">N</x:t>
        </x:is>
      </x:c>
      <x:c r="Y616">
        <x:f>(S616*IF(E616="G",F616,0))+(S616*IF(G616="G",H616,0))</x:f>
      </x:c>
      <x:c r="Z616">
        <x:f>(S616*IF(E616="E",F616,0))+(S616*IF(G616="E",H616,0))</x:f>
      </x:c>
      <x:c r="AA616">
        <x:f>(S616*IF(E616="T",F616,0))+(S616*IF(G616="T",H616,0))</x:f>
      </x:c>
      <x:c r="AB616">
        <x:f>(S616*IF(E616="L",F616,0))+(S616*IF(G616="L",H616,0))</x:f>
      </x:c>
      <x:c r="AC616">
        <x:f>(S616*IF(E616="H",F616,0))+(S616*IF(G616="H",H616,0))</x:f>
      </x:c>
      <x:c r="AD616">
        <x:f>(S616*IF(E616="V",F616,0))+(S616*IF(G616="V",H616,0))</x:f>
      </x:c>
      <x:c r="AE616">
        <x:f>(S616*IF(E616="R",F616,0))+(S616*IF(G616="R",H616,0))</x:f>
      </x:c>
      <x:c r="AF616">
        <x:f>(S616*IF(E616="F",F616,0))+(S616*IF(G616="F",H616,0))</x:f>
      </x:c>
      <x:c r="AG616">
        <x:f>(S616*IF(E616="W",F616,0))+(S616*IF(G616="W",H616,0))</x:f>
      </x:c>
      <x:c r="AH616" t="inlineStr">
        <x:is>
          <x:t xml:space="preserve">5. Human-Centric Culture</x:t>
        </x:is>
      </x:c>
      <x:c r="AI616" t="inlineStr">
        <x:is>
          <x:t xml:space="preserve">Human Lifecycle</x:t>
        </x:is>
      </x:c>
      <x:c r="AJ616" t="inlineStr">
        <x:is>
          <x:t xml:space="preserve">Enhanced JML Synchronization</x:t>
        </x:is>
      </x:c>
    </x:row>
    <x:row r="617">
      <x:c r="A617" t="inlineStr">
        <x:is>
          <x:t xml:space="preserve">IT_IAM</x:t>
        </x:is>
      </x:c>
      <x:c r="B617" t="inlineStr">
        <x:is>
          <x:t xml:space="preserve">ITIAM-D2-Q04</x:t>
        </x:is>
      </x:c>
      <x:c r="C617" t="inlineStr">
        <x:is>
          <x:t xml:space="preserve">T1</x:t>
        </x:is>
      </x:c>
      <x:c r="D617" t="inlineStr">
        <x:is>
          <x:t xml:space="preserve">3. Risk &amp; Access Visibility</x:t>
        </x:is>
      </x:c>
      <x:c r="E617" t="inlineStr">
        <x:is>
          <x:t xml:space="preserve">V</x:t>
        </x:is>
      </x:c>
      <x:c r="F617" t="n">
        <x:v>0.7</x:v>
      </x:c>
      <x:c r="G617" t="inlineStr">
        <x:is>
          <x:t xml:space="preserve">T</x:t>
        </x:is>
      </x:c>
      <x:c r="H617" t="n">
        <x:v>0.3</x:v>
      </x:c>
      <x:c r="I617" t="inlineStr">
        <x:is>
          <x:t xml:space="preserve">Do we have a single place to see who has access to key systems and data (including admins and contractors)?</x:t>
        </x:is>
      </x:c>
      <x:c r="J617" t="inlineStr">
        <x:is>
          <x:t xml:space="preserve">This can be an IAM tool, access review system, or reliable inventory—not spreadsheets that are always outdated.</x:t>
        </x:is>
      </x:c>
      <x:c r="L617" t="inlineStr">
        <x:is>
          <x:t xml:space="preserve">RISK_STD</x:t>
        </x:is>
      </x:c>
      <x:c r="M617" t="n">
        <x:v>1.3</x:v>
      </x:c>
      <x:c r="N617" t="n">
        <x:v>0.5</x:v>
      </x:c>
      <x:c r="P617" t="inlineStr">
        <x:is>
          <x:t xml:space="preserve">ITIAM-D2-Q04-A0</x:t>
        </x:is>
      </x:c>
      <x:c r="Q617" t="n">
        <x:v>1</x:v>
      </x:c>
      <x:c r="R617" t="inlineStr">
        <x:is>
          <x:t xml:space="preserve">No: We can’t quickly produce an accurate access list.</x:t>
        </x:is>
      </x:c>
      <x:c r="S617" t="n">
        <x:v>0</x:v>
      </x:c>
      <x:c r="T617" t="inlineStr">
        <x:is>
          <x:t xml:space="preserve">visibility_gap</x:t>
        </x:is>
      </x:c>
      <x:c r="U617" t="inlineStr">
        <x:is>
          <x:t xml:space="preserve">Visibility Gap</x:t>
        </x:is>
      </x:c>
      <x:c r="V617" t="inlineStr">
        <x:is>
          <x:t xml:space="preserve">Access_Inventory</x:t>
        </x:is>
      </x:c>
      <x:c r="W617" t="inlineStr">
        <x:is>
          <x:t xml:space="preserve">N</x:t>
        </x:is>
      </x:c>
      <x:c r="Y617">
        <x:f>(S617*IF(E617="G",F617,0))+(S617*IF(G617="G",H617,0))</x:f>
      </x:c>
      <x:c r="Z617">
        <x:f>(S617*IF(E617="E",F617,0))+(S617*IF(G617="E",H617,0))</x:f>
      </x:c>
      <x:c r="AA617">
        <x:f>(S617*IF(E617="T",F617,0))+(S617*IF(G617="T",H617,0))</x:f>
      </x:c>
      <x:c r="AB617">
        <x:f>(S617*IF(E617="L",F617,0))+(S617*IF(G617="L",H617,0))</x:f>
      </x:c>
      <x:c r="AC617">
        <x:f>(S617*IF(E617="H",F617,0))+(S617*IF(G617="H",H617,0))</x:f>
      </x:c>
      <x:c r="AD617">
        <x:f>(S617*IF(E617="V",F617,0))+(S617*IF(G617="V",H617,0))</x:f>
      </x:c>
      <x:c r="AE617">
        <x:f>(S617*IF(E617="R",F617,0))+(S617*IF(G617="R",H617,0))</x:f>
      </x:c>
      <x:c r="AF617">
        <x:f>(S617*IF(E617="F",F617,0))+(S617*IF(G617="F",H617,0))</x:f>
      </x:c>
      <x:c r="AG617">
        <x:f>(S617*IF(E617="W",F617,0))+(S617*IF(G617="W",H617,0))</x:f>
      </x:c>
      <x:c r="AH617" t="inlineStr">
        <x:is>
          <x:t xml:space="preserve">6. Technical Controls</x:t>
        </x:is>
      </x:c>
      <x:c r="AI617" t="inlineStr">
        <x:is>
          <x:t xml:space="preserve">Identity &amp; Access</x:t>
        </x:is>
      </x:c>
      <x:c r="AJ617" t="inlineStr">
        <x:is>
          <x:t xml:space="preserve">Least privilege &amp; role engineering</x:t>
        </x:is>
      </x:c>
    </x:row>
    <x:row r="618">
      <x:c r="A618" t="inlineStr">
        <x:is>
          <x:t xml:space="preserve">IT_IAM</x:t>
        </x:is>
      </x:c>
      <x:c r="B618" t="inlineStr">
        <x:is>
          <x:t xml:space="preserve">ITIAM-D2-Q04</x:t>
        </x:is>
      </x:c>
      <x:c r="C618" t="inlineStr">
        <x:is>
          <x:t xml:space="preserve">T1</x:t>
        </x:is>
      </x:c>
      <x:c r="D618" t="inlineStr">
        <x:is>
          <x:t xml:space="preserve">3. Risk &amp; Access Visibility</x:t>
        </x:is>
      </x:c>
      <x:c r="E618" t="inlineStr">
        <x:is>
          <x:t xml:space="preserve">V</x:t>
        </x:is>
      </x:c>
      <x:c r="F618" t="n">
        <x:v>0.7</x:v>
      </x:c>
      <x:c r="G618" t="inlineStr">
        <x:is>
          <x:t xml:space="preserve">T</x:t>
        </x:is>
      </x:c>
      <x:c r="H618" t="n">
        <x:v>0.3</x:v>
      </x:c>
      <x:c r="I618" t="inlineStr">
        <x:is>
          <x:t xml:space="preserve">Do we have a single place to see who has access to key systems and data (including admins and contractors)?</x:t>
        </x:is>
      </x:c>
      <x:c r="J618" t="inlineStr">
        <x:is>
          <x:t xml:space="preserve">This can be an IAM tool, access review system, or reliable inventory—not spreadsheets that are always outdated.</x:t>
        </x:is>
      </x:c>
      <x:c r="L618" t="inlineStr">
        <x:is>
          <x:t xml:space="preserve">RISK_STD</x:t>
        </x:is>
      </x:c>
      <x:c r="M618" t="n">
        <x:v>1.3</x:v>
      </x:c>
      <x:c r="N618" t="n">
        <x:v>0.5</x:v>
      </x:c>
      <x:c r="P618" t="inlineStr">
        <x:is>
          <x:t xml:space="preserve">ITIAM-D2-Q04-A1</x:t>
        </x:is>
      </x:c>
      <x:c r="Q618" t="n">
        <x:v>2</x:v>
      </x:c>
      <x:c r="R618" t="inlineStr">
        <x:is>
          <x:t xml:space="preserve">Partial: Some systems are covered; SaaS and shared accounts are gaps.</x:t>
        </x:is>
      </x:c>
      <x:c r="S618" t="n">
        <x:v>1</x:v>
      </x:c>
      <x:c r="T618" t="inlineStr">
        <x:is>
          <x:t xml:space="preserve">visibility_gap</x:t>
        </x:is>
      </x:c>
      <x:c r="U618" t="inlineStr">
        <x:is>
          <x:t xml:space="preserve">Visibility Gap</x:t>
        </x:is>
      </x:c>
      <x:c r="V618" t="inlineStr">
        <x:is>
          <x:t xml:space="preserve">Expand_Coverage</x:t>
        </x:is>
      </x:c>
      <x:c r="W618" t="inlineStr">
        <x:is>
          <x:t xml:space="preserve">N</x:t>
        </x:is>
      </x:c>
      <x:c r="Y618">
        <x:f>(S618*IF(E618="G",F618,0))+(S618*IF(G618="G",H618,0))</x:f>
      </x:c>
      <x:c r="Z618">
        <x:f>(S618*IF(E618="E",F618,0))+(S618*IF(G618="E",H618,0))</x:f>
      </x:c>
      <x:c r="AA618">
        <x:f>(S618*IF(E618="T",F618,0))+(S618*IF(G618="T",H618,0))</x:f>
      </x:c>
      <x:c r="AB618">
        <x:f>(S618*IF(E618="L",F618,0))+(S618*IF(G618="L",H618,0))</x:f>
      </x:c>
      <x:c r="AC618">
        <x:f>(S618*IF(E618="H",F618,0))+(S618*IF(G618="H",H618,0))</x:f>
      </x:c>
      <x:c r="AD618">
        <x:f>(S618*IF(E618="V",F618,0))+(S618*IF(G618="V",H618,0))</x:f>
      </x:c>
      <x:c r="AE618">
        <x:f>(S618*IF(E618="R",F618,0))+(S618*IF(G618="R",H618,0))</x:f>
      </x:c>
      <x:c r="AF618">
        <x:f>(S618*IF(E618="F",F618,0))+(S618*IF(G618="F",H618,0))</x:f>
      </x:c>
      <x:c r="AG618">
        <x:f>(S618*IF(E618="W",F618,0))+(S618*IF(G618="W",H618,0))</x:f>
      </x:c>
      <x:c r="AH618" t="inlineStr">
        <x:is>
          <x:t xml:space="preserve">6. Technical Controls</x:t>
        </x:is>
      </x:c>
      <x:c r="AI618" t="inlineStr">
        <x:is>
          <x:t xml:space="preserve">Identity &amp; Access</x:t>
        </x:is>
      </x:c>
      <x:c r="AJ618" t="inlineStr">
        <x:is>
          <x:t xml:space="preserve">Least privilege &amp; role engineering</x:t>
        </x:is>
      </x:c>
    </x:row>
    <x:row r="619">
      <x:c r="A619" t="inlineStr">
        <x:is>
          <x:t xml:space="preserve">IT_IAM</x:t>
        </x:is>
      </x:c>
      <x:c r="B619" t="inlineStr">
        <x:is>
          <x:t xml:space="preserve">ITIAM-D2-Q04</x:t>
        </x:is>
      </x:c>
      <x:c r="C619" t="inlineStr">
        <x:is>
          <x:t xml:space="preserve">T1</x:t>
        </x:is>
      </x:c>
      <x:c r="D619" t="inlineStr">
        <x:is>
          <x:t xml:space="preserve">3. Risk &amp; Access Visibility</x:t>
        </x:is>
      </x:c>
      <x:c r="E619" t="inlineStr">
        <x:is>
          <x:t xml:space="preserve">V</x:t>
        </x:is>
      </x:c>
      <x:c r="F619" t="n">
        <x:v>0.7</x:v>
      </x:c>
      <x:c r="G619" t="inlineStr">
        <x:is>
          <x:t xml:space="preserve">T</x:t>
        </x:is>
      </x:c>
      <x:c r="H619" t="n">
        <x:v>0.3</x:v>
      </x:c>
      <x:c r="I619" t="inlineStr">
        <x:is>
          <x:t xml:space="preserve">Do we have a single place to see who has access to key systems and data (including admins and contractors)?</x:t>
        </x:is>
      </x:c>
      <x:c r="J619" t="inlineStr">
        <x:is>
          <x:t xml:space="preserve">This can be an IAM tool, access review system, or reliable inventory—not spreadsheets that are always outdated.</x:t>
        </x:is>
      </x:c>
      <x:c r="L619" t="inlineStr">
        <x:is>
          <x:t xml:space="preserve">RISK_STD</x:t>
        </x:is>
      </x:c>
      <x:c r="M619" t="n">
        <x:v>1.3</x:v>
      </x:c>
      <x:c r="N619" t="n">
        <x:v>0.5</x:v>
      </x:c>
      <x:c r="P619" t="inlineStr">
        <x:is>
          <x:t xml:space="preserve">ITIAM-D2-Q04-A2</x:t>
        </x:is>
      </x:c>
      <x:c r="Q619" t="n">
        <x:v>3</x:v>
      </x:c>
      <x:c r="R619" t="inlineStr">
        <x:is>
          <x:t xml:space="preserve">Yes: We can produce reliable access lists for key systems.</x:t>
        </x:is>
      </x:c>
      <x:c r="S619" t="n">
        <x:v>3</x:v>
      </x:c>
      <x:c r="V619" t="inlineStr">
        <x:is>
          <x:t xml:space="preserve">Evidence_Request_Access_List</x:t>
        </x:is>
      </x:c>
      <x:c r="W619" t="inlineStr">
        <x:is>
          <x:t xml:space="preserve">N</x:t>
        </x:is>
      </x:c>
      <x:c r="Y619">
        <x:f>(S619*IF(E619="G",F619,0))+(S619*IF(G619="G",H619,0))</x:f>
      </x:c>
      <x:c r="Z619">
        <x:f>(S619*IF(E619="E",F619,0))+(S619*IF(G619="E",H619,0))</x:f>
      </x:c>
      <x:c r="AA619">
        <x:f>(S619*IF(E619="T",F619,0))+(S619*IF(G619="T",H619,0))</x:f>
      </x:c>
      <x:c r="AB619">
        <x:f>(S619*IF(E619="L",F619,0))+(S619*IF(G619="L",H619,0))</x:f>
      </x:c>
      <x:c r="AC619">
        <x:f>(S619*IF(E619="H",F619,0))+(S619*IF(G619="H",H619,0))</x:f>
      </x:c>
      <x:c r="AD619">
        <x:f>(S619*IF(E619="V",F619,0))+(S619*IF(G619="V",H619,0))</x:f>
      </x:c>
      <x:c r="AE619">
        <x:f>(S619*IF(E619="R",F619,0))+(S619*IF(G619="R",H619,0))</x:f>
      </x:c>
      <x:c r="AF619">
        <x:f>(S619*IF(E619="F",F619,0))+(S619*IF(G619="F",H619,0))</x:f>
      </x:c>
      <x:c r="AG619">
        <x:f>(S619*IF(E619="W",F619,0))+(S619*IF(G619="W",H619,0))</x:f>
      </x:c>
      <x:c r="AH619" t="inlineStr">
        <x:is>
          <x:t xml:space="preserve">6. Technical Controls</x:t>
        </x:is>
      </x:c>
      <x:c r="AI619" t="inlineStr">
        <x:is>
          <x:t xml:space="preserve">Identity &amp; Access</x:t>
        </x:is>
      </x:c>
      <x:c r="AJ619" t="inlineStr">
        <x:is>
          <x:t xml:space="preserve">Least privilege &amp; role engineering</x:t>
        </x:is>
      </x:c>
    </x:row>
    <x:row r="620">
      <x:c r="A620" t="inlineStr">
        <x:is>
          <x:t xml:space="preserve">IT_IAM</x:t>
        </x:is>
      </x:c>
      <x:c r="B620" t="inlineStr">
        <x:is>
          <x:t xml:space="preserve">ITIAM-D2-Q04</x:t>
        </x:is>
      </x:c>
      <x:c r="C620" t="inlineStr">
        <x:is>
          <x:t xml:space="preserve">T1</x:t>
        </x:is>
      </x:c>
      <x:c r="D620" t="inlineStr">
        <x:is>
          <x:t xml:space="preserve">3. Risk &amp; Access Visibility</x:t>
        </x:is>
      </x:c>
      <x:c r="E620" t="inlineStr">
        <x:is>
          <x:t xml:space="preserve">V</x:t>
        </x:is>
      </x:c>
      <x:c r="F620" t="n">
        <x:v>0.7</x:v>
      </x:c>
      <x:c r="G620" t="inlineStr">
        <x:is>
          <x:t xml:space="preserve">T</x:t>
        </x:is>
      </x:c>
      <x:c r="H620" t="n">
        <x:v>0.3</x:v>
      </x:c>
      <x:c r="I620" t="inlineStr">
        <x:is>
          <x:t xml:space="preserve">Do we have a single place to see who has access to key systems and data (including admins and contractors)?</x:t>
        </x:is>
      </x:c>
      <x:c r="J620" t="inlineStr">
        <x:is>
          <x:t xml:space="preserve">This can be an IAM tool, access review system, or reliable inventory—not spreadsheets that are always outdated.</x:t>
        </x:is>
      </x:c>
      <x:c r="L620" t="inlineStr">
        <x:is>
          <x:t xml:space="preserve">RISK_STD</x:t>
        </x:is>
      </x:c>
      <x:c r="M620" t="n">
        <x:v>1.3</x:v>
      </x:c>
      <x:c r="N620" t="n">
        <x:v>0.5</x:v>
      </x:c>
      <x:c r="P620" t="inlineStr">
        <x:is>
          <x:t xml:space="preserve">ITIAM-D2-Q04-A3</x:t>
        </x:is>
      </x:c>
      <x:c r="Q620" t="n">
        <x:v>4</x:v>
      </x:c>
      <x:c r="R620" t="inlineStr">
        <x:is>
          <x:t xml:space="preserve">Optimized: Near-real-time visibility and ownership of access lists.</x:t>
        </x:is>
      </x:c>
      <x:c r="S620" t="n">
        <x:v>4</x:v>
      </x:c>
      <x:c r="V620" t="inlineStr">
        <x:is>
          <x:t xml:space="preserve">Maintain_and_Audit</x:t>
        </x:is>
      </x:c>
      <x:c r="W620" t="inlineStr">
        <x:is>
          <x:t xml:space="preserve">N</x:t>
        </x:is>
      </x:c>
      <x:c r="Y620">
        <x:f>(S620*IF(E620="G",F620,0))+(S620*IF(G620="G",H620,0))</x:f>
      </x:c>
      <x:c r="Z620">
        <x:f>(S620*IF(E620="E",F620,0))+(S620*IF(G620="E",H620,0))</x:f>
      </x:c>
      <x:c r="AA620">
        <x:f>(S620*IF(E620="T",F620,0))+(S620*IF(G620="T",H620,0))</x:f>
      </x:c>
      <x:c r="AB620">
        <x:f>(S620*IF(E620="L",F620,0))+(S620*IF(G620="L",H620,0))</x:f>
      </x:c>
      <x:c r="AC620">
        <x:f>(S620*IF(E620="H",F620,0))+(S620*IF(G620="H",H620,0))</x:f>
      </x:c>
      <x:c r="AD620">
        <x:f>(S620*IF(E620="V",F620,0))+(S620*IF(G620="V",H620,0))</x:f>
      </x:c>
      <x:c r="AE620">
        <x:f>(S620*IF(E620="R",F620,0))+(S620*IF(G620="R",H620,0))</x:f>
      </x:c>
      <x:c r="AF620">
        <x:f>(S620*IF(E620="F",F620,0))+(S620*IF(G620="F",H620,0))</x:f>
      </x:c>
      <x:c r="AG620">
        <x:f>(S620*IF(E620="W",F620,0))+(S620*IF(G620="W",H620,0))</x:f>
      </x:c>
      <x:c r="AH620" t="inlineStr">
        <x:is>
          <x:t xml:space="preserve">6. Technical Controls</x:t>
        </x:is>
      </x:c>
      <x:c r="AI620" t="inlineStr">
        <x:is>
          <x:t xml:space="preserve">Identity &amp; Access</x:t>
        </x:is>
      </x:c>
      <x:c r="AJ620" t="inlineStr">
        <x:is>
          <x:t xml:space="preserve">Least privilege &amp; role engineering</x:t>
        </x:is>
      </x:c>
    </x:row>
    <x:row r="621">
      <x:c r="A621" t="inlineStr">
        <x:is>
          <x:t xml:space="preserve">IT_IAM</x:t>
        </x:is>
      </x:c>
      <x:c r="B621" t="inlineStr">
        <x:is>
          <x:t xml:space="preserve">ITIAM-D2-Q05</x:t>
        </x:is>
      </x:c>
      <x:c r="C621" t="inlineStr">
        <x:is>
          <x:t xml:space="preserve">T2</x:t>
        </x:is>
      </x:c>
      <x:c r="D621" t="inlineStr">
        <x:is>
          <x:t xml:space="preserve">3. Risk &amp; Access Visibility</x:t>
        </x:is>
      </x:c>
      <x:c r="E621" t="inlineStr">
        <x:is>
          <x:t xml:space="preserve">E</x:t>
        </x:is>
      </x:c>
      <x:c r="F621" t="n">
        <x:v>0.5</x:v>
      </x:c>
      <x:c r="G621" t="inlineStr">
        <x:is>
          <x:t xml:space="preserve">V</x:t>
        </x:is>
      </x:c>
      <x:c r="H621" t="n">
        <x:v>0.5</x:v>
      </x:c>
      <x:c r="I621" t="inlineStr">
        <x:is>
          <x:t xml:space="preserve">Do we review and certify access for high-value systems on a schedule (and remove unused access)?</x:t>
        </x:is>
      </x:c>
      <x:c r="J621" t="inlineStr">
        <x:is>
          <x:t xml:space="preserve">Even annual reviews are better than never; high-risk systems may need quarterly.</x:t>
        </x:is>
      </x:c>
      <x:c r="L621" t="inlineStr">
        <x:is>
          <x:t xml:space="preserve">RISK_STD</x:t>
        </x:is>
      </x:c>
      <x:c r="M621" t="n">
        <x:v>1.1</x:v>
      </x:c>
      <x:c r="P621" t="inlineStr">
        <x:is>
          <x:t xml:space="preserve">ITIAM-D2-Q05-A0</x:t>
        </x:is>
      </x:c>
      <x:c r="Q621" t="n">
        <x:v>1</x:v>
      </x:c>
      <x:c r="R621" t="inlineStr">
        <x:is>
          <x:t xml:space="preserve">No: Access reviews are rare or only after incidents.</x:t>
        </x:is>
      </x:c>
      <x:c r="S621" t="n">
        <x:v>0</x:v>
      </x:c>
      <x:c r="T621" t="inlineStr">
        <x:is>
          <x:t xml:space="preserve">visibility_gap</x:t>
        </x:is>
      </x:c>
      <x:c r="U621" t="inlineStr">
        <x:is>
          <x:t xml:space="preserve">Visibility Gap</x:t>
        </x:is>
      </x:c>
      <x:c r="V621" t="inlineStr">
        <x:is>
          <x:t xml:space="preserve">Access_Reviews</x:t>
        </x:is>
      </x:c>
      <x:c r="W621" t="inlineStr">
        <x:is>
          <x:t xml:space="preserve">N</x:t>
        </x:is>
      </x:c>
      <x:c r="Y621">
        <x:f>(S621*IF(E621="G",F621,0))+(S621*IF(G621="G",H621,0))</x:f>
      </x:c>
      <x:c r="Z621">
        <x:f>(S621*IF(E621="E",F621,0))+(S621*IF(G621="E",H621,0))</x:f>
      </x:c>
      <x:c r="AA621">
        <x:f>(S621*IF(E621="T",F621,0))+(S621*IF(G621="T",H621,0))</x:f>
      </x:c>
      <x:c r="AB621">
        <x:f>(S621*IF(E621="L",F621,0))+(S621*IF(G621="L",H621,0))</x:f>
      </x:c>
      <x:c r="AC621">
        <x:f>(S621*IF(E621="H",F621,0))+(S621*IF(G621="H",H621,0))</x:f>
      </x:c>
      <x:c r="AD621">
        <x:f>(S621*IF(E621="V",F621,0))+(S621*IF(G621="V",H621,0))</x:f>
      </x:c>
      <x:c r="AE621">
        <x:f>(S621*IF(E621="R",F621,0))+(S621*IF(G621="R",H621,0))</x:f>
      </x:c>
      <x:c r="AF621">
        <x:f>(S621*IF(E621="F",F621,0))+(S621*IF(G621="F",H621,0))</x:f>
      </x:c>
      <x:c r="AG621">
        <x:f>(S621*IF(E621="W",F621,0))+(S621*IF(G621="W",H621,0))</x:f>
      </x:c>
      <x:c r="AH621" t="inlineStr">
        <x:is>
          <x:t xml:space="preserve">3. Risk Management</x:t>
        </x:is>
      </x:c>
      <x:c r="AI621" t="inlineStr">
        <x:is>
          <x:t xml:space="preserve">Inventory &amp; Scope</x:t>
        </x:is>
      </x:c>
      <x:c r="AJ621" t="inlineStr">
        <x:is>
          <x:t xml:space="preserve">Crown jewels/HVA identification</x:t>
        </x:is>
      </x:c>
    </x:row>
    <x:row r="622">
      <x:c r="A622" t="inlineStr">
        <x:is>
          <x:t xml:space="preserve">IT_IAM</x:t>
        </x:is>
      </x:c>
      <x:c r="B622" t="inlineStr">
        <x:is>
          <x:t xml:space="preserve">ITIAM-D2-Q05</x:t>
        </x:is>
      </x:c>
      <x:c r="C622" t="inlineStr">
        <x:is>
          <x:t xml:space="preserve">T2</x:t>
        </x:is>
      </x:c>
      <x:c r="D622" t="inlineStr">
        <x:is>
          <x:t xml:space="preserve">3. Risk &amp; Access Visibility</x:t>
        </x:is>
      </x:c>
      <x:c r="E622" t="inlineStr">
        <x:is>
          <x:t xml:space="preserve">E</x:t>
        </x:is>
      </x:c>
      <x:c r="F622" t="n">
        <x:v>0.5</x:v>
      </x:c>
      <x:c r="G622" t="inlineStr">
        <x:is>
          <x:t xml:space="preserve">V</x:t>
        </x:is>
      </x:c>
      <x:c r="H622" t="n">
        <x:v>0.5</x:v>
      </x:c>
      <x:c r="I622" t="inlineStr">
        <x:is>
          <x:t xml:space="preserve">Do we review and certify access for high-value systems on a schedule (and remove unused access)?</x:t>
        </x:is>
      </x:c>
      <x:c r="J622" t="inlineStr">
        <x:is>
          <x:t xml:space="preserve">Even annual reviews are better than never; high-risk systems may need quarterly.</x:t>
        </x:is>
      </x:c>
      <x:c r="L622" t="inlineStr">
        <x:is>
          <x:t xml:space="preserve">RISK_STD</x:t>
        </x:is>
      </x:c>
      <x:c r="M622" t="n">
        <x:v>1.1</x:v>
      </x:c>
      <x:c r="P622" t="inlineStr">
        <x:is>
          <x:t xml:space="preserve">ITIAM-D2-Q05-A1</x:t>
        </x:is>
      </x:c>
      <x:c r="Q622" t="n">
        <x:v>2</x:v>
      </x:c>
      <x:c r="R622" t="inlineStr">
        <x:is>
          <x:t xml:space="preserve">Ad-hoc: Reviews happen sometimes but are not tracked to closure.</x:t>
        </x:is>
      </x:c>
      <x:c r="S622" t="n">
        <x:v>1</x:v>
      </x:c>
      <x:c r="T622" t="inlineStr">
        <x:is>
          <x:t xml:space="preserve">operating_model_gap</x:t>
        </x:is>
      </x:c>
      <x:c r="U622" t="inlineStr">
        <x:is>
          <x:t xml:space="preserve">Operating Model Gap</x:t>
        </x:is>
      </x:c>
      <x:c r="V622" t="inlineStr">
        <x:is>
          <x:t xml:space="preserve">Standardize_Access_Reviews</x:t>
        </x:is>
      </x:c>
      <x:c r="W622" t="inlineStr">
        <x:is>
          <x:t xml:space="preserve">N</x:t>
        </x:is>
      </x:c>
      <x:c r="Y622">
        <x:f>(S622*IF(E622="G",F622,0))+(S622*IF(G622="G",H622,0))</x:f>
      </x:c>
      <x:c r="Z622">
        <x:f>(S622*IF(E622="E",F622,0))+(S622*IF(G622="E",H622,0))</x:f>
      </x:c>
      <x:c r="AA622">
        <x:f>(S622*IF(E622="T",F622,0))+(S622*IF(G622="T",H622,0))</x:f>
      </x:c>
      <x:c r="AB622">
        <x:f>(S622*IF(E622="L",F622,0))+(S622*IF(G622="L",H622,0))</x:f>
      </x:c>
      <x:c r="AC622">
        <x:f>(S622*IF(E622="H",F622,0))+(S622*IF(G622="H",H622,0))</x:f>
      </x:c>
      <x:c r="AD622">
        <x:f>(S622*IF(E622="V",F622,0))+(S622*IF(G622="V",H622,0))</x:f>
      </x:c>
      <x:c r="AE622">
        <x:f>(S622*IF(E622="R",F622,0))+(S622*IF(G622="R",H622,0))</x:f>
      </x:c>
      <x:c r="AF622">
        <x:f>(S622*IF(E622="F",F622,0))+(S622*IF(G622="F",H622,0))</x:f>
      </x:c>
      <x:c r="AG622">
        <x:f>(S622*IF(E622="W",F622,0))+(S622*IF(G622="W",H622,0))</x:f>
      </x:c>
      <x:c r="AH622" t="inlineStr">
        <x:is>
          <x:t xml:space="preserve">3. Risk Management</x:t>
        </x:is>
      </x:c>
      <x:c r="AI622" t="inlineStr">
        <x:is>
          <x:t xml:space="preserve">Inventory &amp; Scope</x:t>
        </x:is>
      </x:c>
      <x:c r="AJ622" t="inlineStr">
        <x:is>
          <x:t xml:space="preserve">Crown jewels/HVA identification</x:t>
        </x:is>
      </x:c>
    </x:row>
    <x:row r="623">
      <x:c r="A623" t="inlineStr">
        <x:is>
          <x:t xml:space="preserve">IT_IAM</x:t>
        </x:is>
      </x:c>
      <x:c r="B623" t="inlineStr">
        <x:is>
          <x:t xml:space="preserve">ITIAM-D2-Q05</x:t>
        </x:is>
      </x:c>
      <x:c r="C623" t="inlineStr">
        <x:is>
          <x:t xml:space="preserve">T2</x:t>
        </x:is>
      </x:c>
      <x:c r="D623" t="inlineStr">
        <x:is>
          <x:t xml:space="preserve">3. Risk &amp; Access Visibility</x:t>
        </x:is>
      </x:c>
      <x:c r="E623" t="inlineStr">
        <x:is>
          <x:t xml:space="preserve">E</x:t>
        </x:is>
      </x:c>
      <x:c r="F623" t="n">
        <x:v>0.5</x:v>
      </x:c>
      <x:c r="G623" t="inlineStr">
        <x:is>
          <x:t xml:space="preserve">V</x:t>
        </x:is>
      </x:c>
      <x:c r="H623" t="n">
        <x:v>0.5</x:v>
      </x:c>
      <x:c r="I623" t="inlineStr">
        <x:is>
          <x:t xml:space="preserve">Do we review and certify access for high-value systems on a schedule (and remove unused access)?</x:t>
        </x:is>
      </x:c>
      <x:c r="J623" t="inlineStr">
        <x:is>
          <x:t xml:space="preserve">Even annual reviews are better than never; high-risk systems may need quarterly.</x:t>
        </x:is>
      </x:c>
      <x:c r="L623" t="inlineStr">
        <x:is>
          <x:t xml:space="preserve">RISK_STD</x:t>
        </x:is>
      </x:c>
      <x:c r="M623" t="n">
        <x:v>1.1</x:v>
      </x:c>
      <x:c r="P623" t="inlineStr">
        <x:is>
          <x:t xml:space="preserve">ITIAM-D2-Q05-A2</x:t>
        </x:is>
      </x:c>
      <x:c r="Q623" t="n">
        <x:v>3</x:v>
      </x:c>
      <x:c r="R623" t="inlineStr">
        <x:is>
          <x:t xml:space="preserve">Yes: Reviews occur for key systems and removals are tracked.</x:t>
        </x:is>
      </x:c>
      <x:c r="S623" t="n">
        <x:v>3</x:v>
      </x:c>
      <x:c r="V623" t="inlineStr">
        <x:is>
          <x:t xml:space="preserve">Evidence_Request_AccessReview</x:t>
        </x:is>
      </x:c>
      <x:c r="W623" t="inlineStr">
        <x:is>
          <x:t xml:space="preserve">N</x:t>
        </x:is>
      </x:c>
      <x:c r="Y623">
        <x:f>(S623*IF(E623="G",F623,0))+(S623*IF(G623="G",H623,0))</x:f>
      </x:c>
      <x:c r="Z623">
        <x:f>(S623*IF(E623="E",F623,0))+(S623*IF(G623="E",H623,0))</x:f>
      </x:c>
      <x:c r="AA623">
        <x:f>(S623*IF(E623="T",F623,0))+(S623*IF(G623="T",H623,0))</x:f>
      </x:c>
      <x:c r="AB623">
        <x:f>(S623*IF(E623="L",F623,0))+(S623*IF(G623="L",H623,0))</x:f>
      </x:c>
      <x:c r="AC623">
        <x:f>(S623*IF(E623="H",F623,0))+(S623*IF(G623="H",H623,0))</x:f>
      </x:c>
      <x:c r="AD623">
        <x:f>(S623*IF(E623="V",F623,0))+(S623*IF(G623="V",H623,0))</x:f>
      </x:c>
      <x:c r="AE623">
        <x:f>(S623*IF(E623="R",F623,0))+(S623*IF(G623="R",H623,0))</x:f>
      </x:c>
      <x:c r="AF623">
        <x:f>(S623*IF(E623="F",F623,0))+(S623*IF(G623="F",H623,0))</x:f>
      </x:c>
      <x:c r="AG623">
        <x:f>(S623*IF(E623="W",F623,0))+(S623*IF(G623="W",H623,0))</x:f>
      </x:c>
      <x:c r="AH623" t="inlineStr">
        <x:is>
          <x:t xml:space="preserve">3. Risk Management</x:t>
        </x:is>
      </x:c>
      <x:c r="AI623" t="inlineStr">
        <x:is>
          <x:t xml:space="preserve">Inventory &amp; Scope</x:t>
        </x:is>
      </x:c>
      <x:c r="AJ623" t="inlineStr">
        <x:is>
          <x:t xml:space="preserve">Crown jewels/HVA identification</x:t>
        </x:is>
      </x:c>
    </x:row>
    <x:row r="624">
      <x:c r="A624" t="inlineStr">
        <x:is>
          <x:t xml:space="preserve">IT_IAM</x:t>
        </x:is>
      </x:c>
      <x:c r="B624" t="inlineStr">
        <x:is>
          <x:t xml:space="preserve">ITIAM-D2-Q05</x:t>
        </x:is>
      </x:c>
      <x:c r="C624" t="inlineStr">
        <x:is>
          <x:t xml:space="preserve">T2</x:t>
        </x:is>
      </x:c>
      <x:c r="D624" t="inlineStr">
        <x:is>
          <x:t xml:space="preserve">3. Risk &amp; Access Visibility</x:t>
        </x:is>
      </x:c>
      <x:c r="E624" t="inlineStr">
        <x:is>
          <x:t xml:space="preserve">E</x:t>
        </x:is>
      </x:c>
      <x:c r="F624" t="n">
        <x:v>0.5</x:v>
      </x:c>
      <x:c r="G624" t="inlineStr">
        <x:is>
          <x:t xml:space="preserve">V</x:t>
        </x:is>
      </x:c>
      <x:c r="H624" t="n">
        <x:v>0.5</x:v>
      </x:c>
      <x:c r="I624" t="inlineStr">
        <x:is>
          <x:t xml:space="preserve">Do we review and certify access for high-value systems on a schedule (and remove unused access)?</x:t>
        </x:is>
      </x:c>
      <x:c r="J624" t="inlineStr">
        <x:is>
          <x:t xml:space="preserve">Even annual reviews are better than never; high-risk systems may need quarterly.</x:t>
        </x:is>
      </x:c>
      <x:c r="L624" t="inlineStr">
        <x:is>
          <x:t xml:space="preserve">RISK_STD</x:t>
        </x:is>
      </x:c>
      <x:c r="M624" t="n">
        <x:v>1.1</x:v>
      </x:c>
      <x:c r="P624" t="inlineStr">
        <x:is>
          <x:t xml:space="preserve">ITIAM-D2-Q05-A3</x:t>
        </x:is>
      </x:c>
      <x:c r="Q624" t="n">
        <x:v>4</x:v>
      </x:c>
      <x:c r="R624" t="inlineStr">
        <x:is>
          <x:t xml:space="preserve">Optimized: Risk-based frequency + automation + audit trail.</x:t>
        </x:is>
      </x:c>
      <x:c r="S624" t="n">
        <x:v>4</x:v>
      </x:c>
      <x:c r="V624" t="inlineStr">
        <x:is>
          <x:t xml:space="preserve">Maintain_and_Audit</x:t>
        </x:is>
      </x:c>
      <x:c r="W624" t="inlineStr">
        <x:is>
          <x:t xml:space="preserve">N</x:t>
        </x:is>
      </x:c>
      <x:c r="Y624">
        <x:f>(S624*IF(E624="G",F624,0))+(S624*IF(G624="G",H624,0))</x:f>
      </x:c>
      <x:c r="Z624">
        <x:f>(S624*IF(E624="E",F624,0))+(S624*IF(G624="E",H624,0))</x:f>
      </x:c>
      <x:c r="AA624">
        <x:f>(S624*IF(E624="T",F624,0))+(S624*IF(G624="T",H624,0))</x:f>
      </x:c>
      <x:c r="AB624">
        <x:f>(S624*IF(E624="L",F624,0))+(S624*IF(G624="L",H624,0))</x:f>
      </x:c>
      <x:c r="AC624">
        <x:f>(S624*IF(E624="H",F624,0))+(S624*IF(G624="H",H624,0))</x:f>
      </x:c>
      <x:c r="AD624">
        <x:f>(S624*IF(E624="V",F624,0))+(S624*IF(G624="V",H624,0))</x:f>
      </x:c>
      <x:c r="AE624">
        <x:f>(S624*IF(E624="R",F624,0))+(S624*IF(G624="R",H624,0))</x:f>
      </x:c>
      <x:c r="AF624">
        <x:f>(S624*IF(E624="F",F624,0))+(S624*IF(G624="F",H624,0))</x:f>
      </x:c>
      <x:c r="AG624">
        <x:f>(S624*IF(E624="W",F624,0))+(S624*IF(G624="W",H624,0))</x:f>
      </x:c>
      <x:c r="AH624" t="inlineStr">
        <x:is>
          <x:t xml:space="preserve">3. Risk Management</x:t>
        </x:is>
      </x:c>
      <x:c r="AI624" t="inlineStr">
        <x:is>
          <x:t xml:space="preserve">Inventory &amp; Scope</x:t>
        </x:is>
      </x:c>
      <x:c r="AJ624" t="inlineStr">
        <x:is>
          <x:t xml:space="preserve">Crown jewels/HVA identification</x:t>
        </x:is>
      </x:c>
    </x:row>
    <x:row r="625">
      <x:c r="A625" t="inlineStr">
        <x:is>
          <x:t xml:space="preserve">IT_IAM</x:t>
        </x:is>
      </x:c>
      <x:c r="B625" t="inlineStr">
        <x:is>
          <x:t xml:space="preserve">ITIAM-D3-Q06</x:t>
        </x:is>
      </x:c>
      <x:c r="C625" t="inlineStr">
        <x:is>
          <x:t xml:space="preserve">T1</x:t>
        </x:is>
      </x:c>
      <x:c r="D625" t="inlineStr">
        <x:is>
          <x:t xml:space="preserve">6. Tech &amp; Privileged Access</x:t>
        </x:is>
      </x:c>
      <x:c r="E625" t="inlineStr">
        <x:is>
          <x:t xml:space="preserve">T</x:t>
        </x:is>
      </x:c>
      <x:c r="F625" t="n">
        <x:v>0.7</x:v>
      </x:c>
      <x:c r="G625" t="inlineStr">
        <x:is>
          <x:t xml:space="preserve">E</x:t>
        </x:is>
      </x:c>
      <x:c r="H625" t="n">
        <x:v>0.3</x:v>
      </x:c>
      <x:c r="I625" t="inlineStr">
        <x:is>
          <x:t xml:space="preserve">How are privileged/admin accounts controlled (approval, time limits, MFA, and monitoring)?</x:t>
        </x:is>
      </x:c>
      <x:c r="J625" t="inlineStr">
        <x:is>
          <x:t xml:space="preserve">Privileged access is often the highest insider-risk leverage point.</x:t>
        </x:is>
      </x:c>
      <x:c r="L625" t="inlineStr">
        <x:is>
          <x:t xml:space="preserve">OPS_STD</x:t>
        </x:is>
      </x:c>
      <x:c r="M625" t="n">
        <x:v>1.5</x:v>
      </x:c>
      <x:c r="N625" t="n">
        <x:v>0.5</x:v>
      </x:c>
      <x:c r="P625" t="inlineStr">
        <x:is>
          <x:t xml:space="preserve">ITIAM-D3-Q06-A0</x:t>
        </x:is>
      </x:c>
      <x:c r="Q625" t="n">
        <x:v>1</x:v>
      </x:c>
      <x:c r="R625" t="inlineStr">
        <x:is>
          <x:t xml:space="preserve">I don’t know / not sure.</x:t>
        </x:is>
      </x:c>
      <x:c r="S625" t="n">
        <x:v>0</x:v>
      </x:c>
      <x:c r="T625" t="inlineStr">
        <x:is>
          <x:t xml:space="preserve">unknown</x:t>
        </x:is>
      </x:c>
      <x:c r="U625" t="inlineStr">
        <x:is>
          <x:t xml:space="preserve">Unknown</x:t>
        </x:is>
      </x:c>
      <x:c r="V625" t="inlineStr">
        <x:is>
          <x:t xml:space="preserve">Clarify_Privileged</x:t>
        </x:is>
      </x:c>
      <x:c r="W625" t="inlineStr">
        <x:is>
          <x:t xml:space="preserve">N</x:t>
        </x:is>
      </x:c>
      <x:c r="Y625">
        <x:f>(S625*IF(E625="G",F625,0))+(S625*IF(G625="G",H625,0))</x:f>
      </x:c>
      <x:c r="Z625">
        <x:f>(S625*IF(E625="E",F625,0))+(S625*IF(G625="E",H625,0))</x:f>
      </x:c>
      <x:c r="AA625">
        <x:f>(S625*IF(E625="T",F625,0))+(S625*IF(G625="T",H625,0))</x:f>
      </x:c>
      <x:c r="AB625">
        <x:f>(S625*IF(E625="L",F625,0))+(S625*IF(G625="L",H625,0))</x:f>
      </x:c>
      <x:c r="AC625">
        <x:f>(S625*IF(E625="H",F625,0))+(S625*IF(G625="H",H625,0))</x:f>
      </x:c>
      <x:c r="AD625">
        <x:f>(S625*IF(E625="V",F625,0))+(S625*IF(G625="V",H625,0))</x:f>
      </x:c>
      <x:c r="AE625">
        <x:f>(S625*IF(E625="R",F625,0))+(S625*IF(G625="R",H625,0))</x:f>
      </x:c>
      <x:c r="AF625">
        <x:f>(S625*IF(E625="F",F625,0))+(S625*IF(G625="F",H625,0))</x:f>
      </x:c>
      <x:c r="AG625">
        <x:f>(S625*IF(E625="W",F625,0))+(S625*IF(G625="W",H625,0))</x:f>
      </x:c>
      <x:c r="AH625" t="inlineStr">
        <x:is>
          <x:t xml:space="preserve">6. Technical Controls</x:t>
        </x:is>
      </x:c>
      <x:c r="AI625" t="inlineStr">
        <x:is>
          <x:t xml:space="preserve">Identity &amp; Access</x:t>
        </x:is>
      </x:c>
      <x:c r="AJ625" t="inlineStr">
        <x:is>
          <x:t xml:space="preserve">PAM &amp; privileged session governance</x:t>
        </x:is>
      </x:c>
    </x:row>
    <x:row r="626">
      <x:c r="A626" t="inlineStr">
        <x:is>
          <x:t xml:space="preserve">IT_IAM</x:t>
        </x:is>
      </x:c>
      <x:c r="B626" t="inlineStr">
        <x:is>
          <x:t xml:space="preserve">ITIAM-D3-Q06</x:t>
        </x:is>
      </x:c>
      <x:c r="C626" t="inlineStr">
        <x:is>
          <x:t xml:space="preserve">T1</x:t>
        </x:is>
      </x:c>
      <x:c r="D626" t="inlineStr">
        <x:is>
          <x:t xml:space="preserve">6. Tech &amp; Privileged Access</x:t>
        </x:is>
      </x:c>
      <x:c r="E626" t="inlineStr">
        <x:is>
          <x:t xml:space="preserve">T</x:t>
        </x:is>
      </x:c>
      <x:c r="F626" t="n">
        <x:v>0.7</x:v>
      </x:c>
      <x:c r="G626" t="inlineStr">
        <x:is>
          <x:t xml:space="preserve">E</x:t>
        </x:is>
      </x:c>
      <x:c r="H626" t="n">
        <x:v>0.3</x:v>
      </x:c>
      <x:c r="I626" t="inlineStr">
        <x:is>
          <x:t xml:space="preserve">How are privileged/admin accounts controlled (approval, time limits, MFA, and monitoring)?</x:t>
        </x:is>
      </x:c>
      <x:c r="J626" t="inlineStr">
        <x:is>
          <x:t xml:space="preserve">Privileged access is often the highest insider-risk leverage point.</x:t>
        </x:is>
      </x:c>
      <x:c r="L626" t="inlineStr">
        <x:is>
          <x:t xml:space="preserve">OPS_STD</x:t>
        </x:is>
      </x:c>
      <x:c r="M626" t="n">
        <x:v>1.5</x:v>
      </x:c>
      <x:c r="N626" t="n">
        <x:v>0.5</x:v>
      </x:c>
      <x:c r="P626" t="inlineStr">
        <x:is>
          <x:t xml:space="preserve">ITIAM-D3-Q06-A1</x:t>
        </x:is>
      </x:c>
      <x:c r="Q626" t="n">
        <x:v>2</x:v>
      </x:c>
      <x:c r="R626" t="inlineStr">
        <x:is>
          <x:t xml:space="preserve">Weak: Shared admin accounts or standing privilege with little oversight.</x:t>
        </x:is>
      </x:c>
      <x:c r="S626" t="n">
        <x:v>0</x:v>
      </x:c>
      <x:c r="T626" t="inlineStr">
        <x:is>
          <x:t xml:space="preserve">visibility_gap,legal_exposure</x:t>
        </x:is>
      </x:c>
      <x:c r="U626" t="inlineStr">
        <x:is>
          <x:t xml:space="preserve">Visibility Gap</x:t>
        </x:is>
      </x:c>
      <x:c r="V626" t="inlineStr">
        <x:is>
          <x:t xml:space="preserve">Implement_PAM</x:t>
        </x:is>
      </x:c>
      <x:c r="W626" t="inlineStr">
        <x:is>
          <x:t xml:space="preserve">N</x:t>
        </x:is>
      </x:c>
      <x:c r="Y626">
        <x:f>(S626*IF(E626="G",F626,0))+(S626*IF(G626="G",H626,0))</x:f>
      </x:c>
      <x:c r="Z626">
        <x:f>(S626*IF(E626="E",F626,0))+(S626*IF(G626="E",H626,0))</x:f>
      </x:c>
      <x:c r="AA626">
        <x:f>(S626*IF(E626="T",F626,0))+(S626*IF(G626="T",H626,0))</x:f>
      </x:c>
      <x:c r="AB626">
        <x:f>(S626*IF(E626="L",F626,0))+(S626*IF(G626="L",H626,0))</x:f>
      </x:c>
      <x:c r="AC626">
        <x:f>(S626*IF(E626="H",F626,0))+(S626*IF(G626="H",H626,0))</x:f>
      </x:c>
      <x:c r="AD626">
        <x:f>(S626*IF(E626="V",F626,0))+(S626*IF(G626="V",H626,0))</x:f>
      </x:c>
      <x:c r="AE626">
        <x:f>(S626*IF(E626="R",F626,0))+(S626*IF(G626="R",H626,0))</x:f>
      </x:c>
      <x:c r="AF626">
        <x:f>(S626*IF(E626="F",F626,0))+(S626*IF(G626="F",H626,0))</x:f>
      </x:c>
      <x:c r="AG626">
        <x:f>(S626*IF(E626="W",F626,0))+(S626*IF(G626="W",H626,0))</x:f>
      </x:c>
      <x:c r="AH626" t="inlineStr">
        <x:is>
          <x:t xml:space="preserve">6. Technical Controls</x:t>
        </x:is>
      </x:c>
      <x:c r="AI626" t="inlineStr">
        <x:is>
          <x:t xml:space="preserve">Identity &amp; Access</x:t>
        </x:is>
      </x:c>
      <x:c r="AJ626" t="inlineStr">
        <x:is>
          <x:t xml:space="preserve">PAM &amp; privileged session governance</x:t>
        </x:is>
      </x:c>
    </x:row>
    <x:row r="627">
      <x:c r="A627" t="inlineStr">
        <x:is>
          <x:t xml:space="preserve">IT_IAM</x:t>
        </x:is>
      </x:c>
      <x:c r="B627" t="inlineStr">
        <x:is>
          <x:t xml:space="preserve">ITIAM-D3-Q06</x:t>
        </x:is>
      </x:c>
      <x:c r="C627" t="inlineStr">
        <x:is>
          <x:t xml:space="preserve">T1</x:t>
        </x:is>
      </x:c>
      <x:c r="D627" t="inlineStr">
        <x:is>
          <x:t xml:space="preserve">6. Tech &amp; Privileged Access</x:t>
        </x:is>
      </x:c>
      <x:c r="E627" t="inlineStr">
        <x:is>
          <x:t xml:space="preserve">T</x:t>
        </x:is>
      </x:c>
      <x:c r="F627" t="n">
        <x:v>0.7</x:v>
      </x:c>
      <x:c r="G627" t="inlineStr">
        <x:is>
          <x:t xml:space="preserve">E</x:t>
        </x:is>
      </x:c>
      <x:c r="H627" t="n">
        <x:v>0.3</x:v>
      </x:c>
      <x:c r="I627" t="inlineStr">
        <x:is>
          <x:t xml:space="preserve">How are privileged/admin accounts controlled (approval, time limits, MFA, and monitoring)?</x:t>
        </x:is>
      </x:c>
      <x:c r="J627" t="inlineStr">
        <x:is>
          <x:t xml:space="preserve">Privileged access is often the highest insider-risk leverage point.</x:t>
        </x:is>
      </x:c>
      <x:c r="L627" t="inlineStr">
        <x:is>
          <x:t xml:space="preserve">OPS_STD</x:t>
        </x:is>
      </x:c>
      <x:c r="M627" t="n">
        <x:v>1.5</x:v>
      </x:c>
      <x:c r="N627" t="n">
        <x:v>0.5</x:v>
      </x:c>
      <x:c r="P627" t="inlineStr">
        <x:is>
          <x:t xml:space="preserve">ITIAM-D3-Q06-A2</x:t>
        </x:is>
      </x:c>
      <x:c r="Q627" t="n">
        <x:v>3</x:v>
      </x:c>
      <x:c r="R627" t="inlineStr">
        <x:is>
          <x:t xml:space="preserve">Basic: Named accounts and MFA, but standing privilege is common.</x:t>
        </x:is>
      </x:c>
      <x:c r="S627" t="n">
        <x:v>1</x:v>
      </x:c>
      <x:c r="T627" t="inlineStr">
        <x:is>
          <x:t xml:space="preserve">operating_model_gap</x:t>
        </x:is>
      </x:c>
      <x:c r="U627" t="inlineStr">
        <x:is>
          <x:t xml:space="preserve">Operating Model Gap</x:t>
        </x:is>
      </x:c>
      <x:c r="V627" t="inlineStr">
        <x:is>
          <x:t xml:space="preserve">Reduce_Standing_Privilege</x:t>
        </x:is>
      </x:c>
      <x:c r="W627" t="inlineStr">
        <x:is>
          <x:t xml:space="preserve">N</x:t>
        </x:is>
      </x:c>
      <x:c r="Y627">
        <x:f>(S627*IF(E627="G",F627,0))+(S627*IF(G627="G",H627,0))</x:f>
      </x:c>
      <x:c r="Z627">
        <x:f>(S627*IF(E627="E",F627,0))+(S627*IF(G627="E",H627,0))</x:f>
      </x:c>
      <x:c r="AA627">
        <x:f>(S627*IF(E627="T",F627,0))+(S627*IF(G627="T",H627,0))</x:f>
      </x:c>
      <x:c r="AB627">
        <x:f>(S627*IF(E627="L",F627,0))+(S627*IF(G627="L",H627,0))</x:f>
      </x:c>
      <x:c r="AC627">
        <x:f>(S627*IF(E627="H",F627,0))+(S627*IF(G627="H",H627,0))</x:f>
      </x:c>
      <x:c r="AD627">
        <x:f>(S627*IF(E627="V",F627,0))+(S627*IF(G627="V",H627,0))</x:f>
      </x:c>
      <x:c r="AE627">
        <x:f>(S627*IF(E627="R",F627,0))+(S627*IF(G627="R",H627,0))</x:f>
      </x:c>
      <x:c r="AF627">
        <x:f>(S627*IF(E627="F",F627,0))+(S627*IF(G627="F",H627,0))</x:f>
      </x:c>
      <x:c r="AG627">
        <x:f>(S627*IF(E627="W",F627,0))+(S627*IF(G627="W",H627,0))</x:f>
      </x:c>
      <x:c r="AH627" t="inlineStr">
        <x:is>
          <x:t xml:space="preserve">6. Technical Controls</x:t>
        </x:is>
      </x:c>
      <x:c r="AI627" t="inlineStr">
        <x:is>
          <x:t xml:space="preserve">Identity &amp; Access</x:t>
        </x:is>
      </x:c>
      <x:c r="AJ627" t="inlineStr">
        <x:is>
          <x:t xml:space="preserve">PAM &amp; privileged session governance</x:t>
        </x:is>
      </x:c>
    </x:row>
    <x:row r="628">
      <x:c r="A628" t="inlineStr">
        <x:is>
          <x:t xml:space="preserve">IT_IAM</x:t>
        </x:is>
      </x:c>
      <x:c r="B628" t="inlineStr">
        <x:is>
          <x:t xml:space="preserve">ITIAM-D3-Q06</x:t>
        </x:is>
      </x:c>
      <x:c r="C628" t="inlineStr">
        <x:is>
          <x:t xml:space="preserve">T1</x:t>
        </x:is>
      </x:c>
      <x:c r="D628" t="inlineStr">
        <x:is>
          <x:t xml:space="preserve">6. Tech &amp; Privileged Access</x:t>
        </x:is>
      </x:c>
      <x:c r="E628" t="inlineStr">
        <x:is>
          <x:t xml:space="preserve">T</x:t>
        </x:is>
      </x:c>
      <x:c r="F628" t="n">
        <x:v>0.7</x:v>
      </x:c>
      <x:c r="G628" t="inlineStr">
        <x:is>
          <x:t xml:space="preserve">E</x:t>
        </x:is>
      </x:c>
      <x:c r="H628" t="n">
        <x:v>0.3</x:v>
      </x:c>
      <x:c r="I628" t="inlineStr">
        <x:is>
          <x:t xml:space="preserve">How are privileged/admin accounts controlled (approval, time limits, MFA, and monitoring)?</x:t>
        </x:is>
      </x:c>
      <x:c r="J628" t="inlineStr">
        <x:is>
          <x:t xml:space="preserve">Privileged access is often the highest insider-risk leverage point.</x:t>
        </x:is>
      </x:c>
      <x:c r="L628" t="inlineStr">
        <x:is>
          <x:t xml:space="preserve">OPS_STD</x:t>
        </x:is>
      </x:c>
      <x:c r="M628" t="n">
        <x:v>1.5</x:v>
      </x:c>
      <x:c r="N628" t="n">
        <x:v>0.5</x:v>
      </x:c>
      <x:c r="P628" t="inlineStr">
        <x:is>
          <x:t xml:space="preserve">ITIAM-D3-Q06-A3</x:t>
        </x:is>
      </x:c>
      <x:c r="Q628" t="n">
        <x:v>4</x:v>
      </x:c>
      <x:c r="R628" t="inlineStr">
        <x:is>
          <x:t xml:space="preserve">Strong: Approval + logging for most privileged actions; limited standing privilege.</x:t>
        </x:is>
      </x:c>
      <x:c r="S628" t="n">
        <x:v>3</x:v>
      </x:c>
      <x:c r="V628" t="inlineStr">
        <x:is>
          <x:t xml:space="preserve">Evidence_Request_PAM</x:t>
        </x:is>
      </x:c>
      <x:c r="W628" t="inlineStr">
        <x:is>
          <x:t xml:space="preserve">N</x:t>
        </x:is>
      </x:c>
      <x:c r="Y628">
        <x:f>(S628*IF(E628="G",F628,0))+(S628*IF(G628="G",H628,0))</x:f>
      </x:c>
      <x:c r="Z628">
        <x:f>(S628*IF(E628="E",F628,0))+(S628*IF(G628="E",H628,0))</x:f>
      </x:c>
      <x:c r="AA628">
        <x:f>(S628*IF(E628="T",F628,0))+(S628*IF(G628="T",H628,0))</x:f>
      </x:c>
      <x:c r="AB628">
        <x:f>(S628*IF(E628="L",F628,0))+(S628*IF(G628="L",H628,0))</x:f>
      </x:c>
      <x:c r="AC628">
        <x:f>(S628*IF(E628="H",F628,0))+(S628*IF(G628="H",H628,0))</x:f>
      </x:c>
      <x:c r="AD628">
        <x:f>(S628*IF(E628="V",F628,0))+(S628*IF(G628="V",H628,0))</x:f>
      </x:c>
      <x:c r="AE628">
        <x:f>(S628*IF(E628="R",F628,0))+(S628*IF(G628="R",H628,0))</x:f>
      </x:c>
      <x:c r="AF628">
        <x:f>(S628*IF(E628="F",F628,0))+(S628*IF(G628="F",H628,0))</x:f>
      </x:c>
      <x:c r="AG628">
        <x:f>(S628*IF(E628="W",F628,0))+(S628*IF(G628="W",H628,0))</x:f>
      </x:c>
      <x:c r="AH628" t="inlineStr">
        <x:is>
          <x:t xml:space="preserve">6. Technical Controls</x:t>
        </x:is>
      </x:c>
      <x:c r="AI628" t="inlineStr">
        <x:is>
          <x:t xml:space="preserve">Identity &amp; Access</x:t>
        </x:is>
      </x:c>
      <x:c r="AJ628" t="inlineStr">
        <x:is>
          <x:t xml:space="preserve">PAM &amp; privileged session governance</x:t>
        </x:is>
      </x:c>
    </x:row>
    <x:row r="629">
      <x:c r="A629" t="inlineStr">
        <x:is>
          <x:t xml:space="preserve">IT_IAM</x:t>
        </x:is>
      </x:c>
      <x:c r="B629" t="inlineStr">
        <x:is>
          <x:t xml:space="preserve">ITIAM-D3-Q06</x:t>
        </x:is>
      </x:c>
      <x:c r="C629" t="inlineStr">
        <x:is>
          <x:t xml:space="preserve">T1</x:t>
        </x:is>
      </x:c>
      <x:c r="D629" t="inlineStr">
        <x:is>
          <x:t xml:space="preserve">6. Tech &amp; Privileged Access</x:t>
        </x:is>
      </x:c>
      <x:c r="E629" t="inlineStr">
        <x:is>
          <x:t xml:space="preserve">T</x:t>
        </x:is>
      </x:c>
      <x:c r="F629" t="n">
        <x:v>0.7</x:v>
      </x:c>
      <x:c r="G629" t="inlineStr">
        <x:is>
          <x:t xml:space="preserve">E</x:t>
        </x:is>
      </x:c>
      <x:c r="H629" t="n">
        <x:v>0.3</x:v>
      </x:c>
      <x:c r="I629" t="inlineStr">
        <x:is>
          <x:t xml:space="preserve">How are privileged/admin accounts controlled (approval, time limits, MFA, and monitoring)?</x:t>
        </x:is>
      </x:c>
      <x:c r="J629" t="inlineStr">
        <x:is>
          <x:t xml:space="preserve">Privileged access is often the highest insider-risk leverage point.</x:t>
        </x:is>
      </x:c>
      <x:c r="L629" t="inlineStr">
        <x:is>
          <x:t xml:space="preserve">OPS_STD</x:t>
        </x:is>
      </x:c>
      <x:c r="M629" t="n">
        <x:v>1.5</x:v>
      </x:c>
      <x:c r="N629" t="n">
        <x:v>0.5</x:v>
      </x:c>
      <x:c r="P629" t="inlineStr">
        <x:is>
          <x:t xml:space="preserve">ITIAM-D3-Q06-A4</x:t>
        </x:is>
      </x:c>
      <x:c r="Q629" t="n">
        <x:v>5</x:v>
      </x:c>
      <x:c r="R629" t="inlineStr">
        <x:is>
          <x:t xml:space="preserve">Optimized: Just-in-time (time-bound) privilege + session controls + regular reviews.</x:t>
        </x:is>
      </x:c>
      <x:c r="S629" t="n">
        <x:v>4</x:v>
      </x:c>
      <x:c r="V629" t="inlineStr">
        <x:is>
          <x:t xml:space="preserve">Maintain_and_Audit</x:t>
        </x:is>
      </x:c>
      <x:c r="W629" t="inlineStr">
        <x:is>
          <x:t xml:space="preserve">N</x:t>
        </x:is>
      </x:c>
      <x:c r="Y629">
        <x:f>(S629*IF(E629="G",F629,0))+(S629*IF(G629="G",H629,0))</x:f>
      </x:c>
      <x:c r="Z629">
        <x:f>(S629*IF(E629="E",F629,0))+(S629*IF(G629="E",H629,0))</x:f>
      </x:c>
      <x:c r="AA629">
        <x:f>(S629*IF(E629="T",F629,0))+(S629*IF(G629="T",H629,0))</x:f>
      </x:c>
      <x:c r="AB629">
        <x:f>(S629*IF(E629="L",F629,0))+(S629*IF(G629="L",H629,0))</x:f>
      </x:c>
      <x:c r="AC629">
        <x:f>(S629*IF(E629="H",F629,0))+(S629*IF(G629="H",H629,0))</x:f>
      </x:c>
      <x:c r="AD629">
        <x:f>(S629*IF(E629="V",F629,0))+(S629*IF(G629="V",H629,0))</x:f>
      </x:c>
      <x:c r="AE629">
        <x:f>(S629*IF(E629="R",F629,0))+(S629*IF(G629="R",H629,0))</x:f>
      </x:c>
      <x:c r="AF629">
        <x:f>(S629*IF(E629="F",F629,0))+(S629*IF(G629="F",H629,0))</x:f>
      </x:c>
      <x:c r="AG629">
        <x:f>(S629*IF(E629="W",F629,0))+(S629*IF(G629="W",H629,0))</x:f>
      </x:c>
      <x:c r="AH629" t="inlineStr">
        <x:is>
          <x:t xml:space="preserve">6. Technical Controls</x:t>
        </x:is>
      </x:c>
      <x:c r="AI629" t="inlineStr">
        <x:is>
          <x:t xml:space="preserve">Identity &amp; Access</x:t>
        </x:is>
      </x:c>
      <x:c r="AJ629" t="inlineStr">
        <x:is>
          <x:t xml:space="preserve">PAM &amp; privileged session governance</x:t>
        </x:is>
      </x:c>
    </x:row>
    <x:row r="630">
      <x:c r="A630" t="inlineStr">
        <x:is>
          <x:t xml:space="preserve">IT_IAM</x:t>
        </x:is>
      </x:c>
      <x:c r="B630" t="inlineStr">
        <x:is>
          <x:t xml:space="preserve">ITIAM-D3-Q07</x:t>
        </x:is>
      </x:c>
      <x:c r="C630" t="inlineStr">
        <x:is>
          <x:t xml:space="preserve">T2</x:t>
        </x:is>
      </x:c>
      <x:c r="D630" t="inlineStr">
        <x:is>
          <x:t xml:space="preserve">6. Tech &amp; Privileged Access</x:t>
        </x:is>
      </x:c>
      <x:c r="E630" t="inlineStr">
        <x:is>
          <x:t xml:space="preserve">R</x:t>
        </x:is>
      </x:c>
      <x:c r="F630" t="n">
        <x:v>0.4</x:v>
      </x:c>
      <x:c r="G630" t="inlineStr">
        <x:is>
          <x:t xml:space="preserve">T</x:t>
        </x:is>
      </x:c>
      <x:c r="H630" t="n">
        <x:v>0.6</x:v>
      </x:c>
      <x:c r="I630" t="inlineStr">
        <x:is>
          <x:t xml:space="preserve">Is ‘break-glass’ emergency access controlled, logged, and reviewed after use?</x:t>
        </x:is>
      </x:c>
      <x:c r="J630" t="inlineStr">
        <x:is>
          <x:t xml:space="preserve">Break-glass should be rare, time-limited, and reviewed like an incident.</x:t>
        </x:is>
      </x:c>
      <x:c r="L630" t="inlineStr">
        <x:is>
          <x:t xml:space="preserve">OPS_STD</x:t>
        </x:is>
      </x:c>
      <x:c r="M630" t="n">
        <x:v>1.2</x:v>
      </x:c>
      <x:c r="P630" t="inlineStr">
        <x:is>
          <x:t xml:space="preserve">ITIAM-D3-Q07-A0</x:t>
        </x:is>
      </x:c>
      <x:c r="Q630" t="n">
        <x:v>1</x:v>
      </x:c>
      <x:c r="R630" t="inlineStr">
        <x:is>
          <x:t xml:space="preserve">No: Break-glass exists but isn’t reviewed; usage is unclear.</x:t>
        </x:is>
      </x:c>
      <x:c r="S630" t="n">
        <x:v>0</x:v>
      </x:c>
      <x:c r="T630" t="inlineStr">
        <x:is>
          <x:t xml:space="preserve">visibility_gap</x:t>
        </x:is>
      </x:c>
      <x:c r="U630" t="inlineStr">
        <x:is>
          <x:t xml:space="preserve">Visibility Gap</x:t>
        </x:is>
      </x:c>
      <x:c r="V630" t="inlineStr">
        <x:is>
          <x:t xml:space="preserve">Control_BreakGlass</x:t>
        </x:is>
      </x:c>
      <x:c r="W630" t="inlineStr">
        <x:is>
          <x:t xml:space="preserve">N</x:t>
        </x:is>
      </x:c>
      <x:c r="Y630">
        <x:f>(S630*IF(E630="G",F630,0))+(S630*IF(G630="G",H630,0))</x:f>
      </x:c>
      <x:c r="Z630">
        <x:f>(S630*IF(E630="E",F630,0))+(S630*IF(G630="E",H630,0))</x:f>
      </x:c>
      <x:c r="AA630">
        <x:f>(S630*IF(E630="T",F630,0))+(S630*IF(G630="T",H630,0))</x:f>
      </x:c>
      <x:c r="AB630">
        <x:f>(S630*IF(E630="L",F630,0))+(S630*IF(G630="L",H630,0))</x:f>
      </x:c>
      <x:c r="AC630">
        <x:f>(S630*IF(E630="H",F630,0))+(S630*IF(G630="H",H630,0))</x:f>
      </x:c>
      <x:c r="AD630">
        <x:f>(S630*IF(E630="V",F630,0))+(S630*IF(G630="V",H630,0))</x:f>
      </x:c>
      <x:c r="AE630">
        <x:f>(S630*IF(E630="R",F630,0))+(S630*IF(G630="R",H630,0))</x:f>
      </x:c>
      <x:c r="AF630">
        <x:f>(S630*IF(E630="F",F630,0))+(S630*IF(G630="F",H630,0))</x:f>
      </x:c>
      <x:c r="AG630">
        <x:f>(S630*IF(E630="W",F630,0))+(S630*IF(G630="W",H630,0))</x:f>
      </x:c>
      <x:c r="AH630" t="inlineStr">
        <x:is>
          <x:t xml:space="preserve">6. Technical Controls</x:t>
        </x:is>
      </x:c>
      <x:c r="AI630" t="inlineStr">
        <x:is>
          <x:t xml:space="preserve">Data, Endpoint &amp; Cloud Controls</x:t>
        </x:is>
      </x:c>
      <x:c r="AJ630" t="inlineStr">
        <x:is>
          <x:t xml:space="preserve">EDR for insider use-cases</x:t>
        </x:is>
      </x:c>
    </x:row>
    <x:row r="631">
      <x:c r="A631" t="inlineStr">
        <x:is>
          <x:t xml:space="preserve">IT_IAM</x:t>
        </x:is>
      </x:c>
      <x:c r="B631" t="inlineStr">
        <x:is>
          <x:t xml:space="preserve">ITIAM-D3-Q07</x:t>
        </x:is>
      </x:c>
      <x:c r="C631" t="inlineStr">
        <x:is>
          <x:t xml:space="preserve">T2</x:t>
        </x:is>
      </x:c>
      <x:c r="D631" t="inlineStr">
        <x:is>
          <x:t xml:space="preserve">6. Tech &amp; Privileged Access</x:t>
        </x:is>
      </x:c>
      <x:c r="E631" t="inlineStr">
        <x:is>
          <x:t xml:space="preserve">R</x:t>
        </x:is>
      </x:c>
      <x:c r="F631" t="n">
        <x:v>0.4</x:v>
      </x:c>
      <x:c r="G631" t="inlineStr">
        <x:is>
          <x:t xml:space="preserve">T</x:t>
        </x:is>
      </x:c>
      <x:c r="H631" t="n">
        <x:v>0.6</x:v>
      </x:c>
      <x:c r="I631" t="inlineStr">
        <x:is>
          <x:t xml:space="preserve">Is ‘break-glass’ emergency access controlled, logged, and reviewed after use?</x:t>
        </x:is>
      </x:c>
      <x:c r="J631" t="inlineStr">
        <x:is>
          <x:t xml:space="preserve">Break-glass should be rare, time-limited, and reviewed like an incident.</x:t>
        </x:is>
      </x:c>
      <x:c r="L631" t="inlineStr">
        <x:is>
          <x:t xml:space="preserve">OPS_STD</x:t>
        </x:is>
      </x:c>
      <x:c r="M631" t="n">
        <x:v>1.2</x:v>
      </x:c>
      <x:c r="P631" t="inlineStr">
        <x:is>
          <x:t xml:space="preserve">ITIAM-D3-Q07-A1</x:t>
        </x:is>
      </x:c>
      <x:c r="Q631" t="n">
        <x:v>2</x:v>
      </x:c>
      <x:c r="R631" t="inlineStr">
        <x:is>
          <x:t xml:space="preserve">Partial: Logs exist, but reviews are inconsistent.</x:t>
        </x:is>
      </x:c>
      <x:c r="S631" t="n">
        <x:v>1</x:v>
      </x:c>
      <x:c r="T631" t="inlineStr">
        <x:is>
          <x:t xml:space="preserve">operating_model_gap</x:t>
        </x:is>
      </x:c>
      <x:c r="U631" t="inlineStr">
        <x:is>
          <x:t xml:space="preserve">Operating Model Gap</x:t>
        </x:is>
      </x:c>
      <x:c r="V631" t="inlineStr">
        <x:is>
          <x:t xml:space="preserve">Review_BreakGlass</x:t>
        </x:is>
      </x:c>
      <x:c r="W631" t="inlineStr">
        <x:is>
          <x:t xml:space="preserve">N</x:t>
        </x:is>
      </x:c>
      <x:c r="Y631">
        <x:f>(S631*IF(E631="G",F631,0))+(S631*IF(G631="G",H631,0))</x:f>
      </x:c>
      <x:c r="Z631">
        <x:f>(S631*IF(E631="E",F631,0))+(S631*IF(G631="E",H631,0))</x:f>
      </x:c>
      <x:c r="AA631">
        <x:f>(S631*IF(E631="T",F631,0))+(S631*IF(G631="T",H631,0))</x:f>
      </x:c>
      <x:c r="AB631">
        <x:f>(S631*IF(E631="L",F631,0))+(S631*IF(G631="L",H631,0))</x:f>
      </x:c>
      <x:c r="AC631">
        <x:f>(S631*IF(E631="H",F631,0))+(S631*IF(G631="H",H631,0))</x:f>
      </x:c>
      <x:c r="AD631">
        <x:f>(S631*IF(E631="V",F631,0))+(S631*IF(G631="V",H631,0))</x:f>
      </x:c>
      <x:c r="AE631">
        <x:f>(S631*IF(E631="R",F631,0))+(S631*IF(G631="R",H631,0))</x:f>
      </x:c>
      <x:c r="AF631">
        <x:f>(S631*IF(E631="F",F631,0))+(S631*IF(G631="F",H631,0))</x:f>
      </x:c>
      <x:c r="AG631">
        <x:f>(S631*IF(E631="W",F631,0))+(S631*IF(G631="W",H631,0))</x:f>
      </x:c>
      <x:c r="AH631" t="inlineStr">
        <x:is>
          <x:t xml:space="preserve">6. Technical Controls</x:t>
        </x:is>
      </x:c>
      <x:c r="AI631" t="inlineStr">
        <x:is>
          <x:t xml:space="preserve">Data, Endpoint &amp; Cloud Controls</x:t>
        </x:is>
      </x:c>
      <x:c r="AJ631" t="inlineStr">
        <x:is>
          <x:t xml:space="preserve">EDR for insider use-cases</x:t>
        </x:is>
      </x:c>
    </x:row>
    <x:row r="632">
      <x:c r="A632" t="inlineStr">
        <x:is>
          <x:t xml:space="preserve">IT_IAM</x:t>
        </x:is>
      </x:c>
      <x:c r="B632" t="inlineStr">
        <x:is>
          <x:t xml:space="preserve">ITIAM-D3-Q07</x:t>
        </x:is>
      </x:c>
      <x:c r="C632" t="inlineStr">
        <x:is>
          <x:t xml:space="preserve">T2</x:t>
        </x:is>
      </x:c>
      <x:c r="D632" t="inlineStr">
        <x:is>
          <x:t xml:space="preserve">6. Tech &amp; Privileged Access</x:t>
        </x:is>
      </x:c>
      <x:c r="E632" t="inlineStr">
        <x:is>
          <x:t xml:space="preserve">R</x:t>
        </x:is>
      </x:c>
      <x:c r="F632" t="n">
        <x:v>0.4</x:v>
      </x:c>
      <x:c r="G632" t="inlineStr">
        <x:is>
          <x:t xml:space="preserve">T</x:t>
        </x:is>
      </x:c>
      <x:c r="H632" t="n">
        <x:v>0.6</x:v>
      </x:c>
      <x:c r="I632" t="inlineStr">
        <x:is>
          <x:t xml:space="preserve">Is ‘break-glass’ emergency access controlled, logged, and reviewed after use?</x:t>
        </x:is>
      </x:c>
      <x:c r="J632" t="inlineStr">
        <x:is>
          <x:t xml:space="preserve">Break-glass should be rare, time-limited, and reviewed like an incident.</x:t>
        </x:is>
      </x:c>
      <x:c r="L632" t="inlineStr">
        <x:is>
          <x:t xml:space="preserve">OPS_STD</x:t>
        </x:is>
      </x:c>
      <x:c r="M632" t="n">
        <x:v>1.2</x:v>
      </x:c>
      <x:c r="P632" t="inlineStr">
        <x:is>
          <x:t xml:space="preserve">ITIAM-D3-Q07-A2</x:t>
        </x:is>
      </x:c>
      <x:c r="Q632" t="n">
        <x:v>3</x:v>
      </x:c>
      <x:c r="R632" t="inlineStr">
        <x:is>
          <x:t xml:space="preserve">Yes: Every use is reviewed and documented.</x:t>
        </x:is>
      </x:c>
      <x:c r="S632" t="n">
        <x:v>3</x:v>
      </x:c>
      <x:c r="V632" t="inlineStr">
        <x:is>
          <x:t xml:space="preserve">Evidence_Request_BG_Logs</x:t>
        </x:is>
      </x:c>
      <x:c r="W632" t="inlineStr">
        <x:is>
          <x:t xml:space="preserve">N</x:t>
        </x:is>
      </x:c>
      <x:c r="Y632">
        <x:f>(S632*IF(E632="G",F632,0))+(S632*IF(G632="G",H632,0))</x:f>
      </x:c>
      <x:c r="Z632">
        <x:f>(S632*IF(E632="E",F632,0))+(S632*IF(G632="E",H632,0))</x:f>
      </x:c>
      <x:c r="AA632">
        <x:f>(S632*IF(E632="T",F632,0))+(S632*IF(G632="T",H632,0))</x:f>
      </x:c>
      <x:c r="AB632">
        <x:f>(S632*IF(E632="L",F632,0))+(S632*IF(G632="L",H632,0))</x:f>
      </x:c>
      <x:c r="AC632">
        <x:f>(S632*IF(E632="H",F632,0))+(S632*IF(G632="H",H632,0))</x:f>
      </x:c>
      <x:c r="AD632">
        <x:f>(S632*IF(E632="V",F632,0))+(S632*IF(G632="V",H632,0))</x:f>
      </x:c>
      <x:c r="AE632">
        <x:f>(S632*IF(E632="R",F632,0))+(S632*IF(G632="R",H632,0))</x:f>
      </x:c>
      <x:c r="AF632">
        <x:f>(S632*IF(E632="F",F632,0))+(S632*IF(G632="F",H632,0))</x:f>
      </x:c>
      <x:c r="AG632">
        <x:f>(S632*IF(E632="W",F632,0))+(S632*IF(G632="W",H632,0))</x:f>
      </x:c>
      <x:c r="AH632" t="inlineStr">
        <x:is>
          <x:t xml:space="preserve">6. Technical Controls</x:t>
        </x:is>
      </x:c>
      <x:c r="AI632" t="inlineStr">
        <x:is>
          <x:t xml:space="preserve">Data, Endpoint &amp; Cloud Controls</x:t>
        </x:is>
      </x:c>
      <x:c r="AJ632" t="inlineStr">
        <x:is>
          <x:t xml:space="preserve">EDR for insider use-cases</x:t>
        </x:is>
      </x:c>
    </x:row>
    <x:row r="633">
      <x:c r="A633" t="inlineStr">
        <x:is>
          <x:t xml:space="preserve">IT_IAM</x:t>
        </x:is>
      </x:c>
      <x:c r="B633" t="inlineStr">
        <x:is>
          <x:t xml:space="preserve">ITIAM-D3-Q07</x:t>
        </x:is>
      </x:c>
      <x:c r="C633" t="inlineStr">
        <x:is>
          <x:t xml:space="preserve">T2</x:t>
        </x:is>
      </x:c>
      <x:c r="D633" t="inlineStr">
        <x:is>
          <x:t xml:space="preserve">6. Tech &amp; Privileged Access</x:t>
        </x:is>
      </x:c>
      <x:c r="E633" t="inlineStr">
        <x:is>
          <x:t xml:space="preserve">R</x:t>
        </x:is>
      </x:c>
      <x:c r="F633" t="n">
        <x:v>0.4</x:v>
      </x:c>
      <x:c r="G633" t="inlineStr">
        <x:is>
          <x:t xml:space="preserve">T</x:t>
        </x:is>
      </x:c>
      <x:c r="H633" t="n">
        <x:v>0.6</x:v>
      </x:c>
      <x:c r="I633" t="inlineStr">
        <x:is>
          <x:t xml:space="preserve">Is ‘break-glass’ emergency access controlled, logged, and reviewed after use?</x:t>
        </x:is>
      </x:c>
      <x:c r="J633" t="inlineStr">
        <x:is>
          <x:t xml:space="preserve">Break-glass should be rare, time-limited, and reviewed like an incident.</x:t>
        </x:is>
      </x:c>
      <x:c r="L633" t="inlineStr">
        <x:is>
          <x:t xml:space="preserve">OPS_STD</x:t>
        </x:is>
      </x:c>
      <x:c r="M633" t="n">
        <x:v>1.2</x:v>
      </x:c>
      <x:c r="P633" t="inlineStr">
        <x:is>
          <x:t xml:space="preserve">ITIAM-D3-Q07-A3</x:t>
        </x:is>
      </x:c>
      <x:c r="Q633" t="n">
        <x:v>4</x:v>
      </x:c>
      <x:c r="R633" t="inlineStr">
        <x:is>
          <x:t xml:space="preserve">Optimized: Automated alerts, approval workflow, and drills.</x:t>
        </x:is>
      </x:c>
      <x:c r="S633" t="n">
        <x:v>4</x:v>
      </x:c>
      <x:c r="V633" t="inlineStr">
        <x:is>
          <x:t xml:space="preserve">Maintain_and_Audit</x:t>
        </x:is>
      </x:c>
      <x:c r="W633" t="inlineStr">
        <x:is>
          <x:t xml:space="preserve">N</x:t>
        </x:is>
      </x:c>
      <x:c r="Y633">
        <x:f>(S633*IF(E633="G",F633,0))+(S633*IF(G633="G",H633,0))</x:f>
      </x:c>
      <x:c r="Z633">
        <x:f>(S633*IF(E633="E",F633,0))+(S633*IF(G633="E",H633,0))</x:f>
      </x:c>
      <x:c r="AA633">
        <x:f>(S633*IF(E633="T",F633,0))+(S633*IF(G633="T",H633,0))</x:f>
      </x:c>
      <x:c r="AB633">
        <x:f>(S633*IF(E633="L",F633,0))+(S633*IF(G633="L",H633,0))</x:f>
      </x:c>
      <x:c r="AC633">
        <x:f>(S633*IF(E633="H",F633,0))+(S633*IF(G633="H",H633,0))</x:f>
      </x:c>
      <x:c r="AD633">
        <x:f>(S633*IF(E633="V",F633,0))+(S633*IF(G633="V",H633,0))</x:f>
      </x:c>
      <x:c r="AE633">
        <x:f>(S633*IF(E633="R",F633,0))+(S633*IF(G633="R",H633,0))</x:f>
      </x:c>
      <x:c r="AF633">
        <x:f>(S633*IF(E633="F",F633,0))+(S633*IF(G633="F",H633,0))</x:f>
      </x:c>
      <x:c r="AG633">
        <x:f>(S633*IF(E633="W",F633,0))+(S633*IF(G633="W",H633,0))</x:f>
      </x:c>
      <x:c r="AH633" t="inlineStr">
        <x:is>
          <x:t xml:space="preserve">6. Technical Controls</x:t>
        </x:is>
      </x:c>
      <x:c r="AI633" t="inlineStr">
        <x:is>
          <x:t xml:space="preserve">Data, Endpoint &amp; Cloud Controls</x:t>
        </x:is>
      </x:c>
      <x:c r="AJ633" t="inlineStr">
        <x:is>
          <x:t xml:space="preserve">EDR for insider use-cases</x:t>
        </x:is>
      </x:c>
    </x:row>
    <x:row r="634">
      <x:c r="A634" t="inlineStr">
        <x:is>
          <x:t xml:space="preserve">IT_IAM</x:t>
        </x:is>
      </x:c>
      <x:c r="B634" t="inlineStr">
        <x:is>
          <x:t xml:space="preserve">ITIAM-D3-Q08</x:t>
        </x:is>
      </x:c>
      <x:c r="C634" t="inlineStr">
        <x:is>
          <x:t xml:space="preserve">T2</x:t>
        </x:is>
      </x:c>
      <x:c r="D634" t="inlineStr">
        <x:is>
          <x:t xml:space="preserve">6. Tech &amp; Privileged Access</x:t>
        </x:is>
      </x:c>
      <x:c r="E634" t="inlineStr">
        <x:is>
          <x:t xml:space="preserve">T</x:t>
        </x:is>
      </x:c>
      <x:c r="F634" t="n">
        <x:v>0.7</x:v>
      </x:c>
      <x:c r="G634" t="inlineStr">
        <x:is>
          <x:t xml:space="preserve">R</x:t>
        </x:is>
      </x:c>
      <x:c r="H634" t="n">
        <x:v>0.3</x:v>
      </x:c>
      <x:c r="I634" t="inlineStr">
        <x:is>
          <x:t xml:space="preserve">Are privileged sessions/actions recorded or audited for critical systems (so actions are attributable)?</x:t>
        </x:is>
      </x:c>
      <x:c r="J634" t="inlineStr">
        <x:is>
          <x:t xml:space="preserve">This can be session recording, command logging, or equivalent—goal is accountability.</x:t>
        </x:is>
      </x:c>
      <x:c r="L634" t="inlineStr">
        <x:is>
          <x:t xml:space="preserve">OPS_STD</x:t>
        </x:is>
      </x:c>
      <x:c r="M634" t="n">
        <x:v>1.2</x:v>
      </x:c>
      <x:c r="P634" t="inlineStr">
        <x:is>
          <x:t xml:space="preserve">ITIAM-D3-Q08-A0</x:t>
        </x:is>
      </x:c>
      <x:c r="Q634" t="n">
        <x:v>1</x:v>
      </x:c>
      <x:c r="R634" t="inlineStr">
        <x:is>
          <x:t xml:space="preserve">No: Privileged actions are hard to attribute after the fact.</x:t>
        </x:is>
      </x:c>
      <x:c r="S634" t="n">
        <x:v>0</x:v>
      </x:c>
      <x:c r="T634" t="inlineStr">
        <x:is>
          <x:t xml:space="preserve">visibility_gap</x:t>
        </x:is>
      </x:c>
      <x:c r="U634" t="inlineStr">
        <x:is>
          <x:t xml:space="preserve">Visibility Gap</x:t>
        </x:is>
      </x:c>
      <x:c r="V634" t="inlineStr">
        <x:is>
          <x:t xml:space="preserve">Privileged_Auditing</x:t>
        </x:is>
      </x:c>
      <x:c r="W634" t="inlineStr">
        <x:is>
          <x:t xml:space="preserve">N</x:t>
        </x:is>
      </x:c>
      <x:c r="Y634">
        <x:f>(S634*IF(E634="G",F634,0))+(S634*IF(G634="G",H634,0))</x:f>
      </x:c>
      <x:c r="Z634">
        <x:f>(S634*IF(E634="E",F634,0))+(S634*IF(G634="E",H634,0))</x:f>
      </x:c>
      <x:c r="AA634">
        <x:f>(S634*IF(E634="T",F634,0))+(S634*IF(G634="T",H634,0))</x:f>
      </x:c>
      <x:c r="AB634">
        <x:f>(S634*IF(E634="L",F634,0))+(S634*IF(G634="L",H634,0))</x:f>
      </x:c>
      <x:c r="AC634">
        <x:f>(S634*IF(E634="H",F634,0))+(S634*IF(G634="H",H634,0))</x:f>
      </x:c>
      <x:c r="AD634">
        <x:f>(S634*IF(E634="V",F634,0))+(S634*IF(G634="V",H634,0))</x:f>
      </x:c>
      <x:c r="AE634">
        <x:f>(S634*IF(E634="R",F634,0))+(S634*IF(G634="R",H634,0))</x:f>
      </x:c>
      <x:c r="AF634">
        <x:f>(S634*IF(E634="F",F634,0))+(S634*IF(G634="F",H634,0))</x:f>
      </x:c>
      <x:c r="AG634">
        <x:f>(S634*IF(E634="W",F634,0))+(S634*IF(G634="W",H634,0))</x:f>
      </x:c>
      <x:c r="AH634" t="inlineStr">
        <x:is>
          <x:t xml:space="preserve">6. Technical Controls</x:t>
        </x:is>
      </x:c>
      <x:c r="AI634" t="inlineStr">
        <x:is>
          <x:t xml:space="preserve">Identity &amp; Access</x:t>
        </x:is>
      </x:c>
      <x:c r="AJ634" t="inlineStr">
        <x:is>
          <x:t xml:space="preserve">PAM &amp; privileged session governance</x:t>
        </x:is>
      </x:c>
    </x:row>
    <x:row r="635">
      <x:c r="A635" t="inlineStr">
        <x:is>
          <x:t xml:space="preserve">IT_IAM</x:t>
        </x:is>
      </x:c>
      <x:c r="B635" t="inlineStr">
        <x:is>
          <x:t xml:space="preserve">ITIAM-D3-Q08</x:t>
        </x:is>
      </x:c>
      <x:c r="C635" t="inlineStr">
        <x:is>
          <x:t xml:space="preserve">T2</x:t>
        </x:is>
      </x:c>
      <x:c r="D635" t="inlineStr">
        <x:is>
          <x:t xml:space="preserve">6. Tech &amp; Privileged Access</x:t>
        </x:is>
      </x:c>
      <x:c r="E635" t="inlineStr">
        <x:is>
          <x:t xml:space="preserve">T</x:t>
        </x:is>
      </x:c>
      <x:c r="F635" t="n">
        <x:v>0.7</x:v>
      </x:c>
      <x:c r="G635" t="inlineStr">
        <x:is>
          <x:t xml:space="preserve">R</x:t>
        </x:is>
      </x:c>
      <x:c r="H635" t="n">
        <x:v>0.3</x:v>
      </x:c>
      <x:c r="I635" t="inlineStr">
        <x:is>
          <x:t xml:space="preserve">Are privileged sessions/actions recorded or audited for critical systems (so actions are attributable)?</x:t>
        </x:is>
      </x:c>
      <x:c r="J635" t="inlineStr">
        <x:is>
          <x:t xml:space="preserve">This can be session recording, command logging, or equivalent—goal is accountability.</x:t>
        </x:is>
      </x:c>
      <x:c r="L635" t="inlineStr">
        <x:is>
          <x:t xml:space="preserve">OPS_STD</x:t>
        </x:is>
      </x:c>
      <x:c r="M635" t="n">
        <x:v>1.2</x:v>
      </x:c>
      <x:c r="P635" t="inlineStr">
        <x:is>
          <x:t xml:space="preserve">ITIAM-D3-Q08-A1</x:t>
        </x:is>
      </x:c>
      <x:c r="Q635" t="n">
        <x:v>2</x:v>
      </x:c>
      <x:c r="R635" t="inlineStr">
        <x:is>
          <x:t xml:space="preserve">Partial: Some systems log well; others are blind spots.</x:t>
        </x:is>
      </x:c>
      <x:c r="S635" t="n">
        <x:v>1</x:v>
      </x:c>
      <x:c r="T635" t="inlineStr">
        <x:is>
          <x:t xml:space="preserve">visibility_gap</x:t>
        </x:is>
      </x:c>
      <x:c r="U635" t="inlineStr">
        <x:is>
          <x:t xml:space="preserve">Visibility Gap</x:t>
        </x:is>
      </x:c>
      <x:c r="V635" t="inlineStr">
        <x:is>
          <x:t xml:space="preserve">Expand_Privileged_Logging</x:t>
        </x:is>
      </x:c>
      <x:c r="W635" t="inlineStr">
        <x:is>
          <x:t xml:space="preserve">N</x:t>
        </x:is>
      </x:c>
      <x:c r="Y635">
        <x:f>(S635*IF(E635="G",F635,0))+(S635*IF(G635="G",H635,0))</x:f>
      </x:c>
      <x:c r="Z635">
        <x:f>(S635*IF(E635="E",F635,0))+(S635*IF(G635="E",H635,0))</x:f>
      </x:c>
      <x:c r="AA635">
        <x:f>(S635*IF(E635="T",F635,0))+(S635*IF(G635="T",H635,0))</x:f>
      </x:c>
      <x:c r="AB635">
        <x:f>(S635*IF(E635="L",F635,0))+(S635*IF(G635="L",H635,0))</x:f>
      </x:c>
      <x:c r="AC635">
        <x:f>(S635*IF(E635="H",F635,0))+(S635*IF(G635="H",H635,0))</x:f>
      </x:c>
      <x:c r="AD635">
        <x:f>(S635*IF(E635="V",F635,0))+(S635*IF(G635="V",H635,0))</x:f>
      </x:c>
      <x:c r="AE635">
        <x:f>(S635*IF(E635="R",F635,0))+(S635*IF(G635="R",H635,0))</x:f>
      </x:c>
      <x:c r="AF635">
        <x:f>(S635*IF(E635="F",F635,0))+(S635*IF(G635="F",H635,0))</x:f>
      </x:c>
      <x:c r="AG635">
        <x:f>(S635*IF(E635="W",F635,0))+(S635*IF(G635="W",H635,0))</x:f>
      </x:c>
      <x:c r="AH635" t="inlineStr">
        <x:is>
          <x:t xml:space="preserve">6. Technical Controls</x:t>
        </x:is>
      </x:c>
      <x:c r="AI635" t="inlineStr">
        <x:is>
          <x:t xml:space="preserve">Identity &amp; Access</x:t>
        </x:is>
      </x:c>
      <x:c r="AJ635" t="inlineStr">
        <x:is>
          <x:t xml:space="preserve">PAM &amp; privileged session governance</x:t>
        </x:is>
      </x:c>
    </x:row>
    <x:row r="636">
      <x:c r="A636" t="inlineStr">
        <x:is>
          <x:t xml:space="preserve">IT_IAM</x:t>
        </x:is>
      </x:c>
      <x:c r="B636" t="inlineStr">
        <x:is>
          <x:t xml:space="preserve">ITIAM-D3-Q08</x:t>
        </x:is>
      </x:c>
      <x:c r="C636" t="inlineStr">
        <x:is>
          <x:t xml:space="preserve">T2</x:t>
        </x:is>
      </x:c>
      <x:c r="D636" t="inlineStr">
        <x:is>
          <x:t xml:space="preserve">6. Tech &amp; Privileged Access</x:t>
        </x:is>
      </x:c>
      <x:c r="E636" t="inlineStr">
        <x:is>
          <x:t xml:space="preserve">T</x:t>
        </x:is>
      </x:c>
      <x:c r="F636" t="n">
        <x:v>0.7</x:v>
      </x:c>
      <x:c r="G636" t="inlineStr">
        <x:is>
          <x:t xml:space="preserve">R</x:t>
        </x:is>
      </x:c>
      <x:c r="H636" t="n">
        <x:v>0.3</x:v>
      </x:c>
      <x:c r="I636" t="inlineStr">
        <x:is>
          <x:t xml:space="preserve">Are privileged sessions/actions recorded or audited for critical systems (so actions are attributable)?</x:t>
        </x:is>
      </x:c>
      <x:c r="J636" t="inlineStr">
        <x:is>
          <x:t xml:space="preserve">This can be session recording, command logging, or equivalent—goal is accountability.</x:t>
        </x:is>
      </x:c>
      <x:c r="L636" t="inlineStr">
        <x:is>
          <x:t xml:space="preserve">OPS_STD</x:t>
        </x:is>
      </x:c>
      <x:c r="M636" t="n">
        <x:v>1.2</x:v>
      </x:c>
      <x:c r="P636" t="inlineStr">
        <x:is>
          <x:t xml:space="preserve">ITIAM-D3-Q08-A2</x:t>
        </x:is>
      </x:c>
      <x:c r="Q636" t="n">
        <x:v>3</x:v>
      </x:c>
      <x:c r="R636" t="inlineStr">
        <x:is>
          <x:t xml:space="preserve">Yes: Critical systems have strong auditing/recording.</x:t>
        </x:is>
      </x:c>
      <x:c r="S636" t="n">
        <x:v>3</x:v>
      </x:c>
      <x:c r="V636" t="inlineStr">
        <x:is>
          <x:t xml:space="preserve">Evidence_Request_Priv_Sessions</x:t>
        </x:is>
      </x:c>
      <x:c r="W636" t="inlineStr">
        <x:is>
          <x:t xml:space="preserve">N</x:t>
        </x:is>
      </x:c>
      <x:c r="Y636">
        <x:f>(S636*IF(E636="G",F636,0))+(S636*IF(G636="G",H636,0))</x:f>
      </x:c>
      <x:c r="Z636">
        <x:f>(S636*IF(E636="E",F636,0))+(S636*IF(G636="E",H636,0))</x:f>
      </x:c>
      <x:c r="AA636">
        <x:f>(S636*IF(E636="T",F636,0))+(S636*IF(G636="T",H636,0))</x:f>
      </x:c>
      <x:c r="AB636">
        <x:f>(S636*IF(E636="L",F636,0))+(S636*IF(G636="L",H636,0))</x:f>
      </x:c>
      <x:c r="AC636">
        <x:f>(S636*IF(E636="H",F636,0))+(S636*IF(G636="H",H636,0))</x:f>
      </x:c>
      <x:c r="AD636">
        <x:f>(S636*IF(E636="V",F636,0))+(S636*IF(G636="V",H636,0))</x:f>
      </x:c>
      <x:c r="AE636">
        <x:f>(S636*IF(E636="R",F636,0))+(S636*IF(G636="R",H636,0))</x:f>
      </x:c>
      <x:c r="AF636">
        <x:f>(S636*IF(E636="F",F636,0))+(S636*IF(G636="F",H636,0))</x:f>
      </x:c>
      <x:c r="AG636">
        <x:f>(S636*IF(E636="W",F636,0))+(S636*IF(G636="W",H636,0))</x:f>
      </x:c>
      <x:c r="AH636" t="inlineStr">
        <x:is>
          <x:t xml:space="preserve">6. Technical Controls</x:t>
        </x:is>
      </x:c>
      <x:c r="AI636" t="inlineStr">
        <x:is>
          <x:t xml:space="preserve">Identity &amp; Access</x:t>
        </x:is>
      </x:c>
      <x:c r="AJ636" t="inlineStr">
        <x:is>
          <x:t xml:space="preserve">PAM &amp; privileged session governance</x:t>
        </x:is>
      </x:c>
    </x:row>
    <x:row r="637">
      <x:c r="A637" t="inlineStr">
        <x:is>
          <x:t xml:space="preserve">IT_IAM</x:t>
        </x:is>
      </x:c>
      <x:c r="B637" t="inlineStr">
        <x:is>
          <x:t xml:space="preserve">ITIAM-D3-Q08</x:t>
        </x:is>
      </x:c>
      <x:c r="C637" t="inlineStr">
        <x:is>
          <x:t xml:space="preserve">T2</x:t>
        </x:is>
      </x:c>
      <x:c r="D637" t="inlineStr">
        <x:is>
          <x:t xml:space="preserve">6. Tech &amp; Privileged Access</x:t>
        </x:is>
      </x:c>
      <x:c r="E637" t="inlineStr">
        <x:is>
          <x:t xml:space="preserve">T</x:t>
        </x:is>
      </x:c>
      <x:c r="F637" t="n">
        <x:v>0.7</x:v>
      </x:c>
      <x:c r="G637" t="inlineStr">
        <x:is>
          <x:t xml:space="preserve">R</x:t>
        </x:is>
      </x:c>
      <x:c r="H637" t="n">
        <x:v>0.3</x:v>
      </x:c>
      <x:c r="I637" t="inlineStr">
        <x:is>
          <x:t xml:space="preserve">Are privileged sessions/actions recorded or audited for critical systems (so actions are attributable)?</x:t>
        </x:is>
      </x:c>
      <x:c r="J637" t="inlineStr">
        <x:is>
          <x:t xml:space="preserve">This can be session recording, command logging, or equivalent—goal is accountability.</x:t>
        </x:is>
      </x:c>
      <x:c r="L637" t="inlineStr">
        <x:is>
          <x:t xml:space="preserve">OPS_STD</x:t>
        </x:is>
      </x:c>
      <x:c r="M637" t="n">
        <x:v>1.2</x:v>
      </x:c>
      <x:c r="P637" t="inlineStr">
        <x:is>
          <x:t xml:space="preserve">ITIAM-D3-Q08-A3</x:t>
        </x:is>
      </x:c>
      <x:c r="Q637" t="n">
        <x:v>4</x:v>
      </x:c>
      <x:c r="R637" t="inlineStr">
        <x:is>
          <x:t xml:space="preserve">Optimized: Tamper-resistant logs + periodic review and testing.</x:t>
        </x:is>
      </x:c>
      <x:c r="S637" t="n">
        <x:v>4</x:v>
      </x:c>
      <x:c r="V637" t="inlineStr">
        <x:is>
          <x:t xml:space="preserve">Maintain_and_Audit</x:t>
        </x:is>
      </x:c>
      <x:c r="W637" t="inlineStr">
        <x:is>
          <x:t xml:space="preserve">N</x:t>
        </x:is>
      </x:c>
      <x:c r="Y637">
        <x:f>(S637*IF(E637="G",F637,0))+(S637*IF(G637="G",H637,0))</x:f>
      </x:c>
      <x:c r="Z637">
        <x:f>(S637*IF(E637="E",F637,0))+(S637*IF(G637="E",H637,0))</x:f>
      </x:c>
      <x:c r="AA637">
        <x:f>(S637*IF(E637="T",F637,0))+(S637*IF(G637="T",H637,0))</x:f>
      </x:c>
      <x:c r="AB637">
        <x:f>(S637*IF(E637="L",F637,0))+(S637*IF(G637="L",H637,0))</x:f>
      </x:c>
      <x:c r="AC637">
        <x:f>(S637*IF(E637="H",F637,0))+(S637*IF(G637="H",H637,0))</x:f>
      </x:c>
      <x:c r="AD637">
        <x:f>(S637*IF(E637="V",F637,0))+(S637*IF(G637="V",H637,0))</x:f>
      </x:c>
      <x:c r="AE637">
        <x:f>(S637*IF(E637="R",F637,0))+(S637*IF(G637="R",H637,0))</x:f>
      </x:c>
      <x:c r="AF637">
        <x:f>(S637*IF(E637="F",F637,0))+(S637*IF(G637="F",H637,0))</x:f>
      </x:c>
      <x:c r="AG637">
        <x:f>(S637*IF(E637="W",F637,0))+(S637*IF(G637="W",H637,0))</x:f>
      </x:c>
      <x:c r="AH637" t="inlineStr">
        <x:is>
          <x:t xml:space="preserve">6. Technical Controls</x:t>
        </x:is>
      </x:c>
      <x:c r="AI637" t="inlineStr">
        <x:is>
          <x:t xml:space="preserve">Identity &amp; Access</x:t>
        </x:is>
      </x:c>
      <x:c r="AJ637" t="inlineStr">
        <x:is>
          <x:t xml:space="preserve">PAM &amp; privileged session governance</x:t>
        </x:is>
      </x:c>
    </x:row>
    <x:row r="638">
      <x:c r="A638" t="inlineStr">
        <x:is>
          <x:t xml:space="preserve">IT_IAM</x:t>
        </x:is>
      </x:c>
      <x:c r="B638" t="inlineStr">
        <x:is>
          <x:t xml:space="preserve">ITIAM-D4-Q09</x:t>
        </x:is>
      </x:c>
      <x:c r="C638" t="inlineStr">
        <x:is>
          <x:t xml:space="preserve">T1</x:t>
        </x:is>
      </x:c>
      <x:c r="D638" t="inlineStr">
        <x:is>
          <x:t xml:space="preserve">6. Tech &amp; Third Parties</x:t>
        </x:is>
      </x:c>
      <x:c r="E638" t="inlineStr">
        <x:is>
          <x:t xml:space="preserve">E</x:t>
        </x:is>
      </x:c>
      <x:c r="F638" t="n">
        <x:v>0.7</x:v>
      </x:c>
      <x:c r="G638" t="inlineStr">
        <x:is>
          <x:t xml:space="preserve">V</x:t>
        </x:is>
      </x:c>
      <x:c r="H638" t="n">
        <x:v>0.3</x:v>
      </x:c>
      <x:c r="I638" t="inlineStr">
        <x:is>
          <x:t xml:space="preserve">Are contractors/third parties onboarded and offboarded with the same access controls as employees?</x:t>
        </x:is>
      </x:c>
      <x:c r="J638" t="inlineStr">
        <x:is>
          <x:t xml:space="preserve">This includes identity proofing, MFA, least privilege, and prompt removal at contract end.</x:t>
        </x:is>
      </x:c>
      <x:c r="L638" t="inlineStr">
        <x:is>
          <x:t xml:space="preserve">OPS_STD</x:t>
        </x:is>
      </x:c>
      <x:c r="M638" t="n">
        <x:v>1.3</x:v>
      </x:c>
      <x:c r="P638" t="inlineStr">
        <x:is>
          <x:t xml:space="preserve">ITIAM-D4-Q09-A0</x:t>
        </x:is>
      </x:c>
      <x:c r="Q638" t="n">
        <x:v>1</x:v>
      </x:c>
      <x:c r="R638" t="inlineStr">
        <x:is>
          <x:t xml:space="preserve">No: Contractors often keep access longer and controls are weaker.</x:t>
        </x:is>
      </x:c>
      <x:c r="S638" t="n">
        <x:v>0</x:v>
      </x:c>
      <x:c r="T638" t="inlineStr">
        <x:is>
          <x:t xml:space="preserve">visibility_gap</x:t>
        </x:is>
      </x:c>
      <x:c r="U638" t="inlineStr">
        <x:is>
          <x:t xml:space="preserve">Visibility Gap</x:t>
        </x:is>
      </x:c>
      <x:c r="V638" t="inlineStr">
        <x:is>
          <x:t xml:space="preserve">Contractor_Control</x:t>
        </x:is>
      </x:c>
      <x:c r="W638" t="inlineStr">
        <x:is>
          <x:t xml:space="preserve">N</x:t>
        </x:is>
      </x:c>
      <x:c r="Y638">
        <x:f>(S638*IF(E638="G",F638,0))+(S638*IF(G638="G",H638,0))</x:f>
      </x:c>
      <x:c r="Z638">
        <x:f>(S638*IF(E638="E",F638,0))+(S638*IF(G638="E",H638,0))</x:f>
      </x:c>
      <x:c r="AA638">
        <x:f>(S638*IF(E638="T",F638,0))+(S638*IF(G638="T",H638,0))</x:f>
      </x:c>
      <x:c r="AB638">
        <x:f>(S638*IF(E638="L",F638,0))+(S638*IF(G638="L",H638,0))</x:f>
      </x:c>
      <x:c r="AC638">
        <x:f>(S638*IF(E638="H",F638,0))+(S638*IF(G638="H",H638,0))</x:f>
      </x:c>
      <x:c r="AD638">
        <x:f>(S638*IF(E638="V",F638,0))+(S638*IF(G638="V",H638,0))</x:f>
      </x:c>
      <x:c r="AE638">
        <x:f>(S638*IF(E638="R",F638,0))+(S638*IF(G638="R",H638,0))</x:f>
      </x:c>
      <x:c r="AF638">
        <x:f>(S638*IF(E638="F",F638,0))+(S638*IF(G638="F",H638,0))</x:f>
      </x:c>
      <x:c r="AG638">
        <x:f>(S638*IF(E638="W",F638,0))+(S638*IF(G638="W",H638,0))</x:f>
      </x:c>
      <x:c r="AH638" t="inlineStr">
        <x:is>
          <x:t xml:space="preserve">6. Technical Controls</x:t>
        </x:is>
      </x:c>
      <x:c r="AI638" t="inlineStr">
        <x:is>
          <x:t xml:space="preserve">Identity &amp; Access</x:t>
        </x:is>
      </x:c>
      <x:c r="AJ638" t="inlineStr">
        <x:is>
          <x:t xml:space="preserve">Least privilege &amp; role engineering</x:t>
        </x:is>
      </x:c>
    </x:row>
    <x:row r="639">
      <x:c r="A639" t="inlineStr">
        <x:is>
          <x:t xml:space="preserve">IT_IAM</x:t>
        </x:is>
      </x:c>
      <x:c r="B639" t="inlineStr">
        <x:is>
          <x:t xml:space="preserve">ITIAM-D4-Q09</x:t>
        </x:is>
      </x:c>
      <x:c r="C639" t="inlineStr">
        <x:is>
          <x:t xml:space="preserve">T1</x:t>
        </x:is>
      </x:c>
      <x:c r="D639" t="inlineStr">
        <x:is>
          <x:t xml:space="preserve">6. Tech &amp; Third Parties</x:t>
        </x:is>
      </x:c>
      <x:c r="E639" t="inlineStr">
        <x:is>
          <x:t xml:space="preserve">E</x:t>
        </x:is>
      </x:c>
      <x:c r="F639" t="n">
        <x:v>0.7</x:v>
      </x:c>
      <x:c r="G639" t="inlineStr">
        <x:is>
          <x:t xml:space="preserve">V</x:t>
        </x:is>
      </x:c>
      <x:c r="H639" t="n">
        <x:v>0.3</x:v>
      </x:c>
      <x:c r="I639" t="inlineStr">
        <x:is>
          <x:t xml:space="preserve">Are contractors/third parties onboarded and offboarded with the same access controls as employees?</x:t>
        </x:is>
      </x:c>
      <x:c r="J639" t="inlineStr">
        <x:is>
          <x:t xml:space="preserve">This includes identity proofing, MFA, least privilege, and prompt removal at contract end.</x:t>
        </x:is>
      </x:c>
      <x:c r="L639" t="inlineStr">
        <x:is>
          <x:t xml:space="preserve">OPS_STD</x:t>
        </x:is>
      </x:c>
      <x:c r="M639" t="n">
        <x:v>1.3</x:v>
      </x:c>
      <x:c r="P639" t="inlineStr">
        <x:is>
          <x:t xml:space="preserve">ITIAM-D4-Q09-A1</x:t>
        </x:is>
      </x:c>
      <x:c r="Q639" t="n">
        <x:v>2</x:v>
      </x:c>
      <x:c r="R639" t="inlineStr">
        <x:is>
          <x:t xml:space="preserve">Partial: Controls exist but depend on project manager discipline.</x:t>
        </x:is>
      </x:c>
      <x:c r="S639" t="n">
        <x:v>1</x:v>
      </x:c>
      <x:c r="T639" t="inlineStr">
        <x:is>
          <x:t xml:space="preserve">operating_model_gap</x:t>
        </x:is>
      </x:c>
      <x:c r="U639" t="inlineStr">
        <x:is>
          <x:t xml:space="preserve">Operating Model Gap</x:t>
        </x:is>
      </x:c>
      <x:c r="V639" t="inlineStr">
        <x:is>
          <x:t xml:space="preserve">Standardize_Contractor_Process</x:t>
        </x:is>
      </x:c>
      <x:c r="W639" t="inlineStr">
        <x:is>
          <x:t xml:space="preserve">N</x:t>
        </x:is>
      </x:c>
      <x:c r="Y639">
        <x:f>(S639*IF(E639="G",F639,0))+(S639*IF(G639="G",H639,0))</x:f>
      </x:c>
      <x:c r="Z639">
        <x:f>(S639*IF(E639="E",F639,0))+(S639*IF(G639="E",H639,0))</x:f>
      </x:c>
      <x:c r="AA639">
        <x:f>(S639*IF(E639="T",F639,0))+(S639*IF(G639="T",H639,0))</x:f>
      </x:c>
      <x:c r="AB639">
        <x:f>(S639*IF(E639="L",F639,0))+(S639*IF(G639="L",H639,0))</x:f>
      </x:c>
      <x:c r="AC639">
        <x:f>(S639*IF(E639="H",F639,0))+(S639*IF(G639="H",H639,0))</x:f>
      </x:c>
      <x:c r="AD639">
        <x:f>(S639*IF(E639="V",F639,0))+(S639*IF(G639="V",H639,0))</x:f>
      </x:c>
      <x:c r="AE639">
        <x:f>(S639*IF(E639="R",F639,0))+(S639*IF(G639="R",H639,0))</x:f>
      </x:c>
      <x:c r="AF639">
        <x:f>(S639*IF(E639="F",F639,0))+(S639*IF(G639="F",H639,0))</x:f>
      </x:c>
      <x:c r="AG639">
        <x:f>(S639*IF(E639="W",F639,0))+(S639*IF(G639="W",H639,0))</x:f>
      </x:c>
      <x:c r="AH639" t="inlineStr">
        <x:is>
          <x:t xml:space="preserve">6. Technical Controls</x:t>
        </x:is>
      </x:c>
      <x:c r="AI639" t="inlineStr">
        <x:is>
          <x:t xml:space="preserve">Identity &amp; Access</x:t>
        </x:is>
      </x:c>
      <x:c r="AJ639" t="inlineStr">
        <x:is>
          <x:t xml:space="preserve">Least privilege &amp; role engineering</x:t>
        </x:is>
      </x:c>
    </x:row>
    <x:row r="640">
      <x:c r="A640" t="inlineStr">
        <x:is>
          <x:t xml:space="preserve">IT_IAM</x:t>
        </x:is>
      </x:c>
      <x:c r="B640" t="inlineStr">
        <x:is>
          <x:t xml:space="preserve">ITIAM-D4-Q09</x:t>
        </x:is>
      </x:c>
      <x:c r="C640" t="inlineStr">
        <x:is>
          <x:t xml:space="preserve">T1</x:t>
        </x:is>
      </x:c>
      <x:c r="D640" t="inlineStr">
        <x:is>
          <x:t xml:space="preserve">6. Tech &amp; Third Parties</x:t>
        </x:is>
      </x:c>
      <x:c r="E640" t="inlineStr">
        <x:is>
          <x:t xml:space="preserve">E</x:t>
        </x:is>
      </x:c>
      <x:c r="F640" t="n">
        <x:v>0.7</x:v>
      </x:c>
      <x:c r="G640" t="inlineStr">
        <x:is>
          <x:t xml:space="preserve">V</x:t>
        </x:is>
      </x:c>
      <x:c r="H640" t="n">
        <x:v>0.3</x:v>
      </x:c>
      <x:c r="I640" t="inlineStr">
        <x:is>
          <x:t xml:space="preserve">Are contractors/third parties onboarded and offboarded with the same access controls as employees?</x:t>
        </x:is>
      </x:c>
      <x:c r="J640" t="inlineStr">
        <x:is>
          <x:t xml:space="preserve">This includes identity proofing, MFA, least privilege, and prompt removal at contract end.</x:t>
        </x:is>
      </x:c>
      <x:c r="L640" t="inlineStr">
        <x:is>
          <x:t xml:space="preserve">OPS_STD</x:t>
        </x:is>
      </x:c>
      <x:c r="M640" t="n">
        <x:v>1.3</x:v>
      </x:c>
      <x:c r="P640" t="inlineStr">
        <x:is>
          <x:t xml:space="preserve">ITIAM-D4-Q09-A2</x:t>
        </x:is>
      </x:c>
      <x:c r="Q640" t="n">
        <x:v>3</x:v>
      </x:c>
      <x:c r="R640" t="inlineStr">
        <x:is>
          <x:t xml:space="preserve">Yes: Most contractors follow standard identity and offboarding controls.</x:t>
        </x:is>
      </x:c>
      <x:c r="S640" t="n">
        <x:v>3</x:v>
      </x:c>
      <x:c r="V640" t="inlineStr">
        <x:is>
          <x:t xml:space="preserve">Evidence_Request_Contractor</x:t>
        </x:is>
      </x:c>
      <x:c r="W640" t="inlineStr">
        <x:is>
          <x:t xml:space="preserve">N</x:t>
        </x:is>
      </x:c>
      <x:c r="Y640">
        <x:f>(S640*IF(E640="G",F640,0))+(S640*IF(G640="G",H640,0))</x:f>
      </x:c>
      <x:c r="Z640">
        <x:f>(S640*IF(E640="E",F640,0))+(S640*IF(G640="E",H640,0))</x:f>
      </x:c>
      <x:c r="AA640">
        <x:f>(S640*IF(E640="T",F640,0))+(S640*IF(G640="T",H640,0))</x:f>
      </x:c>
      <x:c r="AB640">
        <x:f>(S640*IF(E640="L",F640,0))+(S640*IF(G640="L",H640,0))</x:f>
      </x:c>
      <x:c r="AC640">
        <x:f>(S640*IF(E640="H",F640,0))+(S640*IF(G640="H",H640,0))</x:f>
      </x:c>
      <x:c r="AD640">
        <x:f>(S640*IF(E640="V",F640,0))+(S640*IF(G640="V",H640,0))</x:f>
      </x:c>
      <x:c r="AE640">
        <x:f>(S640*IF(E640="R",F640,0))+(S640*IF(G640="R",H640,0))</x:f>
      </x:c>
      <x:c r="AF640">
        <x:f>(S640*IF(E640="F",F640,0))+(S640*IF(G640="F",H640,0))</x:f>
      </x:c>
      <x:c r="AG640">
        <x:f>(S640*IF(E640="W",F640,0))+(S640*IF(G640="W",H640,0))</x:f>
      </x:c>
      <x:c r="AH640" t="inlineStr">
        <x:is>
          <x:t xml:space="preserve">6. Technical Controls</x:t>
        </x:is>
      </x:c>
      <x:c r="AI640" t="inlineStr">
        <x:is>
          <x:t xml:space="preserve">Identity &amp; Access</x:t>
        </x:is>
      </x:c>
      <x:c r="AJ640" t="inlineStr">
        <x:is>
          <x:t xml:space="preserve">Least privilege &amp; role engineering</x:t>
        </x:is>
      </x:c>
    </x:row>
    <x:row r="641">
      <x:c r="A641" t="inlineStr">
        <x:is>
          <x:t xml:space="preserve">IT_IAM</x:t>
        </x:is>
      </x:c>
      <x:c r="B641" t="inlineStr">
        <x:is>
          <x:t xml:space="preserve">ITIAM-D4-Q09</x:t>
        </x:is>
      </x:c>
      <x:c r="C641" t="inlineStr">
        <x:is>
          <x:t xml:space="preserve">T1</x:t>
        </x:is>
      </x:c>
      <x:c r="D641" t="inlineStr">
        <x:is>
          <x:t xml:space="preserve">6. Tech &amp; Third Parties</x:t>
        </x:is>
      </x:c>
      <x:c r="E641" t="inlineStr">
        <x:is>
          <x:t xml:space="preserve">E</x:t>
        </x:is>
      </x:c>
      <x:c r="F641" t="n">
        <x:v>0.7</x:v>
      </x:c>
      <x:c r="G641" t="inlineStr">
        <x:is>
          <x:t xml:space="preserve">V</x:t>
        </x:is>
      </x:c>
      <x:c r="H641" t="n">
        <x:v>0.3</x:v>
      </x:c>
      <x:c r="I641" t="inlineStr">
        <x:is>
          <x:t xml:space="preserve">Are contractors/third parties onboarded and offboarded with the same access controls as employees?</x:t>
        </x:is>
      </x:c>
      <x:c r="J641" t="inlineStr">
        <x:is>
          <x:t xml:space="preserve">This includes identity proofing, MFA, least privilege, and prompt removal at contract end.</x:t>
        </x:is>
      </x:c>
      <x:c r="L641" t="inlineStr">
        <x:is>
          <x:t xml:space="preserve">OPS_STD</x:t>
        </x:is>
      </x:c>
      <x:c r="M641" t="n">
        <x:v>1.3</x:v>
      </x:c>
      <x:c r="P641" t="inlineStr">
        <x:is>
          <x:t xml:space="preserve">ITIAM-D4-Q09-A3</x:t>
        </x:is>
      </x:c>
      <x:c r="Q641" t="n">
        <x:v>4</x:v>
      </x:c>
      <x:c r="R641" t="inlineStr">
        <x:is>
          <x:t xml:space="preserve">Optimized: Automated expiry, periodic reviews, and vendor accountability.</x:t>
        </x:is>
      </x:c>
      <x:c r="S641" t="n">
        <x:v>4</x:v>
      </x:c>
      <x:c r="V641" t="inlineStr">
        <x:is>
          <x:t xml:space="preserve">Maintain_and_Audit</x:t>
        </x:is>
      </x:c>
      <x:c r="W641" t="inlineStr">
        <x:is>
          <x:t xml:space="preserve">N</x:t>
        </x:is>
      </x:c>
      <x:c r="Y641">
        <x:f>(S641*IF(E641="G",F641,0))+(S641*IF(G641="G",H641,0))</x:f>
      </x:c>
      <x:c r="Z641">
        <x:f>(S641*IF(E641="E",F641,0))+(S641*IF(G641="E",H641,0))</x:f>
      </x:c>
      <x:c r="AA641">
        <x:f>(S641*IF(E641="T",F641,0))+(S641*IF(G641="T",H641,0))</x:f>
      </x:c>
      <x:c r="AB641">
        <x:f>(S641*IF(E641="L",F641,0))+(S641*IF(G641="L",H641,0))</x:f>
      </x:c>
      <x:c r="AC641">
        <x:f>(S641*IF(E641="H",F641,0))+(S641*IF(G641="H",H641,0))</x:f>
      </x:c>
      <x:c r="AD641">
        <x:f>(S641*IF(E641="V",F641,0))+(S641*IF(G641="V",H641,0))</x:f>
      </x:c>
      <x:c r="AE641">
        <x:f>(S641*IF(E641="R",F641,0))+(S641*IF(G641="R",H641,0))</x:f>
      </x:c>
      <x:c r="AF641">
        <x:f>(S641*IF(E641="F",F641,0))+(S641*IF(G641="F",H641,0))</x:f>
      </x:c>
      <x:c r="AG641">
        <x:f>(S641*IF(E641="W",F641,0))+(S641*IF(G641="W",H641,0))</x:f>
      </x:c>
      <x:c r="AH641" t="inlineStr">
        <x:is>
          <x:t xml:space="preserve">6. Technical Controls</x:t>
        </x:is>
      </x:c>
      <x:c r="AI641" t="inlineStr">
        <x:is>
          <x:t xml:space="preserve">Identity &amp; Access</x:t>
        </x:is>
      </x:c>
      <x:c r="AJ641" t="inlineStr">
        <x:is>
          <x:t xml:space="preserve">Least privilege &amp; role engineering</x:t>
        </x:is>
      </x:c>
    </x:row>
    <x:row r="642">
      <x:c r="A642" t="inlineStr">
        <x:is>
          <x:t xml:space="preserve">IT_IAM</x:t>
        </x:is>
      </x:c>
      <x:c r="B642" t="inlineStr">
        <x:is>
          <x:t xml:space="preserve">ITIAM-D4-Q10</x:t>
        </x:is>
      </x:c>
      <x:c r="C642" t="inlineStr">
        <x:is>
          <x:t xml:space="preserve">T2</x:t>
        </x:is>
      </x:c>
      <x:c r="D642" t="inlineStr">
        <x:is>
          <x:t xml:space="preserve">6. Tech &amp; Third Parties</x:t>
        </x:is>
      </x:c>
      <x:c r="E642" t="inlineStr">
        <x:is>
          <x:t xml:space="preserve">T</x:t>
        </x:is>
      </x:c>
      <x:c r="F642" t="n">
        <x:v>1</x:v>
      </x:c>
      <x:c r="G642" t="inlineStr">
        <x:is>
          <x:t xml:space="preserve">-</x:t>
        </x:is>
      </x:c>
      <x:c r="I642" t="inlineStr">
        <x:is>
          <x:t xml:space="preserve">Do vendor/MSP identities use named accounts (no shared logins) with MFA and clear ownership?</x:t>
        </x:is>
      </x:c>
      <x:c r="J642" t="inlineStr">
        <x:is>
          <x:t xml:space="preserve">Shared accounts are a major investigation blocker and insider-risk blind spot.</x:t>
        </x:is>
      </x:c>
      <x:c r="L642" t="inlineStr">
        <x:is>
          <x:t xml:space="preserve">OPS_STD</x:t>
        </x:is>
      </x:c>
      <x:c r="M642" t="n">
        <x:v>1</x:v>
      </x:c>
      <x:c r="P642" t="inlineStr">
        <x:is>
          <x:t xml:space="preserve">ITIAM-D4-Q10-A0</x:t>
        </x:is>
      </x:c>
      <x:c r="Q642" t="n">
        <x:v>1</x:v>
      </x:c>
      <x:c r="R642" t="inlineStr">
        <x:is>
          <x:t xml:space="preserve">No: Shared logins are common for vendors/MSPs.</x:t>
        </x:is>
      </x:c>
      <x:c r="S642" t="n">
        <x:v>0</x:v>
      </x:c>
      <x:c r="T642" t="inlineStr">
        <x:is>
          <x:t xml:space="preserve">visibility_gap</x:t>
        </x:is>
      </x:c>
      <x:c r="U642" t="inlineStr">
        <x:is>
          <x:t xml:space="preserve">Visibility Gap</x:t>
        </x:is>
      </x:c>
      <x:c r="V642" t="inlineStr">
        <x:is>
          <x:t xml:space="preserve">Eliminate_Shared_Accounts</x:t>
        </x:is>
      </x:c>
      <x:c r="W642" t="inlineStr">
        <x:is>
          <x:t xml:space="preserve">N</x:t>
        </x:is>
      </x:c>
      <x:c r="Y642">
        <x:f>(S642*IF(E642="G",F642,0))+(S642*IF(G642="G",H642,0))</x:f>
      </x:c>
      <x:c r="Z642">
        <x:f>(S642*IF(E642="E",F642,0))+(S642*IF(G642="E",H642,0))</x:f>
      </x:c>
      <x:c r="AA642">
        <x:f>(S642*IF(E642="T",F642,0))+(S642*IF(G642="T",H642,0))</x:f>
      </x:c>
      <x:c r="AB642">
        <x:f>(S642*IF(E642="L",F642,0))+(S642*IF(G642="L",H642,0))</x:f>
      </x:c>
      <x:c r="AC642">
        <x:f>(S642*IF(E642="H",F642,0))+(S642*IF(G642="H",H642,0))</x:f>
      </x:c>
      <x:c r="AD642">
        <x:f>(S642*IF(E642="V",F642,0))+(S642*IF(G642="V",H642,0))</x:f>
      </x:c>
      <x:c r="AE642">
        <x:f>(S642*IF(E642="R",F642,0))+(S642*IF(G642="R",H642,0))</x:f>
      </x:c>
      <x:c r="AF642">
        <x:f>(S642*IF(E642="F",F642,0))+(S642*IF(G642="F",H642,0))</x:f>
      </x:c>
      <x:c r="AG642">
        <x:f>(S642*IF(E642="W",F642,0))+(S642*IF(G642="W",H642,0))</x:f>
      </x:c>
      <x:c r="AH642" t="inlineStr">
        <x:is>
          <x:t xml:space="preserve">6. Technical Controls</x:t>
        </x:is>
      </x:c>
      <x:c r="AI642" t="inlineStr">
        <x:is>
          <x:t xml:space="preserve">Data, Endpoint &amp; Cloud Controls</x:t>
        </x:is>
      </x:c>
      <x:c r="AJ642" t="inlineStr">
        <x:is>
          <x:t xml:space="preserve">EDR for insider use-cases</x:t>
        </x:is>
      </x:c>
    </x:row>
    <x:row r="643">
      <x:c r="A643" t="inlineStr">
        <x:is>
          <x:t xml:space="preserve">IT_IAM</x:t>
        </x:is>
      </x:c>
      <x:c r="B643" t="inlineStr">
        <x:is>
          <x:t xml:space="preserve">ITIAM-D4-Q10</x:t>
        </x:is>
      </x:c>
      <x:c r="C643" t="inlineStr">
        <x:is>
          <x:t xml:space="preserve">T2</x:t>
        </x:is>
      </x:c>
      <x:c r="D643" t="inlineStr">
        <x:is>
          <x:t xml:space="preserve">6. Tech &amp; Third Parties</x:t>
        </x:is>
      </x:c>
      <x:c r="E643" t="inlineStr">
        <x:is>
          <x:t xml:space="preserve">T</x:t>
        </x:is>
      </x:c>
      <x:c r="F643" t="n">
        <x:v>1</x:v>
      </x:c>
      <x:c r="G643" t="inlineStr">
        <x:is>
          <x:t xml:space="preserve">-</x:t>
        </x:is>
      </x:c>
      <x:c r="I643" t="inlineStr">
        <x:is>
          <x:t xml:space="preserve">Do vendor/MSP identities use named accounts (no shared logins) with MFA and clear ownership?</x:t>
        </x:is>
      </x:c>
      <x:c r="J643" t="inlineStr">
        <x:is>
          <x:t xml:space="preserve">Shared accounts are a major investigation blocker and insider-risk blind spot.</x:t>
        </x:is>
      </x:c>
      <x:c r="L643" t="inlineStr">
        <x:is>
          <x:t xml:space="preserve">OPS_STD</x:t>
        </x:is>
      </x:c>
      <x:c r="M643" t="n">
        <x:v>1</x:v>
      </x:c>
      <x:c r="P643" t="inlineStr">
        <x:is>
          <x:t xml:space="preserve">ITIAM-D4-Q10-A1</x:t>
        </x:is>
      </x:c>
      <x:c r="Q643" t="n">
        <x:v>2</x:v>
      </x:c>
      <x:c r="R643" t="inlineStr">
        <x:is>
          <x:t xml:space="preserve">Partial: Named accounts exist but shared accounts remain in some systems.</x:t>
        </x:is>
      </x:c>
      <x:c r="S643" t="n">
        <x:v>1</x:v>
      </x:c>
      <x:c r="T643" t="inlineStr">
        <x:is>
          <x:t xml:space="preserve">visibility_gap</x:t>
        </x:is>
      </x:c>
      <x:c r="U643" t="inlineStr">
        <x:is>
          <x:t xml:space="preserve">Visibility Gap</x:t>
        </x:is>
      </x:c>
      <x:c r="V643" t="inlineStr">
        <x:is>
          <x:t xml:space="preserve">Complete_Migration</x:t>
        </x:is>
      </x:c>
      <x:c r="W643" t="inlineStr">
        <x:is>
          <x:t xml:space="preserve">N</x:t>
        </x:is>
      </x:c>
      <x:c r="Y643">
        <x:f>(S643*IF(E643="G",F643,0))+(S643*IF(G643="G",H643,0))</x:f>
      </x:c>
      <x:c r="Z643">
        <x:f>(S643*IF(E643="E",F643,0))+(S643*IF(G643="E",H643,0))</x:f>
      </x:c>
      <x:c r="AA643">
        <x:f>(S643*IF(E643="T",F643,0))+(S643*IF(G643="T",H643,0))</x:f>
      </x:c>
      <x:c r="AB643">
        <x:f>(S643*IF(E643="L",F643,0))+(S643*IF(G643="L",H643,0))</x:f>
      </x:c>
      <x:c r="AC643">
        <x:f>(S643*IF(E643="H",F643,0))+(S643*IF(G643="H",H643,0))</x:f>
      </x:c>
      <x:c r="AD643">
        <x:f>(S643*IF(E643="V",F643,0))+(S643*IF(G643="V",H643,0))</x:f>
      </x:c>
      <x:c r="AE643">
        <x:f>(S643*IF(E643="R",F643,0))+(S643*IF(G643="R",H643,0))</x:f>
      </x:c>
      <x:c r="AF643">
        <x:f>(S643*IF(E643="F",F643,0))+(S643*IF(G643="F",H643,0))</x:f>
      </x:c>
      <x:c r="AG643">
        <x:f>(S643*IF(E643="W",F643,0))+(S643*IF(G643="W",H643,0))</x:f>
      </x:c>
      <x:c r="AH643" t="inlineStr">
        <x:is>
          <x:t xml:space="preserve">6. Technical Controls</x:t>
        </x:is>
      </x:c>
      <x:c r="AI643" t="inlineStr">
        <x:is>
          <x:t xml:space="preserve">Data, Endpoint &amp; Cloud Controls</x:t>
        </x:is>
      </x:c>
      <x:c r="AJ643" t="inlineStr">
        <x:is>
          <x:t xml:space="preserve">EDR for insider use-cases</x:t>
        </x:is>
      </x:c>
    </x:row>
    <x:row r="644">
      <x:c r="A644" t="inlineStr">
        <x:is>
          <x:t xml:space="preserve">IT_IAM</x:t>
        </x:is>
      </x:c>
      <x:c r="B644" t="inlineStr">
        <x:is>
          <x:t xml:space="preserve">ITIAM-D4-Q10</x:t>
        </x:is>
      </x:c>
      <x:c r="C644" t="inlineStr">
        <x:is>
          <x:t xml:space="preserve">T2</x:t>
        </x:is>
      </x:c>
      <x:c r="D644" t="inlineStr">
        <x:is>
          <x:t xml:space="preserve">6. Tech &amp; Third Parties</x:t>
        </x:is>
      </x:c>
      <x:c r="E644" t="inlineStr">
        <x:is>
          <x:t xml:space="preserve">T</x:t>
        </x:is>
      </x:c>
      <x:c r="F644" t="n">
        <x:v>1</x:v>
      </x:c>
      <x:c r="G644" t="inlineStr">
        <x:is>
          <x:t xml:space="preserve">-</x:t>
        </x:is>
      </x:c>
      <x:c r="I644" t="inlineStr">
        <x:is>
          <x:t xml:space="preserve">Do vendor/MSP identities use named accounts (no shared logins) with MFA and clear ownership?</x:t>
        </x:is>
      </x:c>
      <x:c r="J644" t="inlineStr">
        <x:is>
          <x:t xml:space="preserve">Shared accounts are a major investigation blocker and insider-risk blind spot.</x:t>
        </x:is>
      </x:c>
      <x:c r="L644" t="inlineStr">
        <x:is>
          <x:t xml:space="preserve">OPS_STD</x:t>
        </x:is>
      </x:c>
      <x:c r="M644" t="n">
        <x:v>1</x:v>
      </x:c>
      <x:c r="P644" t="inlineStr">
        <x:is>
          <x:t xml:space="preserve">ITIAM-D4-Q10-A2</x:t>
        </x:is>
      </x:c>
      <x:c r="Q644" t="n">
        <x:v>3</x:v>
      </x:c>
      <x:c r="R644" t="inlineStr">
        <x:is>
          <x:t xml:space="preserve">Yes: Named accounts + MFA are standard for vendor access.</x:t>
        </x:is>
      </x:c>
      <x:c r="S644" t="n">
        <x:v>3</x:v>
      </x:c>
      <x:c r="V644" t="inlineStr">
        <x:is>
          <x:t xml:space="preserve">Evidence_Request_Vendor_IDs</x:t>
        </x:is>
      </x:c>
      <x:c r="W644" t="inlineStr">
        <x:is>
          <x:t xml:space="preserve">N</x:t>
        </x:is>
      </x:c>
      <x:c r="Y644">
        <x:f>(S644*IF(E644="G",F644,0))+(S644*IF(G644="G",H644,0))</x:f>
      </x:c>
      <x:c r="Z644">
        <x:f>(S644*IF(E644="E",F644,0))+(S644*IF(G644="E",H644,0))</x:f>
      </x:c>
      <x:c r="AA644">
        <x:f>(S644*IF(E644="T",F644,0))+(S644*IF(G644="T",H644,0))</x:f>
      </x:c>
      <x:c r="AB644">
        <x:f>(S644*IF(E644="L",F644,0))+(S644*IF(G644="L",H644,0))</x:f>
      </x:c>
      <x:c r="AC644">
        <x:f>(S644*IF(E644="H",F644,0))+(S644*IF(G644="H",H644,0))</x:f>
      </x:c>
      <x:c r="AD644">
        <x:f>(S644*IF(E644="V",F644,0))+(S644*IF(G644="V",H644,0))</x:f>
      </x:c>
      <x:c r="AE644">
        <x:f>(S644*IF(E644="R",F644,0))+(S644*IF(G644="R",H644,0))</x:f>
      </x:c>
      <x:c r="AF644">
        <x:f>(S644*IF(E644="F",F644,0))+(S644*IF(G644="F",H644,0))</x:f>
      </x:c>
      <x:c r="AG644">
        <x:f>(S644*IF(E644="W",F644,0))+(S644*IF(G644="W",H644,0))</x:f>
      </x:c>
      <x:c r="AH644" t="inlineStr">
        <x:is>
          <x:t xml:space="preserve">6. Technical Controls</x:t>
        </x:is>
      </x:c>
      <x:c r="AI644" t="inlineStr">
        <x:is>
          <x:t xml:space="preserve">Data, Endpoint &amp; Cloud Controls</x:t>
        </x:is>
      </x:c>
      <x:c r="AJ644" t="inlineStr">
        <x:is>
          <x:t xml:space="preserve">EDR for insider use-cases</x:t>
        </x:is>
      </x:c>
    </x:row>
    <x:row r="645">
      <x:c r="A645" t="inlineStr">
        <x:is>
          <x:t xml:space="preserve">IT_IAM</x:t>
        </x:is>
      </x:c>
      <x:c r="B645" t="inlineStr">
        <x:is>
          <x:t xml:space="preserve">ITIAM-D4-Q10</x:t>
        </x:is>
      </x:c>
      <x:c r="C645" t="inlineStr">
        <x:is>
          <x:t xml:space="preserve">T2</x:t>
        </x:is>
      </x:c>
      <x:c r="D645" t="inlineStr">
        <x:is>
          <x:t xml:space="preserve">6. Tech &amp; Third Parties</x:t>
        </x:is>
      </x:c>
      <x:c r="E645" t="inlineStr">
        <x:is>
          <x:t xml:space="preserve">T</x:t>
        </x:is>
      </x:c>
      <x:c r="F645" t="n">
        <x:v>1</x:v>
      </x:c>
      <x:c r="G645" t="inlineStr">
        <x:is>
          <x:t xml:space="preserve">-</x:t>
        </x:is>
      </x:c>
      <x:c r="I645" t="inlineStr">
        <x:is>
          <x:t xml:space="preserve">Do vendor/MSP identities use named accounts (no shared logins) with MFA and clear ownership?</x:t>
        </x:is>
      </x:c>
      <x:c r="J645" t="inlineStr">
        <x:is>
          <x:t xml:space="preserve">Shared accounts are a major investigation blocker and insider-risk blind spot.</x:t>
        </x:is>
      </x:c>
      <x:c r="L645" t="inlineStr">
        <x:is>
          <x:t xml:space="preserve">OPS_STD</x:t>
        </x:is>
      </x:c>
      <x:c r="M645" t="n">
        <x:v>1</x:v>
      </x:c>
      <x:c r="P645" t="inlineStr">
        <x:is>
          <x:t xml:space="preserve">ITIAM-D4-Q10-A3</x:t>
        </x:is>
      </x:c>
      <x:c r="Q645" t="n">
        <x:v>4</x:v>
      </x:c>
      <x:c r="R645" t="inlineStr">
        <x:is>
          <x:t xml:space="preserve">Optimized: Vendor access is time-bound and monitored like privileged access.</x:t>
        </x:is>
      </x:c>
      <x:c r="S645" t="n">
        <x:v>4</x:v>
      </x:c>
      <x:c r="V645" t="inlineStr">
        <x:is>
          <x:t xml:space="preserve">Maintain_and_Audit</x:t>
        </x:is>
      </x:c>
      <x:c r="W645" t="inlineStr">
        <x:is>
          <x:t xml:space="preserve">N</x:t>
        </x:is>
      </x:c>
      <x:c r="Y645">
        <x:f>(S645*IF(E645="G",F645,0))+(S645*IF(G645="G",H645,0))</x:f>
      </x:c>
      <x:c r="Z645">
        <x:f>(S645*IF(E645="E",F645,0))+(S645*IF(G645="E",H645,0))</x:f>
      </x:c>
      <x:c r="AA645">
        <x:f>(S645*IF(E645="T",F645,0))+(S645*IF(G645="T",H645,0))</x:f>
      </x:c>
      <x:c r="AB645">
        <x:f>(S645*IF(E645="L",F645,0))+(S645*IF(G645="L",H645,0))</x:f>
      </x:c>
      <x:c r="AC645">
        <x:f>(S645*IF(E645="H",F645,0))+(S645*IF(G645="H",H645,0))</x:f>
      </x:c>
      <x:c r="AD645">
        <x:f>(S645*IF(E645="V",F645,0))+(S645*IF(G645="V",H645,0))</x:f>
      </x:c>
      <x:c r="AE645">
        <x:f>(S645*IF(E645="R",F645,0))+(S645*IF(G645="R",H645,0))</x:f>
      </x:c>
      <x:c r="AF645">
        <x:f>(S645*IF(E645="F",F645,0))+(S645*IF(G645="F",H645,0))</x:f>
      </x:c>
      <x:c r="AG645">
        <x:f>(S645*IF(E645="W",F645,0))+(S645*IF(G645="W",H645,0))</x:f>
      </x:c>
      <x:c r="AH645" t="inlineStr">
        <x:is>
          <x:t xml:space="preserve">6. Technical Controls</x:t>
        </x:is>
      </x:c>
      <x:c r="AI645" t="inlineStr">
        <x:is>
          <x:t xml:space="preserve">Data, Endpoint &amp; Cloud Controls</x:t>
        </x:is>
      </x:c>
      <x:c r="AJ645" t="inlineStr">
        <x:is>
          <x:t xml:space="preserve">EDR for insider use-cases</x:t>
        </x:is>
      </x:c>
    </x:row>
    <x:row r="646">
      <x:c r="A646" t="inlineStr">
        <x:is>
          <x:t xml:space="preserve">IT_IAM</x:t>
        </x:is>
      </x:c>
      <x:c r="B646" t="inlineStr">
        <x:is>
          <x:t xml:space="preserve">ITIAM-D5-Q11</x:t>
        </x:is>
      </x:c>
      <x:c r="C646" t="inlineStr">
        <x:is>
          <x:t xml:space="preserve">T1</x:t>
        </x:is>
      </x:c>
      <x:c r="D646" t="inlineStr">
        <x:is>
          <x:t xml:space="preserve">6. Operational Friction</x:t>
        </x:is>
      </x:c>
      <x:c r="E646" t="inlineStr">
        <x:is>
          <x:t xml:space="preserve">F</x:t>
        </x:is>
      </x:c>
      <x:c r="F646" t="n">
        <x:v>0.6</x:v>
      </x:c>
      <x:c r="G646" t="inlineStr">
        <x:is>
          <x:t xml:space="preserve">E</x:t>
        </x:is>
      </x:c>
      <x:c r="H646" t="n">
        <x:v>0.4</x:v>
      </x:c>
      <x:c r="I646" t="inlineStr">
        <x:is>
          <x:t xml:space="preserve">Do teams bypass identity controls to get work done (shared accounts, local admin, borrowing credentials), and is this reduced over time?</x:t>
        </x:is>
      </x:c>
      <x:c r="J646" t="inlineStr">
        <x:is>
          <x:t xml:space="preserve">We’re looking for honest signal and improvement, not perfection.</x:t>
        </x:is>
      </x:c>
      <x:c r="L646" t="inlineStr">
        <x:is>
          <x:t xml:space="preserve">OPS_STD</x:t>
        </x:is>
      </x:c>
      <x:c r="M646" t="n">
        <x:v>1.1</x:v>
      </x:c>
      <x:c r="P646" t="inlineStr">
        <x:is>
          <x:t xml:space="preserve">ITIAM-D5-Q11-A0</x:t>
        </x:is>
      </x:c>
      <x:c r="Q646" t="n">
        <x:v>1</x:v>
      </x:c>
      <x:c r="R646" t="inlineStr">
        <x:is>
          <x:t xml:space="preserve">I don’t know / not sure.</x:t>
        </x:is>
      </x:c>
      <x:c r="S646" t="n">
        <x:v>0</x:v>
      </x:c>
      <x:c r="T646" t="inlineStr">
        <x:is>
          <x:t xml:space="preserve">unknown</x:t>
        </x:is>
      </x:c>
      <x:c r="U646" t="inlineStr">
        <x:is>
          <x:t xml:space="preserve">Unknown</x:t>
        </x:is>
      </x:c>
      <x:c r="V646" t="inlineStr">
        <x:is>
          <x:t xml:space="preserve">Clarify_Bypass</x:t>
        </x:is>
      </x:c>
      <x:c r="W646" t="inlineStr">
        <x:is>
          <x:t xml:space="preserve">N</x:t>
        </x:is>
      </x:c>
      <x:c r="Y646">
        <x:f>(S646*IF(E646="G",F646,0))+(S646*IF(G646="G",H646,0))</x:f>
      </x:c>
      <x:c r="Z646">
        <x:f>(S646*IF(E646="E",F646,0))+(S646*IF(G646="E",H646,0))</x:f>
      </x:c>
      <x:c r="AA646">
        <x:f>(S646*IF(E646="T",F646,0))+(S646*IF(G646="T",H646,0))</x:f>
      </x:c>
      <x:c r="AB646">
        <x:f>(S646*IF(E646="L",F646,0))+(S646*IF(G646="L",H646,0))</x:f>
      </x:c>
      <x:c r="AC646">
        <x:f>(S646*IF(E646="H",F646,0))+(S646*IF(G646="H",H646,0))</x:f>
      </x:c>
      <x:c r="AD646">
        <x:f>(S646*IF(E646="V",F646,0))+(S646*IF(G646="V",H646,0))</x:f>
      </x:c>
      <x:c r="AE646">
        <x:f>(S646*IF(E646="R",F646,0))+(S646*IF(G646="R",H646,0))</x:f>
      </x:c>
      <x:c r="AF646">
        <x:f>(S646*IF(E646="F",F646,0))+(S646*IF(G646="F",H646,0))</x:f>
      </x:c>
      <x:c r="AG646">
        <x:f>(S646*IF(E646="W",F646,0))+(S646*IF(G646="W",H646,0))</x:f>
      </x:c>
      <x:c r="AH646" t="inlineStr">
        <x:is>
          <x:t xml:space="preserve">6. Technical Controls</x:t>
        </x:is>
      </x:c>
      <x:c r="AI646" t="inlineStr">
        <x:is>
          <x:t xml:space="preserve">Data, Endpoint &amp; Cloud Controls</x:t>
        </x:is>
      </x:c>
      <x:c r="AJ646" t="inlineStr">
        <x:is>
          <x:t xml:space="preserve">Collaboration/SaaS sharing controls</x:t>
        </x:is>
      </x:c>
    </x:row>
    <x:row r="647">
      <x:c r="A647" t="inlineStr">
        <x:is>
          <x:t xml:space="preserve">IT_IAM</x:t>
        </x:is>
      </x:c>
      <x:c r="B647" t="inlineStr">
        <x:is>
          <x:t xml:space="preserve">ITIAM-D5-Q11</x:t>
        </x:is>
      </x:c>
      <x:c r="C647" t="inlineStr">
        <x:is>
          <x:t xml:space="preserve">T1</x:t>
        </x:is>
      </x:c>
      <x:c r="D647" t="inlineStr">
        <x:is>
          <x:t xml:space="preserve">6. Operational Friction</x:t>
        </x:is>
      </x:c>
      <x:c r="E647" t="inlineStr">
        <x:is>
          <x:t xml:space="preserve">F</x:t>
        </x:is>
      </x:c>
      <x:c r="F647" t="n">
        <x:v>0.6</x:v>
      </x:c>
      <x:c r="G647" t="inlineStr">
        <x:is>
          <x:t xml:space="preserve">E</x:t>
        </x:is>
      </x:c>
      <x:c r="H647" t="n">
        <x:v>0.4</x:v>
      </x:c>
      <x:c r="I647" t="inlineStr">
        <x:is>
          <x:t xml:space="preserve">Do teams bypass identity controls to get work done (shared accounts, local admin, borrowing credentials), and is this reduced over time?</x:t>
        </x:is>
      </x:c>
      <x:c r="J647" t="inlineStr">
        <x:is>
          <x:t xml:space="preserve">We’re looking for honest signal and improvement, not perfection.</x:t>
        </x:is>
      </x:c>
      <x:c r="L647" t="inlineStr">
        <x:is>
          <x:t xml:space="preserve">OPS_STD</x:t>
        </x:is>
      </x:c>
      <x:c r="M647" t="n">
        <x:v>1.1</x:v>
      </x:c>
      <x:c r="P647" t="inlineStr">
        <x:is>
          <x:t xml:space="preserve">ITIAM-D5-Q11-A1</x:t>
        </x:is>
      </x:c>
      <x:c r="Q647" t="n">
        <x:v>2</x:v>
      </x:c>
      <x:c r="R647" t="inlineStr">
        <x:is>
          <x:t xml:space="preserve">Yes, common: Work often requires bypassing controls.</x:t>
        </x:is>
      </x:c>
      <x:c r="S647" t="n">
        <x:v>0</x:v>
      </x:c>
      <x:c r="T647" t="inlineStr">
        <x:is>
          <x:t xml:space="preserve">bypass_pressure</x:t>
        </x:is>
      </x:c>
      <x:c r="U647" t="inlineStr">
        <x:is>
          <x:t xml:space="preserve">Bypass Pressure</x:t>
        </x:is>
      </x:c>
      <x:c r="V647" t="inlineStr">
        <x:is>
          <x:t xml:space="preserve">Reduce_Bypass</x:t>
        </x:is>
      </x:c>
      <x:c r="W647" t="inlineStr">
        <x:is>
          <x:t xml:space="preserve">N</x:t>
        </x:is>
      </x:c>
      <x:c r="Y647">
        <x:f>(S647*IF(E647="G",F647,0))+(S647*IF(G647="G",H647,0))</x:f>
      </x:c>
      <x:c r="Z647">
        <x:f>(S647*IF(E647="E",F647,0))+(S647*IF(G647="E",H647,0))</x:f>
      </x:c>
      <x:c r="AA647">
        <x:f>(S647*IF(E647="T",F647,0))+(S647*IF(G647="T",H647,0))</x:f>
      </x:c>
      <x:c r="AB647">
        <x:f>(S647*IF(E647="L",F647,0))+(S647*IF(G647="L",H647,0))</x:f>
      </x:c>
      <x:c r="AC647">
        <x:f>(S647*IF(E647="H",F647,0))+(S647*IF(G647="H",H647,0))</x:f>
      </x:c>
      <x:c r="AD647">
        <x:f>(S647*IF(E647="V",F647,0))+(S647*IF(G647="V",H647,0))</x:f>
      </x:c>
      <x:c r="AE647">
        <x:f>(S647*IF(E647="R",F647,0))+(S647*IF(G647="R",H647,0))</x:f>
      </x:c>
      <x:c r="AF647">
        <x:f>(S647*IF(E647="F",F647,0))+(S647*IF(G647="F",H647,0))</x:f>
      </x:c>
      <x:c r="AG647">
        <x:f>(S647*IF(E647="W",F647,0))+(S647*IF(G647="W",H647,0))</x:f>
      </x:c>
      <x:c r="AH647" t="inlineStr">
        <x:is>
          <x:t xml:space="preserve">6. Technical Controls</x:t>
        </x:is>
      </x:c>
      <x:c r="AI647" t="inlineStr">
        <x:is>
          <x:t xml:space="preserve">Data, Endpoint &amp; Cloud Controls</x:t>
        </x:is>
      </x:c>
      <x:c r="AJ647" t="inlineStr">
        <x:is>
          <x:t xml:space="preserve">Collaboration/SaaS sharing controls</x:t>
        </x:is>
      </x:c>
    </x:row>
    <x:row r="648">
      <x:c r="A648" t="inlineStr">
        <x:is>
          <x:t xml:space="preserve">IT_IAM</x:t>
        </x:is>
      </x:c>
      <x:c r="B648" t="inlineStr">
        <x:is>
          <x:t xml:space="preserve">ITIAM-D5-Q11</x:t>
        </x:is>
      </x:c>
      <x:c r="C648" t="inlineStr">
        <x:is>
          <x:t xml:space="preserve">T1</x:t>
        </x:is>
      </x:c>
      <x:c r="D648" t="inlineStr">
        <x:is>
          <x:t xml:space="preserve">6. Operational Friction</x:t>
        </x:is>
      </x:c>
      <x:c r="E648" t="inlineStr">
        <x:is>
          <x:t xml:space="preserve">F</x:t>
        </x:is>
      </x:c>
      <x:c r="F648" t="n">
        <x:v>0.6</x:v>
      </x:c>
      <x:c r="G648" t="inlineStr">
        <x:is>
          <x:t xml:space="preserve">E</x:t>
        </x:is>
      </x:c>
      <x:c r="H648" t="n">
        <x:v>0.4</x:v>
      </x:c>
      <x:c r="I648" t="inlineStr">
        <x:is>
          <x:t xml:space="preserve">Do teams bypass identity controls to get work done (shared accounts, local admin, borrowing credentials), and is this reduced over time?</x:t>
        </x:is>
      </x:c>
      <x:c r="J648" t="inlineStr">
        <x:is>
          <x:t xml:space="preserve">We’re looking for honest signal and improvement, not perfection.</x:t>
        </x:is>
      </x:c>
      <x:c r="L648" t="inlineStr">
        <x:is>
          <x:t xml:space="preserve">OPS_STD</x:t>
        </x:is>
      </x:c>
      <x:c r="M648" t="n">
        <x:v>1.1</x:v>
      </x:c>
      <x:c r="P648" t="inlineStr">
        <x:is>
          <x:t xml:space="preserve">ITIAM-D5-Q11-A2</x:t>
        </x:is>
      </x:c>
      <x:c r="Q648" t="n">
        <x:v>3</x:v>
      </x:c>
      <x:c r="R648" t="inlineStr">
        <x:is>
          <x:t xml:space="preserve">Sometimes: Bypasses occur under time pressure; not tracked.</x:t>
        </x:is>
      </x:c>
      <x:c r="S648" t="n">
        <x:v>1</x:v>
      </x:c>
      <x:c r="T648" t="inlineStr">
        <x:is>
          <x:t xml:space="preserve">operating_model_gap</x:t>
        </x:is>
      </x:c>
      <x:c r="U648" t="inlineStr">
        <x:is>
          <x:t xml:space="preserve">Operating Model Gap</x:t>
        </x:is>
      </x:c>
      <x:c r="V648" t="inlineStr">
        <x:is>
          <x:t xml:space="preserve">Track_Bypass</x:t>
        </x:is>
      </x:c>
      <x:c r="W648" t="inlineStr">
        <x:is>
          <x:t xml:space="preserve">N</x:t>
        </x:is>
      </x:c>
      <x:c r="Y648">
        <x:f>(S648*IF(E648="G",F648,0))+(S648*IF(G648="G",H648,0))</x:f>
      </x:c>
      <x:c r="Z648">
        <x:f>(S648*IF(E648="E",F648,0))+(S648*IF(G648="E",H648,0))</x:f>
      </x:c>
      <x:c r="AA648">
        <x:f>(S648*IF(E648="T",F648,0))+(S648*IF(G648="T",H648,0))</x:f>
      </x:c>
      <x:c r="AB648">
        <x:f>(S648*IF(E648="L",F648,0))+(S648*IF(G648="L",H648,0))</x:f>
      </x:c>
      <x:c r="AC648">
        <x:f>(S648*IF(E648="H",F648,0))+(S648*IF(G648="H",H648,0))</x:f>
      </x:c>
      <x:c r="AD648">
        <x:f>(S648*IF(E648="V",F648,0))+(S648*IF(G648="V",H648,0))</x:f>
      </x:c>
      <x:c r="AE648">
        <x:f>(S648*IF(E648="R",F648,0))+(S648*IF(G648="R",H648,0))</x:f>
      </x:c>
      <x:c r="AF648">
        <x:f>(S648*IF(E648="F",F648,0))+(S648*IF(G648="F",H648,0))</x:f>
      </x:c>
      <x:c r="AG648">
        <x:f>(S648*IF(E648="W",F648,0))+(S648*IF(G648="W",H648,0))</x:f>
      </x:c>
      <x:c r="AH648" t="inlineStr">
        <x:is>
          <x:t xml:space="preserve">6. Technical Controls</x:t>
        </x:is>
      </x:c>
      <x:c r="AI648" t="inlineStr">
        <x:is>
          <x:t xml:space="preserve">Data, Endpoint &amp; Cloud Controls</x:t>
        </x:is>
      </x:c>
      <x:c r="AJ648" t="inlineStr">
        <x:is>
          <x:t xml:space="preserve">Collaboration/SaaS sharing controls</x:t>
        </x:is>
      </x:c>
    </x:row>
    <x:row r="649">
      <x:c r="A649" t="inlineStr">
        <x:is>
          <x:t xml:space="preserve">IT_IAM</x:t>
        </x:is>
      </x:c>
      <x:c r="B649" t="inlineStr">
        <x:is>
          <x:t xml:space="preserve">ITIAM-D5-Q11</x:t>
        </x:is>
      </x:c>
      <x:c r="C649" t="inlineStr">
        <x:is>
          <x:t xml:space="preserve">T1</x:t>
        </x:is>
      </x:c>
      <x:c r="D649" t="inlineStr">
        <x:is>
          <x:t xml:space="preserve">6. Operational Friction</x:t>
        </x:is>
      </x:c>
      <x:c r="E649" t="inlineStr">
        <x:is>
          <x:t xml:space="preserve">F</x:t>
        </x:is>
      </x:c>
      <x:c r="F649" t="n">
        <x:v>0.6</x:v>
      </x:c>
      <x:c r="G649" t="inlineStr">
        <x:is>
          <x:t xml:space="preserve">E</x:t>
        </x:is>
      </x:c>
      <x:c r="H649" t="n">
        <x:v>0.4</x:v>
      </x:c>
      <x:c r="I649" t="inlineStr">
        <x:is>
          <x:t xml:space="preserve">Do teams bypass identity controls to get work done (shared accounts, local admin, borrowing credentials), and is this reduced over time?</x:t>
        </x:is>
      </x:c>
      <x:c r="J649" t="inlineStr">
        <x:is>
          <x:t xml:space="preserve">We’re looking for honest signal and improvement, not perfection.</x:t>
        </x:is>
      </x:c>
      <x:c r="L649" t="inlineStr">
        <x:is>
          <x:t xml:space="preserve">OPS_STD</x:t>
        </x:is>
      </x:c>
      <x:c r="M649" t="n">
        <x:v>1.1</x:v>
      </x:c>
      <x:c r="P649" t="inlineStr">
        <x:is>
          <x:t xml:space="preserve">ITIAM-D5-Q11-A3</x:t>
        </x:is>
      </x:c>
      <x:c r="Q649" t="n">
        <x:v>4</x:v>
      </x:c>
      <x:c r="R649" t="inlineStr">
        <x:is>
          <x:t xml:space="preserve">Rare: Bypasses are investigated and root causes addressed.</x:t>
        </x:is>
      </x:c>
      <x:c r="S649" t="n">
        <x:v>3</x:v>
      </x:c>
      <x:c r="V649" t="inlineStr">
        <x:is>
          <x:t xml:space="preserve">Evidence_Request_Bypass_Handling</x:t>
        </x:is>
      </x:c>
      <x:c r="W649" t="inlineStr">
        <x:is>
          <x:t xml:space="preserve">N</x:t>
        </x:is>
      </x:c>
      <x:c r="Y649">
        <x:f>(S649*IF(E649="G",F649,0))+(S649*IF(G649="G",H649,0))</x:f>
      </x:c>
      <x:c r="Z649">
        <x:f>(S649*IF(E649="E",F649,0))+(S649*IF(G649="E",H649,0))</x:f>
      </x:c>
      <x:c r="AA649">
        <x:f>(S649*IF(E649="T",F649,0))+(S649*IF(G649="T",H649,0))</x:f>
      </x:c>
      <x:c r="AB649">
        <x:f>(S649*IF(E649="L",F649,0))+(S649*IF(G649="L",H649,0))</x:f>
      </x:c>
      <x:c r="AC649">
        <x:f>(S649*IF(E649="H",F649,0))+(S649*IF(G649="H",H649,0))</x:f>
      </x:c>
      <x:c r="AD649">
        <x:f>(S649*IF(E649="V",F649,0))+(S649*IF(G649="V",H649,0))</x:f>
      </x:c>
      <x:c r="AE649">
        <x:f>(S649*IF(E649="R",F649,0))+(S649*IF(G649="R",H649,0))</x:f>
      </x:c>
      <x:c r="AF649">
        <x:f>(S649*IF(E649="F",F649,0))+(S649*IF(G649="F",H649,0))</x:f>
      </x:c>
      <x:c r="AG649">
        <x:f>(S649*IF(E649="W",F649,0))+(S649*IF(G649="W",H649,0))</x:f>
      </x:c>
      <x:c r="AH649" t="inlineStr">
        <x:is>
          <x:t xml:space="preserve">6. Technical Controls</x:t>
        </x:is>
      </x:c>
      <x:c r="AI649" t="inlineStr">
        <x:is>
          <x:t xml:space="preserve">Data, Endpoint &amp; Cloud Controls</x:t>
        </x:is>
      </x:c>
      <x:c r="AJ649" t="inlineStr">
        <x:is>
          <x:t xml:space="preserve">Collaboration/SaaS sharing controls</x:t>
        </x:is>
      </x:c>
    </x:row>
    <x:row r="650">
      <x:c r="A650" t="inlineStr">
        <x:is>
          <x:t xml:space="preserve">IT_IAM</x:t>
        </x:is>
      </x:c>
      <x:c r="B650" t="inlineStr">
        <x:is>
          <x:t xml:space="preserve">ITIAM-D5-Q11</x:t>
        </x:is>
      </x:c>
      <x:c r="C650" t="inlineStr">
        <x:is>
          <x:t xml:space="preserve">T1</x:t>
        </x:is>
      </x:c>
      <x:c r="D650" t="inlineStr">
        <x:is>
          <x:t xml:space="preserve">6. Operational Friction</x:t>
        </x:is>
      </x:c>
      <x:c r="E650" t="inlineStr">
        <x:is>
          <x:t xml:space="preserve">F</x:t>
        </x:is>
      </x:c>
      <x:c r="F650" t="n">
        <x:v>0.6</x:v>
      </x:c>
      <x:c r="G650" t="inlineStr">
        <x:is>
          <x:t xml:space="preserve">E</x:t>
        </x:is>
      </x:c>
      <x:c r="H650" t="n">
        <x:v>0.4</x:v>
      </x:c>
      <x:c r="I650" t="inlineStr">
        <x:is>
          <x:t xml:space="preserve">Do teams bypass identity controls to get work done (shared accounts, local admin, borrowing credentials), and is this reduced over time?</x:t>
        </x:is>
      </x:c>
      <x:c r="J650" t="inlineStr">
        <x:is>
          <x:t xml:space="preserve">We’re looking for honest signal and improvement, not perfection.</x:t>
        </x:is>
      </x:c>
      <x:c r="L650" t="inlineStr">
        <x:is>
          <x:t xml:space="preserve">OPS_STD</x:t>
        </x:is>
      </x:c>
      <x:c r="M650" t="n">
        <x:v>1.1</x:v>
      </x:c>
      <x:c r="P650" t="inlineStr">
        <x:is>
          <x:t xml:space="preserve">ITIAM-D5-Q11-A4</x:t>
        </x:is>
      </x:c>
      <x:c r="Q650" t="n">
        <x:v>5</x:v>
      </x:c>
      <x:c r="R650" t="inlineStr">
        <x:is>
          <x:t xml:space="preserve">Optimized: Low bypass due to good UX + fast exceptions + monitoring.</x:t>
        </x:is>
      </x:c>
      <x:c r="S650" t="n">
        <x:v>4</x:v>
      </x:c>
      <x:c r="V650" t="inlineStr">
        <x:is>
          <x:t xml:space="preserve">Maintain_and_Audit</x:t>
        </x:is>
      </x:c>
      <x:c r="W650" t="inlineStr">
        <x:is>
          <x:t xml:space="preserve">N</x:t>
        </x:is>
      </x:c>
      <x:c r="Y650">
        <x:f>(S650*IF(E650="G",F650,0))+(S650*IF(G650="G",H650,0))</x:f>
      </x:c>
      <x:c r="Z650">
        <x:f>(S650*IF(E650="E",F650,0))+(S650*IF(G650="E",H650,0))</x:f>
      </x:c>
      <x:c r="AA650">
        <x:f>(S650*IF(E650="T",F650,0))+(S650*IF(G650="T",H650,0))</x:f>
      </x:c>
      <x:c r="AB650">
        <x:f>(S650*IF(E650="L",F650,0))+(S650*IF(G650="L",H650,0))</x:f>
      </x:c>
      <x:c r="AC650">
        <x:f>(S650*IF(E650="H",F650,0))+(S650*IF(G650="H",H650,0))</x:f>
      </x:c>
      <x:c r="AD650">
        <x:f>(S650*IF(E650="V",F650,0))+(S650*IF(G650="V",H650,0))</x:f>
      </x:c>
      <x:c r="AE650">
        <x:f>(S650*IF(E650="R",F650,0))+(S650*IF(G650="R",H650,0))</x:f>
      </x:c>
      <x:c r="AF650">
        <x:f>(S650*IF(E650="F",F650,0))+(S650*IF(G650="F",H650,0))</x:f>
      </x:c>
      <x:c r="AG650">
        <x:f>(S650*IF(E650="W",F650,0))+(S650*IF(G650="W",H650,0))</x:f>
      </x:c>
      <x:c r="AH650" t="inlineStr">
        <x:is>
          <x:t xml:space="preserve">6. Technical Controls</x:t>
        </x:is>
      </x:c>
      <x:c r="AI650" t="inlineStr">
        <x:is>
          <x:t xml:space="preserve">Data, Endpoint &amp; Cloud Controls</x:t>
        </x:is>
      </x:c>
      <x:c r="AJ650" t="inlineStr">
        <x:is>
          <x:t xml:space="preserve">Collaboration/SaaS sharing controls</x:t>
        </x:is>
      </x:c>
    </x:row>
    <x:row r="651">
      <x:c r="A651" t="inlineStr">
        <x:is>
          <x:t xml:space="preserve">IT_IAM</x:t>
        </x:is>
      </x:c>
      <x:c r="B651" t="inlineStr">
        <x:is>
          <x:t xml:space="preserve">ITIAM-D5-Q12</x:t>
        </x:is>
      </x:c>
      <x:c r="C651" t="inlineStr">
        <x:is>
          <x:t xml:space="preserve">T2</x:t>
        </x:is>
      </x:c>
      <x:c r="D651" t="inlineStr">
        <x:is>
          <x:t xml:space="preserve">6. Operational Friction</x:t>
        </x:is>
      </x:c>
      <x:c r="E651" t="inlineStr">
        <x:is>
          <x:t xml:space="preserve">F</x:t>
        </x:is>
      </x:c>
      <x:c r="F651" t="n">
        <x:v>0.7</x:v>
      </x:c>
      <x:c r="G651" t="inlineStr">
        <x:is>
          <x:t xml:space="preserve">G</x:t>
        </x:is>
      </x:c>
      <x:c r="H651" t="n">
        <x:v>0.3</x:v>
      </x:c>
      <x:c r="I651" t="inlineStr">
        <x:is>
          <x:t xml:space="preserve">Is there a fast access request path (with clear SLA) so teams don’t share credentials or use shadow accounts?</x:t>
        </x:is>
      </x:c>
      <x:c r="J651" t="inlineStr">
        <x:is>
          <x:t xml:space="preserve">If the legitimate path is too slow, bypass becomes predictable.</x:t>
        </x:is>
      </x:c>
      <x:c r="L651" t="inlineStr">
        <x:is>
          <x:t xml:space="preserve">OPS_STD</x:t>
        </x:is>
      </x:c>
      <x:c r="M651" t="n">
        <x:v>1</x:v>
      </x:c>
      <x:c r="P651" t="inlineStr">
        <x:is>
          <x:t xml:space="preserve">ITIAM-D5-Q12-A0</x:t>
        </x:is>
      </x:c>
      <x:c r="Q651" t="n">
        <x:v>1</x:v>
      </x:c>
      <x:c r="R651" t="inlineStr">
        <x:is>
          <x:t xml:space="preserve">No: Requests are slow; people find workarounds.</x:t>
        </x:is>
      </x:c>
      <x:c r="S651" t="n">
        <x:v>0</x:v>
      </x:c>
      <x:c r="T651" t="inlineStr">
        <x:is>
          <x:t xml:space="preserve">bypass_pressure</x:t>
        </x:is>
      </x:c>
      <x:c r="U651" t="inlineStr">
        <x:is>
          <x:t xml:space="preserve">Bypass Pressure</x:t>
        </x:is>
      </x:c>
      <x:c r="V651" t="inlineStr">
        <x:is>
          <x:t xml:space="preserve">Improve_Access_Request</x:t>
        </x:is>
      </x:c>
      <x:c r="W651" t="inlineStr">
        <x:is>
          <x:t xml:space="preserve">N</x:t>
        </x:is>
      </x:c>
      <x:c r="Y651">
        <x:f>(S651*IF(E651="G",F651,0))+(S651*IF(G651="G",H651,0))</x:f>
      </x:c>
      <x:c r="Z651">
        <x:f>(S651*IF(E651="E",F651,0))+(S651*IF(G651="E",H651,0))</x:f>
      </x:c>
      <x:c r="AA651">
        <x:f>(S651*IF(E651="T",F651,0))+(S651*IF(G651="T",H651,0))</x:f>
      </x:c>
      <x:c r="AB651">
        <x:f>(S651*IF(E651="L",F651,0))+(S651*IF(G651="L",H651,0))</x:f>
      </x:c>
      <x:c r="AC651">
        <x:f>(S651*IF(E651="H",F651,0))+(S651*IF(G651="H",H651,0))</x:f>
      </x:c>
      <x:c r="AD651">
        <x:f>(S651*IF(E651="V",F651,0))+(S651*IF(G651="V",H651,0))</x:f>
      </x:c>
      <x:c r="AE651">
        <x:f>(S651*IF(E651="R",F651,0))+(S651*IF(G651="R",H651,0))</x:f>
      </x:c>
      <x:c r="AF651">
        <x:f>(S651*IF(E651="F",F651,0))+(S651*IF(G651="F",H651,0))</x:f>
      </x:c>
      <x:c r="AG651">
        <x:f>(S651*IF(E651="W",F651,0))+(S651*IF(G651="W",H651,0))</x:f>
      </x:c>
      <x:c r="AH651" t="inlineStr">
        <x:is>
          <x:t xml:space="preserve">6. Technical Controls</x:t>
        </x:is>
      </x:c>
      <x:c r="AI651" t="inlineStr">
        <x:is>
          <x:t xml:space="preserve">Data, Endpoint &amp; Cloud Controls</x:t>
        </x:is>
      </x:c>
      <x:c r="AJ651" t="inlineStr">
        <x:is>
          <x:t xml:space="preserve">Collaboration/SaaS sharing controls</x:t>
        </x:is>
      </x:c>
    </x:row>
    <x:row r="652">
      <x:c r="A652" t="inlineStr">
        <x:is>
          <x:t xml:space="preserve">IT_IAM</x:t>
        </x:is>
      </x:c>
      <x:c r="B652" t="inlineStr">
        <x:is>
          <x:t xml:space="preserve">ITIAM-D5-Q12</x:t>
        </x:is>
      </x:c>
      <x:c r="C652" t="inlineStr">
        <x:is>
          <x:t xml:space="preserve">T2</x:t>
        </x:is>
      </x:c>
      <x:c r="D652" t="inlineStr">
        <x:is>
          <x:t xml:space="preserve">6. Operational Friction</x:t>
        </x:is>
      </x:c>
      <x:c r="E652" t="inlineStr">
        <x:is>
          <x:t xml:space="preserve">F</x:t>
        </x:is>
      </x:c>
      <x:c r="F652" t="n">
        <x:v>0.7</x:v>
      </x:c>
      <x:c r="G652" t="inlineStr">
        <x:is>
          <x:t xml:space="preserve">G</x:t>
        </x:is>
      </x:c>
      <x:c r="H652" t="n">
        <x:v>0.3</x:v>
      </x:c>
      <x:c r="I652" t="inlineStr">
        <x:is>
          <x:t xml:space="preserve">Is there a fast access request path (with clear SLA) so teams don’t share credentials or use shadow accounts?</x:t>
        </x:is>
      </x:c>
      <x:c r="J652" t="inlineStr">
        <x:is>
          <x:t xml:space="preserve">If the legitimate path is too slow, bypass becomes predictable.</x:t>
        </x:is>
      </x:c>
      <x:c r="L652" t="inlineStr">
        <x:is>
          <x:t xml:space="preserve">OPS_STD</x:t>
        </x:is>
      </x:c>
      <x:c r="M652" t="n">
        <x:v>1</x:v>
      </x:c>
      <x:c r="P652" t="inlineStr">
        <x:is>
          <x:t xml:space="preserve">ITIAM-D5-Q12-A1</x:t>
        </x:is>
      </x:c>
      <x:c r="Q652" t="n">
        <x:v>2</x:v>
      </x:c>
      <x:c r="R652" t="inlineStr">
        <x:is>
          <x:t xml:space="preserve">Partial: SLAs exist but are not consistently met.</x:t>
        </x:is>
      </x:c>
      <x:c r="S652" t="n">
        <x:v>1</x:v>
      </x:c>
      <x:c r="T652" t="inlineStr">
        <x:is>
          <x:t xml:space="preserve">operating_model_gap</x:t>
        </x:is>
      </x:c>
      <x:c r="U652" t="inlineStr">
        <x:is>
          <x:t xml:space="preserve">Operating Model Gap</x:t>
        </x:is>
      </x:c>
      <x:c r="V652" t="inlineStr">
        <x:is>
          <x:t xml:space="preserve">Enforce_SLA</x:t>
        </x:is>
      </x:c>
      <x:c r="W652" t="inlineStr">
        <x:is>
          <x:t xml:space="preserve">N</x:t>
        </x:is>
      </x:c>
      <x:c r="Y652">
        <x:f>(S652*IF(E652="G",F652,0))+(S652*IF(G652="G",H652,0))</x:f>
      </x:c>
      <x:c r="Z652">
        <x:f>(S652*IF(E652="E",F652,0))+(S652*IF(G652="E",H652,0))</x:f>
      </x:c>
      <x:c r="AA652">
        <x:f>(S652*IF(E652="T",F652,0))+(S652*IF(G652="T",H652,0))</x:f>
      </x:c>
      <x:c r="AB652">
        <x:f>(S652*IF(E652="L",F652,0))+(S652*IF(G652="L",H652,0))</x:f>
      </x:c>
      <x:c r="AC652">
        <x:f>(S652*IF(E652="H",F652,0))+(S652*IF(G652="H",H652,0))</x:f>
      </x:c>
      <x:c r="AD652">
        <x:f>(S652*IF(E652="V",F652,0))+(S652*IF(G652="V",H652,0))</x:f>
      </x:c>
      <x:c r="AE652">
        <x:f>(S652*IF(E652="R",F652,0))+(S652*IF(G652="R",H652,0))</x:f>
      </x:c>
      <x:c r="AF652">
        <x:f>(S652*IF(E652="F",F652,0))+(S652*IF(G652="F",H652,0))</x:f>
      </x:c>
      <x:c r="AG652">
        <x:f>(S652*IF(E652="W",F652,0))+(S652*IF(G652="W",H652,0))</x:f>
      </x:c>
      <x:c r="AH652" t="inlineStr">
        <x:is>
          <x:t xml:space="preserve">6. Technical Controls</x:t>
        </x:is>
      </x:c>
      <x:c r="AI652" t="inlineStr">
        <x:is>
          <x:t xml:space="preserve">Data, Endpoint &amp; Cloud Controls</x:t>
        </x:is>
      </x:c>
      <x:c r="AJ652" t="inlineStr">
        <x:is>
          <x:t xml:space="preserve">Collaboration/SaaS sharing controls</x:t>
        </x:is>
      </x:c>
    </x:row>
    <x:row r="653">
      <x:c r="A653" t="inlineStr">
        <x:is>
          <x:t xml:space="preserve">IT_IAM</x:t>
        </x:is>
      </x:c>
      <x:c r="B653" t="inlineStr">
        <x:is>
          <x:t xml:space="preserve">ITIAM-D5-Q12</x:t>
        </x:is>
      </x:c>
      <x:c r="C653" t="inlineStr">
        <x:is>
          <x:t xml:space="preserve">T2</x:t>
        </x:is>
      </x:c>
      <x:c r="D653" t="inlineStr">
        <x:is>
          <x:t xml:space="preserve">6. Operational Friction</x:t>
        </x:is>
      </x:c>
      <x:c r="E653" t="inlineStr">
        <x:is>
          <x:t xml:space="preserve">F</x:t>
        </x:is>
      </x:c>
      <x:c r="F653" t="n">
        <x:v>0.7</x:v>
      </x:c>
      <x:c r="G653" t="inlineStr">
        <x:is>
          <x:t xml:space="preserve">G</x:t>
        </x:is>
      </x:c>
      <x:c r="H653" t="n">
        <x:v>0.3</x:v>
      </x:c>
      <x:c r="I653" t="inlineStr">
        <x:is>
          <x:t xml:space="preserve">Is there a fast access request path (with clear SLA) so teams don’t share credentials or use shadow accounts?</x:t>
        </x:is>
      </x:c>
      <x:c r="J653" t="inlineStr">
        <x:is>
          <x:t xml:space="preserve">If the legitimate path is too slow, bypass becomes predictable.</x:t>
        </x:is>
      </x:c>
      <x:c r="L653" t="inlineStr">
        <x:is>
          <x:t xml:space="preserve">OPS_STD</x:t>
        </x:is>
      </x:c>
      <x:c r="M653" t="n">
        <x:v>1</x:v>
      </x:c>
      <x:c r="P653" t="inlineStr">
        <x:is>
          <x:t xml:space="preserve">ITIAM-D5-Q12-A2</x:t>
        </x:is>
      </x:c>
      <x:c r="Q653" t="n">
        <x:v>3</x:v>
      </x:c>
      <x:c r="R653" t="inlineStr">
        <x:is>
          <x:t xml:space="preserve">Yes: SLAs are met for most requests; exceptions are documented.</x:t>
        </x:is>
      </x:c>
      <x:c r="S653" t="n">
        <x:v>3</x:v>
      </x:c>
      <x:c r="V653" t="inlineStr">
        <x:is>
          <x:t xml:space="preserve">Evidence_Request_SLA</x:t>
        </x:is>
      </x:c>
      <x:c r="W653" t="inlineStr">
        <x:is>
          <x:t xml:space="preserve">N</x:t>
        </x:is>
      </x:c>
      <x:c r="Y653">
        <x:f>(S653*IF(E653="G",F653,0))+(S653*IF(G653="G",H653,0))</x:f>
      </x:c>
      <x:c r="Z653">
        <x:f>(S653*IF(E653="E",F653,0))+(S653*IF(G653="E",H653,0))</x:f>
      </x:c>
      <x:c r="AA653">
        <x:f>(S653*IF(E653="T",F653,0))+(S653*IF(G653="T",H653,0))</x:f>
      </x:c>
      <x:c r="AB653">
        <x:f>(S653*IF(E653="L",F653,0))+(S653*IF(G653="L",H653,0))</x:f>
      </x:c>
      <x:c r="AC653">
        <x:f>(S653*IF(E653="H",F653,0))+(S653*IF(G653="H",H653,0))</x:f>
      </x:c>
      <x:c r="AD653">
        <x:f>(S653*IF(E653="V",F653,0))+(S653*IF(G653="V",H653,0))</x:f>
      </x:c>
      <x:c r="AE653">
        <x:f>(S653*IF(E653="R",F653,0))+(S653*IF(G653="R",H653,0))</x:f>
      </x:c>
      <x:c r="AF653">
        <x:f>(S653*IF(E653="F",F653,0))+(S653*IF(G653="F",H653,0))</x:f>
      </x:c>
      <x:c r="AG653">
        <x:f>(S653*IF(E653="W",F653,0))+(S653*IF(G653="W",H653,0))</x:f>
      </x:c>
      <x:c r="AH653" t="inlineStr">
        <x:is>
          <x:t xml:space="preserve">6. Technical Controls</x:t>
        </x:is>
      </x:c>
      <x:c r="AI653" t="inlineStr">
        <x:is>
          <x:t xml:space="preserve">Data, Endpoint &amp; Cloud Controls</x:t>
        </x:is>
      </x:c>
      <x:c r="AJ653" t="inlineStr">
        <x:is>
          <x:t xml:space="preserve">Collaboration/SaaS sharing controls</x:t>
        </x:is>
      </x:c>
    </x:row>
    <x:row r="654">
      <x:c r="A654" t="inlineStr">
        <x:is>
          <x:t xml:space="preserve">IT_IAM</x:t>
        </x:is>
      </x:c>
      <x:c r="B654" t="inlineStr">
        <x:is>
          <x:t xml:space="preserve">ITIAM-D5-Q12</x:t>
        </x:is>
      </x:c>
      <x:c r="C654" t="inlineStr">
        <x:is>
          <x:t xml:space="preserve">T2</x:t>
        </x:is>
      </x:c>
      <x:c r="D654" t="inlineStr">
        <x:is>
          <x:t xml:space="preserve">6. Operational Friction</x:t>
        </x:is>
      </x:c>
      <x:c r="E654" t="inlineStr">
        <x:is>
          <x:t xml:space="preserve">F</x:t>
        </x:is>
      </x:c>
      <x:c r="F654" t="n">
        <x:v>0.7</x:v>
      </x:c>
      <x:c r="G654" t="inlineStr">
        <x:is>
          <x:t xml:space="preserve">G</x:t>
        </x:is>
      </x:c>
      <x:c r="H654" t="n">
        <x:v>0.3</x:v>
      </x:c>
      <x:c r="I654" t="inlineStr">
        <x:is>
          <x:t xml:space="preserve">Is there a fast access request path (with clear SLA) so teams don’t share credentials or use shadow accounts?</x:t>
        </x:is>
      </x:c>
      <x:c r="J654" t="inlineStr">
        <x:is>
          <x:t xml:space="preserve">If the legitimate path is too slow, bypass becomes predictable.</x:t>
        </x:is>
      </x:c>
      <x:c r="L654" t="inlineStr">
        <x:is>
          <x:t xml:space="preserve">OPS_STD</x:t>
        </x:is>
      </x:c>
      <x:c r="M654" t="n">
        <x:v>1</x:v>
      </x:c>
      <x:c r="P654" t="inlineStr">
        <x:is>
          <x:t xml:space="preserve">ITIAM-D5-Q12-A3</x:t>
        </x:is>
      </x:c>
      <x:c r="Q654" t="n">
        <x:v>4</x:v>
      </x:c>
      <x:c r="R654" t="inlineStr">
        <x:is>
          <x:t xml:space="preserve">Optimized: Automated provisioning for low-risk access and measured cycle time.</x:t>
        </x:is>
      </x:c>
      <x:c r="S654" t="n">
        <x:v>4</x:v>
      </x:c>
      <x:c r="V654" t="inlineStr">
        <x:is>
          <x:t xml:space="preserve">Maintain_and_Audit</x:t>
        </x:is>
      </x:c>
      <x:c r="W654" t="inlineStr">
        <x:is>
          <x:t xml:space="preserve">N</x:t>
        </x:is>
      </x:c>
      <x:c r="Y654">
        <x:f>(S654*IF(E654="G",F654,0))+(S654*IF(G654="G",H654,0))</x:f>
      </x:c>
      <x:c r="Z654">
        <x:f>(S654*IF(E654="E",F654,0))+(S654*IF(G654="E",H654,0))</x:f>
      </x:c>
      <x:c r="AA654">
        <x:f>(S654*IF(E654="T",F654,0))+(S654*IF(G654="T",H654,0))</x:f>
      </x:c>
      <x:c r="AB654">
        <x:f>(S654*IF(E654="L",F654,0))+(S654*IF(G654="L",H654,0))</x:f>
      </x:c>
      <x:c r="AC654">
        <x:f>(S654*IF(E654="H",F654,0))+(S654*IF(G654="H",H654,0))</x:f>
      </x:c>
      <x:c r="AD654">
        <x:f>(S654*IF(E654="V",F654,0))+(S654*IF(G654="V",H654,0))</x:f>
      </x:c>
      <x:c r="AE654">
        <x:f>(S654*IF(E654="R",F654,0))+(S654*IF(G654="R",H654,0))</x:f>
      </x:c>
      <x:c r="AF654">
        <x:f>(S654*IF(E654="F",F654,0))+(S654*IF(G654="F",H654,0))</x:f>
      </x:c>
      <x:c r="AG654">
        <x:f>(S654*IF(E654="W",F654,0))+(S654*IF(G654="W",H654,0))</x:f>
      </x:c>
      <x:c r="AH654" t="inlineStr">
        <x:is>
          <x:t xml:space="preserve">6. Technical Controls</x:t>
        </x:is>
      </x:c>
      <x:c r="AI654" t="inlineStr">
        <x:is>
          <x:t xml:space="preserve">Data, Endpoint &amp; Cloud Controls</x:t>
        </x:is>
      </x:c>
      <x:c r="AJ654" t="inlineStr">
        <x:is>
          <x:t xml:space="preserve">Collaboration/SaaS sharing controls</x:t>
        </x:is>
      </x:c>
    </x:row>
    <x:row r="655">
      <x:c r="A655" t="inlineStr">
        <x:is>
          <x:t xml:space="preserve">IT_IAM</x:t>
        </x:is>
      </x:c>
      <x:c r="B655" t="inlineStr">
        <x:is>
          <x:t xml:space="preserve">ITIAM-D6-Q13</x:t>
        </x:is>
      </x:c>
      <x:c r="C655" t="inlineStr">
        <x:is>
          <x:t xml:space="preserve">T1</x:t>
        </x:is>
      </x:c>
      <x:c r="D655" t="inlineStr">
        <x:is>
          <x:t xml:space="preserve">8. Response &amp; Containment</x:t>
        </x:is>
      </x:c>
      <x:c r="E655" t="inlineStr">
        <x:is>
          <x:t xml:space="preserve">R</x:t>
        </x:is>
      </x:c>
      <x:c r="F655" t="n">
        <x:v>0.6</x:v>
      </x:c>
      <x:c r="G655" t="inlineStr">
        <x:is>
          <x:t xml:space="preserve">T</x:t>
        </x:is>
      </x:c>
      <x:c r="H655" t="n">
        <x:v>0.4</x:v>
      </x:c>
      <x:c r="I655" t="inlineStr">
        <x:is>
          <x:t xml:space="preserve">If needed, can we quickly disable a user and cut off access to crown jewels (including remote sessions and tokens)?</x:t>
        </x:is>
      </x:c>
      <x:c r="J655" t="inlineStr">
        <x:is>
          <x:t xml:space="preserve">Think: speed + completeness across systems.</x:t>
        </x:is>
      </x:c>
      <x:c r="L655" t="inlineStr">
        <x:is>
          <x:t xml:space="preserve">OPS_STD</x:t>
        </x:is>
      </x:c>
      <x:c r="M655" t="n">
        <x:v>1.4</x:v>
      </x:c>
      <x:c r="N655" t="n">
        <x:v>0.5</x:v>
      </x:c>
      <x:c r="P655" t="inlineStr">
        <x:is>
          <x:t xml:space="preserve">ITIAM-D6-Q13-A0</x:t>
        </x:is>
      </x:c>
      <x:c r="Q655" t="n">
        <x:v>1</x:v>
      </x:c>
      <x:c r="R655" t="inlineStr">
        <x:is>
          <x:t xml:space="preserve">No: We cannot quickly disable access across systems.</x:t>
        </x:is>
      </x:c>
      <x:c r="S655" t="n">
        <x:v>0</x:v>
      </x:c>
      <x:c r="T655" t="inlineStr">
        <x:is>
          <x:t xml:space="preserve">resilience_gap</x:t>
        </x:is>
      </x:c>
      <x:c r="U655" t="inlineStr">
        <x:is>
          <x:t xml:space="preserve">Resilience Gap</x:t>
        </x:is>
      </x:c>
      <x:c r="V655" t="inlineStr">
        <x:is>
          <x:t xml:space="preserve">Containment_Playbook</x:t>
        </x:is>
      </x:c>
      <x:c r="W655" t="inlineStr">
        <x:is>
          <x:t xml:space="preserve">N</x:t>
        </x:is>
      </x:c>
      <x:c r="Y655">
        <x:f>(S655*IF(E655="G",F655,0))+(S655*IF(G655="G",H655,0))</x:f>
      </x:c>
      <x:c r="Z655">
        <x:f>(S655*IF(E655="E",F655,0))+(S655*IF(G655="E",H655,0))</x:f>
      </x:c>
      <x:c r="AA655">
        <x:f>(S655*IF(E655="T",F655,0))+(S655*IF(G655="T",H655,0))</x:f>
      </x:c>
      <x:c r="AB655">
        <x:f>(S655*IF(E655="L",F655,0))+(S655*IF(G655="L",H655,0))</x:f>
      </x:c>
      <x:c r="AC655">
        <x:f>(S655*IF(E655="H",F655,0))+(S655*IF(G655="H",H655,0))</x:f>
      </x:c>
      <x:c r="AD655">
        <x:f>(S655*IF(E655="V",F655,0))+(S655*IF(G655="V",H655,0))</x:f>
      </x:c>
      <x:c r="AE655">
        <x:f>(S655*IF(E655="R",F655,0))+(S655*IF(G655="R",H655,0))</x:f>
      </x:c>
      <x:c r="AF655">
        <x:f>(S655*IF(E655="F",F655,0))+(S655*IF(G655="F",H655,0))</x:f>
      </x:c>
      <x:c r="AG655">
        <x:f>(S655*IF(E655="W",F655,0))+(S655*IF(G655="W",H655,0))</x:f>
      </x:c>
      <x:c r="AH655" t="inlineStr">
        <x:is>
          <x:t xml:space="preserve">3. Risk Management</x:t>
        </x:is>
      </x:c>
      <x:c r="AI655" t="inlineStr">
        <x:is>
          <x:t xml:space="preserve">Inventory &amp; Scope</x:t>
        </x:is>
      </x:c>
      <x:c r="AJ655" t="inlineStr">
        <x:is>
          <x:t xml:space="preserve">Crown jewels/HVA identification</x:t>
        </x:is>
      </x:c>
    </x:row>
    <x:row r="656">
      <x:c r="A656" t="inlineStr">
        <x:is>
          <x:t xml:space="preserve">IT_IAM</x:t>
        </x:is>
      </x:c>
      <x:c r="B656" t="inlineStr">
        <x:is>
          <x:t xml:space="preserve">ITIAM-D6-Q13</x:t>
        </x:is>
      </x:c>
      <x:c r="C656" t="inlineStr">
        <x:is>
          <x:t xml:space="preserve">T1</x:t>
        </x:is>
      </x:c>
      <x:c r="D656" t="inlineStr">
        <x:is>
          <x:t xml:space="preserve">8. Response &amp; Containment</x:t>
        </x:is>
      </x:c>
      <x:c r="E656" t="inlineStr">
        <x:is>
          <x:t xml:space="preserve">R</x:t>
        </x:is>
      </x:c>
      <x:c r="F656" t="n">
        <x:v>0.6</x:v>
      </x:c>
      <x:c r="G656" t="inlineStr">
        <x:is>
          <x:t xml:space="preserve">T</x:t>
        </x:is>
      </x:c>
      <x:c r="H656" t="n">
        <x:v>0.4</x:v>
      </x:c>
      <x:c r="I656" t="inlineStr">
        <x:is>
          <x:t xml:space="preserve">If needed, can we quickly disable a user and cut off access to crown jewels (including remote sessions and tokens)?</x:t>
        </x:is>
      </x:c>
      <x:c r="J656" t="inlineStr">
        <x:is>
          <x:t xml:space="preserve">Think: speed + completeness across systems.</x:t>
        </x:is>
      </x:c>
      <x:c r="L656" t="inlineStr">
        <x:is>
          <x:t xml:space="preserve">OPS_STD</x:t>
        </x:is>
      </x:c>
      <x:c r="M656" t="n">
        <x:v>1.4</x:v>
      </x:c>
      <x:c r="N656" t="n">
        <x:v>0.5</x:v>
      </x:c>
      <x:c r="P656" t="inlineStr">
        <x:is>
          <x:t xml:space="preserve">ITIAM-D6-Q13-A1</x:t>
        </x:is>
      </x:c>
      <x:c r="Q656" t="n">
        <x:v>2</x:v>
      </x:c>
      <x:c r="R656" t="inlineStr">
        <x:is>
          <x:t xml:space="preserve">Partial: We can disable core accounts but some SaaS/tokens remain active.</x:t>
        </x:is>
      </x:c>
      <x:c r="S656" t="n">
        <x:v>1</x:v>
      </x:c>
      <x:c r="T656" t="inlineStr">
        <x:is>
          <x:t xml:space="preserve">resilience_gap</x:t>
        </x:is>
      </x:c>
      <x:c r="U656" t="inlineStr">
        <x:is>
          <x:t xml:space="preserve">Resilience Gap</x:t>
        </x:is>
      </x:c>
      <x:c r="V656" t="inlineStr">
        <x:is>
          <x:t xml:space="preserve">Improve_Token_Revocation</x:t>
        </x:is>
      </x:c>
      <x:c r="W656" t="inlineStr">
        <x:is>
          <x:t xml:space="preserve">N</x:t>
        </x:is>
      </x:c>
      <x:c r="Y656">
        <x:f>(S656*IF(E656="G",F656,0))+(S656*IF(G656="G",H656,0))</x:f>
      </x:c>
      <x:c r="Z656">
        <x:f>(S656*IF(E656="E",F656,0))+(S656*IF(G656="E",H656,0))</x:f>
      </x:c>
      <x:c r="AA656">
        <x:f>(S656*IF(E656="T",F656,0))+(S656*IF(G656="T",H656,0))</x:f>
      </x:c>
      <x:c r="AB656">
        <x:f>(S656*IF(E656="L",F656,0))+(S656*IF(G656="L",H656,0))</x:f>
      </x:c>
      <x:c r="AC656">
        <x:f>(S656*IF(E656="H",F656,0))+(S656*IF(G656="H",H656,0))</x:f>
      </x:c>
      <x:c r="AD656">
        <x:f>(S656*IF(E656="V",F656,0))+(S656*IF(G656="V",H656,0))</x:f>
      </x:c>
      <x:c r="AE656">
        <x:f>(S656*IF(E656="R",F656,0))+(S656*IF(G656="R",H656,0))</x:f>
      </x:c>
      <x:c r="AF656">
        <x:f>(S656*IF(E656="F",F656,0))+(S656*IF(G656="F",H656,0))</x:f>
      </x:c>
      <x:c r="AG656">
        <x:f>(S656*IF(E656="W",F656,0))+(S656*IF(G656="W",H656,0))</x:f>
      </x:c>
      <x:c r="AH656" t="inlineStr">
        <x:is>
          <x:t xml:space="preserve">3. Risk Management</x:t>
        </x:is>
      </x:c>
      <x:c r="AI656" t="inlineStr">
        <x:is>
          <x:t xml:space="preserve">Inventory &amp; Scope</x:t>
        </x:is>
      </x:c>
      <x:c r="AJ656" t="inlineStr">
        <x:is>
          <x:t xml:space="preserve">Crown jewels/HVA identification</x:t>
        </x:is>
      </x:c>
    </x:row>
    <x:row r="657">
      <x:c r="A657" t="inlineStr">
        <x:is>
          <x:t xml:space="preserve">IT_IAM</x:t>
        </x:is>
      </x:c>
      <x:c r="B657" t="inlineStr">
        <x:is>
          <x:t xml:space="preserve">ITIAM-D6-Q13</x:t>
        </x:is>
      </x:c>
      <x:c r="C657" t="inlineStr">
        <x:is>
          <x:t xml:space="preserve">T1</x:t>
        </x:is>
      </x:c>
      <x:c r="D657" t="inlineStr">
        <x:is>
          <x:t xml:space="preserve">8. Response &amp; Containment</x:t>
        </x:is>
      </x:c>
      <x:c r="E657" t="inlineStr">
        <x:is>
          <x:t xml:space="preserve">R</x:t>
        </x:is>
      </x:c>
      <x:c r="F657" t="n">
        <x:v>0.6</x:v>
      </x:c>
      <x:c r="G657" t="inlineStr">
        <x:is>
          <x:t xml:space="preserve">T</x:t>
        </x:is>
      </x:c>
      <x:c r="H657" t="n">
        <x:v>0.4</x:v>
      </x:c>
      <x:c r="I657" t="inlineStr">
        <x:is>
          <x:t xml:space="preserve">If needed, can we quickly disable a user and cut off access to crown jewels (including remote sessions and tokens)?</x:t>
        </x:is>
      </x:c>
      <x:c r="J657" t="inlineStr">
        <x:is>
          <x:t xml:space="preserve">Think: speed + completeness across systems.</x:t>
        </x:is>
      </x:c>
      <x:c r="L657" t="inlineStr">
        <x:is>
          <x:t xml:space="preserve">OPS_STD</x:t>
        </x:is>
      </x:c>
      <x:c r="M657" t="n">
        <x:v>1.4</x:v>
      </x:c>
      <x:c r="N657" t="n">
        <x:v>0.5</x:v>
      </x:c>
      <x:c r="P657" t="inlineStr">
        <x:is>
          <x:t xml:space="preserve">ITIAM-D6-Q13-A2</x:t>
        </x:is>
      </x:c>
      <x:c r="Q657" t="n">
        <x:v>3</x:v>
      </x:c>
      <x:c r="R657" t="inlineStr">
        <x:is>
          <x:t xml:space="preserve">Yes: We can disable access quickly for most systems.</x:t>
        </x:is>
      </x:c>
      <x:c r="S657" t="n">
        <x:v>3</x:v>
      </x:c>
      <x:c r="V657" t="inlineStr">
        <x:is>
          <x:t xml:space="preserve">Evidence_Request_Containment</x:t>
        </x:is>
      </x:c>
      <x:c r="W657" t="inlineStr">
        <x:is>
          <x:t xml:space="preserve">N</x:t>
        </x:is>
      </x:c>
      <x:c r="Y657">
        <x:f>(S657*IF(E657="G",F657,0))+(S657*IF(G657="G",H657,0))</x:f>
      </x:c>
      <x:c r="Z657">
        <x:f>(S657*IF(E657="E",F657,0))+(S657*IF(G657="E",H657,0))</x:f>
      </x:c>
      <x:c r="AA657">
        <x:f>(S657*IF(E657="T",F657,0))+(S657*IF(G657="T",H657,0))</x:f>
      </x:c>
      <x:c r="AB657">
        <x:f>(S657*IF(E657="L",F657,0))+(S657*IF(G657="L",H657,0))</x:f>
      </x:c>
      <x:c r="AC657">
        <x:f>(S657*IF(E657="H",F657,0))+(S657*IF(G657="H",H657,0))</x:f>
      </x:c>
      <x:c r="AD657">
        <x:f>(S657*IF(E657="V",F657,0))+(S657*IF(G657="V",H657,0))</x:f>
      </x:c>
      <x:c r="AE657">
        <x:f>(S657*IF(E657="R",F657,0))+(S657*IF(G657="R",H657,0))</x:f>
      </x:c>
      <x:c r="AF657">
        <x:f>(S657*IF(E657="F",F657,0))+(S657*IF(G657="F",H657,0))</x:f>
      </x:c>
      <x:c r="AG657">
        <x:f>(S657*IF(E657="W",F657,0))+(S657*IF(G657="W",H657,0))</x:f>
      </x:c>
      <x:c r="AH657" t="inlineStr">
        <x:is>
          <x:t xml:space="preserve">3. Risk Management</x:t>
        </x:is>
      </x:c>
      <x:c r="AI657" t="inlineStr">
        <x:is>
          <x:t xml:space="preserve">Inventory &amp; Scope</x:t>
        </x:is>
      </x:c>
      <x:c r="AJ657" t="inlineStr">
        <x:is>
          <x:t xml:space="preserve">Crown jewels/HVA identification</x:t>
        </x:is>
      </x:c>
    </x:row>
    <x:row r="658">
      <x:c r="A658" t="inlineStr">
        <x:is>
          <x:t xml:space="preserve">IT_IAM</x:t>
        </x:is>
      </x:c>
      <x:c r="B658" t="inlineStr">
        <x:is>
          <x:t xml:space="preserve">ITIAM-D6-Q13</x:t>
        </x:is>
      </x:c>
      <x:c r="C658" t="inlineStr">
        <x:is>
          <x:t xml:space="preserve">T1</x:t>
        </x:is>
      </x:c>
      <x:c r="D658" t="inlineStr">
        <x:is>
          <x:t xml:space="preserve">8. Response &amp; Containment</x:t>
        </x:is>
      </x:c>
      <x:c r="E658" t="inlineStr">
        <x:is>
          <x:t xml:space="preserve">R</x:t>
        </x:is>
      </x:c>
      <x:c r="F658" t="n">
        <x:v>0.6</x:v>
      </x:c>
      <x:c r="G658" t="inlineStr">
        <x:is>
          <x:t xml:space="preserve">T</x:t>
        </x:is>
      </x:c>
      <x:c r="H658" t="n">
        <x:v>0.4</x:v>
      </x:c>
      <x:c r="I658" t="inlineStr">
        <x:is>
          <x:t xml:space="preserve">If needed, can we quickly disable a user and cut off access to crown jewels (including remote sessions and tokens)?</x:t>
        </x:is>
      </x:c>
      <x:c r="J658" t="inlineStr">
        <x:is>
          <x:t xml:space="preserve">Think: speed + completeness across systems.</x:t>
        </x:is>
      </x:c>
      <x:c r="L658" t="inlineStr">
        <x:is>
          <x:t xml:space="preserve">OPS_STD</x:t>
        </x:is>
      </x:c>
      <x:c r="M658" t="n">
        <x:v>1.4</x:v>
      </x:c>
      <x:c r="N658" t="n">
        <x:v>0.5</x:v>
      </x:c>
      <x:c r="P658" t="inlineStr">
        <x:is>
          <x:t xml:space="preserve">ITIAM-D6-Q13-A3</x:t>
        </x:is>
      </x:c>
      <x:c r="Q658" t="n">
        <x:v>4</x:v>
      </x:c>
      <x:c r="R658" t="inlineStr">
        <x:is>
          <x:t xml:space="preserve">Optimized: Automated containment (risk-based) with audit trail and rollback.</x:t>
        </x:is>
      </x:c>
      <x:c r="S658" t="n">
        <x:v>4</x:v>
      </x:c>
      <x:c r="V658" t="inlineStr">
        <x:is>
          <x:t xml:space="preserve">Maintain_and_Audit</x:t>
        </x:is>
      </x:c>
      <x:c r="W658" t="inlineStr">
        <x:is>
          <x:t xml:space="preserve">N</x:t>
        </x:is>
      </x:c>
      <x:c r="Y658">
        <x:f>(S658*IF(E658="G",F658,0))+(S658*IF(G658="G",H658,0))</x:f>
      </x:c>
      <x:c r="Z658">
        <x:f>(S658*IF(E658="E",F658,0))+(S658*IF(G658="E",H658,0))</x:f>
      </x:c>
      <x:c r="AA658">
        <x:f>(S658*IF(E658="T",F658,0))+(S658*IF(G658="T",H658,0))</x:f>
      </x:c>
      <x:c r="AB658">
        <x:f>(S658*IF(E658="L",F658,0))+(S658*IF(G658="L",H658,0))</x:f>
      </x:c>
      <x:c r="AC658">
        <x:f>(S658*IF(E658="H",F658,0))+(S658*IF(G658="H",H658,0))</x:f>
      </x:c>
      <x:c r="AD658">
        <x:f>(S658*IF(E658="V",F658,0))+(S658*IF(G658="V",H658,0))</x:f>
      </x:c>
      <x:c r="AE658">
        <x:f>(S658*IF(E658="R",F658,0))+(S658*IF(G658="R",H658,0))</x:f>
      </x:c>
      <x:c r="AF658">
        <x:f>(S658*IF(E658="F",F658,0))+(S658*IF(G658="F",H658,0))</x:f>
      </x:c>
      <x:c r="AG658">
        <x:f>(S658*IF(E658="W",F658,0))+(S658*IF(G658="W",H658,0))</x:f>
      </x:c>
      <x:c r="AH658" t="inlineStr">
        <x:is>
          <x:t xml:space="preserve">3. Risk Management</x:t>
        </x:is>
      </x:c>
      <x:c r="AI658" t="inlineStr">
        <x:is>
          <x:t xml:space="preserve">Inventory &amp; Scope</x:t>
        </x:is>
      </x:c>
      <x:c r="AJ658" t="inlineStr">
        <x:is>
          <x:t xml:space="preserve">Crown jewels/HVA identification</x:t>
        </x:is>
      </x:c>
    </x:row>
    <x:row r="659">
      <x:c r="A659" t="inlineStr">
        <x:is>
          <x:t xml:space="preserve">IT_IAM</x:t>
        </x:is>
      </x:c>
      <x:c r="B659" t="inlineStr">
        <x:is>
          <x:t xml:space="preserve">ITIAM-D6-Q14</x:t>
        </x:is>
      </x:c>
      <x:c r="C659" t="inlineStr">
        <x:is>
          <x:t xml:space="preserve">T2</x:t>
        </x:is>
      </x:c>
      <x:c r="D659" t="inlineStr">
        <x:is>
          <x:t xml:space="preserve">8. Response &amp; Containment</x:t>
        </x:is>
      </x:c>
      <x:c r="E659" t="inlineStr">
        <x:is>
          <x:t xml:space="preserve">T</x:t>
        </x:is>
      </x:c>
      <x:c r="F659" t="n">
        <x:v>0.6</x:v>
      </x:c>
      <x:c r="G659" t="inlineStr">
        <x:is>
          <x:t xml:space="preserve">R</x:t>
        </x:is>
      </x:c>
      <x:c r="H659" t="n">
        <x:v>0.4</x:v>
      </x:c>
      <x:c r="I659" t="inlineStr">
        <x:is>
          <x:t xml:space="preserve">Do we have automated containment options for high-risk identities/actions (e.g., step-up auth, temporary blocks, kill switch)?</x:t>
        </x:is>
      </x:c>
      <x:c r="J659" t="inlineStr">
        <x:is>
          <x:t xml:space="preserve">Automation reduces response time and inconsistency.</x:t>
        </x:is>
      </x:c>
      <x:c r="L659" t="inlineStr">
        <x:is>
          <x:t xml:space="preserve">OPS_STD</x:t>
        </x:is>
      </x:c>
      <x:c r="M659" t="n">
        <x:v>1.1</x:v>
      </x:c>
      <x:c r="P659" t="inlineStr">
        <x:is>
          <x:t xml:space="preserve">ITIAM-D6-Q14-A0</x:t>
        </x:is>
      </x:c>
      <x:c r="Q659" t="n">
        <x:v>1</x:v>
      </x:c>
      <x:c r="R659" t="inlineStr">
        <x:is>
          <x:t xml:space="preserve">No: Responses are manual and depend on people being available.</x:t>
        </x:is>
      </x:c>
      <x:c r="S659" t="n">
        <x:v>0</x:v>
      </x:c>
      <x:c r="T659" t="inlineStr">
        <x:is>
          <x:t xml:space="preserve">resilience_gap</x:t>
        </x:is>
      </x:c>
      <x:c r="U659" t="inlineStr">
        <x:is>
          <x:t xml:space="preserve">Resilience Gap</x:t>
        </x:is>
      </x:c>
      <x:c r="V659" t="inlineStr">
        <x:is>
          <x:t xml:space="preserve">Automate_Containment</x:t>
        </x:is>
      </x:c>
      <x:c r="W659" t="inlineStr">
        <x:is>
          <x:t xml:space="preserve">N</x:t>
        </x:is>
      </x:c>
      <x:c r="Y659">
        <x:f>(S659*IF(E659="G",F659,0))+(S659*IF(G659="G",H659,0))</x:f>
      </x:c>
      <x:c r="Z659">
        <x:f>(S659*IF(E659="E",F659,0))+(S659*IF(G659="E",H659,0))</x:f>
      </x:c>
      <x:c r="AA659">
        <x:f>(S659*IF(E659="T",F659,0))+(S659*IF(G659="T",H659,0))</x:f>
      </x:c>
      <x:c r="AB659">
        <x:f>(S659*IF(E659="L",F659,0))+(S659*IF(G659="L",H659,0))</x:f>
      </x:c>
      <x:c r="AC659">
        <x:f>(S659*IF(E659="H",F659,0))+(S659*IF(G659="H",H659,0))</x:f>
      </x:c>
      <x:c r="AD659">
        <x:f>(S659*IF(E659="V",F659,0))+(S659*IF(G659="V",H659,0))</x:f>
      </x:c>
      <x:c r="AE659">
        <x:f>(S659*IF(E659="R",F659,0))+(S659*IF(G659="R",H659,0))</x:f>
      </x:c>
      <x:c r="AF659">
        <x:f>(S659*IF(E659="F",F659,0))+(S659*IF(G659="F",H659,0))</x:f>
      </x:c>
      <x:c r="AG659">
        <x:f>(S659*IF(E659="W",F659,0))+(S659*IF(G659="W",H659,0))</x:f>
      </x:c>
      <x:c r="AH659" t="inlineStr">
        <x:is>
          <x:t xml:space="preserve">8. Investigation &amp; Response</x:t>
        </x:is>
      </x:c>
      <x:c r="AI659" t="inlineStr">
        <x:is>
          <x:t xml:space="preserve">Incident Action</x:t>
        </x:is>
      </x:c>
      <x:c r="AJ659" t="inlineStr">
        <x:is>
          <x:t xml:space="preserve">Containment &amp; eradication actions</x:t>
        </x:is>
      </x:c>
    </x:row>
    <x:row r="660">
      <x:c r="A660" t="inlineStr">
        <x:is>
          <x:t xml:space="preserve">IT_IAM</x:t>
        </x:is>
      </x:c>
      <x:c r="B660" t="inlineStr">
        <x:is>
          <x:t xml:space="preserve">ITIAM-D6-Q14</x:t>
        </x:is>
      </x:c>
      <x:c r="C660" t="inlineStr">
        <x:is>
          <x:t xml:space="preserve">T2</x:t>
        </x:is>
      </x:c>
      <x:c r="D660" t="inlineStr">
        <x:is>
          <x:t xml:space="preserve">8. Response &amp; Containment</x:t>
        </x:is>
      </x:c>
      <x:c r="E660" t="inlineStr">
        <x:is>
          <x:t xml:space="preserve">T</x:t>
        </x:is>
      </x:c>
      <x:c r="F660" t="n">
        <x:v>0.6</x:v>
      </x:c>
      <x:c r="G660" t="inlineStr">
        <x:is>
          <x:t xml:space="preserve">R</x:t>
        </x:is>
      </x:c>
      <x:c r="H660" t="n">
        <x:v>0.4</x:v>
      </x:c>
      <x:c r="I660" t="inlineStr">
        <x:is>
          <x:t xml:space="preserve">Do we have automated containment options for high-risk identities/actions (e.g., step-up auth, temporary blocks, kill switch)?</x:t>
        </x:is>
      </x:c>
      <x:c r="J660" t="inlineStr">
        <x:is>
          <x:t xml:space="preserve">Automation reduces response time and inconsistency.</x:t>
        </x:is>
      </x:c>
      <x:c r="L660" t="inlineStr">
        <x:is>
          <x:t xml:space="preserve">OPS_STD</x:t>
        </x:is>
      </x:c>
      <x:c r="M660" t="n">
        <x:v>1.1</x:v>
      </x:c>
      <x:c r="P660" t="inlineStr">
        <x:is>
          <x:t xml:space="preserve">ITIAM-D6-Q14-A1</x:t>
        </x:is>
      </x:c>
      <x:c r="Q660" t="n">
        <x:v>2</x:v>
      </x:c>
      <x:c r="R660" t="inlineStr">
        <x:is>
          <x:t xml:space="preserve">Some: Limited playbooks exist for a few systems.</x:t>
        </x:is>
      </x:c>
      <x:c r="S660" t="n">
        <x:v>1</x:v>
      </x:c>
      <x:c r="T660" t="inlineStr">
        <x:is>
          <x:t xml:space="preserve">operating_model_gap</x:t>
        </x:is>
      </x:c>
      <x:c r="U660" t="inlineStr">
        <x:is>
          <x:t xml:space="preserve">Operating Model Gap</x:t>
        </x:is>
      </x:c>
      <x:c r="V660" t="inlineStr">
        <x:is>
          <x:t xml:space="preserve">Expand_Playbooks</x:t>
        </x:is>
      </x:c>
      <x:c r="W660" t="inlineStr">
        <x:is>
          <x:t xml:space="preserve">N</x:t>
        </x:is>
      </x:c>
      <x:c r="Y660">
        <x:f>(S660*IF(E660="G",F660,0))+(S660*IF(G660="G",H660,0))</x:f>
      </x:c>
      <x:c r="Z660">
        <x:f>(S660*IF(E660="E",F660,0))+(S660*IF(G660="E",H660,0))</x:f>
      </x:c>
      <x:c r="AA660">
        <x:f>(S660*IF(E660="T",F660,0))+(S660*IF(G660="T",H660,0))</x:f>
      </x:c>
      <x:c r="AB660">
        <x:f>(S660*IF(E660="L",F660,0))+(S660*IF(G660="L",H660,0))</x:f>
      </x:c>
      <x:c r="AC660">
        <x:f>(S660*IF(E660="H",F660,0))+(S660*IF(G660="H",H660,0))</x:f>
      </x:c>
      <x:c r="AD660">
        <x:f>(S660*IF(E660="V",F660,0))+(S660*IF(G660="V",H660,0))</x:f>
      </x:c>
      <x:c r="AE660">
        <x:f>(S660*IF(E660="R",F660,0))+(S660*IF(G660="R",H660,0))</x:f>
      </x:c>
      <x:c r="AF660">
        <x:f>(S660*IF(E660="F",F660,0))+(S660*IF(G660="F",H660,0))</x:f>
      </x:c>
      <x:c r="AG660">
        <x:f>(S660*IF(E660="W",F660,0))+(S660*IF(G660="W",H660,0))</x:f>
      </x:c>
      <x:c r="AH660" t="inlineStr">
        <x:is>
          <x:t xml:space="preserve">8. Investigation &amp; Response</x:t>
        </x:is>
      </x:c>
      <x:c r="AI660" t="inlineStr">
        <x:is>
          <x:t xml:space="preserve">Incident Action</x:t>
        </x:is>
      </x:c>
      <x:c r="AJ660" t="inlineStr">
        <x:is>
          <x:t xml:space="preserve">Containment &amp; eradication actions</x:t>
        </x:is>
      </x:c>
    </x:row>
    <x:row r="661">
      <x:c r="A661" t="inlineStr">
        <x:is>
          <x:t xml:space="preserve">IT_IAM</x:t>
        </x:is>
      </x:c>
      <x:c r="B661" t="inlineStr">
        <x:is>
          <x:t xml:space="preserve">ITIAM-D6-Q14</x:t>
        </x:is>
      </x:c>
      <x:c r="C661" t="inlineStr">
        <x:is>
          <x:t xml:space="preserve">T2</x:t>
        </x:is>
      </x:c>
      <x:c r="D661" t="inlineStr">
        <x:is>
          <x:t xml:space="preserve">8. Response &amp; Containment</x:t>
        </x:is>
      </x:c>
      <x:c r="E661" t="inlineStr">
        <x:is>
          <x:t xml:space="preserve">T</x:t>
        </x:is>
      </x:c>
      <x:c r="F661" t="n">
        <x:v>0.6</x:v>
      </x:c>
      <x:c r="G661" t="inlineStr">
        <x:is>
          <x:t xml:space="preserve">R</x:t>
        </x:is>
      </x:c>
      <x:c r="H661" t="n">
        <x:v>0.4</x:v>
      </x:c>
      <x:c r="I661" t="inlineStr">
        <x:is>
          <x:t xml:space="preserve">Do we have automated containment options for high-risk identities/actions (e.g., step-up auth, temporary blocks, kill switch)?</x:t>
        </x:is>
      </x:c>
      <x:c r="J661" t="inlineStr">
        <x:is>
          <x:t xml:space="preserve">Automation reduces response time and inconsistency.</x:t>
        </x:is>
      </x:c>
      <x:c r="L661" t="inlineStr">
        <x:is>
          <x:t xml:space="preserve">OPS_STD</x:t>
        </x:is>
      </x:c>
      <x:c r="M661" t="n">
        <x:v>1.1</x:v>
      </x:c>
      <x:c r="P661" t="inlineStr">
        <x:is>
          <x:t xml:space="preserve">ITIAM-D6-Q14-A2</x:t>
        </x:is>
      </x:c>
      <x:c r="Q661" t="n">
        <x:v>3</x:v>
      </x:c>
      <x:c r="R661" t="inlineStr">
        <x:is>
          <x:t xml:space="preserve">Yes: Common identity risks have automated responses.</x:t>
        </x:is>
      </x:c>
      <x:c r="S661" t="n">
        <x:v>3</x:v>
      </x:c>
      <x:c r="V661" t="inlineStr">
        <x:is>
          <x:t xml:space="preserve">Evidence_Request_Playbooks</x:t>
        </x:is>
      </x:c>
      <x:c r="W661" t="inlineStr">
        <x:is>
          <x:t xml:space="preserve">N</x:t>
        </x:is>
      </x:c>
      <x:c r="Y661">
        <x:f>(S661*IF(E661="G",F661,0))+(S661*IF(G661="G",H661,0))</x:f>
      </x:c>
      <x:c r="Z661">
        <x:f>(S661*IF(E661="E",F661,0))+(S661*IF(G661="E",H661,0))</x:f>
      </x:c>
      <x:c r="AA661">
        <x:f>(S661*IF(E661="T",F661,0))+(S661*IF(G661="T",H661,0))</x:f>
      </x:c>
      <x:c r="AB661">
        <x:f>(S661*IF(E661="L",F661,0))+(S661*IF(G661="L",H661,0))</x:f>
      </x:c>
      <x:c r="AC661">
        <x:f>(S661*IF(E661="H",F661,0))+(S661*IF(G661="H",H661,0))</x:f>
      </x:c>
      <x:c r="AD661">
        <x:f>(S661*IF(E661="V",F661,0))+(S661*IF(G661="V",H661,0))</x:f>
      </x:c>
      <x:c r="AE661">
        <x:f>(S661*IF(E661="R",F661,0))+(S661*IF(G661="R",H661,0))</x:f>
      </x:c>
      <x:c r="AF661">
        <x:f>(S661*IF(E661="F",F661,0))+(S661*IF(G661="F",H661,0))</x:f>
      </x:c>
      <x:c r="AG661">
        <x:f>(S661*IF(E661="W",F661,0))+(S661*IF(G661="W",H661,0))</x:f>
      </x:c>
      <x:c r="AH661" t="inlineStr">
        <x:is>
          <x:t xml:space="preserve">8. Investigation &amp; Response</x:t>
        </x:is>
      </x:c>
      <x:c r="AI661" t="inlineStr">
        <x:is>
          <x:t xml:space="preserve">Incident Action</x:t>
        </x:is>
      </x:c>
      <x:c r="AJ661" t="inlineStr">
        <x:is>
          <x:t xml:space="preserve">Containment &amp; eradication actions</x:t>
        </x:is>
      </x:c>
    </x:row>
    <x:row r="662">
      <x:c r="A662" t="inlineStr">
        <x:is>
          <x:t xml:space="preserve">IT_IAM</x:t>
        </x:is>
      </x:c>
      <x:c r="B662" t="inlineStr">
        <x:is>
          <x:t xml:space="preserve">ITIAM-D6-Q14</x:t>
        </x:is>
      </x:c>
      <x:c r="C662" t="inlineStr">
        <x:is>
          <x:t xml:space="preserve">T2</x:t>
        </x:is>
      </x:c>
      <x:c r="D662" t="inlineStr">
        <x:is>
          <x:t xml:space="preserve">8. Response &amp; Containment</x:t>
        </x:is>
      </x:c>
      <x:c r="E662" t="inlineStr">
        <x:is>
          <x:t xml:space="preserve">T</x:t>
        </x:is>
      </x:c>
      <x:c r="F662" t="n">
        <x:v>0.6</x:v>
      </x:c>
      <x:c r="G662" t="inlineStr">
        <x:is>
          <x:t xml:space="preserve">R</x:t>
        </x:is>
      </x:c>
      <x:c r="H662" t="n">
        <x:v>0.4</x:v>
      </x:c>
      <x:c r="I662" t="inlineStr">
        <x:is>
          <x:t xml:space="preserve">Do we have automated containment options for high-risk identities/actions (e.g., step-up auth, temporary blocks, kill switch)?</x:t>
        </x:is>
      </x:c>
      <x:c r="J662" t="inlineStr">
        <x:is>
          <x:t xml:space="preserve">Automation reduces response time and inconsistency.</x:t>
        </x:is>
      </x:c>
      <x:c r="L662" t="inlineStr">
        <x:is>
          <x:t xml:space="preserve">OPS_STD</x:t>
        </x:is>
      </x:c>
      <x:c r="M662" t="n">
        <x:v>1.1</x:v>
      </x:c>
      <x:c r="P662" t="inlineStr">
        <x:is>
          <x:t xml:space="preserve">ITIAM-D6-Q14-A3</x:t>
        </x:is>
      </x:c>
      <x:c r="Q662" t="n">
        <x:v>4</x:v>
      </x:c>
      <x:c r="R662" t="inlineStr">
        <x:is>
          <x:t xml:space="preserve">Optimized: Risk-based automation with testing and governance.</x:t>
        </x:is>
      </x:c>
      <x:c r="S662" t="n">
        <x:v>4</x:v>
      </x:c>
      <x:c r="V662" t="inlineStr">
        <x:is>
          <x:t xml:space="preserve">Maintain_and_Audit</x:t>
        </x:is>
      </x:c>
      <x:c r="W662" t="inlineStr">
        <x:is>
          <x:t xml:space="preserve">N</x:t>
        </x:is>
      </x:c>
      <x:c r="Y662">
        <x:f>(S662*IF(E662="G",F662,0))+(S662*IF(G662="G",H662,0))</x:f>
      </x:c>
      <x:c r="Z662">
        <x:f>(S662*IF(E662="E",F662,0))+(S662*IF(G662="E",H662,0))</x:f>
      </x:c>
      <x:c r="AA662">
        <x:f>(S662*IF(E662="T",F662,0))+(S662*IF(G662="T",H662,0))</x:f>
      </x:c>
      <x:c r="AB662">
        <x:f>(S662*IF(E662="L",F662,0))+(S662*IF(G662="L",H662,0))</x:f>
      </x:c>
      <x:c r="AC662">
        <x:f>(S662*IF(E662="H",F662,0))+(S662*IF(G662="H",H662,0))</x:f>
      </x:c>
      <x:c r="AD662">
        <x:f>(S662*IF(E662="V",F662,0))+(S662*IF(G662="V",H662,0))</x:f>
      </x:c>
      <x:c r="AE662">
        <x:f>(S662*IF(E662="R",F662,0))+(S662*IF(G662="R",H662,0))</x:f>
      </x:c>
      <x:c r="AF662">
        <x:f>(S662*IF(E662="F",F662,0))+(S662*IF(G662="F",H662,0))</x:f>
      </x:c>
      <x:c r="AG662">
        <x:f>(S662*IF(E662="W",F662,0))+(S662*IF(G662="W",H662,0))</x:f>
      </x:c>
      <x:c r="AH662" t="inlineStr">
        <x:is>
          <x:t xml:space="preserve">8. Investigation &amp; Response</x:t>
        </x:is>
      </x:c>
      <x:c r="AI662" t="inlineStr">
        <x:is>
          <x:t xml:space="preserve">Incident Action</x:t>
        </x:is>
      </x:c>
      <x:c r="AJ662" t="inlineStr">
        <x:is>
          <x:t xml:space="preserve">Containment &amp; eradication actions</x:t>
        </x:is>
      </x:c>
    </x:row>
    <x:row r="663">
      <x:c r="A663" t="inlineStr">
        <x:is>
          <x:t xml:space="preserve">IT_IAM</x:t>
        </x:is>
      </x:c>
      <x:c r="B663" t="inlineStr">
        <x:is>
          <x:t xml:space="preserve">ITIAM-D7-Q15</x:t>
        </x:is>
      </x:c>
      <x:c r="C663" t="inlineStr">
        <x:is>
          <x:t xml:space="preserve">T2</x:t>
        </x:is>
      </x:c>
      <x:c r="D663" t="inlineStr">
        <x:is>
          <x:t xml:space="preserve">7. Analytics &amp; Logging</x:t>
        </x:is>
      </x:c>
      <x:c r="E663" t="inlineStr">
        <x:is>
          <x:t xml:space="preserve">T</x:t>
        </x:is>
      </x:c>
      <x:c r="F663" t="n">
        <x:v>0.6</x:v>
      </x:c>
      <x:c r="G663" t="inlineStr">
        <x:is>
          <x:t xml:space="preserve">R</x:t>
        </x:is>
      </x:c>
      <x:c r="H663" t="n">
        <x:v>0.4</x:v>
      </x:c>
      <x:c r="I663" t="inlineStr">
        <x:is>
          <x:t xml:space="preserve">Are authentication events, privilege changes, and admin actions centrally logged in a way that is hard to tamper with?</x:t>
        </x:is>
      </x:c>
      <x:c r="J663" t="inlineStr">
        <x:is>
          <x:t xml:space="preserve">Goal: reliable investigation trail and faster detection.</x:t>
        </x:is>
      </x:c>
      <x:c r="L663" t="inlineStr">
        <x:is>
          <x:t xml:space="preserve">OPS_STD</x:t>
        </x:is>
      </x:c>
      <x:c r="M663" t="n">
        <x:v>1.2</x:v>
      </x:c>
      <x:c r="P663" t="inlineStr">
        <x:is>
          <x:t xml:space="preserve">ITIAM-D7-Q15-A0</x:t>
        </x:is>
      </x:c>
      <x:c r="Q663" t="n">
        <x:v>1</x:v>
      </x:c>
      <x:c r="R663" t="inlineStr">
        <x:is>
          <x:t xml:space="preserve">No: Logs are scattered or short-lived; investigations are slow.</x:t>
        </x:is>
      </x:c>
      <x:c r="S663" t="n">
        <x:v>0</x:v>
      </x:c>
      <x:c r="T663" t="inlineStr">
        <x:is>
          <x:t xml:space="preserve">visibility_gap</x:t>
        </x:is>
      </x:c>
      <x:c r="U663" t="inlineStr">
        <x:is>
          <x:t xml:space="preserve">Visibility Gap</x:t>
        </x:is>
      </x:c>
      <x:c r="V663" t="inlineStr">
        <x:is>
          <x:t xml:space="preserve">Centralize_Logs</x:t>
        </x:is>
      </x:c>
      <x:c r="W663" t="inlineStr">
        <x:is>
          <x:t xml:space="preserve">N</x:t>
        </x:is>
      </x:c>
      <x:c r="Y663">
        <x:f>(S663*IF(E663="G",F663,0))+(S663*IF(G663="G",H663,0))</x:f>
      </x:c>
      <x:c r="Z663">
        <x:f>(S663*IF(E663="E",F663,0))+(S663*IF(G663="E",H663,0))</x:f>
      </x:c>
      <x:c r="AA663">
        <x:f>(S663*IF(E663="T",F663,0))+(S663*IF(G663="T",H663,0))</x:f>
      </x:c>
      <x:c r="AB663">
        <x:f>(S663*IF(E663="L",F663,0))+(S663*IF(G663="L",H663,0))</x:f>
      </x:c>
      <x:c r="AC663">
        <x:f>(S663*IF(E663="H",F663,0))+(S663*IF(G663="H",H663,0))</x:f>
      </x:c>
      <x:c r="AD663">
        <x:f>(S663*IF(E663="V",F663,0))+(S663*IF(G663="V",H663,0))</x:f>
      </x:c>
      <x:c r="AE663">
        <x:f>(S663*IF(E663="R",F663,0))+(S663*IF(G663="R",H663,0))</x:f>
      </x:c>
      <x:c r="AF663">
        <x:f>(S663*IF(E663="F",F663,0))+(S663*IF(G663="F",H663,0))</x:f>
      </x:c>
      <x:c r="AG663">
        <x:f>(S663*IF(E663="W",F663,0))+(S663*IF(G663="W",H663,0))</x:f>
      </x:c>
      <x:c r="AH663" t="inlineStr">
        <x:is>
          <x:t xml:space="preserve">8. Investigation &amp; Response</x:t>
        </x:is>
      </x:c>
      <x:c r="AI663" t="inlineStr">
        <x:is>
          <x:t xml:space="preserve">Incident Action</x:t>
        </x:is>
      </x:c>
      <x:c r="AJ663" t="inlineStr">
        <x:is>
          <x:t xml:space="preserve">Containment &amp; eradication actions</x:t>
        </x:is>
      </x:c>
    </x:row>
    <x:row r="664">
      <x:c r="A664" t="inlineStr">
        <x:is>
          <x:t xml:space="preserve">IT_IAM</x:t>
        </x:is>
      </x:c>
      <x:c r="B664" t="inlineStr">
        <x:is>
          <x:t xml:space="preserve">ITIAM-D7-Q15</x:t>
        </x:is>
      </x:c>
      <x:c r="C664" t="inlineStr">
        <x:is>
          <x:t xml:space="preserve">T2</x:t>
        </x:is>
      </x:c>
      <x:c r="D664" t="inlineStr">
        <x:is>
          <x:t xml:space="preserve">7. Analytics &amp; Logging</x:t>
        </x:is>
      </x:c>
      <x:c r="E664" t="inlineStr">
        <x:is>
          <x:t xml:space="preserve">T</x:t>
        </x:is>
      </x:c>
      <x:c r="F664" t="n">
        <x:v>0.6</x:v>
      </x:c>
      <x:c r="G664" t="inlineStr">
        <x:is>
          <x:t xml:space="preserve">R</x:t>
        </x:is>
      </x:c>
      <x:c r="H664" t="n">
        <x:v>0.4</x:v>
      </x:c>
      <x:c r="I664" t="inlineStr">
        <x:is>
          <x:t xml:space="preserve">Are authentication events, privilege changes, and admin actions centrally logged in a way that is hard to tamper with?</x:t>
        </x:is>
      </x:c>
      <x:c r="J664" t="inlineStr">
        <x:is>
          <x:t xml:space="preserve">Goal: reliable investigation trail and faster detection.</x:t>
        </x:is>
      </x:c>
      <x:c r="L664" t="inlineStr">
        <x:is>
          <x:t xml:space="preserve">OPS_STD</x:t>
        </x:is>
      </x:c>
      <x:c r="M664" t="n">
        <x:v>1.2</x:v>
      </x:c>
      <x:c r="P664" t="inlineStr">
        <x:is>
          <x:t xml:space="preserve">ITIAM-D7-Q15-A1</x:t>
        </x:is>
      </x:c>
      <x:c r="Q664" t="n">
        <x:v>2</x:v>
      </x:c>
      <x:c r="R664" t="inlineStr">
        <x:is>
          <x:t xml:space="preserve">Partial: Logs exist but coverage gaps or retention issues remain.</x:t>
        </x:is>
      </x:c>
      <x:c r="S664" t="n">
        <x:v>1</x:v>
      </x:c>
      <x:c r="T664" t="inlineStr">
        <x:is>
          <x:t xml:space="preserve">visibility_gap</x:t>
        </x:is>
      </x:c>
      <x:c r="U664" t="inlineStr">
        <x:is>
          <x:t xml:space="preserve">Visibility Gap</x:t>
        </x:is>
      </x:c>
      <x:c r="V664" t="inlineStr">
        <x:is>
          <x:t xml:space="preserve">Improve_Log_Coverage</x:t>
        </x:is>
      </x:c>
      <x:c r="W664" t="inlineStr">
        <x:is>
          <x:t xml:space="preserve">N</x:t>
        </x:is>
      </x:c>
      <x:c r="Y664">
        <x:f>(S664*IF(E664="G",F664,0))+(S664*IF(G664="G",H664,0))</x:f>
      </x:c>
      <x:c r="Z664">
        <x:f>(S664*IF(E664="E",F664,0))+(S664*IF(G664="E",H664,0))</x:f>
      </x:c>
      <x:c r="AA664">
        <x:f>(S664*IF(E664="T",F664,0))+(S664*IF(G664="T",H664,0))</x:f>
      </x:c>
      <x:c r="AB664">
        <x:f>(S664*IF(E664="L",F664,0))+(S664*IF(G664="L",H664,0))</x:f>
      </x:c>
      <x:c r="AC664">
        <x:f>(S664*IF(E664="H",F664,0))+(S664*IF(G664="H",H664,0))</x:f>
      </x:c>
      <x:c r="AD664">
        <x:f>(S664*IF(E664="V",F664,0))+(S664*IF(G664="V",H664,0))</x:f>
      </x:c>
      <x:c r="AE664">
        <x:f>(S664*IF(E664="R",F664,0))+(S664*IF(G664="R",H664,0))</x:f>
      </x:c>
      <x:c r="AF664">
        <x:f>(S664*IF(E664="F",F664,0))+(S664*IF(G664="F",H664,0))</x:f>
      </x:c>
      <x:c r="AG664">
        <x:f>(S664*IF(E664="W",F664,0))+(S664*IF(G664="W",H664,0))</x:f>
      </x:c>
      <x:c r="AH664" t="inlineStr">
        <x:is>
          <x:t xml:space="preserve">8. Investigation &amp; Response</x:t>
        </x:is>
      </x:c>
      <x:c r="AI664" t="inlineStr">
        <x:is>
          <x:t xml:space="preserve">Incident Action</x:t>
        </x:is>
      </x:c>
      <x:c r="AJ664" t="inlineStr">
        <x:is>
          <x:t xml:space="preserve">Containment &amp; eradication actions</x:t>
        </x:is>
      </x:c>
    </x:row>
    <x:row r="665">
      <x:c r="A665" t="inlineStr">
        <x:is>
          <x:t xml:space="preserve">IT_IAM</x:t>
        </x:is>
      </x:c>
      <x:c r="B665" t="inlineStr">
        <x:is>
          <x:t xml:space="preserve">ITIAM-D7-Q15</x:t>
        </x:is>
      </x:c>
      <x:c r="C665" t="inlineStr">
        <x:is>
          <x:t xml:space="preserve">T2</x:t>
        </x:is>
      </x:c>
      <x:c r="D665" t="inlineStr">
        <x:is>
          <x:t xml:space="preserve">7. Analytics &amp; Logging</x:t>
        </x:is>
      </x:c>
      <x:c r="E665" t="inlineStr">
        <x:is>
          <x:t xml:space="preserve">T</x:t>
        </x:is>
      </x:c>
      <x:c r="F665" t="n">
        <x:v>0.6</x:v>
      </x:c>
      <x:c r="G665" t="inlineStr">
        <x:is>
          <x:t xml:space="preserve">R</x:t>
        </x:is>
      </x:c>
      <x:c r="H665" t="n">
        <x:v>0.4</x:v>
      </x:c>
      <x:c r="I665" t="inlineStr">
        <x:is>
          <x:t xml:space="preserve">Are authentication events, privilege changes, and admin actions centrally logged in a way that is hard to tamper with?</x:t>
        </x:is>
      </x:c>
      <x:c r="J665" t="inlineStr">
        <x:is>
          <x:t xml:space="preserve">Goal: reliable investigation trail and faster detection.</x:t>
        </x:is>
      </x:c>
      <x:c r="L665" t="inlineStr">
        <x:is>
          <x:t xml:space="preserve">OPS_STD</x:t>
        </x:is>
      </x:c>
      <x:c r="M665" t="n">
        <x:v>1.2</x:v>
      </x:c>
      <x:c r="P665" t="inlineStr">
        <x:is>
          <x:t xml:space="preserve">ITIAM-D7-Q15-A2</x:t>
        </x:is>
      </x:c>
      <x:c r="Q665" t="n">
        <x:v>3</x:v>
      </x:c>
      <x:c r="R665" t="inlineStr">
        <x:is>
          <x:t xml:space="preserve">Yes: Central logging for key identity actions; retention supports investigations.</x:t>
        </x:is>
      </x:c>
      <x:c r="S665" t="n">
        <x:v>3</x:v>
      </x:c>
      <x:c r="V665" t="inlineStr">
        <x:is>
          <x:t xml:space="preserve">Evidence_Request_Logs</x:t>
        </x:is>
      </x:c>
      <x:c r="W665" t="inlineStr">
        <x:is>
          <x:t xml:space="preserve">N</x:t>
        </x:is>
      </x:c>
      <x:c r="Y665">
        <x:f>(S665*IF(E665="G",F665,0))+(S665*IF(G665="G",H665,0))</x:f>
      </x:c>
      <x:c r="Z665">
        <x:f>(S665*IF(E665="E",F665,0))+(S665*IF(G665="E",H665,0))</x:f>
      </x:c>
      <x:c r="AA665">
        <x:f>(S665*IF(E665="T",F665,0))+(S665*IF(G665="T",H665,0))</x:f>
      </x:c>
      <x:c r="AB665">
        <x:f>(S665*IF(E665="L",F665,0))+(S665*IF(G665="L",H665,0))</x:f>
      </x:c>
      <x:c r="AC665">
        <x:f>(S665*IF(E665="H",F665,0))+(S665*IF(G665="H",H665,0))</x:f>
      </x:c>
      <x:c r="AD665">
        <x:f>(S665*IF(E665="V",F665,0))+(S665*IF(G665="V",H665,0))</x:f>
      </x:c>
      <x:c r="AE665">
        <x:f>(S665*IF(E665="R",F665,0))+(S665*IF(G665="R",H665,0))</x:f>
      </x:c>
      <x:c r="AF665">
        <x:f>(S665*IF(E665="F",F665,0))+(S665*IF(G665="F",H665,0))</x:f>
      </x:c>
      <x:c r="AG665">
        <x:f>(S665*IF(E665="W",F665,0))+(S665*IF(G665="W",H665,0))</x:f>
      </x:c>
      <x:c r="AH665" t="inlineStr">
        <x:is>
          <x:t xml:space="preserve">8. Investigation &amp; Response</x:t>
        </x:is>
      </x:c>
      <x:c r="AI665" t="inlineStr">
        <x:is>
          <x:t xml:space="preserve">Incident Action</x:t>
        </x:is>
      </x:c>
      <x:c r="AJ665" t="inlineStr">
        <x:is>
          <x:t xml:space="preserve">Containment &amp; eradication actions</x:t>
        </x:is>
      </x:c>
    </x:row>
    <x:row r="666">
      <x:c r="A666" t="inlineStr">
        <x:is>
          <x:t xml:space="preserve">IT_IAM</x:t>
        </x:is>
      </x:c>
      <x:c r="B666" t="inlineStr">
        <x:is>
          <x:t xml:space="preserve">ITIAM-D7-Q15</x:t>
        </x:is>
      </x:c>
      <x:c r="C666" t="inlineStr">
        <x:is>
          <x:t xml:space="preserve">T2</x:t>
        </x:is>
      </x:c>
      <x:c r="D666" t="inlineStr">
        <x:is>
          <x:t xml:space="preserve">7. Analytics &amp; Logging</x:t>
        </x:is>
      </x:c>
      <x:c r="E666" t="inlineStr">
        <x:is>
          <x:t xml:space="preserve">T</x:t>
        </x:is>
      </x:c>
      <x:c r="F666" t="n">
        <x:v>0.6</x:v>
      </x:c>
      <x:c r="G666" t="inlineStr">
        <x:is>
          <x:t xml:space="preserve">R</x:t>
        </x:is>
      </x:c>
      <x:c r="H666" t="n">
        <x:v>0.4</x:v>
      </x:c>
      <x:c r="I666" t="inlineStr">
        <x:is>
          <x:t xml:space="preserve">Are authentication events, privilege changes, and admin actions centrally logged in a way that is hard to tamper with?</x:t>
        </x:is>
      </x:c>
      <x:c r="J666" t="inlineStr">
        <x:is>
          <x:t xml:space="preserve">Goal: reliable investigation trail and faster detection.</x:t>
        </x:is>
      </x:c>
      <x:c r="L666" t="inlineStr">
        <x:is>
          <x:t xml:space="preserve">OPS_STD</x:t>
        </x:is>
      </x:c>
      <x:c r="M666" t="n">
        <x:v>1.2</x:v>
      </x:c>
      <x:c r="P666" t="inlineStr">
        <x:is>
          <x:t xml:space="preserve">ITIAM-D7-Q15-A3</x:t>
        </x:is>
      </x:c>
      <x:c r="Q666" t="n">
        <x:v>4</x:v>
      </x:c>
      <x:c r="R666" t="inlineStr">
        <x:is>
          <x:t xml:space="preserve">Optimized: Tamper-resistant logs + regular verification and alerting.</x:t>
        </x:is>
      </x:c>
      <x:c r="S666" t="n">
        <x:v>4</x:v>
      </x:c>
      <x:c r="V666" t="inlineStr">
        <x:is>
          <x:t xml:space="preserve">Maintain_and_Audit</x:t>
        </x:is>
      </x:c>
      <x:c r="W666" t="inlineStr">
        <x:is>
          <x:t xml:space="preserve">N</x:t>
        </x:is>
      </x:c>
      <x:c r="Y666">
        <x:f>(S666*IF(E666="G",F666,0))+(S666*IF(G666="G",H666,0))</x:f>
      </x:c>
      <x:c r="Z666">
        <x:f>(S666*IF(E666="E",F666,0))+(S666*IF(G666="E",H666,0))</x:f>
      </x:c>
      <x:c r="AA666">
        <x:f>(S666*IF(E666="T",F666,0))+(S666*IF(G666="T",H666,0))</x:f>
      </x:c>
      <x:c r="AB666">
        <x:f>(S666*IF(E666="L",F666,0))+(S666*IF(G666="L",H666,0))</x:f>
      </x:c>
      <x:c r="AC666">
        <x:f>(S666*IF(E666="H",F666,0))+(S666*IF(G666="H",H666,0))</x:f>
      </x:c>
      <x:c r="AD666">
        <x:f>(S666*IF(E666="V",F666,0))+(S666*IF(G666="V",H666,0))</x:f>
      </x:c>
      <x:c r="AE666">
        <x:f>(S666*IF(E666="R",F666,0))+(S666*IF(G666="R",H666,0))</x:f>
      </x:c>
      <x:c r="AF666">
        <x:f>(S666*IF(E666="F",F666,0))+(S666*IF(G666="F",H666,0))</x:f>
      </x:c>
      <x:c r="AG666">
        <x:f>(S666*IF(E666="W",F666,0))+(S666*IF(G666="W",H666,0))</x:f>
      </x:c>
      <x:c r="AH666" t="inlineStr">
        <x:is>
          <x:t xml:space="preserve">8. Investigation &amp; Response</x:t>
        </x:is>
      </x:c>
      <x:c r="AI666" t="inlineStr">
        <x:is>
          <x:t xml:space="preserve">Incident Action</x:t>
        </x:is>
      </x:c>
      <x:c r="AJ666" t="inlineStr">
        <x:is>
          <x:t xml:space="preserve">Containment &amp; eradication actions</x:t>
        </x:is>
      </x:c>
    </x:row>
    <x:row r="667">
      <x:c r="A667" t="inlineStr">
        <x:is>
          <x:t xml:space="preserve">IT_IAM</x:t>
        </x:is>
      </x:c>
      <x:c r="B667" t="inlineStr">
        <x:is>
          <x:t xml:space="preserve">ITIAM-D8-Q16</x:t>
        </x:is>
      </x:c>
      <x:c r="C667" t="inlineStr">
        <x:is>
          <x:t xml:space="preserve">T2</x:t>
        </x:is>
      </x:c>
      <x:c r="D667" t="inlineStr">
        <x:is>
          <x:t xml:space="preserve">2. Threat &amp; Change Events</x:t>
        </x:is>
      </x:c>
      <x:c r="E667" t="inlineStr">
        <x:is>
          <x:t xml:space="preserve">W</x:t>
        </x:is>
      </x:c>
      <x:c r="F667" t="n">
        <x:v>1</x:v>
      </x:c>
      <x:c r="G667" t="inlineStr">
        <x:is>
          <x:t xml:space="preserve">-</x:t>
        </x:is>
      </x:c>
      <x:c r="I667" t="inlineStr">
        <x:is>
          <x:t xml:space="preserve">During re-org or M&amp;A, can we re-map roles and access quickly enough to avoid long ‘control lag’ periods?</x:t>
        </x:is>
      </x:c>
      <x:c r="J667" t="inlineStr">
        <x:is>
          <x:t xml:space="preserve">Control lag is when org changes faster than access control updates.</x:t>
        </x:is>
      </x:c>
      <x:c r="L667" t="inlineStr">
        <x:is>
          <x:t xml:space="preserve">RISK_STD</x:t>
        </x:is>
      </x:c>
      <x:c r="M667" t="n">
        <x:v>1</x:v>
      </x:c>
      <x:c r="P667" t="inlineStr">
        <x:is>
          <x:t xml:space="preserve">ITIAM-D8-Q16-A0</x:t>
        </x:is>
      </x:c>
      <x:c r="Q667" t="n">
        <x:v>1</x:v>
      </x:c>
      <x:c r="R667" t="inlineStr">
        <x:is>
          <x:t xml:space="preserve">No: Role/access updates take months after changes.</x:t>
        </x:is>
      </x:c>
      <x:c r="S667" t="n">
        <x:v>0</x:v>
      </x:c>
      <x:c r="T667" t="inlineStr">
        <x:is>
          <x:t xml:space="preserve">control_lag</x:t>
        </x:is>
      </x:c>
      <x:c r="U667" t="inlineStr">
        <x:is>
          <x:t xml:space="preserve">Control Lag</x:t>
        </x:is>
      </x:c>
      <x:c r="V667" t="inlineStr">
        <x:is>
          <x:t xml:space="preserve">Reduce_Control_Lag</x:t>
        </x:is>
      </x:c>
      <x:c r="W667" t="inlineStr">
        <x:is>
          <x:t xml:space="preserve">N</x:t>
        </x:is>
      </x:c>
      <x:c r="Y667">
        <x:f>(S667*IF(E667="G",F667,0))+(S667*IF(G667="G",H667,0))</x:f>
      </x:c>
      <x:c r="Z667">
        <x:f>(S667*IF(E667="E",F667,0))+(S667*IF(G667="E",H667,0))</x:f>
      </x:c>
      <x:c r="AA667">
        <x:f>(S667*IF(E667="T",F667,0))+(S667*IF(G667="T",H667,0))</x:f>
      </x:c>
      <x:c r="AB667">
        <x:f>(S667*IF(E667="L",F667,0))+(S667*IF(G667="L",H667,0))</x:f>
      </x:c>
      <x:c r="AC667">
        <x:f>(S667*IF(E667="H",F667,0))+(S667*IF(G667="H",H667,0))</x:f>
      </x:c>
      <x:c r="AD667">
        <x:f>(S667*IF(E667="V",F667,0))+(S667*IF(G667="V",H667,0))</x:f>
      </x:c>
      <x:c r="AE667">
        <x:f>(S667*IF(E667="R",F667,0))+(S667*IF(G667="R",H667,0))</x:f>
      </x:c>
      <x:c r="AF667">
        <x:f>(S667*IF(E667="F",F667,0))+(S667*IF(G667="F",H667,0))</x:f>
      </x:c>
      <x:c r="AG667">
        <x:f>(S667*IF(E667="W",F667,0))+(S667*IF(G667="W",H667,0))</x:f>
      </x:c>
      <x:c r="AH667" t="inlineStr">
        <x:is>
          <x:t xml:space="preserve">1. Strategy &amp; Governance</x:t>
        </x:is>
      </x:c>
      <x:c r="AI667" t="inlineStr">
        <x:is>
          <x:t xml:space="preserve">Scope &amp; Boundaries</x:t>
        </x:is>
      </x:c>
      <x:c r="AJ667" t="inlineStr">
        <x:is>
          <x:t xml:space="preserve">Scope boundary control</x:t>
        </x:is>
      </x:c>
    </x:row>
    <x:row r="668">
      <x:c r="A668" t="inlineStr">
        <x:is>
          <x:t xml:space="preserve">IT_IAM</x:t>
        </x:is>
      </x:c>
      <x:c r="B668" t="inlineStr">
        <x:is>
          <x:t xml:space="preserve">ITIAM-D8-Q16</x:t>
        </x:is>
      </x:c>
      <x:c r="C668" t="inlineStr">
        <x:is>
          <x:t xml:space="preserve">T2</x:t>
        </x:is>
      </x:c>
      <x:c r="D668" t="inlineStr">
        <x:is>
          <x:t xml:space="preserve">2. Threat &amp; Change Events</x:t>
        </x:is>
      </x:c>
      <x:c r="E668" t="inlineStr">
        <x:is>
          <x:t xml:space="preserve">W</x:t>
        </x:is>
      </x:c>
      <x:c r="F668" t="n">
        <x:v>1</x:v>
      </x:c>
      <x:c r="G668" t="inlineStr">
        <x:is>
          <x:t xml:space="preserve">-</x:t>
        </x:is>
      </x:c>
      <x:c r="I668" t="inlineStr">
        <x:is>
          <x:t xml:space="preserve">During re-org or M&amp;A, can we re-map roles and access quickly enough to avoid long ‘control lag’ periods?</x:t>
        </x:is>
      </x:c>
      <x:c r="J668" t="inlineStr">
        <x:is>
          <x:t xml:space="preserve">Control lag is when org changes faster than access control updates.</x:t>
        </x:is>
      </x:c>
      <x:c r="L668" t="inlineStr">
        <x:is>
          <x:t xml:space="preserve">RISK_STD</x:t>
        </x:is>
      </x:c>
      <x:c r="M668" t="n">
        <x:v>1</x:v>
      </x:c>
      <x:c r="P668" t="inlineStr">
        <x:is>
          <x:t xml:space="preserve">ITIAM-D8-Q16-A1</x:t>
        </x:is>
      </x:c>
      <x:c r="Q668" t="n">
        <x:v>2</x:v>
      </x:c>
      <x:c r="R668" t="inlineStr">
        <x:is>
          <x:t xml:space="preserve">Sometimes: Depends on the scale of change and team capacity.</x:t>
        </x:is>
      </x:c>
      <x:c r="S668" t="n">
        <x:v>1</x:v>
      </x:c>
      <x:c r="T668" t="inlineStr">
        <x:is>
          <x:t xml:space="preserve">operating_model_gap</x:t>
        </x:is>
      </x:c>
      <x:c r="U668" t="inlineStr">
        <x:is>
          <x:t xml:space="preserve">Operating Model Gap</x:t>
        </x:is>
      </x:c>
      <x:c r="V668" t="inlineStr">
        <x:is>
          <x:t xml:space="preserve">Plan_For_Change</x:t>
        </x:is>
      </x:c>
      <x:c r="W668" t="inlineStr">
        <x:is>
          <x:t xml:space="preserve">N</x:t>
        </x:is>
      </x:c>
      <x:c r="Y668">
        <x:f>(S668*IF(E668="G",F668,0))+(S668*IF(G668="G",H668,0))</x:f>
      </x:c>
      <x:c r="Z668">
        <x:f>(S668*IF(E668="E",F668,0))+(S668*IF(G668="E",H668,0))</x:f>
      </x:c>
      <x:c r="AA668">
        <x:f>(S668*IF(E668="T",F668,0))+(S668*IF(G668="T",H668,0))</x:f>
      </x:c>
      <x:c r="AB668">
        <x:f>(S668*IF(E668="L",F668,0))+(S668*IF(G668="L",H668,0))</x:f>
      </x:c>
      <x:c r="AC668">
        <x:f>(S668*IF(E668="H",F668,0))+(S668*IF(G668="H",H668,0))</x:f>
      </x:c>
      <x:c r="AD668">
        <x:f>(S668*IF(E668="V",F668,0))+(S668*IF(G668="V",H668,0))</x:f>
      </x:c>
      <x:c r="AE668">
        <x:f>(S668*IF(E668="R",F668,0))+(S668*IF(G668="R",H668,0))</x:f>
      </x:c>
      <x:c r="AF668">
        <x:f>(S668*IF(E668="F",F668,0))+(S668*IF(G668="F",H668,0))</x:f>
      </x:c>
      <x:c r="AG668">
        <x:f>(S668*IF(E668="W",F668,0))+(S668*IF(G668="W",H668,0))</x:f>
      </x:c>
      <x:c r="AH668" t="inlineStr">
        <x:is>
          <x:t xml:space="preserve">1. Strategy &amp; Governance</x:t>
        </x:is>
      </x:c>
      <x:c r="AI668" t="inlineStr">
        <x:is>
          <x:t xml:space="preserve">Scope &amp; Boundaries</x:t>
        </x:is>
      </x:c>
      <x:c r="AJ668" t="inlineStr">
        <x:is>
          <x:t xml:space="preserve">Scope boundary control</x:t>
        </x:is>
      </x:c>
    </x:row>
    <x:row r="669">
      <x:c r="A669" t="inlineStr">
        <x:is>
          <x:t xml:space="preserve">IT_IAM</x:t>
        </x:is>
      </x:c>
      <x:c r="B669" t="inlineStr">
        <x:is>
          <x:t xml:space="preserve">ITIAM-D8-Q16</x:t>
        </x:is>
      </x:c>
      <x:c r="C669" t="inlineStr">
        <x:is>
          <x:t xml:space="preserve">T2</x:t>
        </x:is>
      </x:c>
      <x:c r="D669" t="inlineStr">
        <x:is>
          <x:t xml:space="preserve">2. Threat &amp; Change Events</x:t>
        </x:is>
      </x:c>
      <x:c r="E669" t="inlineStr">
        <x:is>
          <x:t xml:space="preserve">W</x:t>
        </x:is>
      </x:c>
      <x:c r="F669" t="n">
        <x:v>1</x:v>
      </x:c>
      <x:c r="G669" t="inlineStr">
        <x:is>
          <x:t xml:space="preserve">-</x:t>
        </x:is>
      </x:c>
      <x:c r="I669" t="inlineStr">
        <x:is>
          <x:t xml:space="preserve">During re-org or M&amp;A, can we re-map roles and access quickly enough to avoid long ‘control lag’ periods?</x:t>
        </x:is>
      </x:c>
      <x:c r="J669" t="inlineStr">
        <x:is>
          <x:t xml:space="preserve">Control lag is when org changes faster than access control updates.</x:t>
        </x:is>
      </x:c>
      <x:c r="L669" t="inlineStr">
        <x:is>
          <x:t xml:space="preserve">RISK_STD</x:t>
        </x:is>
      </x:c>
      <x:c r="M669" t="n">
        <x:v>1</x:v>
      </x:c>
      <x:c r="P669" t="inlineStr">
        <x:is>
          <x:t xml:space="preserve">ITIAM-D8-Q16-A2</x:t>
        </x:is>
      </x:c>
      <x:c r="Q669" t="n">
        <x:v>3</x:v>
      </x:c>
      <x:c r="R669" t="inlineStr">
        <x:is>
          <x:t xml:space="preserve">Yes: Access updates are part of change projects and tracked.</x:t>
        </x:is>
      </x:c>
      <x:c r="S669" t="n">
        <x:v>3</x:v>
      </x:c>
      <x:c r="V669" t="inlineStr">
        <x:is>
          <x:t xml:space="preserve">Evidence_Request_Change_Access</x:t>
        </x:is>
      </x:c>
      <x:c r="W669" t="inlineStr">
        <x:is>
          <x:t xml:space="preserve">N</x:t>
        </x:is>
      </x:c>
      <x:c r="Y669">
        <x:f>(S669*IF(E669="G",F669,0))+(S669*IF(G669="G",H669,0))</x:f>
      </x:c>
      <x:c r="Z669">
        <x:f>(S669*IF(E669="E",F669,0))+(S669*IF(G669="E",H669,0))</x:f>
      </x:c>
      <x:c r="AA669">
        <x:f>(S669*IF(E669="T",F669,0))+(S669*IF(G669="T",H669,0))</x:f>
      </x:c>
      <x:c r="AB669">
        <x:f>(S669*IF(E669="L",F669,0))+(S669*IF(G669="L",H669,0))</x:f>
      </x:c>
      <x:c r="AC669">
        <x:f>(S669*IF(E669="H",F669,0))+(S669*IF(G669="H",H669,0))</x:f>
      </x:c>
      <x:c r="AD669">
        <x:f>(S669*IF(E669="V",F669,0))+(S669*IF(G669="V",H669,0))</x:f>
      </x:c>
      <x:c r="AE669">
        <x:f>(S669*IF(E669="R",F669,0))+(S669*IF(G669="R",H669,0))</x:f>
      </x:c>
      <x:c r="AF669">
        <x:f>(S669*IF(E669="F",F669,0))+(S669*IF(G669="F",H669,0))</x:f>
      </x:c>
      <x:c r="AG669">
        <x:f>(S669*IF(E669="W",F669,0))+(S669*IF(G669="W",H669,0))</x:f>
      </x:c>
      <x:c r="AH669" t="inlineStr">
        <x:is>
          <x:t xml:space="preserve">1. Strategy &amp; Governance</x:t>
        </x:is>
      </x:c>
      <x:c r="AI669" t="inlineStr">
        <x:is>
          <x:t xml:space="preserve">Scope &amp; Boundaries</x:t>
        </x:is>
      </x:c>
      <x:c r="AJ669" t="inlineStr">
        <x:is>
          <x:t xml:space="preserve">Scope boundary control</x:t>
        </x:is>
      </x:c>
    </x:row>
    <x:row r="670">
      <x:c r="A670" t="inlineStr">
        <x:is>
          <x:t xml:space="preserve">IT_IAM</x:t>
        </x:is>
      </x:c>
      <x:c r="B670" t="inlineStr">
        <x:is>
          <x:t xml:space="preserve">ITIAM-D8-Q16</x:t>
        </x:is>
      </x:c>
      <x:c r="C670" t="inlineStr">
        <x:is>
          <x:t xml:space="preserve">T2</x:t>
        </x:is>
      </x:c>
      <x:c r="D670" t="inlineStr">
        <x:is>
          <x:t xml:space="preserve">2. Threat &amp; Change Events</x:t>
        </x:is>
      </x:c>
      <x:c r="E670" t="inlineStr">
        <x:is>
          <x:t xml:space="preserve">W</x:t>
        </x:is>
      </x:c>
      <x:c r="F670" t="n">
        <x:v>1</x:v>
      </x:c>
      <x:c r="G670" t="inlineStr">
        <x:is>
          <x:t xml:space="preserve">-</x:t>
        </x:is>
      </x:c>
      <x:c r="I670" t="inlineStr">
        <x:is>
          <x:t xml:space="preserve">During re-org or M&amp;A, can we re-map roles and access quickly enough to avoid long ‘control lag’ periods?</x:t>
        </x:is>
      </x:c>
      <x:c r="J670" t="inlineStr">
        <x:is>
          <x:t xml:space="preserve">Control lag is when org changes faster than access control updates.</x:t>
        </x:is>
      </x:c>
      <x:c r="L670" t="inlineStr">
        <x:is>
          <x:t xml:space="preserve">RISK_STD</x:t>
        </x:is>
      </x:c>
      <x:c r="M670" t="n">
        <x:v>1</x:v>
      </x:c>
      <x:c r="P670" t="inlineStr">
        <x:is>
          <x:t xml:space="preserve">ITIAM-D8-Q16-A3</x:t>
        </x:is>
      </x:c>
      <x:c r="Q670" t="n">
        <x:v>4</x:v>
      </x:c>
      <x:c r="R670" t="inlineStr">
        <x:is>
          <x:t xml:space="preserve">Optimized: Automated triggers + measured lag time + continuous controls.</x:t>
        </x:is>
      </x:c>
      <x:c r="S670" t="n">
        <x:v>4</x:v>
      </x:c>
      <x:c r="V670" t="inlineStr">
        <x:is>
          <x:t xml:space="preserve">Maintain_and_Audit</x:t>
        </x:is>
      </x:c>
      <x:c r="W670" t="inlineStr">
        <x:is>
          <x:t xml:space="preserve">N</x:t>
        </x:is>
      </x:c>
      <x:c r="Y670">
        <x:f>(S670*IF(E670="G",F670,0))+(S670*IF(G670="G",H670,0))</x:f>
      </x:c>
      <x:c r="Z670">
        <x:f>(S670*IF(E670="E",F670,0))+(S670*IF(G670="E",H670,0))</x:f>
      </x:c>
      <x:c r="AA670">
        <x:f>(S670*IF(E670="T",F670,0))+(S670*IF(G670="T",H670,0))</x:f>
      </x:c>
      <x:c r="AB670">
        <x:f>(S670*IF(E670="L",F670,0))+(S670*IF(G670="L",H670,0))</x:f>
      </x:c>
      <x:c r="AC670">
        <x:f>(S670*IF(E670="H",F670,0))+(S670*IF(G670="H",H670,0))</x:f>
      </x:c>
      <x:c r="AD670">
        <x:f>(S670*IF(E670="V",F670,0))+(S670*IF(G670="V",H670,0))</x:f>
      </x:c>
      <x:c r="AE670">
        <x:f>(S670*IF(E670="R",F670,0))+(S670*IF(G670="R",H670,0))</x:f>
      </x:c>
      <x:c r="AF670">
        <x:f>(S670*IF(E670="F",F670,0))+(S670*IF(G670="F",H670,0))</x:f>
      </x:c>
      <x:c r="AG670">
        <x:f>(S670*IF(E670="W",F670,0))+(S670*IF(G670="W",H670,0))</x:f>
      </x:c>
      <x:c r="AH670" t="inlineStr">
        <x:is>
          <x:t xml:space="preserve">1. Strategy &amp; Governance</x:t>
        </x:is>
      </x:c>
      <x:c r="AI670" t="inlineStr">
        <x:is>
          <x:t xml:space="preserve">Scope &amp; Boundaries</x:t>
        </x:is>
      </x:c>
      <x:c r="AJ670" t="inlineStr">
        <x:is>
          <x:t xml:space="preserve">Scope boundary control</x:t>
        </x:is>
      </x:c>
    </x:row>
    <x:row r="671">
      <x:c r="A671" t="inlineStr">
        <x:is>
          <x:t xml:space="preserve">IT_IAM</x:t>
        </x:is>
      </x:c>
      <x:c r="B671" t="inlineStr">
        <x:is>
          <x:t xml:space="preserve">ITIAM-D9-Q17</x:t>
        </x:is>
      </x:c>
      <x:c r="C671" t="inlineStr">
        <x:is>
          <x:t xml:space="preserve">T3</x:t>
        </x:is>
      </x:c>
      <x:c r="D671" t="inlineStr">
        <x:is>
          <x:t xml:space="preserve">6. Tech &amp; Identity (Deep)</x:t>
        </x:is>
      </x:c>
      <x:c r="E671" t="inlineStr">
        <x:is>
          <x:t xml:space="preserve">T</x:t>
        </x:is>
      </x:c>
      <x:c r="F671" t="n">
        <x:v>0.5</x:v>
      </x:c>
      <x:c r="G671" t="inlineStr">
        <x:is>
          <x:t xml:space="preserve">V</x:t>
        </x:is>
      </x:c>
      <x:c r="H671" t="n">
        <x:v>0.5</x:v>
      </x:c>
      <x:c r="I671" t="inlineStr">
        <x:is>
          <x:t xml:space="preserve">Do we have a consistent identity key (unique ID) that links HR records, IAM accounts, logs, and investigations?</x:t>
        </x:is>
      </x:c>
      <x:c r="J671" t="inlineStr">
        <x:is>
          <x:t xml:space="preserve">This avoids attribution errors and speeds investigations.</x:t>
        </x:is>
      </x:c>
      <x:c r="L671" t="inlineStr">
        <x:is>
          <x:t xml:space="preserve">OPS_STD</x:t>
        </x:is>
      </x:c>
      <x:c r="M671" t="n">
        <x:v>1</x:v>
      </x:c>
      <x:c r="P671" t="inlineStr">
        <x:is>
          <x:t xml:space="preserve">ITIAM-D9-Q17-A0</x:t>
        </x:is>
      </x:c>
      <x:c r="Q671" t="n">
        <x:v>1</x:v>
      </x:c>
      <x:c r="R671" t="inlineStr">
        <x:is>
          <x:t xml:space="preserve">No: Matching identities across systems is manual and error-prone.</x:t>
        </x:is>
      </x:c>
      <x:c r="S671" t="n">
        <x:v>0</x:v>
      </x:c>
      <x:c r="T671" t="inlineStr">
        <x:is>
          <x:t xml:space="preserve">visibility_gap</x:t>
        </x:is>
      </x:c>
      <x:c r="U671" t="inlineStr">
        <x:is>
          <x:t xml:space="preserve">Visibility Gap</x:t>
        </x:is>
      </x:c>
      <x:c r="V671" t="inlineStr">
        <x:is>
          <x:t xml:space="preserve">Identity_Correlation</x:t>
        </x:is>
      </x:c>
      <x:c r="W671" t="inlineStr">
        <x:is>
          <x:t xml:space="preserve">N</x:t>
        </x:is>
      </x:c>
      <x:c r="Y671">
        <x:f>(S671*IF(E671="G",F671,0))+(S671*IF(G671="G",H671,0))</x:f>
      </x:c>
      <x:c r="Z671">
        <x:f>(S671*IF(E671="E",F671,0))+(S671*IF(G671="E",H671,0))</x:f>
      </x:c>
      <x:c r="AA671">
        <x:f>(S671*IF(E671="T",F671,0))+(S671*IF(G671="T",H671,0))</x:f>
      </x:c>
      <x:c r="AB671">
        <x:f>(S671*IF(E671="L",F671,0))+(S671*IF(G671="L",H671,0))</x:f>
      </x:c>
      <x:c r="AC671">
        <x:f>(S671*IF(E671="H",F671,0))+(S671*IF(G671="H",H671,0))</x:f>
      </x:c>
      <x:c r="AD671">
        <x:f>(S671*IF(E671="V",F671,0))+(S671*IF(G671="V",H671,0))</x:f>
      </x:c>
      <x:c r="AE671">
        <x:f>(S671*IF(E671="R",F671,0))+(S671*IF(G671="R",H671,0))</x:f>
      </x:c>
      <x:c r="AF671">
        <x:f>(S671*IF(E671="F",F671,0))+(S671*IF(G671="F",H671,0))</x:f>
      </x:c>
      <x:c r="AG671">
        <x:f>(S671*IF(E671="W",F671,0))+(S671*IF(G671="W",H671,0))</x:f>
      </x:c>
      <x:c r="AH671" t="inlineStr">
        <x:is>
          <x:t xml:space="preserve">8. Investigation &amp; Response</x:t>
        </x:is>
      </x:c>
      <x:c r="AI671" t="inlineStr">
        <x:is>
          <x:t xml:space="preserve">Operational Readiness</x:t>
        </x:is>
      </x:c>
      <x:c r="AJ671" t="inlineStr">
        <x:is>
          <x:t xml:space="preserve">Privacy guardrails for investigations</x:t>
        </x:is>
      </x:c>
    </x:row>
    <x:row r="672">
      <x:c r="A672" t="inlineStr">
        <x:is>
          <x:t xml:space="preserve">IT_IAM</x:t>
        </x:is>
      </x:c>
      <x:c r="B672" t="inlineStr">
        <x:is>
          <x:t xml:space="preserve">ITIAM-D9-Q17</x:t>
        </x:is>
      </x:c>
      <x:c r="C672" t="inlineStr">
        <x:is>
          <x:t xml:space="preserve">T3</x:t>
        </x:is>
      </x:c>
      <x:c r="D672" t="inlineStr">
        <x:is>
          <x:t xml:space="preserve">6. Tech &amp; Identity (Deep)</x:t>
        </x:is>
      </x:c>
      <x:c r="E672" t="inlineStr">
        <x:is>
          <x:t xml:space="preserve">T</x:t>
        </x:is>
      </x:c>
      <x:c r="F672" t="n">
        <x:v>0.5</x:v>
      </x:c>
      <x:c r="G672" t="inlineStr">
        <x:is>
          <x:t xml:space="preserve">V</x:t>
        </x:is>
      </x:c>
      <x:c r="H672" t="n">
        <x:v>0.5</x:v>
      </x:c>
      <x:c r="I672" t="inlineStr">
        <x:is>
          <x:t xml:space="preserve">Do we have a consistent identity key (unique ID) that links HR records, IAM accounts, logs, and investigations?</x:t>
        </x:is>
      </x:c>
      <x:c r="J672" t="inlineStr">
        <x:is>
          <x:t xml:space="preserve">This avoids attribution errors and speeds investigations.</x:t>
        </x:is>
      </x:c>
      <x:c r="L672" t="inlineStr">
        <x:is>
          <x:t xml:space="preserve">OPS_STD</x:t>
        </x:is>
      </x:c>
      <x:c r="M672" t="n">
        <x:v>1</x:v>
      </x:c>
      <x:c r="P672" t="inlineStr">
        <x:is>
          <x:t xml:space="preserve">ITIAM-D9-Q17-A1</x:t>
        </x:is>
      </x:c>
      <x:c r="Q672" t="n">
        <x:v>2</x:v>
      </x:c>
      <x:c r="R672" t="inlineStr">
        <x:is>
          <x:t xml:space="preserve">Partial: Some systems link well; others are inconsistent.</x:t>
        </x:is>
      </x:c>
      <x:c r="S672" t="n">
        <x:v>1</x:v>
      </x:c>
      <x:c r="T672" t="inlineStr">
        <x:is>
          <x:t xml:space="preserve">visibility_gap</x:t>
        </x:is>
      </x:c>
      <x:c r="U672" t="inlineStr">
        <x:is>
          <x:t xml:space="preserve">Visibility Gap</x:t>
        </x:is>
      </x:c>
      <x:c r="V672" t="inlineStr">
        <x:is>
          <x:t xml:space="preserve">Unify_Identity_Key</x:t>
        </x:is>
      </x:c>
      <x:c r="W672" t="inlineStr">
        <x:is>
          <x:t xml:space="preserve">N</x:t>
        </x:is>
      </x:c>
      <x:c r="Y672">
        <x:f>(S672*IF(E672="G",F672,0))+(S672*IF(G672="G",H672,0))</x:f>
      </x:c>
      <x:c r="Z672">
        <x:f>(S672*IF(E672="E",F672,0))+(S672*IF(G672="E",H672,0))</x:f>
      </x:c>
      <x:c r="AA672">
        <x:f>(S672*IF(E672="T",F672,0))+(S672*IF(G672="T",H672,0))</x:f>
      </x:c>
      <x:c r="AB672">
        <x:f>(S672*IF(E672="L",F672,0))+(S672*IF(G672="L",H672,0))</x:f>
      </x:c>
      <x:c r="AC672">
        <x:f>(S672*IF(E672="H",F672,0))+(S672*IF(G672="H",H672,0))</x:f>
      </x:c>
      <x:c r="AD672">
        <x:f>(S672*IF(E672="V",F672,0))+(S672*IF(G672="V",H672,0))</x:f>
      </x:c>
      <x:c r="AE672">
        <x:f>(S672*IF(E672="R",F672,0))+(S672*IF(G672="R",H672,0))</x:f>
      </x:c>
      <x:c r="AF672">
        <x:f>(S672*IF(E672="F",F672,0))+(S672*IF(G672="F",H672,0))</x:f>
      </x:c>
      <x:c r="AG672">
        <x:f>(S672*IF(E672="W",F672,0))+(S672*IF(G672="W",H672,0))</x:f>
      </x:c>
      <x:c r="AH672" t="inlineStr">
        <x:is>
          <x:t xml:space="preserve">8. Investigation &amp; Response</x:t>
        </x:is>
      </x:c>
      <x:c r="AI672" t="inlineStr">
        <x:is>
          <x:t xml:space="preserve">Operational Readiness</x:t>
        </x:is>
      </x:c>
      <x:c r="AJ672" t="inlineStr">
        <x:is>
          <x:t xml:space="preserve">Privacy guardrails for investigations</x:t>
        </x:is>
      </x:c>
    </x:row>
    <x:row r="673">
      <x:c r="A673" t="inlineStr">
        <x:is>
          <x:t xml:space="preserve">IT_IAM</x:t>
        </x:is>
      </x:c>
      <x:c r="B673" t="inlineStr">
        <x:is>
          <x:t xml:space="preserve">ITIAM-D9-Q17</x:t>
        </x:is>
      </x:c>
      <x:c r="C673" t="inlineStr">
        <x:is>
          <x:t xml:space="preserve">T3</x:t>
        </x:is>
      </x:c>
      <x:c r="D673" t="inlineStr">
        <x:is>
          <x:t xml:space="preserve">6. Tech &amp; Identity (Deep)</x:t>
        </x:is>
      </x:c>
      <x:c r="E673" t="inlineStr">
        <x:is>
          <x:t xml:space="preserve">T</x:t>
        </x:is>
      </x:c>
      <x:c r="F673" t="n">
        <x:v>0.5</x:v>
      </x:c>
      <x:c r="G673" t="inlineStr">
        <x:is>
          <x:t xml:space="preserve">V</x:t>
        </x:is>
      </x:c>
      <x:c r="H673" t="n">
        <x:v>0.5</x:v>
      </x:c>
      <x:c r="I673" t="inlineStr">
        <x:is>
          <x:t xml:space="preserve">Do we have a consistent identity key (unique ID) that links HR records, IAM accounts, logs, and investigations?</x:t>
        </x:is>
      </x:c>
      <x:c r="J673" t="inlineStr">
        <x:is>
          <x:t xml:space="preserve">This avoids attribution errors and speeds investigations.</x:t>
        </x:is>
      </x:c>
      <x:c r="L673" t="inlineStr">
        <x:is>
          <x:t xml:space="preserve">OPS_STD</x:t>
        </x:is>
      </x:c>
      <x:c r="M673" t="n">
        <x:v>1</x:v>
      </x:c>
      <x:c r="P673" t="inlineStr">
        <x:is>
          <x:t xml:space="preserve">ITIAM-D9-Q17-A2</x:t>
        </x:is>
      </x:c>
      <x:c r="Q673" t="n">
        <x:v>3</x:v>
      </x:c>
      <x:c r="R673" t="inlineStr">
        <x:is>
          <x:t xml:space="preserve">Yes: Unique IDs are used broadly; attribution is reliable.</x:t>
        </x:is>
      </x:c>
      <x:c r="S673" t="n">
        <x:v>3</x:v>
      </x:c>
      <x:c r="V673" t="inlineStr">
        <x:is>
          <x:t xml:space="preserve">Evidence_Request_ID_Key</x:t>
        </x:is>
      </x:c>
      <x:c r="W673" t="inlineStr">
        <x:is>
          <x:t xml:space="preserve">N</x:t>
        </x:is>
      </x:c>
      <x:c r="Y673">
        <x:f>(S673*IF(E673="G",F673,0))+(S673*IF(G673="G",H673,0))</x:f>
      </x:c>
      <x:c r="Z673">
        <x:f>(S673*IF(E673="E",F673,0))+(S673*IF(G673="E",H673,0))</x:f>
      </x:c>
      <x:c r="AA673">
        <x:f>(S673*IF(E673="T",F673,0))+(S673*IF(G673="T",H673,0))</x:f>
      </x:c>
      <x:c r="AB673">
        <x:f>(S673*IF(E673="L",F673,0))+(S673*IF(G673="L",H673,0))</x:f>
      </x:c>
      <x:c r="AC673">
        <x:f>(S673*IF(E673="H",F673,0))+(S673*IF(G673="H",H673,0))</x:f>
      </x:c>
      <x:c r="AD673">
        <x:f>(S673*IF(E673="V",F673,0))+(S673*IF(G673="V",H673,0))</x:f>
      </x:c>
      <x:c r="AE673">
        <x:f>(S673*IF(E673="R",F673,0))+(S673*IF(G673="R",H673,0))</x:f>
      </x:c>
      <x:c r="AF673">
        <x:f>(S673*IF(E673="F",F673,0))+(S673*IF(G673="F",H673,0))</x:f>
      </x:c>
      <x:c r="AG673">
        <x:f>(S673*IF(E673="W",F673,0))+(S673*IF(G673="W",H673,0))</x:f>
      </x:c>
      <x:c r="AH673" t="inlineStr">
        <x:is>
          <x:t xml:space="preserve">8. Investigation &amp; Response</x:t>
        </x:is>
      </x:c>
      <x:c r="AI673" t="inlineStr">
        <x:is>
          <x:t xml:space="preserve">Operational Readiness</x:t>
        </x:is>
      </x:c>
      <x:c r="AJ673" t="inlineStr">
        <x:is>
          <x:t xml:space="preserve">Privacy guardrails for investigations</x:t>
        </x:is>
      </x:c>
    </x:row>
    <x:row r="674">
      <x:c r="A674" t="inlineStr">
        <x:is>
          <x:t xml:space="preserve">IT_IAM</x:t>
        </x:is>
      </x:c>
      <x:c r="B674" t="inlineStr">
        <x:is>
          <x:t xml:space="preserve">ITIAM-D9-Q17</x:t>
        </x:is>
      </x:c>
      <x:c r="C674" t="inlineStr">
        <x:is>
          <x:t xml:space="preserve">T3</x:t>
        </x:is>
      </x:c>
      <x:c r="D674" t="inlineStr">
        <x:is>
          <x:t xml:space="preserve">6. Tech &amp; Identity (Deep)</x:t>
        </x:is>
      </x:c>
      <x:c r="E674" t="inlineStr">
        <x:is>
          <x:t xml:space="preserve">T</x:t>
        </x:is>
      </x:c>
      <x:c r="F674" t="n">
        <x:v>0.5</x:v>
      </x:c>
      <x:c r="G674" t="inlineStr">
        <x:is>
          <x:t xml:space="preserve">V</x:t>
        </x:is>
      </x:c>
      <x:c r="H674" t="n">
        <x:v>0.5</x:v>
      </x:c>
      <x:c r="I674" t="inlineStr">
        <x:is>
          <x:t xml:space="preserve">Do we have a consistent identity key (unique ID) that links HR records, IAM accounts, logs, and investigations?</x:t>
        </x:is>
      </x:c>
      <x:c r="J674" t="inlineStr">
        <x:is>
          <x:t xml:space="preserve">This avoids attribution errors and speeds investigations.</x:t>
        </x:is>
      </x:c>
      <x:c r="L674" t="inlineStr">
        <x:is>
          <x:t xml:space="preserve">OPS_STD</x:t>
        </x:is>
      </x:c>
      <x:c r="M674" t="n">
        <x:v>1</x:v>
      </x:c>
      <x:c r="P674" t="inlineStr">
        <x:is>
          <x:t xml:space="preserve">ITIAM-D9-Q17-A3</x:t>
        </x:is>
      </x:c>
      <x:c r="Q674" t="n">
        <x:v>4</x:v>
      </x:c>
      <x:c r="R674" t="inlineStr">
        <x:is>
          <x:t xml:space="preserve">Optimized: Automated correlation + quality checks + audit trail.</x:t>
        </x:is>
      </x:c>
      <x:c r="S674" t="n">
        <x:v>4</x:v>
      </x:c>
      <x:c r="V674" t="inlineStr">
        <x:is>
          <x:t xml:space="preserve">Maintain_and_Audit</x:t>
        </x:is>
      </x:c>
      <x:c r="W674" t="inlineStr">
        <x:is>
          <x:t xml:space="preserve">N</x:t>
        </x:is>
      </x:c>
      <x:c r="Y674">
        <x:f>(S674*IF(E674="G",F674,0))+(S674*IF(G674="G",H674,0))</x:f>
      </x:c>
      <x:c r="Z674">
        <x:f>(S674*IF(E674="E",F674,0))+(S674*IF(G674="E",H674,0))</x:f>
      </x:c>
      <x:c r="AA674">
        <x:f>(S674*IF(E674="T",F674,0))+(S674*IF(G674="T",H674,0))</x:f>
      </x:c>
      <x:c r="AB674">
        <x:f>(S674*IF(E674="L",F674,0))+(S674*IF(G674="L",H674,0))</x:f>
      </x:c>
      <x:c r="AC674">
        <x:f>(S674*IF(E674="H",F674,0))+(S674*IF(G674="H",H674,0))</x:f>
      </x:c>
      <x:c r="AD674">
        <x:f>(S674*IF(E674="V",F674,0))+(S674*IF(G674="V",H674,0))</x:f>
      </x:c>
      <x:c r="AE674">
        <x:f>(S674*IF(E674="R",F674,0))+(S674*IF(G674="R",H674,0))</x:f>
      </x:c>
      <x:c r="AF674">
        <x:f>(S674*IF(E674="F",F674,0))+(S674*IF(G674="F",H674,0))</x:f>
      </x:c>
      <x:c r="AG674">
        <x:f>(S674*IF(E674="W",F674,0))+(S674*IF(G674="W",H674,0))</x:f>
      </x:c>
      <x:c r="AH674" t="inlineStr">
        <x:is>
          <x:t xml:space="preserve">8. Investigation &amp; Response</x:t>
        </x:is>
      </x:c>
      <x:c r="AI674" t="inlineStr">
        <x:is>
          <x:t xml:space="preserve">Operational Readiness</x:t>
        </x:is>
      </x:c>
      <x:c r="AJ674" t="inlineStr">
        <x:is>
          <x:t xml:space="preserve">Privacy guardrails for investigations</x:t>
        </x:is>
      </x:c>
    </x:row>
    <x:row r="675">
      <x:c r="A675" t="inlineStr">
        <x:is>
          <x:t xml:space="preserve">IT_IAM</x:t>
        </x:is>
      </x:c>
      <x:c r="B675" t="inlineStr">
        <x:is>
          <x:t xml:space="preserve">ITIAM-D9-Q18</x:t>
        </x:is>
      </x:c>
      <x:c r="C675" t="inlineStr">
        <x:is>
          <x:t xml:space="preserve">T3</x:t>
        </x:is>
      </x:c>
      <x:c r="D675" t="inlineStr">
        <x:is>
          <x:t xml:space="preserve">6. Tech &amp; Identity (Deep)</x:t>
        </x:is>
      </x:c>
      <x:c r="E675" t="inlineStr">
        <x:is>
          <x:t xml:space="preserve">T</x:t>
        </x:is>
      </x:c>
      <x:c r="F675" t="n">
        <x:v>1</x:v>
      </x:c>
      <x:c r="G675" t="inlineStr">
        <x:is>
          <x:t xml:space="preserve">-</x:t>
        </x:is>
      </x:c>
      <x:c r="I675" t="inlineStr">
        <x:is>
          <x:t xml:space="preserve">For sensitive actions, do we enforce step-up controls (approval, just-in-time, strong auth) to prevent privilege escalation abuse?</x:t>
        </x:is>
      </x:c>
      <x:c r="J675" t="inlineStr">
        <x:is>
          <x:t xml:space="preserve">Examples: admin role assignment, data export rights, payment approval rights.</x:t>
        </x:is>
      </x:c>
      <x:c r="L675" t="inlineStr">
        <x:is>
          <x:t xml:space="preserve">OPS_STD</x:t>
        </x:is>
      </x:c>
      <x:c r="M675" t="n">
        <x:v>1</x:v>
      </x:c>
      <x:c r="P675" t="inlineStr">
        <x:is>
          <x:t xml:space="preserve">ITIAM-D9-Q18-A0</x:t>
        </x:is>
      </x:c>
      <x:c r="Q675" t="n">
        <x:v>1</x:v>
      </x:c>
      <x:c r="R675" t="inlineStr">
        <x:is>
          <x:t xml:space="preserve">No: Sensitive actions can be performed with standing privileges.</x:t>
        </x:is>
      </x:c>
      <x:c r="S675" t="n">
        <x:v>0</x:v>
      </x:c>
      <x:c r="T675" t="inlineStr">
        <x:is>
          <x:t xml:space="preserve">visibility_gap</x:t>
        </x:is>
      </x:c>
      <x:c r="U675" t="inlineStr">
        <x:is>
          <x:t xml:space="preserve">Visibility Gap</x:t>
        </x:is>
      </x:c>
      <x:c r="V675" t="inlineStr">
        <x:is>
          <x:t xml:space="preserve">StepUp_Controls</x:t>
        </x:is>
      </x:c>
      <x:c r="W675" t="inlineStr">
        <x:is>
          <x:t xml:space="preserve">N</x:t>
        </x:is>
      </x:c>
      <x:c r="Y675">
        <x:f>(S675*IF(E675="G",F675,0))+(S675*IF(G675="G",H675,0))</x:f>
      </x:c>
      <x:c r="Z675">
        <x:f>(S675*IF(E675="E",F675,0))+(S675*IF(G675="E",H675,0))</x:f>
      </x:c>
      <x:c r="AA675">
        <x:f>(S675*IF(E675="T",F675,0))+(S675*IF(G675="T",H675,0))</x:f>
      </x:c>
      <x:c r="AB675">
        <x:f>(S675*IF(E675="L",F675,0))+(S675*IF(G675="L",H675,0))</x:f>
      </x:c>
      <x:c r="AC675">
        <x:f>(S675*IF(E675="H",F675,0))+(S675*IF(G675="H",H675,0))</x:f>
      </x:c>
      <x:c r="AD675">
        <x:f>(S675*IF(E675="V",F675,0))+(S675*IF(G675="V",H675,0))</x:f>
      </x:c>
      <x:c r="AE675">
        <x:f>(S675*IF(E675="R",F675,0))+(S675*IF(G675="R",H675,0))</x:f>
      </x:c>
      <x:c r="AF675">
        <x:f>(S675*IF(E675="F",F675,0))+(S675*IF(G675="F",H675,0))</x:f>
      </x:c>
      <x:c r="AG675">
        <x:f>(S675*IF(E675="W",F675,0))+(S675*IF(G675="W",H675,0))</x:f>
      </x:c>
      <x:c r="AH675" t="inlineStr">
        <x:is>
          <x:t xml:space="preserve">6. Technical Controls</x:t>
        </x:is>
      </x:c>
      <x:c r="AI675" t="inlineStr">
        <x:is>
          <x:t xml:space="preserve">Identity &amp; Access</x:t>
        </x:is>
      </x:c>
      <x:c r="AJ675" t="inlineStr">
        <x:is>
          <x:t xml:space="preserve">Least privilege &amp; role engineering</x:t>
        </x:is>
      </x:c>
    </x:row>
    <x:row r="676">
      <x:c r="A676" t="inlineStr">
        <x:is>
          <x:t xml:space="preserve">IT_IAM</x:t>
        </x:is>
      </x:c>
      <x:c r="B676" t="inlineStr">
        <x:is>
          <x:t xml:space="preserve">ITIAM-D9-Q18</x:t>
        </x:is>
      </x:c>
      <x:c r="C676" t="inlineStr">
        <x:is>
          <x:t xml:space="preserve">T3</x:t>
        </x:is>
      </x:c>
      <x:c r="D676" t="inlineStr">
        <x:is>
          <x:t xml:space="preserve">6. Tech &amp; Identity (Deep)</x:t>
        </x:is>
      </x:c>
      <x:c r="E676" t="inlineStr">
        <x:is>
          <x:t xml:space="preserve">T</x:t>
        </x:is>
      </x:c>
      <x:c r="F676" t="n">
        <x:v>1</x:v>
      </x:c>
      <x:c r="G676" t="inlineStr">
        <x:is>
          <x:t xml:space="preserve">-</x:t>
        </x:is>
      </x:c>
      <x:c r="I676" t="inlineStr">
        <x:is>
          <x:t xml:space="preserve">For sensitive actions, do we enforce step-up controls (approval, just-in-time, strong auth) to prevent privilege escalation abuse?</x:t>
        </x:is>
      </x:c>
      <x:c r="J676" t="inlineStr">
        <x:is>
          <x:t xml:space="preserve">Examples: admin role assignment, data export rights, payment approval rights.</x:t>
        </x:is>
      </x:c>
      <x:c r="L676" t="inlineStr">
        <x:is>
          <x:t xml:space="preserve">OPS_STD</x:t>
        </x:is>
      </x:c>
      <x:c r="M676" t="n">
        <x:v>1</x:v>
      </x:c>
      <x:c r="P676" t="inlineStr">
        <x:is>
          <x:t xml:space="preserve">ITIAM-D9-Q18-A1</x:t>
        </x:is>
      </x:c>
      <x:c r="Q676" t="n">
        <x:v>2</x:v>
      </x:c>
      <x:c r="R676" t="inlineStr">
        <x:is>
          <x:t xml:space="preserve">Partial: Some actions require step-up; coverage is inconsistent.</x:t>
        </x:is>
      </x:c>
      <x:c r="S676" t="n">
        <x:v>1</x:v>
      </x:c>
      <x:c r="T676" t="inlineStr">
        <x:is>
          <x:t xml:space="preserve">operating_model_gap</x:t>
        </x:is>
      </x:c>
      <x:c r="U676" t="inlineStr">
        <x:is>
          <x:t xml:space="preserve">Operating Model Gap</x:t>
        </x:is>
      </x:c>
      <x:c r="V676" t="inlineStr">
        <x:is>
          <x:t xml:space="preserve">Expand_StepUp</x:t>
        </x:is>
      </x:c>
      <x:c r="W676" t="inlineStr">
        <x:is>
          <x:t xml:space="preserve">N</x:t>
        </x:is>
      </x:c>
      <x:c r="Y676">
        <x:f>(S676*IF(E676="G",F676,0))+(S676*IF(G676="G",H676,0))</x:f>
      </x:c>
      <x:c r="Z676">
        <x:f>(S676*IF(E676="E",F676,0))+(S676*IF(G676="E",H676,0))</x:f>
      </x:c>
      <x:c r="AA676">
        <x:f>(S676*IF(E676="T",F676,0))+(S676*IF(G676="T",H676,0))</x:f>
      </x:c>
      <x:c r="AB676">
        <x:f>(S676*IF(E676="L",F676,0))+(S676*IF(G676="L",H676,0))</x:f>
      </x:c>
      <x:c r="AC676">
        <x:f>(S676*IF(E676="H",F676,0))+(S676*IF(G676="H",H676,0))</x:f>
      </x:c>
      <x:c r="AD676">
        <x:f>(S676*IF(E676="V",F676,0))+(S676*IF(G676="V",H676,0))</x:f>
      </x:c>
      <x:c r="AE676">
        <x:f>(S676*IF(E676="R",F676,0))+(S676*IF(G676="R",H676,0))</x:f>
      </x:c>
      <x:c r="AF676">
        <x:f>(S676*IF(E676="F",F676,0))+(S676*IF(G676="F",H676,0))</x:f>
      </x:c>
      <x:c r="AG676">
        <x:f>(S676*IF(E676="W",F676,0))+(S676*IF(G676="W",H676,0))</x:f>
      </x:c>
      <x:c r="AH676" t="inlineStr">
        <x:is>
          <x:t xml:space="preserve">6. Technical Controls</x:t>
        </x:is>
      </x:c>
      <x:c r="AI676" t="inlineStr">
        <x:is>
          <x:t xml:space="preserve">Identity &amp; Access</x:t>
        </x:is>
      </x:c>
      <x:c r="AJ676" t="inlineStr">
        <x:is>
          <x:t xml:space="preserve">Least privilege &amp; role engineering</x:t>
        </x:is>
      </x:c>
    </x:row>
    <x:row r="677">
      <x:c r="A677" t="inlineStr">
        <x:is>
          <x:t xml:space="preserve">IT_IAM</x:t>
        </x:is>
      </x:c>
      <x:c r="B677" t="inlineStr">
        <x:is>
          <x:t xml:space="preserve">ITIAM-D9-Q18</x:t>
        </x:is>
      </x:c>
      <x:c r="C677" t="inlineStr">
        <x:is>
          <x:t xml:space="preserve">T3</x:t>
        </x:is>
      </x:c>
      <x:c r="D677" t="inlineStr">
        <x:is>
          <x:t xml:space="preserve">6. Tech &amp; Identity (Deep)</x:t>
        </x:is>
      </x:c>
      <x:c r="E677" t="inlineStr">
        <x:is>
          <x:t xml:space="preserve">T</x:t>
        </x:is>
      </x:c>
      <x:c r="F677" t="n">
        <x:v>1</x:v>
      </x:c>
      <x:c r="G677" t="inlineStr">
        <x:is>
          <x:t xml:space="preserve">-</x:t>
        </x:is>
      </x:c>
      <x:c r="I677" t="inlineStr">
        <x:is>
          <x:t xml:space="preserve">For sensitive actions, do we enforce step-up controls (approval, just-in-time, strong auth) to prevent privilege escalation abuse?</x:t>
        </x:is>
      </x:c>
      <x:c r="J677" t="inlineStr">
        <x:is>
          <x:t xml:space="preserve">Examples: admin role assignment, data export rights, payment approval rights.</x:t>
        </x:is>
      </x:c>
      <x:c r="L677" t="inlineStr">
        <x:is>
          <x:t xml:space="preserve">OPS_STD</x:t>
        </x:is>
      </x:c>
      <x:c r="M677" t="n">
        <x:v>1</x:v>
      </x:c>
      <x:c r="P677" t="inlineStr">
        <x:is>
          <x:t xml:space="preserve">ITIAM-D9-Q18-A2</x:t>
        </x:is>
      </x:c>
      <x:c r="Q677" t="n">
        <x:v>3</x:v>
      </x:c>
      <x:c r="R677" t="inlineStr">
        <x:is>
          <x:t xml:space="preserve">Yes: Step-up controls cover most high-risk actions.</x:t>
        </x:is>
      </x:c>
      <x:c r="S677" t="n">
        <x:v>3</x:v>
      </x:c>
      <x:c r="V677" t="inlineStr">
        <x:is>
          <x:t xml:space="preserve">Evidence_Request_StepUp</x:t>
        </x:is>
      </x:c>
      <x:c r="W677" t="inlineStr">
        <x:is>
          <x:t xml:space="preserve">N</x:t>
        </x:is>
      </x:c>
      <x:c r="Y677">
        <x:f>(S677*IF(E677="G",F677,0))+(S677*IF(G677="G",H677,0))</x:f>
      </x:c>
      <x:c r="Z677">
        <x:f>(S677*IF(E677="E",F677,0))+(S677*IF(G677="E",H677,0))</x:f>
      </x:c>
      <x:c r="AA677">
        <x:f>(S677*IF(E677="T",F677,0))+(S677*IF(G677="T",H677,0))</x:f>
      </x:c>
      <x:c r="AB677">
        <x:f>(S677*IF(E677="L",F677,0))+(S677*IF(G677="L",H677,0))</x:f>
      </x:c>
      <x:c r="AC677">
        <x:f>(S677*IF(E677="H",F677,0))+(S677*IF(G677="H",H677,0))</x:f>
      </x:c>
      <x:c r="AD677">
        <x:f>(S677*IF(E677="V",F677,0))+(S677*IF(G677="V",H677,0))</x:f>
      </x:c>
      <x:c r="AE677">
        <x:f>(S677*IF(E677="R",F677,0))+(S677*IF(G677="R",H677,0))</x:f>
      </x:c>
      <x:c r="AF677">
        <x:f>(S677*IF(E677="F",F677,0))+(S677*IF(G677="F",H677,0))</x:f>
      </x:c>
      <x:c r="AG677">
        <x:f>(S677*IF(E677="W",F677,0))+(S677*IF(G677="W",H677,0))</x:f>
      </x:c>
      <x:c r="AH677" t="inlineStr">
        <x:is>
          <x:t xml:space="preserve">6. Technical Controls</x:t>
        </x:is>
      </x:c>
      <x:c r="AI677" t="inlineStr">
        <x:is>
          <x:t xml:space="preserve">Identity &amp; Access</x:t>
        </x:is>
      </x:c>
      <x:c r="AJ677" t="inlineStr">
        <x:is>
          <x:t xml:space="preserve">Least privilege &amp; role engineering</x:t>
        </x:is>
      </x:c>
    </x:row>
    <x:row r="678">
      <x:c r="A678" t="inlineStr">
        <x:is>
          <x:t xml:space="preserve">IT_IAM</x:t>
        </x:is>
      </x:c>
      <x:c r="B678" t="inlineStr">
        <x:is>
          <x:t xml:space="preserve">ITIAM-D9-Q18</x:t>
        </x:is>
      </x:c>
      <x:c r="C678" t="inlineStr">
        <x:is>
          <x:t xml:space="preserve">T3</x:t>
        </x:is>
      </x:c>
      <x:c r="D678" t="inlineStr">
        <x:is>
          <x:t xml:space="preserve">6. Tech &amp; Identity (Deep)</x:t>
        </x:is>
      </x:c>
      <x:c r="E678" t="inlineStr">
        <x:is>
          <x:t xml:space="preserve">T</x:t>
        </x:is>
      </x:c>
      <x:c r="F678" t="n">
        <x:v>1</x:v>
      </x:c>
      <x:c r="G678" t="inlineStr">
        <x:is>
          <x:t xml:space="preserve">-</x:t>
        </x:is>
      </x:c>
      <x:c r="I678" t="inlineStr">
        <x:is>
          <x:t xml:space="preserve">For sensitive actions, do we enforce step-up controls (approval, just-in-time, strong auth) to prevent privilege escalation abuse?</x:t>
        </x:is>
      </x:c>
      <x:c r="J678" t="inlineStr">
        <x:is>
          <x:t xml:space="preserve">Examples: admin role assignment, data export rights, payment approval rights.</x:t>
        </x:is>
      </x:c>
      <x:c r="L678" t="inlineStr">
        <x:is>
          <x:t xml:space="preserve">OPS_STD</x:t>
        </x:is>
      </x:c>
      <x:c r="M678" t="n">
        <x:v>1</x:v>
      </x:c>
      <x:c r="P678" t="inlineStr">
        <x:is>
          <x:t xml:space="preserve">ITIAM-D9-Q18-A3</x:t>
        </x:is>
      </x:c>
      <x:c r="Q678" t="n">
        <x:v>4</x:v>
      </x:c>
      <x:c r="R678" t="inlineStr">
        <x:is>
          <x:t xml:space="preserve">Optimized: Risk-based, tested controls with continuous review.</x:t>
        </x:is>
      </x:c>
      <x:c r="S678" t="n">
        <x:v>4</x:v>
      </x:c>
      <x:c r="V678" t="inlineStr">
        <x:is>
          <x:t xml:space="preserve">Maintain_and_Audit</x:t>
        </x:is>
      </x:c>
      <x:c r="W678" t="inlineStr">
        <x:is>
          <x:t xml:space="preserve">N</x:t>
        </x:is>
      </x:c>
      <x:c r="Y678">
        <x:f>(S678*IF(E678="G",F678,0))+(S678*IF(G678="G",H678,0))</x:f>
      </x:c>
      <x:c r="Z678">
        <x:f>(S678*IF(E678="E",F678,0))+(S678*IF(G678="E",H678,0))</x:f>
      </x:c>
      <x:c r="AA678">
        <x:f>(S678*IF(E678="T",F678,0))+(S678*IF(G678="T",H678,0))</x:f>
      </x:c>
      <x:c r="AB678">
        <x:f>(S678*IF(E678="L",F678,0))+(S678*IF(G678="L",H678,0))</x:f>
      </x:c>
      <x:c r="AC678">
        <x:f>(S678*IF(E678="H",F678,0))+(S678*IF(G678="H",H678,0))</x:f>
      </x:c>
      <x:c r="AD678">
        <x:f>(S678*IF(E678="V",F678,0))+(S678*IF(G678="V",H678,0))</x:f>
      </x:c>
      <x:c r="AE678">
        <x:f>(S678*IF(E678="R",F678,0))+(S678*IF(G678="R",H678,0))</x:f>
      </x:c>
      <x:c r="AF678">
        <x:f>(S678*IF(E678="F",F678,0))+(S678*IF(G678="F",H678,0))</x:f>
      </x:c>
      <x:c r="AG678">
        <x:f>(S678*IF(E678="W",F678,0))+(S678*IF(G678="W",H678,0))</x:f>
      </x:c>
      <x:c r="AH678" t="inlineStr">
        <x:is>
          <x:t xml:space="preserve">6. Technical Controls</x:t>
        </x:is>
      </x:c>
      <x:c r="AI678" t="inlineStr">
        <x:is>
          <x:t xml:space="preserve">Identity &amp; Access</x:t>
        </x:is>
      </x:c>
      <x:c r="AJ678" t="inlineStr">
        <x:is>
          <x:t xml:space="preserve">Least privilege &amp; role engineering</x:t>
        </x:is>
      </x:c>
    </x:row>
    <x:row r="679">
      <x:c r="A679" t="inlineStr">
        <x:is>
          <x:t xml:space="preserve">RiskAudit</x:t>
        </x:is>
      </x:c>
      <x:c r="B679" t="inlineStr">
        <x:is>
          <x:t xml:space="preserve">AUD-D1-Q01</x:t>
        </x:is>
      </x:c>
      <x:c r="C679" t="inlineStr">
        <x:is>
          <x:t xml:space="preserve">T1</x:t>
        </x:is>
      </x:c>
      <x:c r="D679" t="inlineStr">
        <x:is>
          <x:t xml:space="preserve">1. Governance &amp; ERM</x:t>
        </x:is>
      </x:c>
      <x:c r="E679" t="inlineStr">
        <x:is>
          <x:t xml:space="preserve">G</x:t>
        </x:is>
      </x:c>
      <x:c r="F679" t="n">
        <x:v>0.7</x:v>
      </x:c>
      <x:c r="G679" t="inlineStr">
        <x:is>
          <x:t xml:space="preserve">V</x:t>
        </x:is>
      </x:c>
      <x:c r="H679" t="n">
        <x:v>0.3</x:v>
      </x:c>
      <x:c r="I679" t="inlineStr">
        <x:is>
          <x:t xml:space="preserve">Is insider risk formally included in enterprise risk management (ERM) with a clear risk appetite and owners?</x:t>
        </x:is>
      </x:c>
      <x:c r="J679" t="inlineStr">
        <x:is>
          <x:t xml:space="preserve">Think: named owners, how much risk is acceptable, and how decisions are escalated.</x:t>
        </x:is>
      </x:c>
      <x:c r="L679" t="inlineStr">
        <x:is>
          <x:t xml:space="preserve">GOV_STD</x:t>
        </x:is>
      </x:c>
      <x:c r="M679" t="n">
        <x:v>1.3</x:v>
      </x:c>
      <x:c r="N679" t="n">
        <x:v>0.5</x:v>
      </x:c>
      <x:c r="P679" t="inlineStr">
        <x:is>
          <x:t xml:space="preserve">AUD-D1-Q01-A0</x:t>
        </x:is>
      </x:c>
      <x:c r="Q679" t="n">
        <x:v>1</x:v>
      </x:c>
      <x:c r="R679" t="inlineStr">
        <x:is>
          <x:t xml:space="preserve">I don’t know / not sure.</x:t>
        </x:is>
      </x:c>
      <x:c r="S679" t="n">
        <x:v>0</x:v>
      </x:c>
      <x:c r="T679" t="inlineStr">
        <x:is>
          <x:t xml:space="preserve">unknown</x:t>
        </x:is>
      </x:c>
      <x:c r="U679" t="inlineStr">
        <x:is>
          <x:t xml:space="preserve">Unknown</x:t>
        </x:is>
      </x:c>
      <x:c r="V679" t="inlineStr">
        <x:is>
          <x:t xml:space="preserve">Clarify_Risk_Owners</x:t>
        </x:is>
      </x:c>
      <x:c r="W679" t="inlineStr">
        <x:is>
          <x:t xml:space="preserve">N</x:t>
        </x:is>
      </x:c>
      <x:c r="Y679">
        <x:f>(S679*IF(E679="G",F679,0))+(S679*IF(G679="G",H679,0))</x:f>
      </x:c>
      <x:c r="Z679">
        <x:f>(S679*IF(E679="E",F679,0))+(S679*IF(G679="E",H679,0))</x:f>
      </x:c>
      <x:c r="AA679">
        <x:f>(S679*IF(E679="T",F679,0))+(S679*IF(G679="T",H679,0))</x:f>
      </x:c>
      <x:c r="AB679">
        <x:f>(S679*IF(E679="L",F679,0))+(S679*IF(G679="L",H679,0))</x:f>
      </x:c>
      <x:c r="AC679">
        <x:f>(S679*IF(E679="H",F679,0))+(S679*IF(G679="H",H679,0))</x:f>
      </x:c>
      <x:c r="AD679">
        <x:f>(S679*IF(E679="V",F679,0))+(S679*IF(G679="V",H679,0))</x:f>
      </x:c>
      <x:c r="AE679">
        <x:f>(S679*IF(E679="R",F679,0))+(S679*IF(G679="R",H679,0))</x:f>
      </x:c>
      <x:c r="AF679">
        <x:f>(S679*IF(E679="F",F679,0))+(S679*IF(G679="F",H679,0))</x:f>
      </x:c>
      <x:c r="AG679">
        <x:f>(S679*IF(E679="W",F679,0))+(S679*IF(G679="W",H679,0))</x:f>
      </x:c>
      <x:c r="AH679" t="inlineStr">
        <x:is>
          <x:t xml:space="preserve">3. Risk Management</x:t>
        </x:is>
      </x:c>
      <x:c r="AI679" t="inlineStr">
        <x:is>
          <x:t xml:space="preserve">Assessment &amp; Analysis</x:t>
        </x:is>
      </x:c>
      <x:c r="AJ679" t="inlineStr">
        <x:is>
          <x:t xml:space="preserve">Risk appetite &amp; tolerance</x:t>
        </x:is>
      </x:c>
    </x:row>
    <x:row r="680">
      <x:c r="A680" t="inlineStr">
        <x:is>
          <x:t xml:space="preserve">RiskAudit</x:t>
        </x:is>
      </x:c>
      <x:c r="B680" t="inlineStr">
        <x:is>
          <x:t xml:space="preserve">AUD-D1-Q01</x:t>
        </x:is>
      </x:c>
      <x:c r="C680" t="inlineStr">
        <x:is>
          <x:t xml:space="preserve">T1</x:t>
        </x:is>
      </x:c>
      <x:c r="D680" t="inlineStr">
        <x:is>
          <x:t xml:space="preserve">1. Governance &amp; ERM</x:t>
        </x:is>
      </x:c>
      <x:c r="E680" t="inlineStr">
        <x:is>
          <x:t xml:space="preserve">G</x:t>
        </x:is>
      </x:c>
      <x:c r="F680" t="n">
        <x:v>0.7</x:v>
      </x:c>
      <x:c r="G680" t="inlineStr">
        <x:is>
          <x:t xml:space="preserve">V</x:t>
        </x:is>
      </x:c>
      <x:c r="H680" t="n">
        <x:v>0.3</x:v>
      </x:c>
      <x:c r="I680" t="inlineStr">
        <x:is>
          <x:t xml:space="preserve">Is insider risk formally included in enterprise risk management (ERM) with a clear risk appetite and owners?</x:t>
        </x:is>
      </x:c>
      <x:c r="J680" t="inlineStr">
        <x:is>
          <x:t xml:space="preserve">Think: named owners, how much risk is acceptable, and how decisions are escalated.</x:t>
        </x:is>
      </x:c>
      <x:c r="L680" t="inlineStr">
        <x:is>
          <x:t xml:space="preserve">GOV_STD</x:t>
        </x:is>
      </x:c>
      <x:c r="M680" t="n">
        <x:v>1.3</x:v>
      </x:c>
      <x:c r="N680" t="n">
        <x:v>0.5</x:v>
      </x:c>
      <x:c r="P680" t="inlineStr">
        <x:is>
          <x:t xml:space="preserve">AUD-D1-Q01-A1</x:t>
        </x:is>
      </x:c>
      <x:c r="Q680" t="n">
        <x:v>2</x:v>
      </x:c>
      <x:c r="R680" t="inlineStr">
        <x:is>
          <x:t xml:space="preserve">No: Insider risk is not in ERM; ownership is unclear.</x:t>
        </x:is>
      </x:c>
      <x:c r="S680" t="n">
        <x:v>0</x:v>
      </x:c>
      <x:c r="T680" t="inlineStr">
        <x:is>
          <x:t xml:space="preserve">governance_gap</x:t>
        </x:is>
      </x:c>
      <x:c r="U680" t="inlineStr">
        <x:is>
          <x:t xml:space="preserve">Operating Model Gap</x:t>
        </x:is>
      </x:c>
      <x:c r="V680" t="inlineStr">
        <x:is>
          <x:t xml:space="preserve">Integrate_ERM</x:t>
        </x:is>
      </x:c>
      <x:c r="W680" t="inlineStr">
        <x:is>
          <x:t xml:space="preserve">N</x:t>
        </x:is>
      </x:c>
      <x:c r="Y680">
        <x:f>(S680*IF(E680="G",F680,0))+(S680*IF(G680="G",H680,0))</x:f>
      </x:c>
      <x:c r="Z680">
        <x:f>(S680*IF(E680="E",F680,0))+(S680*IF(G680="E",H680,0))</x:f>
      </x:c>
      <x:c r="AA680">
        <x:f>(S680*IF(E680="T",F680,0))+(S680*IF(G680="T",H680,0))</x:f>
      </x:c>
      <x:c r="AB680">
        <x:f>(S680*IF(E680="L",F680,0))+(S680*IF(G680="L",H680,0))</x:f>
      </x:c>
      <x:c r="AC680">
        <x:f>(S680*IF(E680="H",F680,0))+(S680*IF(G680="H",H680,0))</x:f>
      </x:c>
      <x:c r="AD680">
        <x:f>(S680*IF(E680="V",F680,0))+(S680*IF(G680="V",H680,0))</x:f>
      </x:c>
      <x:c r="AE680">
        <x:f>(S680*IF(E680="R",F680,0))+(S680*IF(G680="R",H680,0))</x:f>
      </x:c>
      <x:c r="AF680">
        <x:f>(S680*IF(E680="F",F680,0))+(S680*IF(G680="F",H680,0))</x:f>
      </x:c>
      <x:c r="AG680">
        <x:f>(S680*IF(E680="W",F680,0))+(S680*IF(G680="W",H680,0))</x:f>
      </x:c>
      <x:c r="AH680" t="inlineStr">
        <x:is>
          <x:t xml:space="preserve">3. Risk Management</x:t>
        </x:is>
      </x:c>
      <x:c r="AI680" t="inlineStr">
        <x:is>
          <x:t xml:space="preserve">Assessment &amp; Analysis</x:t>
        </x:is>
      </x:c>
      <x:c r="AJ680" t="inlineStr">
        <x:is>
          <x:t xml:space="preserve">Risk appetite &amp; tolerance</x:t>
        </x:is>
      </x:c>
    </x:row>
    <x:row r="681">
      <x:c r="A681" t="inlineStr">
        <x:is>
          <x:t xml:space="preserve">RiskAudit</x:t>
        </x:is>
      </x:c>
      <x:c r="B681" t="inlineStr">
        <x:is>
          <x:t xml:space="preserve">AUD-D1-Q01</x:t>
        </x:is>
      </x:c>
      <x:c r="C681" t="inlineStr">
        <x:is>
          <x:t xml:space="preserve">T1</x:t>
        </x:is>
      </x:c>
      <x:c r="D681" t="inlineStr">
        <x:is>
          <x:t xml:space="preserve">1. Governance &amp; ERM</x:t>
        </x:is>
      </x:c>
      <x:c r="E681" t="inlineStr">
        <x:is>
          <x:t xml:space="preserve">G</x:t>
        </x:is>
      </x:c>
      <x:c r="F681" t="n">
        <x:v>0.7</x:v>
      </x:c>
      <x:c r="G681" t="inlineStr">
        <x:is>
          <x:t xml:space="preserve">V</x:t>
        </x:is>
      </x:c>
      <x:c r="H681" t="n">
        <x:v>0.3</x:v>
      </x:c>
      <x:c r="I681" t="inlineStr">
        <x:is>
          <x:t xml:space="preserve">Is insider risk formally included in enterprise risk management (ERM) with a clear risk appetite and owners?</x:t>
        </x:is>
      </x:c>
      <x:c r="J681" t="inlineStr">
        <x:is>
          <x:t xml:space="preserve">Think: named owners, how much risk is acceptable, and how decisions are escalated.</x:t>
        </x:is>
      </x:c>
      <x:c r="L681" t="inlineStr">
        <x:is>
          <x:t xml:space="preserve">GOV_STD</x:t>
        </x:is>
      </x:c>
      <x:c r="M681" t="n">
        <x:v>1.3</x:v>
      </x:c>
      <x:c r="N681" t="n">
        <x:v>0.5</x:v>
      </x:c>
      <x:c r="P681" t="inlineStr">
        <x:is>
          <x:t xml:space="preserve">AUD-D1-Q01-A2</x:t>
        </x:is>
      </x:c>
      <x:c r="Q681" t="n">
        <x:v>3</x:v>
      </x:c>
      <x:c r="R681" t="inlineStr">
        <x:is>
          <x:t xml:space="preserve">Partial: Mentioned in risk registers but not actively managed.</x:t>
        </x:is>
      </x:c>
      <x:c r="S681" t="n">
        <x:v>1</x:v>
      </x:c>
      <x:c r="T681" t="inlineStr">
        <x:is>
          <x:t xml:space="preserve">paper_dragon_signal</x:t>
        </x:is>
      </x:c>
      <x:c r="U681" t="inlineStr">
        <x:is>
          <x:t xml:space="preserve">Paper Dragon</x:t>
        </x:is>
      </x:c>
      <x:c r="V681" t="inlineStr">
        <x:is>
          <x:t xml:space="preserve">Operationalize_ERM</x:t>
        </x:is>
      </x:c>
      <x:c r="W681" t="inlineStr">
        <x:is>
          <x:t xml:space="preserve">N</x:t>
        </x:is>
      </x:c>
      <x:c r="Y681">
        <x:f>(S681*IF(E681="G",F681,0))+(S681*IF(G681="G",H681,0))</x:f>
      </x:c>
      <x:c r="Z681">
        <x:f>(S681*IF(E681="E",F681,0))+(S681*IF(G681="E",H681,0))</x:f>
      </x:c>
      <x:c r="AA681">
        <x:f>(S681*IF(E681="T",F681,0))+(S681*IF(G681="T",H681,0))</x:f>
      </x:c>
      <x:c r="AB681">
        <x:f>(S681*IF(E681="L",F681,0))+(S681*IF(G681="L",H681,0))</x:f>
      </x:c>
      <x:c r="AC681">
        <x:f>(S681*IF(E681="H",F681,0))+(S681*IF(G681="H",H681,0))</x:f>
      </x:c>
      <x:c r="AD681">
        <x:f>(S681*IF(E681="V",F681,0))+(S681*IF(G681="V",H681,0))</x:f>
      </x:c>
      <x:c r="AE681">
        <x:f>(S681*IF(E681="R",F681,0))+(S681*IF(G681="R",H681,0))</x:f>
      </x:c>
      <x:c r="AF681">
        <x:f>(S681*IF(E681="F",F681,0))+(S681*IF(G681="F",H681,0))</x:f>
      </x:c>
      <x:c r="AG681">
        <x:f>(S681*IF(E681="W",F681,0))+(S681*IF(G681="W",H681,0))</x:f>
      </x:c>
      <x:c r="AH681" t="inlineStr">
        <x:is>
          <x:t xml:space="preserve">3. Risk Management</x:t>
        </x:is>
      </x:c>
      <x:c r="AI681" t="inlineStr">
        <x:is>
          <x:t xml:space="preserve">Assessment &amp; Analysis</x:t>
        </x:is>
      </x:c>
      <x:c r="AJ681" t="inlineStr">
        <x:is>
          <x:t xml:space="preserve">Risk appetite &amp; tolerance</x:t>
        </x:is>
      </x:c>
    </x:row>
    <x:row r="682">
      <x:c r="A682" t="inlineStr">
        <x:is>
          <x:t xml:space="preserve">RiskAudit</x:t>
        </x:is>
      </x:c>
      <x:c r="B682" t="inlineStr">
        <x:is>
          <x:t xml:space="preserve">AUD-D1-Q01</x:t>
        </x:is>
      </x:c>
      <x:c r="C682" t="inlineStr">
        <x:is>
          <x:t xml:space="preserve">T1</x:t>
        </x:is>
      </x:c>
      <x:c r="D682" t="inlineStr">
        <x:is>
          <x:t xml:space="preserve">1. Governance &amp; ERM</x:t>
        </x:is>
      </x:c>
      <x:c r="E682" t="inlineStr">
        <x:is>
          <x:t xml:space="preserve">G</x:t>
        </x:is>
      </x:c>
      <x:c r="F682" t="n">
        <x:v>0.7</x:v>
      </x:c>
      <x:c r="G682" t="inlineStr">
        <x:is>
          <x:t xml:space="preserve">V</x:t>
        </x:is>
      </x:c>
      <x:c r="H682" t="n">
        <x:v>0.3</x:v>
      </x:c>
      <x:c r="I682" t="inlineStr">
        <x:is>
          <x:t xml:space="preserve">Is insider risk formally included in enterprise risk management (ERM) with a clear risk appetite and owners?</x:t>
        </x:is>
      </x:c>
      <x:c r="J682" t="inlineStr">
        <x:is>
          <x:t xml:space="preserve">Think: named owners, how much risk is acceptable, and how decisions are escalated.</x:t>
        </x:is>
      </x:c>
      <x:c r="L682" t="inlineStr">
        <x:is>
          <x:t xml:space="preserve">GOV_STD</x:t>
        </x:is>
      </x:c>
      <x:c r="M682" t="n">
        <x:v>1.3</x:v>
      </x:c>
      <x:c r="N682" t="n">
        <x:v>0.5</x:v>
      </x:c>
      <x:c r="P682" t="inlineStr">
        <x:is>
          <x:t xml:space="preserve">AUD-D1-Q01-A3</x:t>
        </x:is>
      </x:c>
      <x:c r="Q682" t="n">
        <x:v>4</x:v>
      </x:c>
      <x:c r="R682" t="inlineStr">
        <x:is>
          <x:t xml:space="preserve">Yes: Defined in ERM with owners and escalation paths.</x:t>
        </x:is>
      </x:c>
      <x:c r="S682" t="n">
        <x:v>3</x:v>
      </x:c>
      <x:c r="V682" t="inlineStr">
        <x:is>
          <x:t xml:space="preserve">Evidence_Request_ERM</x:t>
        </x:is>
      </x:c>
      <x:c r="W682" t="inlineStr">
        <x:is>
          <x:t xml:space="preserve">N</x:t>
        </x:is>
      </x:c>
      <x:c r="Y682">
        <x:f>(S682*IF(E682="G",F682,0))+(S682*IF(G682="G",H682,0))</x:f>
      </x:c>
      <x:c r="Z682">
        <x:f>(S682*IF(E682="E",F682,0))+(S682*IF(G682="E",H682,0))</x:f>
      </x:c>
      <x:c r="AA682">
        <x:f>(S682*IF(E682="T",F682,0))+(S682*IF(G682="T",H682,0))</x:f>
      </x:c>
      <x:c r="AB682">
        <x:f>(S682*IF(E682="L",F682,0))+(S682*IF(G682="L",H682,0))</x:f>
      </x:c>
      <x:c r="AC682">
        <x:f>(S682*IF(E682="H",F682,0))+(S682*IF(G682="H",H682,0))</x:f>
      </x:c>
      <x:c r="AD682">
        <x:f>(S682*IF(E682="V",F682,0))+(S682*IF(G682="V",H682,0))</x:f>
      </x:c>
      <x:c r="AE682">
        <x:f>(S682*IF(E682="R",F682,0))+(S682*IF(G682="R",H682,0))</x:f>
      </x:c>
      <x:c r="AF682">
        <x:f>(S682*IF(E682="F",F682,0))+(S682*IF(G682="F",H682,0))</x:f>
      </x:c>
      <x:c r="AG682">
        <x:f>(S682*IF(E682="W",F682,0))+(S682*IF(G682="W",H682,0))</x:f>
      </x:c>
      <x:c r="AH682" t="inlineStr">
        <x:is>
          <x:t xml:space="preserve">3. Risk Management</x:t>
        </x:is>
      </x:c>
      <x:c r="AI682" t="inlineStr">
        <x:is>
          <x:t xml:space="preserve">Assessment &amp; Analysis</x:t>
        </x:is>
      </x:c>
      <x:c r="AJ682" t="inlineStr">
        <x:is>
          <x:t xml:space="preserve">Risk appetite &amp; tolerance</x:t>
        </x:is>
      </x:c>
    </x:row>
    <x:row r="683">
      <x:c r="A683" t="inlineStr">
        <x:is>
          <x:t xml:space="preserve">RiskAudit</x:t>
        </x:is>
      </x:c>
      <x:c r="B683" t="inlineStr">
        <x:is>
          <x:t xml:space="preserve">AUD-D1-Q01</x:t>
        </x:is>
      </x:c>
      <x:c r="C683" t="inlineStr">
        <x:is>
          <x:t xml:space="preserve">T1</x:t>
        </x:is>
      </x:c>
      <x:c r="D683" t="inlineStr">
        <x:is>
          <x:t xml:space="preserve">1. Governance &amp; ERM</x:t>
        </x:is>
      </x:c>
      <x:c r="E683" t="inlineStr">
        <x:is>
          <x:t xml:space="preserve">G</x:t>
        </x:is>
      </x:c>
      <x:c r="F683" t="n">
        <x:v>0.7</x:v>
      </x:c>
      <x:c r="G683" t="inlineStr">
        <x:is>
          <x:t xml:space="preserve">V</x:t>
        </x:is>
      </x:c>
      <x:c r="H683" t="n">
        <x:v>0.3</x:v>
      </x:c>
      <x:c r="I683" t="inlineStr">
        <x:is>
          <x:t xml:space="preserve">Is insider risk formally included in enterprise risk management (ERM) with a clear risk appetite and owners?</x:t>
        </x:is>
      </x:c>
      <x:c r="J683" t="inlineStr">
        <x:is>
          <x:t xml:space="preserve">Think: named owners, how much risk is acceptable, and how decisions are escalated.</x:t>
        </x:is>
      </x:c>
      <x:c r="L683" t="inlineStr">
        <x:is>
          <x:t xml:space="preserve">GOV_STD</x:t>
        </x:is>
      </x:c>
      <x:c r="M683" t="n">
        <x:v>1.3</x:v>
      </x:c>
      <x:c r="N683" t="n">
        <x:v>0.5</x:v>
      </x:c>
      <x:c r="P683" t="inlineStr">
        <x:is>
          <x:t xml:space="preserve">AUD-D1-Q01-A4</x:t>
        </x:is>
      </x:c>
      <x:c r="Q683" t="n">
        <x:v>5</x:v>
      </x:c>
      <x:c r="R683" t="inlineStr">
        <x:is>
          <x:t xml:space="preserve">Mature: Appetite, KRIs, and decisions are reviewed regularly; changes trigger updates.</x:t>
        </x:is>
      </x:c>
      <x:c r="S683" t="n">
        <x:v>4</x:v>
      </x:c>
      <x:c r="V683" t="inlineStr">
        <x:is>
          <x:t xml:space="preserve">Maintain_and_Audit</x:t>
        </x:is>
      </x:c>
      <x:c r="W683" t="inlineStr">
        <x:is>
          <x:t xml:space="preserve">N</x:t>
        </x:is>
      </x:c>
      <x:c r="Y683">
        <x:f>(S683*IF(E683="G",F683,0))+(S683*IF(G683="G",H683,0))</x:f>
      </x:c>
      <x:c r="Z683">
        <x:f>(S683*IF(E683="E",F683,0))+(S683*IF(G683="E",H683,0))</x:f>
      </x:c>
      <x:c r="AA683">
        <x:f>(S683*IF(E683="T",F683,0))+(S683*IF(G683="T",H683,0))</x:f>
      </x:c>
      <x:c r="AB683">
        <x:f>(S683*IF(E683="L",F683,0))+(S683*IF(G683="L",H683,0))</x:f>
      </x:c>
      <x:c r="AC683">
        <x:f>(S683*IF(E683="H",F683,0))+(S683*IF(G683="H",H683,0))</x:f>
      </x:c>
      <x:c r="AD683">
        <x:f>(S683*IF(E683="V",F683,0))+(S683*IF(G683="V",H683,0))</x:f>
      </x:c>
      <x:c r="AE683">
        <x:f>(S683*IF(E683="R",F683,0))+(S683*IF(G683="R",H683,0))</x:f>
      </x:c>
      <x:c r="AF683">
        <x:f>(S683*IF(E683="F",F683,0))+(S683*IF(G683="F",H683,0))</x:f>
      </x:c>
      <x:c r="AG683">
        <x:f>(S683*IF(E683="W",F683,0))+(S683*IF(G683="W",H683,0))</x:f>
      </x:c>
      <x:c r="AH683" t="inlineStr">
        <x:is>
          <x:t xml:space="preserve">3. Risk Management</x:t>
        </x:is>
      </x:c>
      <x:c r="AI683" t="inlineStr">
        <x:is>
          <x:t xml:space="preserve">Assessment &amp; Analysis</x:t>
        </x:is>
      </x:c>
      <x:c r="AJ683" t="inlineStr">
        <x:is>
          <x:t xml:space="preserve">Risk appetite &amp; tolerance</x:t>
        </x:is>
      </x:c>
    </x:row>
    <x:row r="684">
      <x:c r="A684" t="inlineStr">
        <x:is>
          <x:t xml:space="preserve">RiskAudit</x:t>
        </x:is>
      </x:c>
      <x:c r="B684" t="inlineStr">
        <x:is>
          <x:t xml:space="preserve">AUD-D1-Q02</x:t>
        </x:is>
      </x:c>
      <x:c r="C684" t="inlineStr">
        <x:is>
          <x:t xml:space="preserve">T1</x:t>
        </x:is>
      </x:c>
      <x:c r="D684" t="inlineStr">
        <x:is>
          <x:t xml:space="preserve">1. Governance &amp; Assurance</x:t>
        </x:is>
      </x:c>
      <x:c r="E684" t="inlineStr">
        <x:is>
          <x:t xml:space="preserve">G</x:t>
        </x:is>
      </x:c>
      <x:c r="F684" t="n">
        <x:v>0.6</x:v>
      </x:c>
      <x:c r="G684" t="inlineStr">
        <x:is>
          <x:t xml:space="preserve">E</x:t>
        </x:is>
      </x:c>
      <x:c r="H684" t="n">
        <x:v>0.4</x:v>
      </x:c>
      <x:c r="I684" t="inlineStr">
        <x:is>
          <x:t xml:space="preserve">Are key insider-risk controls tested/assured on a schedule (audit sampling or control testing), not only after incidents?</x:t>
        </x:is>
      </x:c>
      <x:c r="J684" t="inlineStr">
        <x:is>
          <x:t xml:space="preserve">Testing can be internal audit, second line risk, or independent review.</x:t>
        </x:is>
      </x:c>
      <x:c r="L684" t="inlineStr">
        <x:is>
          <x:t xml:space="preserve">GOV_STD</x:t>
        </x:is>
      </x:c>
      <x:c r="M684" t="n">
        <x:v>1.2</x:v>
      </x:c>
      <x:c r="N684" t="n">
        <x:v>0.5</x:v>
      </x:c>
      <x:c r="P684" t="inlineStr">
        <x:is>
          <x:t xml:space="preserve">AUD-D1-Q02-A0</x:t>
        </x:is>
      </x:c>
      <x:c r="Q684" t="n">
        <x:v>1</x:v>
      </x:c>
      <x:c r="R684" t="inlineStr">
        <x:is>
          <x:t xml:space="preserve">No: We don’t test operating effectiveness; we rely on policy statements.</x:t>
        </x:is>
      </x:c>
      <x:c r="S684" t="n">
        <x:v>0</x:v>
      </x:c>
      <x:c r="T684" t="inlineStr">
        <x:is>
          <x:t xml:space="preserve">paper_dragon_signal</x:t>
        </x:is>
      </x:c>
      <x:c r="U684" t="inlineStr">
        <x:is>
          <x:t xml:space="preserve">Paper Dragon</x:t>
        </x:is>
      </x:c>
      <x:c r="V684" t="inlineStr">
        <x:is>
          <x:t xml:space="preserve">Control_Testing</x:t>
        </x:is>
      </x:c>
      <x:c r="W684" t="inlineStr">
        <x:is>
          <x:t xml:space="preserve">N</x:t>
        </x:is>
      </x:c>
      <x:c r="Y684">
        <x:f>(S684*IF(E684="G",F684,0))+(S684*IF(G684="G",H684,0))</x:f>
      </x:c>
      <x:c r="Z684">
        <x:f>(S684*IF(E684="E",F684,0))+(S684*IF(G684="E",H684,0))</x:f>
      </x:c>
      <x:c r="AA684">
        <x:f>(S684*IF(E684="T",F684,0))+(S684*IF(G684="T",H684,0))</x:f>
      </x:c>
      <x:c r="AB684">
        <x:f>(S684*IF(E684="L",F684,0))+(S684*IF(G684="L",H684,0))</x:f>
      </x:c>
      <x:c r="AC684">
        <x:f>(S684*IF(E684="H",F684,0))+(S684*IF(G684="H",H684,0))</x:f>
      </x:c>
      <x:c r="AD684">
        <x:f>(S684*IF(E684="V",F684,0))+(S684*IF(G684="V",H684,0))</x:f>
      </x:c>
      <x:c r="AE684">
        <x:f>(S684*IF(E684="R",F684,0))+(S684*IF(G684="R",H684,0))</x:f>
      </x:c>
      <x:c r="AF684">
        <x:f>(S684*IF(E684="F",F684,0))+(S684*IF(G684="F",H684,0))</x:f>
      </x:c>
      <x:c r="AG684">
        <x:f>(S684*IF(E684="W",F684,0))+(S684*IF(G684="W",H684,0))</x:f>
      </x:c>
      <x:c r="AH684" t="inlineStr">
        <x:is>
          <x:t xml:space="preserve">9. Performance &amp; Resilience</x:t>
        </x:is>
      </x:c>
      <x:c r="AI684" t="inlineStr">
        <x:is>
          <x:t xml:space="preserve">Assurance &amp; Metrics</x:t>
        </x:is>
      </x:c>
      <x:c r="AJ684" t="inlineStr">
        <x:is>
          <x:t xml:space="preserve">Control testing &amp; continuous assurance</x:t>
        </x:is>
      </x:c>
    </x:row>
    <x:row r="685">
      <x:c r="A685" t="inlineStr">
        <x:is>
          <x:t xml:space="preserve">RiskAudit</x:t>
        </x:is>
      </x:c>
      <x:c r="B685" t="inlineStr">
        <x:is>
          <x:t xml:space="preserve">AUD-D1-Q02</x:t>
        </x:is>
      </x:c>
      <x:c r="C685" t="inlineStr">
        <x:is>
          <x:t xml:space="preserve">T1</x:t>
        </x:is>
      </x:c>
      <x:c r="D685" t="inlineStr">
        <x:is>
          <x:t xml:space="preserve">1. Governance &amp; Assurance</x:t>
        </x:is>
      </x:c>
      <x:c r="E685" t="inlineStr">
        <x:is>
          <x:t xml:space="preserve">G</x:t>
        </x:is>
      </x:c>
      <x:c r="F685" t="n">
        <x:v>0.6</x:v>
      </x:c>
      <x:c r="G685" t="inlineStr">
        <x:is>
          <x:t xml:space="preserve">E</x:t>
        </x:is>
      </x:c>
      <x:c r="H685" t="n">
        <x:v>0.4</x:v>
      </x:c>
      <x:c r="I685" t="inlineStr">
        <x:is>
          <x:t xml:space="preserve">Are key insider-risk controls tested/assured on a schedule (audit sampling or control testing), not only after incidents?</x:t>
        </x:is>
      </x:c>
      <x:c r="J685" t="inlineStr">
        <x:is>
          <x:t xml:space="preserve">Testing can be internal audit, second line risk, or independent review.</x:t>
        </x:is>
      </x:c>
      <x:c r="L685" t="inlineStr">
        <x:is>
          <x:t xml:space="preserve">GOV_STD</x:t>
        </x:is>
      </x:c>
      <x:c r="M685" t="n">
        <x:v>1.2</x:v>
      </x:c>
      <x:c r="N685" t="n">
        <x:v>0.5</x:v>
      </x:c>
      <x:c r="P685" t="inlineStr">
        <x:is>
          <x:t xml:space="preserve">AUD-D1-Q02-A1</x:t>
        </x:is>
      </x:c>
      <x:c r="Q685" t="n">
        <x:v>2</x:v>
      </x:c>
      <x:c r="R685" t="inlineStr">
        <x:is>
          <x:t xml:space="preserve">Ad-hoc: Testing happens occasionally or only for compliance.</x:t>
        </x:is>
      </x:c>
      <x:c r="S685" t="n">
        <x:v>1</x:v>
      </x:c>
      <x:c r="T685" t="inlineStr">
        <x:is>
          <x:t xml:space="preserve">operating_model_gap</x:t>
        </x:is>
      </x:c>
      <x:c r="U685" t="inlineStr">
        <x:is>
          <x:t xml:space="preserve">Operating Model Gap</x:t>
        </x:is>
      </x:c>
      <x:c r="V685" t="inlineStr">
        <x:is>
          <x:t xml:space="preserve">Assurance_Plan</x:t>
        </x:is>
      </x:c>
      <x:c r="W685" t="inlineStr">
        <x:is>
          <x:t xml:space="preserve">N</x:t>
        </x:is>
      </x:c>
      <x:c r="Y685">
        <x:f>(S685*IF(E685="G",F685,0))+(S685*IF(G685="G",H685,0))</x:f>
      </x:c>
      <x:c r="Z685">
        <x:f>(S685*IF(E685="E",F685,0))+(S685*IF(G685="E",H685,0))</x:f>
      </x:c>
      <x:c r="AA685">
        <x:f>(S685*IF(E685="T",F685,0))+(S685*IF(G685="T",H685,0))</x:f>
      </x:c>
      <x:c r="AB685">
        <x:f>(S685*IF(E685="L",F685,0))+(S685*IF(G685="L",H685,0))</x:f>
      </x:c>
      <x:c r="AC685">
        <x:f>(S685*IF(E685="H",F685,0))+(S685*IF(G685="H",H685,0))</x:f>
      </x:c>
      <x:c r="AD685">
        <x:f>(S685*IF(E685="V",F685,0))+(S685*IF(G685="V",H685,0))</x:f>
      </x:c>
      <x:c r="AE685">
        <x:f>(S685*IF(E685="R",F685,0))+(S685*IF(G685="R",H685,0))</x:f>
      </x:c>
      <x:c r="AF685">
        <x:f>(S685*IF(E685="F",F685,0))+(S685*IF(G685="F",H685,0))</x:f>
      </x:c>
      <x:c r="AG685">
        <x:f>(S685*IF(E685="W",F685,0))+(S685*IF(G685="W",H685,0))</x:f>
      </x:c>
      <x:c r="AH685" t="inlineStr">
        <x:is>
          <x:t xml:space="preserve">9. Performance &amp; Resilience</x:t>
        </x:is>
      </x:c>
      <x:c r="AI685" t="inlineStr">
        <x:is>
          <x:t xml:space="preserve">Assurance &amp; Metrics</x:t>
        </x:is>
      </x:c>
      <x:c r="AJ685" t="inlineStr">
        <x:is>
          <x:t xml:space="preserve">Control testing &amp; continuous assurance</x:t>
        </x:is>
      </x:c>
    </x:row>
    <x:row r="686">
      <x:c r="A686" t="inlineStr">
        <x:is>
          <x:t xml:space="preserve">RiskAudit</x:t>
        </x:is>
      </x:c>
      <x:c r="B686" t="inlineStr">
        <x:is>
          <x:t xml:space="preserve">AUD-D1-Q02</x:t>
        </x:is>
      </x:c>
      <x:c r="C686" t="inlineStr">
        <x:is>
          <x:t xml:space="preserve">T1</x:t>
        </x:is>
      </x:c>
      <x:c r="D686" t="inlineStr">
        <x:is>
          <x:t xml:space="preserve">1. Governance &amp; Assurance</x:t>
        </x:is>
      </x:c>
      <x:c r="E686" t="inlineStr">
        <x:is>
          <x:t xml:space="preserve">G</x:t>
        </x:is>
      </x:c>
      <x:c r="F686" t="n">
        <x:v>0.6</x:v>
      </x:c>
      <x:c r="G686" t="inlineStr">
        <x:is>
          <x:t xml:space="preserve">E</x:t>
        </x:is>
      </x:c>
      <x:c r="H686" t="n">
        <x:v>0.4</x:v>
      </x:c>
      <x:c r="I686" t="inlineStr">
        <x:is>
          <x:t xml:space="preserve">Are key insider-risk controls tested/assured on a schedule (audit sampling or control testing), not only after incidents?</x:t>
        </x:is>
      </x:c>
      <x:c r="J686" t="inlineStr">
        <x:is>
          <x:t xml:space="preserve">Testing can be internal audit, second line risk, or independent review.</x:t>
        </x:is>
      </x:c>
      <x:c r="L686" t="inlineStr">
        <x:is>
          <x:t xml:space="preserve">GOV_STD</x:t>
        </x:is>
      </x:c>
      <x:c r="M686" t="n">
        <x:v>1.2</x:v>
      </x:c>
      <x:c r="N686" t="n">
        <x:v>0.5</x:v>
      </x:c>
      <x:c r="P686" t="inlineStr">
        <x:is>
          <x:t xml:space="preserve">AUD-D1-Q02-A2</x:t>
        </x:is>
      </x:c>
      <x:c r="Q686" t="n">
        <x:v>3</x:v>
      </x:c>
      <x:c r="R686" t="inlineStr">
        <x:is>
          <x:t xml:space="preserve">Yes: A testing schedule exists and results are tracked.</x:t>
        </x:is>
      </x:c>
      <x:c r="S686" t="n">
        <x:v>3</x:v>
      </x:c>
      <x:c r="V686" t="inlineStr">
        <x:is>
          <x:t xml:space="preserve">Evidence_Request_Testing</x:t>
        </x:is>
      </x:c>
      <x:c r="W686" t="inlineStr">
        <x:is>
          <x:t xml:space="preserve">N</x:t>
        </x:is>
      </x:c>
      <x:c r="Y686">
        <x:f>(S686*IF(E686="G",F686,0))+(S686*IF(G686="G",H686,0))</x:f>
      </x:c>
      <x:c r="Z686">
        <x:f>(S686*IF(E686="E",F686,0))+(S686*IF(G686="E",H686,0))</x:f>
      </x:c>
      <x:c r="AA686">
        <x:f>(S686*IF(E686="T",F686,0))+(S686*IF(G686="T",H686,0))</x:f>
      </x:c>
      <x:c r="AB686">
        <x:f>(S686*IF(E686="L",F686,0))+(S686*IF(G686="L",H686,0))</x:f>
      </x:c>
      <x:c r="AC686">
        <x:f>(S686*IF(E686="H",F686,0))+(S686*IF(G686="H",H686,0))</x:f>
      </x:c>
      <x:c r="AD686">
        <x:f>(S686*IF(E686="V",F686,0))+(S686*IF(G686="V",H686,0))</x:f>
      </x:c>
      <x:c r="AE686">
        <x:f>(S686*IF(E686="R",F686,0))+(S686*IF(G686="R",H686,0))</x:f>
      </x:c>
      <x:c r="AF686">
        <x:f>(S686*IF(E686="F",F686,0))+(S686*IF(G686="F",H686,0))</x:f>
      </x:c>
      <x:c r="AG686">
        <x:f>(S686*IF(E686="W",F686,0))+(S686*IF(G686="W",H686,0))</x:f>
      </x:c>
      <x:c r="AH686" t="inlineStr">
        <x:is>
          <x:t xml:space="preserve">9. Performance &amp; Resilience</x:t>
        </x:is>
      </x:c>
      <x:c r="AI686" t="inlineStr">
        <x:is>
          <x:t xml:space="preserve">Assurance &amp; Metrics</x:t>
        </x:is>
      </x:c>
      <x:c r="AJ686" t="inlineStr">
        <x:is>
          <x:t xml:space="preserve">Control testing &amp; continuous assurance</x:t>
        </x:is>
      </x:c>
    </x:row>
    <x:row r="687">
      <x:c r="A687" t="inlineStr">
        <x:is>
          <x:t xml:space="preserve">RiskAudit</x:t>
        </x:is>
      </x:c>
      <x:c r="B687" t="inlineStr">
        <x:is>
          <x:t xml:space="preserve">AUD-D1-Q02</x:t>
        </x:is>
      </x:c>
      <x:c r="C687" t="inlineStr">
        <x:is>
          <x:t xml:space="preserve">T1</x:t>
        </x:is>
      </x:c>
      <x:c r="D687" t="inlineStr">
        <x:is>
          <x:t xml:space="preserve">1. Governance &amp; Assurance</x:t>
        </x:is>
      </x:c>
      <x:c r="E687" t="inlineStr">
        <x:is>
          <x:t xml:space="preserve">G</x:t>
        </x:is>
      </x:c>
      <x:c r="F687" t="n">
        <x:v>0.6</x:v>
      </x:c>
      <x:c r="G687" t="inlineStr">
        <x:is>
          <x:t xml:space="preserve">E</x:t>
        </x:is>
      </x:c>
      <x:c r="H687" t="n">
        <x:v>0.4</x:v>
      </x:c>
      <x:c r="I687" t="inlineStr">
        <x:is>
          <x:t xml:space="preserve">Are key insider-risk controls tested/assured on a schedule (audit sampling or control testing), not only after incidents?</x:t>
        </x:is>
      </x:c>
      <x:c r="J687" t="inlineStr">
        <x:is>
          <x:t xml:space="preserve">Testing can be internal audit, second line risk, or independent review.</x:t>
        </x:is>
      </x:c>
      <x:c r="L687" t="inlineStr">
        <x:is>
          <x:t xml:space="preserve">GOV_STD</x:t>
        </x:is>
      </x:c>
      <x:c r="M687" t="n">
        <x:v>1.2</x:v>
      </x:c>
      <x:c r="N687" t="n">
        <x:v>0.5</x:v>
      </x:c>
      <x:c r="P687" t="inlineStr">
        <x:is>
          <x:t xml:space="preserve">AUD-D1-Q02-A3</x:t>
        </x:is>
      </x:c>
      <x:c r="Q687" t="n">
        <x:v>4</x:v>
      </x:c>
      <x:c r="R687" t="inlineStr">
        <x:is>
          <x:t xml:space="preserve">Mature: Risk-based testing + independent challenge + trend reporting.</x:t>
        </x:is>
      </x:c>
      <x:c r="S687" t="n">
        <x:v>4</x:v>
      </x:c>
      <x:c r="V687" t="inlineStr">
        <x:is>
          <x:t xml:space="preserve">Maintain_and_Audit</x:t>
        </x:is>
      </x:c>
      <x:c r="W687" t="inlineStr">
        <x:is>
          <x:t xml:space="preserve">N</x:t>
        </x:is>
      </x:c>
      <x:c r="Y687">
        <x:f>(S687*IF(E687="G",F687,0))+(S687*IF(G687="G",H687,0))</x:f>
      </x:c>
      <x:c r="Z687">
        <x:f>(S687*IF(E687="E",F687,0))+(S687*IF(G687="E",H687,0))</x:f>
      </x:c>
      <x:c r="AA687">
        <x:f>(S687*IF(E687="T",F687,0))+(S687*IF(G687="T",H687,0))</x:f>
      </x:c>
      <x:c r="AB687">
        <x:f>(S687*IF(E687="L",F687,0))+(S687*IF(G687="L",H687,0))</x:f>
      </x:c>
      <x:c r="AC687">
        <x:f>(S687*IF(E687="H",F687,0))+(S687*IF(G687="H",H687,0))</x:f>
      </x:c>
      <x:c r="AD687">
        <x:f>(S687*IF(E687="V",F687,0))+(S687*IF(G687="V",H687,0))</x:f>
      </x:c>
      <x:c r="AE687">
        <x:f>(S687*IF(E687="R",F687,0))+(S687*IF(G687="R",H687,0))</x:f>
      </x:c>
      <x:c r="AF687">
        <x:f>(S687*IF(E687="F",F687,0))+(S687*IF(G687="F",H687,0))</x:f>
      </x:c>
      <x:c r="AG687">
        <x:f>(S687*IF(E687="W",F687,0))+(S687*IF(G687="W",H687,0))</x:f>
      </x:c>
      <x:c r="AH687" t="inlineStr">
        <x:is>
          <x:t xml:space="preserve">9. Performance &amp; Resilience</x:t>
        </x:is>
      </x:c>
      <x:c r="AI687" t="inlineStr">
        <x:is>
          <x:t xml:space="preserve">Assurance &amp; Metrics</x:t>
        </x:is>
      </x:c>
      <x:c r="AJ687" t="inlineStr">
        <x:is>
          <x:t xml:space="preserve">Control testing &amp; continuous assurance</x:t>
        </x:is>
      </x:c>
    </x:row>
    <x:row r="688">
      <x:c r="A688" t="inlineStr">
        <x:is>
          <x:t xml:space="preserve">RiskAudit</x:t>
        </x:is>
      </x:c>
      <x:c r="B688" t="inlineStr">
        <x:is>
          <x:t xml:space="preserve">AUD-D1-Q03</x:t>
        </x:is>
      </x:c>
      <x:c r="C688" t="inlineStr">
        <x:is>
          <x:t xml:space="preserve">T1</x:t>
        </x:is>
      </x:c>
      <x:c r="D688" t="inlineStr">
        <x:is>
          <x:t xml:space="preserve">1. Governance &amp; Evidence</x:t>
        </x:is>
      </x:c>
      <x:c r="E688" t="inlineStr">
        <x:is>
          <x:t xml:space="preserve">G</x:t>
        </x:is>
      </x:c>
      <x:c r="F688" t="n">
        <x:v>0.5</x:v>
      </x:c>
      <x:c r="G688" t="inlineStr">
        <x:is>
          <x:t xml:space="preserve">E</x:t>
        </x:is>
      </x:c>
      <x:c r="H688" t="n">
        <x:v>0.5</x:v>
      </x:c>
      <x:c r="I688" t="inlineStr">
        <x:is>
          <x:t xml:space="preserve">Do we maintain evidence that declared controls are actually operating (not just ‘policy exists’)?</x:t>
        </x:is>
      </x:c>
      <x:c r="J688" t="inlineStr">
        <x:is>
          <x:t xml:space="preserve">Example: logs, tickets, review records, sampling results, and sign-offs.</x:t>
        </x:is>
      </x:c>
      <x:c r="L688" t="inlineStr">
        <x:is>
          <x:t xml:space="preserve">GOV_STD</x:t>
        </x:is>
      </x:c>
      <x:c r="M688" t="n">
        <x:v>1.2</x:v>
      </x:c>
      <x:c r="P688" t="inlineStr">
        <x:is>
          <x:t xml:space="preserve">AUD-D1-Q03-A0</x:t>
        </x:is>
      </x:c>
      <x:c r="Q688" t="n">
        <x:v>1</x:v>
      </x:c>
      <x:c r="R688" t="inlineStr">
        <x:is>
          <x:t xml:space="preserve">No: Evidence is hard to find; practices are not recorded.</x:t>
        </x:is>
      </x:c>
      <x:c r="S688" t="n">
        <x:v>0</x:v>
      </x:c>
      <x:c r="T688" t="inlineStr">
        <x:is>
          <x:t xml:space="preserve">paper_dragon_signal</x:t>
        </x:is>
      </x:c>
      <x:c r="U688" t="inlineStr">
        <x:is>
          <x:t xml:space="preserve">Paper Dragon</x:t>
        </x:is>
      </x:c>
      <x:c r="V688" t="inlineStr">
        <x:is>
          <x:t xml:space="preserve">Evidence_Model</x:t>
        </x:is>
      </x:c>
      <x:c r="W688" t="inlineStr">
        <x:is>
          <x:t xml:space="preserve">N</x:t>
        </x:is>
      </x:c>
      <x:c r="Y688">
        <x:f>(S688*IF(E688="G",F688,0))+(S688*IF(G688="G",H688,0))</x:f>
      </x:c>
      <x:c r="Z688">
        <x:f>(S688*IF(E688="E",F688,0))+(S688*IF(G688="E",H688,0))</x:f>
      </x:c>
      <x:c r="AA688">
        <x:f>(S688*IF(E688="T",F688,0))+(S688*IF(G688="T",H688,0))</x:f>
      </x:c>
      <x:c r="AB688">
        <x:f>(S688*IF(E688="L",F688,0))+(S688*IF(G688="L",H688,0))</x:f>
      </x:c>
      <x:c r="AC688">
        <x:f>(S688*IF(E688="H",F688,0))+(S688*IF(G688="H",H688,0))</x:f>
      </x:c>
      <x:c r="AD688">
        <x:f>(S688*IF(E688="V",F688,0))+(S688*IF(G688="V",H688,0))</x:f>
      </x:c>
      <x:c r="AE688">
        <x:f>(S688*IF(E688="R",F688,0))+(S688*IF(G688="R",H688,0))</x:f>
      </x:c>
      <x:c r="AF688">
        <x:f>(S688*IF(E688="F",F688,0))+(S688*IF(G688="F",H688,0))</x:f>
      </x:c>
      <x:c r="AG688">
        <x:f>(S688*IF(E688="W",F688,0))+(S688*IF(G688="W",H688,0))</x:f>
      </x:c>
      <x:c r="AH688" t="inlineStr">
        <x:is>
          <x:t xml:space="preserve">4. Legal, Privacy &amp; Ethics</x:t>
        </x:is>
      </x:c>
      <x:c r="AI688" t="inlineStr">
        <x:is>
          <x:t xml:space="preserve">Compliance &amp; Policy</x:t>
        </x:is>
      </x:c>
      <x:c r="AJ688" t="inlineStr">
        <x:is>
          <x:t xml:space="preserve">Policy &amp; Standards Suite</x:t>
        </x:is>
      </x:c>
    </x:row>
    <x:row r="689">
      <x:c r="A689" t="inlineStr">
        <x:is>
          <x:t xml:space="preserve">RiskAudit</x:t>
        </x:is>
      </x:c>
      <x:c r="B689" t="inlineStr">
        <x:is>
          <x:t xml:space="preserve">AUD-D1-Q03</x:t>
        </x:is>
      </x:c>
      <x:c r="C689" t="inlineStr">
        <x:is>
          <x:t xml:space="preserve">T1</x:t>
        </x:is>
      </x:c>
      <x:c r="D689" t="inlineStr">
        <x:is>
          <x:t xml:space="preserve">1. Governance &amp; Evidence</x:t>
        </x:is>
      </x:c>
      <x:c r="E689" t="inlineStr">
        <x:is>
          <x:t xml:space="preserve">G</x:t>
        </x:is>
      </x:c>
      <x:c r="F689" t="n">
        <x:v>0.5</x:v>
      </x:c>
      <x:c r="G689" t="inlineStr">
        <x:is>
          <x:t xml:space="preserve">E</x:t>
        </x:is>
      </x:c>
      <x:c r="H689" t="n">
        <x:v>0.5</x:v>
      </x:c>
      <x:c r="I689" t="inlineStr">
        <x:is>
          <x:t xml:space="preserve">Do we maintain evidence that declared controls are actually operating (not just ‘policy exists’)?</x:t>
        </x:is>
      </x:c>
      <x:c r="J689" t="inlineStr">
        <x:is>
          <x:t xml:space="preserve">Example: logs, tickets, review records, sampling results, and sign-offs.</x:t>
        </x:is>
      </x:c>
      <x:c r="L689" t="inlineStr">
        <x:is>
          <x:t xml:space="preserve">GOV_STD</x:t>
        </x:is>
      </x:c>
      <x:c r="M689" t="n">
        <x:v>1.2</x:v>
      </x:c>
      <x:c r="P689" t="inlineStr">
        <x:is>
          <x:t xml:space="preserve">AUD-D1-Q03-A1</x:t>
        </x:is>
      </x:c>
      <x:c r="Q689" t="n">
        <x:v>2</x:v>
      </x:c>
      <x:c r="R689" t="inlineStr">
        <x:is>
          <x:t xml:space="preserve">Some: Evidence exists for a few areas but not consistently.</x:t>
        </x:is>
      </x:c>
      <x:c r="S689" t="n">
        <x:v>1</x:v>
      </x:c>
      <x:c r="T689" t="inlineStr">
        <x:is>
          <x:t xml:space="preserve">operating_model_gap</x:t>
        </x:is>
      </x:c>
      <x:c r="U689" t="inlineStr">
        <x:is>
          <x:t xml:space="preserve">Operating Model Gap</x:t>
        </x:is>
      </x:c>
      <x:c r="V689" t="inlineStr">
        <x:is>
          <x:t xml:space="preserve">Standardize_Evidence</x:t>
        </x:is>
      </x:c>
      <x:c r="W689" t="inlineStr">
        <x:is>
          <x:t xml:space="preserve">N</x:t>
        </x:is>
      </x:c>
      <x:c r="Y689">
        <x:f>(S689*IF(E689="G",F689,0))+(S689*IF(G689="G",H689,0))</x:f>
      </x:c>
      <x:c r="Z689">
        <x:f>(S689*IF(E689="E",F689,0))+(S689*IF(G689="E",H689,0))</x:f>
      </x:c>
      <x:c r="AA689">
        <x:f>(S689*IF(E689="T",F689,0))+(S689*IF(G689="T",H689,0))</x:f>
      </x:c>
      <x:c r="AB689">
        <x:f>(S689*IF(E689="L",F689,0))+(S689*IF(G689="L",H689,0))</x:f>
      </x:c>
      <x:c r="AC689">
        <x:f>(S689*IF(E689="H",F689,0))+(S689*IF(G689="H",H689,0))</x:f>
      </x:c>
      <x:c r="AD689">
        <x:f>(S689*IF(E689="V",F689,0))+(S689*IF(G689="V",H689,0))</x:f>
      </x:c>
      <x:c r="AE689">
        <x:f>(S689*IF(E689="R",F689,0))+(S689*IF(G689="R",H689,0))</x:f>
      </x:c>
      <x:c r="AF689">
        <x:f>(S689*IF(E689="F",F689,0))+(S689*IF(G689="F",H689,0))</x:f>
      </x:c>
      <x:c r="AG689">
        <x:f>(S689*IF(E689="W",F689,0))+(S689*IF(G689="W",H689,0))</x:f>
      </x:c>
      <x:c r="AH689" t="inlineStr">
        <x:is>
          <x:t xml:space="preserve">4. Legal, Privacy &amp; Ethics</x:t>
        </x:is>
      </x:c>
      <x:c r="AI689" t="inlineStr">
        <x:is>
          <x:t xml:space="preserve">Compliance &amp; Policy</x:t>
        </x:is>
      </x:c>
      <x:c r="AJ689" t="inlineStr">
        <x:is>
          <x:t xml:space="preserve">Policy &amp; Standards Suite</x:t>
        </x:is>
      </x:c>
    </x:row>
    <x:row r="690">
      <x:c r="A690" t="inlineStr">
        <x:is>
          <x:t xml:space="preserve">RiskAudit</x:t>
        </x:is>
      </x:c>
      <x:c r="B690" t="inlineStr">
        <x:is>
          <x:t xml:space="preserve">AUD-D1-Q03</x:t>
        </x:is>
      </x:c>
      <x:c r="C690" t="inlineStr">
        <x:is>
          <x:t xml:space="preserve">T1</x:t>
        </x:is>
      </x:c>
      <x:c r="D690" t="inlineStr">
        <x:is>
          <x:t xml:space="preserve">1. Governance &amp; Evidence</x:t>
        </x:is>
      </x:c>
      <x:c r="E690" t="inlineStr">
        <x:is>
          <x:t xml:space="preserve">G</x:t>
        </x:is>
      </x:c>
      <x:c r="F690" t="n">
        <x:v>0.5</x:v>
      </x:c>
      <x:c r="G690" t="inlineStr">
        <x:is>
          <x:t xml:space="preserve">E</x:t>
        </x:is>
      </x:c>
      <x:c r="H690" t="n">
        <x:v>0.5</x:v>
      </x:c>
      <x:c r="I690" t="inlineStr">
        <x:is>
          <x:t xml:space="preserve">Do we maintain evidence that declared controls are actually operating (not just ‘policy exists’)?</x:t>
        </x:is>
      </x:c>
      <x:c r="J690" t="inlineStr">
        <x:is>
          <x:t xml:space="preserve">Example: logs, tickets, review records, sampling results, and sign-offs.</x:t>
        </x:is>
      </x:c>
      <x:c r="L690" t="inlineStr">
        <x:is>
          <x:t xml:space="preserve">GOV_STD</x:t>
        </x:is>
      </x:c>
      <x:c r="M690" t="n">
        <x:v>1.2</x:v>
      </x:c>
      <x:c r="P690" t="inlineStr">
        <x:is>
          <x:t xml:space="preserve">AUD-D1-Q03-A2</x:t>
        </x:is>
      </x:c>
      <x:c r="Q690" t="n">
        <x:v>3</x:v>
      </x:c>
      <x:c r="R690" t="inlineStr">
        <x:is>
          <x:t xml:space="preserve">Yes: Evidence is maintained for most key controls.</x:t>
        </x:is>
      </x:c>
      <x:c r="S690" t="n">
        <x:v>3</x:v>
      </x:c>
      <x:c r="V690" t="inlineStr">
        <x:is>
          <x:t xml:space="preserve">Evidence_Request_EvidenceSet</x:t>
        </x:is>
      </x:c>
      <x:c r="W690" t="inlineStr">
        <x:is>
          <x:t xml:space="preserve">N</x:t>
        </x:is>
      </x:c>
      <x:c r="Y690">
        <x:f>(S690*IF(E690="G",F690,0))+(S690*IF(G690="G",H690,0))</x:f>
      </x:c>
      <x:c r="Z690">
        <x:f>(S690*IF(E690="E",F690,0))+(S690*IF(G690="E",H690,0))</x:f>
      </x:c>
      <x:c r="AA690">
        <x:f>(S690*IF(E690="T",F690,0))+(S690*IF(G690="T",H690,0))</x:f>
      </x:c>
      <x:c r="AB690">
        <x:f>(S690*IF(E690="L",F690,0))+(S690*IF(G690="L",H690,0))</x:f>
      </x:c>
      <x:c r="AC690">
        <x:f>(S690*IF(E690="H",F690,0))+(S690*IF(G690="H",H690,0))</x:f>
      </x:c>
      <x:c r="AD690">
        <x:f>(S690*IF(E690="V",F690,0))+(S690*IF(G690="V",H690,0))</x:f>
      </x:c>
      <x:c r="AE690">
        <x:f>(S690*IF(E690="R",F690,0))+(S690*IF(G690="R",H690,0))</x:f>
      </x:c>
      <x:c r="AF690">
        <x:f>(S690*IF(E690="F",F690,0))+(S690*IF(G690="F",H690,0))</x:f>
      </x:c>
      <x:c r="AG690">
        <x:f>(S690*IF(E690="W",F690,0))+(S690*IF(G690="W",H690,0))</x:f>
      </x:c>
      <x:c r="AH690" t="inlineStr">
        <x:is>
          <x:t xml:space="preserve">4. Legal, Privacy &amp; Ethics</x:t>
        </x:is>
      </x:c>
      <x:c r="AI690" t="inlineStr">
        <x:is>
          <x:t xml:space="preserve">Compliance &amp; Policy</x:t>
        </x:is>
      </x:c>
      <x:c r="AJ690" t="inlineStr">
        <x:is>
          <x:t xml:space="preserve">Policy &amp; Standards Suite</x:t>
        </x:is>
      </x:c>
    </x:row>
    <x:row r="691">
      <x:c r="A691" t="inlineStr">
        <x:is>
          <x:t xml:space="preserve">RiskAudit</x:t>
        </x:is>
      </x:c>
      <x:c r="B691" t="inlineStr">
        <x:is>
          <x:t xml:space="preserve">AUD-D1-Q03</x:t>
        </x:is>
      </x:c>
      <x:c r="C691" t="inlineStr">
        <x:is>
          <x:t xml:space="preserve">T1</x:t>
        </x:is>
      </x:c>
      <x:c r="D691" t="inlineStr">
        <x:is>
          <x:t xml:space="preserve">1. Governance &amp; Evidence</x:t>
        </x:is>
      </x:c>
      <x:c r="E691" t="inlineStr">
        <x:is>
          <x:t xml:space="preserve">G</x:t>
        </x:is>
      </x:c>
      <x:c r="F691" t="n">
        <x:v>0.5</x:v>
      </x:c>
      <x:c r="G691" t="inlineStr">
        <x:is>
          <x:t xml:space="preserve">E</x:t>
        </x:is>
      </x:c>
      <x:c r="H691" t="n">
        <x:v>0.5</x:v>
      </x:c>
      <x:c r="I691" t="inlineStr">
        <x:is>
          <x:t xml:space="preserve">Do we maintain evidence that declared controls are actually operating (not just ‘policy exists’)?</x:t>
        </x:is>
      </x:c>
      <x:c r="J691" t="inlineStr">
        <x:is>
          <x:t xml:space="preserve">Example: logs, tickets, review records, sampling results, and sign-offs.</x:t>
        </x:is>
      </x:c>
      <x:c r="L691" t="inlineStr">
        <x:is>
          <x:t xml:space="preserve">GOV_STD</x:t>
        </x:is>
      </x:c>
      <x:c r="M691" t="n">
        <x:v>1.2</x:v>
      </x:c>
      <x:c r="P691" t="inlineStr">
        <x:is>
          <x:t xml:space="preserve">AUD-D1-Q03-A3</x:t>
        </x:is>
      </x:c>
      <x:c r="Q691" t="n">
        <x:v>4</x:v>
      </x:c>
      <x:c r="R691" t="inlineStr">
        <x:is>
          <x:t xml:space="preserve">Mature: Evidence is automated where possible and independently sampled.</x:t>
        </x:is>
      </x:c>
      <x:c r="S691" t="n">
        <x:v>4</x:v>
      </x:c>
      <x:c r="V691" t="inlineStr">
        <x:is>
          <x:t xml:space="preserve">Maintain_and_Audit</x:t>
        </x:is>
      </x:c>
      <x:c r="W691" t="inlineStr">
        <x:is>
          <x:t xml:space="preserve">N</x:t>
        </x:is>
      </x:c>
      <x:c r="Y691">
        <x:f>(S691*IF(E691="G",F691,0))+(S691*IF(G691="G",H691,0))</x:f>
      </x:c>
      <x:c r="Z691">
        <x:f>(S691*IF(E691="E",F691,0))+(S691*IF(G691="E",H691,0))</x:f>
      </x:c>
      <x:c r="AA691">
        <x:f>(S691*IF(E691="T",F691,0))+(S691*IF(G691="T",H691,0))</x:f>
      </x:c>
      <x:c r="AB691">
        <x:f>(S691*IF(E691="L",F691,0))+(S691*IF(G691="L",H691,0))</x:f>
      </x:c>
      <x:c r="AC691">
        <x:f>(S691*IF(E691="H",F691,0))+(S691*IF(G691="H",H691,0))</x:f>
      </x:c>
      <x:c r="AD691">
        <x:f>(S691*IF(E691="V",F691,0))+(S691*IF(G691="V",H691,0))</x:f>
      </x:c>
      <x:c r="AE691">
        <x:f>(S691*IF(E691="R",F691,0))+(S691*IF(G691="R",H691,0))</x:f>
      </x:c>
      <x:c r="AF691">
        <x:f>(S691*IF(E691="F",F691,0))+(S691*IF(G691="F",H691,0))</x:f>
      </x:c>
      <x:c r="AG691">
        <x:f>(S691*IF(E691="W",F691,0))+(S691*IF(G691="W",H691,0))</x:f>
      </x:c>
      <x:c r="AH691" t="inlineStr">
        <x:is>
          <x:t xml:space="preserve">4. Legal, Privacy &amp; Ethics</x:t>
        </x:is>
      </x:c>
      <x:c r="AI691" t="inlineStr">
        <x:is>
          <x:t xml:space="preserve">Compliance &amp; Policy</x:t>
        </x:is>
      </x:c>
      <x:c r="AJ691" t="inlineStr">
        <x:is>
          <x:t xml:space="preserve">Policy &amp; Standards Suite</x:t>
        </x:is>
      </x:c>
    </x:row>
    <x:row r="692">
      <x:c r="A692" t="inlineStr">
        <x:is>
          <x:t xml:space="preserve">RiskAudit</x:t>
        </x:is>
      </x:c>
      <x:c r="B692" t="inlineStr">
        <x:is>
          <x:t xml:space="preserve">AUD-D2-Q04</x:t>
        </x:is>
      </x:c>
      <x:c r="C692" t="inlineStr">
        <x:is>
          <x:t xml:space="preserve">T2</x:t>
        </x:is>
      </x:c>
      <x:c r="D692" t="inlineStr">
        <x:is>
          <x:t xml:space="preserve">1. Governance &amp; Remediation</x:t>
        </x:is>
      </x:c>
      <x:c r="E692" t="inlineStr">
        <x:is>
          <x:t xml:space="preserve">G</x:t>
        </x:is>
      </x:c>
      <x:c r="F692" t="n">
        <x:v>1</x:v>
      </x:c>
      <x:c r="G692" t="inlineStr">
        <x:is>
          <x:t xml:space="preserve">-</x:t>
        </x:is>
      </x:c>
      <x:c r="I692" t="inlineStr">
        <x:is>
          <x:t xml:space="preserve">When weaknesses are found, are remediation actions tracked to closure with owners and dates (and escalated if overdue)?</x:t>
        </x:is>
      </x:c>
      <x:c r="J692" t="inlineStr">
        <x:is>
          <x:t xml:space="preserve">This includes audit findings, incidents, and risk assessments.</x:t>
        </x:is>
      </x:c>
      <x:c r="L692" t="inlineStr">
        <x:is>
          <x:t xml:space="preserve">GOV_STD</x:t>
        </x:is>
      </x:c>
      <x:c r="M692" t="n">
        <x:v>1</x:v>
      </x:c>
      <x:c r="P692" t="inlineStr">
        <x:is>
          <x:t xml:space="preserve">AUD-D2-Q04-A0</x:t>
        </x:is>
      </x:c>
      <x:c r="Q692" t="n">
        <x:v>1</x:v>
      </x:c>
      <x:c r="R692" t="inlineStr">
        <x:is>
          <x:t xml:space="preserve">No: Findings often remain open or get lost.</x:t>
        </x:is>
      </x:c>
      <x:c r="S692" t="n">
        <x:v>0</x:v>
      </x:c>
      <x:c r="T692" t="inlineStr">
        <x:is>
          <x:t xml:space="preserve">operating_model_gap</x:t>
        </x:is>
      </x:c>
      <x:c r="U692" t="inlineStr">
        <x:is>
          <x:t xml:space="preserve">Operating Model Gap</x:t>
        </x:is>
      </x:c>
      <x:c r="V692" t="inlineStr">
        <x:is>
          <x:t xml:space="preserve">Remediation_Tracking</x:t>
        </x:is>
      </x:c>
      <x:c r="W692" t="inlineStr">
        <x:is>
          <x:t xml:space="preserve">N</x:t>
        </x:is>
      </x:c>
      <x:c r="Y692">
        <x:f>(S692*IF(E692="G",F692,0))+(S692*IF(G692="G",H692,0))</x:f>
      </x:c>
      <x:c r="Z692">
        <x:f>(S692*IF(E692="E",F692,0))+(S692*IF(G692="E",H692,0))</x:f>
      </x:c>
      <x:c r="AA692">
        <x:f>(S692*IF(E692="T",F692,0))+(S692*IF(G692="T",H692,0))</x:f>
      </x:c>
      <x:c r="AB692">
        <x:f>(S692*IF(E692="L",F692,0))+(S692*IF(G692="L",H692,0))</x:f>
      </x:c>
      <x:c r="AC692">
        <x:f>(S692*IF(E692="H",F692,0))+(S692*IF(G692="H",H692,0))</x:f>
      </x:c>
      <x:c r="AD692">
        <x:f>(S692*IF(E692="V",F692,0))+(S692*IF(G692="V",H692,0))</x:f>
      </x:c>
      <x:c r="AE692">
        <x:f>(S692*IF(E692="R",F692,0))+(S692*IF(G692="R",H692,0))</x:f>
      </x:c>
      <x:c r="AF692">
        <x:f>(S692*IF(E692="F",F692,0))+(S692*IF(G692="F",H692,0))</x:f>
      </x:c>
      <x:c r="AG692">
        <x:f>(S692*IF(E692="W",F692,0))+(S692*IF(G692="W",H692,0))</x:f>
      </x:c>
      <x:c r="AH692" t="inlineStr">
        <x:is>
          <x:t xml:space="preserve">1. Strategy &amp; Governance</x:t>
        </x:is>
      </x:c>
      <x:c r="AI692" t="inlineStr">
        <x:is>
          <x:t xml:space="preserve">Scope &amp; Boundaries</x:t>
        </x:is>
      </x:c>
      <x:c r="AJ692" t="inlineStr">
        <x:is>
          <x:t xml:space="preserve">Exceptions &amp; risk acceptance</x:t>
        </x:is>
      </x:c>
    </x:row>
    <x:row r="693">
      <x:c r="A693" t="inlineStr">
        <x:is>
          <x:t xml:space="preserve">RiskAudit</x:t>
        </x:is>
      </x:c>
      <x:c r="B693" t="inlineStr">
        <x:is>
          <x:t xml:space="preserve">AUD-D2-Q04</x:t>
        </x:is>
      </x:c>
      <x:c r="C693" t="inlineStr">
        <x:is>
          <x:t xml:space="preserve">T2</x:t>
        </x:is>
      </x:c>
      <x:c r="D693" t="inlineStr">
        <x:is>
          <x:t xml:space="preserve">1. Governance &amp; Remediation</x:t>
        </x:is>
      </x:c>
      <x:c r="E693" t="inlineStr">
        <x:is>
          <x:t xml:space="preserve">G</x:t>
        </x:is>
      </x:c>
      <x:c r="F693" t="n">
        <x:v>1</x:v>
      </x:c>
      <x:c r="G693" t="inlineStr">
        <x:is>
          <x:t xml:space="preserve">-</x:t>
        </x:is>
      </x:c>
      <x:c r="I693" t="inlineStr">
        <x:is>
          <x:t xml:space="preserve">When weaknesses are found, are remediation actions tracked to closure with owners and dates (and escalated if overdue)?</x:t>
        </x:is>
      </x:c>
      <x:c r="J693" t="inlineStr">
        <x:is>
          <x:t xml:space="preserve">This includes audit findings, incidents, and risk assessments.</x:t>
        </x:is>
      </x:c>
      <x:c r="L693" t="inlineStr">
        <x:is>
          <x:t xml:space="preserve">GOV_STD</x:t>
        </x:is>
      </x:c>
      <x:c r="M693" t="n">
        <x:v>1</x:v>
      </x:c>
      <x:c r="P693" t="inlineStr">
        <x:is>
          <x:t xml:space="preserve">AUD-D2-Q04-A1</x:t>
        </x:is>
      </x:c>
      <x:c r="Q693" t="n">
        <x:v>2</x:v>
      </x:c>
      <x:c r="R693" t="inlineStr">
        <x:is>
          <x:t xml:space="preserve">Partial: Tracking exists but escalation is inconsistent.</x:t>
        </x:is>
      </x:c>
      <x:c r="S693" t="n">
        <x:v>1</x:v>
      </x:c>
      <x:c r="T693" t="inlineStr">
        <x:is>
          <x:t xml:space="preserve">operating_model_gap</x:t>
        </x:is>
      </x:c>
      <x:c r="U693" t="inlineStr">
        <x:is>
          <x:t xml:space="preserve">Operating Model Gap</x:t>
        </x:is>
      </x:c>
      <x:c r="V693" t="inlineStr">
        <x:is>
          <x:t xml:space="preserve">Escalation_Process</x:t>
        </x:is>
      </x:c>
      <x:c r="W693" t="inlineStr">
        <x:is>
          <x:t xml:space="preserve">N</x:t>
        </x:is>
      </x:c>
      <x:c r="Y693">
        <x:f>(S693*IF(E693="G",F693,0))+(S693*IF(G693="G",H693,0))</x:f>
      </x:c>
      <x:c r="Z693">
        <x:f>(S693*IF(E693="E",F693,0))+(S693*IF(G693="E",H693,0))</x:f>
      </x:c>
      <x:c r="AA693">
        <x:f>(S693*IF(E693="T",F693,0))+(S693*IF(G693="T",H693,0))</x:f>
      </x:c>
      <x:c r="AB693">
        <x:f>(S693*IF(E693="L",F693,0))+(S693*IF(G693="L",H693,0))</x:f>
      </x:c>
      <x:c r="AC693">
        <x:f>(S693*IF(E693="H",F693,0))+(S693*IF(G693="H",H693,0))</x:f>
      </x:c>
      <x:c r="AD693">
        <x:f>(S693*IF(E693="V",F693,0))+(S693*IF(G693="V",H693,0))</x:f>
      </x:c>
      <x:c r="AE693">
        <x:f>(S693*IF(E693="R",F693,0))+(S693*IF(G693="R",H693,0))</x:f>
      </x:c>
      <x:c r="AF693">
        <x:f>(S693*IF(E693="F",F693,0))+(S693*IF(G693="F",H693,0))</x:f>
      </x:c>
      <x:c r="AG693">
        <x:f>(S693*IF(E693="W",F693,0))+(S693*IF(G693="W",H693,0))</x:f>
      </x:c>
      <x:c r="AH693" t="inlineStr">
        <x:is>
          <x:t xml:space="preserve">1. Strategy &amp; Governance</x:t>
        </x:is>
      </x:c>
      <x:c r="AI693" t="inlineStr">
        <x:is>
          <x:t xml:space="preserve">Scope &amp; Boundaries</x:t>
        </x:is>
      </x:c>
      <x:c r="AJ693" t="inlineStr">
        <x:is>
          <x:t xml:space="preserve">Exceptions &amp; risk acceptance</x:t>
        </x:is>
      </x:c>
    </x:row>
    <x:row r="694">
      <x:c r="A694" t="inlineStr">
        <x:is>
          <x:t xml:space="preserve">RiskAudit</x:t>
        </x:is>
      </x:c>
      <x:c r="B694" t="inlineStr">
        <x:is>
          <x:t xml:space="preserve">AUD-D2-Q04</x:t>
        </x:is>
      </x:c>
      <x:c r="C694" t="inlineStr">
        <x:is>
          <x:t xml:space="preserve">T2</x:t>
        </x:is>
      </x:c>
      <x:c r="D694" t="inlineStr">
        <x:is>
          <x:t xml:space="preserve">1. Governance &amp; Remediation</x:t>
        </x:is>
      </x:c>
      <x:c r="E694" t="inlineStr">
        <x:is>
          <x:t xml:space="preserve">G</x:t>
        </x:is>
      </x:c>
      <x:c r="F694" t="n">
        <x:v>1</x:v>
      </x:c>
      <x:c r="G694" t="inlineStr">
        <x:is>
          <x:t xml:space="preserve">-</x:t>
        </x:is>
      </x:c>
      <x:c r="I694" t="inlineStr">
        <x:is>
          <x:t xml:space="preserve">When weaknesses are found, are remediation actions tracked to closure with owners and dates (and escalated if overdue)?</x:t>
        </x:is>
      </x:c>
      <x:c r="J694" t="inlineStr">
        <x:is>
          <x:t xml:space="preserve">This includes audit findings, incidents, and risk assessments.</x:t>
        </x:is>
      </x:c>
      <x:c r="L694" t="inlineStr">
        <x:is>
          <x:t xml:space="preserve">GOV_STD</x:t>
        </x:is>
      </x:c>
      <x:c r="M694" t="n">
        <x:v>1</x:v>
      </x:c>
      <x:c r="P694" t="inlineStr">
        <x:is>
          <x:t xml:space="preserve">AUD-D2-Q04-A2</x:t>
        </x:is>
      </x:c>
      <x:c r="Q694" t="n">
        <x:v>3</x:v>
      </x:c>
      <x:c r="R694" t="inlineStr">
        <x:is>
          <x:t xml:space="preserve">Yes: Central tracking with owners, deadlines, and closure evidence.</x:t>
        </x:is>
      </x:c>
      <x:c r="S694" t="n">
        <x:v>3</x:v>
      </x:c>
      <x:c r="V694" t="inlineStr">
        <x:is>
          <x:t xml:space="preserve">Evidence_Request_Remediation</x:t>
        </x:is>
      </x:c>
      <x:c r="W694" t="inlineStr">
        <x:is>
          <x:t xml:space="preserve">N</x:t>
        </x:is>
      </x:c>
      <x:c r="Y694">
        <x:f>(S694*IF(E694="G",F694,0))+(S694*IF(G694="G",H694,0))</x:f>
      </x:c>
      <x:c r="Z694">
        <x:f>(S694*IF(E694="E",F694,0))+(S694*IF(G694="E",H694,0))</x:f>
      </x:c>
      <x:c r="AA694">
        <x:f>(S694*IF(E694="T",F694,0))+(S694*IF(G694="T",H694,0))</x:f>
      </x:c>
      <x:c r="AB694">
        <x:f>(S694*IF(E694="L",F694,0))+(S694*IF(G694="L",H694,0))</x:f>
      </x:c>
      <x:c r="AC694">
        <x:f>(S694*IF(E694="H",F694,0))+(S694*IF(G694="H",H694,0))</x:f>
      </x:c>
      <x:c r="AD694">
        <x:f>(S694*IF(E694="V",F694,0))+(S694*IF(G694="V",H694,0))</x:f>
      </x:c>
      <x:c r="AE694">
        <x:f>(S694*IF(E694="R",F694,0))+(S694*IF(G694="R",H694,0))</x:f>
      </x:c>
      <x:c r="AF694">
        <x:f>(S694*IF(E694="F",F694,0))+(S694*IF(G694="F",H694,0))</x:f>
      </x:c>
      <x:c r="AG694">
        <x:f>(S694*IF(E694="W",F694,0))+(S694*IF(G694="W",H694,0))</x:f>
      </x:c>
      <x:c r="AH694" t="inlineStr">
        <x:is>
          <x:t xml:space="preserve">1. Strategy &amp; Governance</x:t>
        </x:is>
      </x:c>
      <x:c r="AI694" t="inlineStr">
        <x:is>
          <x:t xml:space="preserve">Scope &amp; Boundaries</x:t>
        </x:is>
      </x:c>
      <x:c r="AJ694" t="inlineStr">
        <x:is>
          <x:t xml:space="preserve">Exceptions &amp; risk acceptance</x:t>
        </x:is>
      </x:c>
    </x:row>
    <x:row r="695">
      <x:c r="A695" t="inlineStr">
        <x:is>
          <x:t xml:space="preserve">RiskAudit</x:t>
        </x:is>
      </x:c>
      <x:c r="B695" t="inlineStr">
        <x:is>
          <x:t xml:space="preserve">AUD-D2-Q04</x:t>
        </x:is>
      </x:c>
      <x:c r="C695" t="inlineStr">
        <x:is>
          <x:t xml:space="preserve">T2</x:t>
        </x:is>
      </x:c>
      <x:c r="D695" t="inlineStr">
        <x:is>
          <x:t xml:space="preserve">1. Governance &amp; Remediation</x:t>
        </x:is>
      </x:c>
      <x:c r="E695" t="inlineStr">
        <x:is>
          <x:t xml:space="preserve">G</x:t>
        </x:is>
      </x:c>
      <x:c r="F695" t="n">
        <x:v>1</x:v>
      </x:c>
      <x:c r="G695" t="inlineStr">
        <x:is>
          <x:t xml:space="preserve">-</x:t>
        </x:is>
      </x:c>
      <x:c r="I695" t="inlineStr">
        <x:is>
          <x:t xml:space="preserve">When weaknesses are found, are remediation actions tracked to closure with owners and dates (and escalated if overdue)?</x:t>
        </x:is>
      </x:c>
      <x:c r="J695" t="inlineStr">
        <x:is>
          <x:t xml:space="preserve">This includes audit findings, incidents, and risk assessments.</x:t>
        </x:is>
      </x:c>
      <x:c r="L695" t="inlineStr">
        <x:is>
          <x:t xml:space="preserve">GOV_STD</x:t>
        </x:is>
      </x:c>
      <x:c r="M695" t="n">
        <x:v>1</x:v>
      </x:c>
      <x:c r="P695" t="inlineStr">
        <x:is>
          <x:t xml:space="preserve">AUD-D2-Q04-A3</x:t>
        </x:is>
      </x:c>
      <x:c r="Q695" t="n">
        <x:v>4</x:v>
      </x:c>
      <x:c r="R695" t="inlineStr">
        <x:is>
          <x:t xml:space="preserve">Mature: Trend analysis and root-cause prevention; board visibility for critical items.</x:t>
        </x:is>
      </x:c>
      <x:c r="S695" t="n">
        <x:v>4</x:v>
      </x:c>
      <x:c r="V695" t="inlineStr">
        <x:is>
          <x:t xml:space="preserve">Maintain_and_Audit</x:t>
        </x:is>
      </x:c>
      <x:c r="W695" t="inlineStr">
        <x:is>
          <x:t xml:space="preserve">N</x:t>
        </x:is>
      </x:c>
      <x:c r="Y695">
        <x:f>(S695*IF(E695="G",F695,0))+(S695*IF(G695="G",H695,0))</x:f>
      </x:c>
      <x:c r="Z695">
        <x:f>(S695*IF(E695="E",F695,0))+(S695*IF(G695="E",H695,0))</x:f>
      </x:c>
      <x:c r="AA695">
        <x:f>(S695*IF(E695="T",F695,0))+(S695*IF(G695="T",H695,0))</x:f>
      </x:c>
      <x:c r="AB695">
        <x:f>(S695*IF(E695="L",F695,0))+(S695*IF(G695="L",H695,0))</x:f>
      </x:c>
      <x:c r="AC695">
        <x:f>(S695*IF(E695="H",F695,0))+(S695*IF(G695="H",H695,0))</x:f>
      </x:c>
      <x:c r="AD695">
        <x:f>(S695*IF(E695="V",F695,0))+(S695*IF(G695="V",H695,0))</x:f>
      </x:c>
      <x:c r="AE695">
        <x:f>(S695*IF(E695="R",F695,0))+(S695*IF(G695="R",H695,0))</x:f>
      </x:c>
      <x:c r="AF695">
        <x:f>(S695*IF(E695="F",F695,0))+(S695*IF(G695="F",H695,0))</x:f>
      </x:c>
      <x:c r="AG695">
        <x:f>(S695*IF(E695="W",F695,0))+(S695*IF(G695="W",H695,0))</x:f>
      </x:c>
      <x:c r="AH695" t="inlineStr">
        <x:is>
          <x:t xml:space="preserve">1. Strategy &amp; Governance</x:t>
        </x:is>
      </x:c>
      <x:c r="AI695" t="inlineStr">
        <x:is>
          <x:t xml:space="preserve">Scope &amp; Boundaries</x:t>
        </x:is>
      </x:c>
      <x:c r="AJ695" t="inlineStr">
        <x:is>
          <x:t xml:space="preserve">Exceptions &amp; risk acceptance</x:t>
        </x:is>
      </x:c>
    </x:row>
    <x:row r="696">
      <x:c r="A696" t="inlineStr">
        <x:is>
          <x:t xml:space="preserve">RiskAudit</x:t>
        </x:is>
      </x:c>
      <x:c r="B696" t="inlineStr">
        <x:is>
          <x:t xml:space="preserve">AUD-D2-Q05</x:t>
        </x:is>
      </x:c>
      <x:c r="C696" t="inlineStr">
        <x:is>
          <x:t xml:space="preserve">T2</x:t>
        </x:is>
      </x:c>
      <x:c r="D696" t="inlineStr">
        <x:is>
          <x:t xml:space="preserve">9. Performance &amp; Reporting</x:t>
        </x:is>
      </x:c>
      <x:c r="E696" t="inlineStr">
        <x:is>
          <x:t xml:space="preserve">G</x:t>
        </x:is>
      </x:c>
      <x:c r="F696" t="n">
        <x:v>0.6</x:v>
      </x:c>
      <x:c r="G696" t="inlineStr">
        <x:is>
          <x:t xml:space="preserve">R</x:t>
        </x:is>
      </x:c>
      <x:c r="H696" t="n">
        <x:v>0.4</x:v>
      </x:c>
      <x:c r="I696" t="inlineStr">
        <x:is>
          <x:t xml:space="preserve">Are insider-risk KPIs/KRIs reported to leadership in a way that drives decisions (not just vanity metrics)?</x:t>
        </x:is>
      </x:c>
      <x:c r="J696" t="inlineStr">
        <x:is>
          <x:t xml:space="preserve">Examples: time-to-contain, high-risk clusters, repeated bypass patterns, trust indicators, losses avoided.</x:t>
        </x:is>
      </x:c>
      <x:c r="L696" t="inlineStr">
        <x:is>
          <x:t xml:space="preserve">GOV_STD</x:t>
        </x:is>
      </x:c>
      <x:c r="M696" t="n">
        <x:v>1</x:v>
      </x:c>
      <x:c r="P696" t="inlineStr">
        <x:is>
          <x:t xml:space="preserve">AUD-D2-Q05-A0</x:t>
        </x:is>
      </x:c>
      <x:c r="Q696" t="n">
        <x:v>1</x:v>
      </x:c>
      <x:c r="R696" t="inlineStr">
        <x:is>
          <x:t xml:space="preserve">No: Reporting is inconsistent or purely technical.</x:t>
        </x:is>
      </x:c>
      <x:c r="S696" t="n">
        <x:v>0</x:v>
      </x:c>
      <x:c r="T696" t="inlineStr">
        <x:is>
          <x:t xml:space="preserve">paper_dragon_signal</x:t>
        </x:is>
      </x:c>
      <x:c r="U696" t="inlineStr">
        <x:is>
          <x:t xml:space="preserve">Paper Dragon</x:t>
        </x:is>
      </x:c>
      <x:c r="V696" t="inlineStr">
        <x:is>
          <x:t xml:space="preserve">Improve_KRIs</x:t>
        </x:is>
      </x:c>
      <x:c r="W696" t="inlineStr">
        <x:is>
          <x:t xml:space="preserve">N</x:t>
        </x:is>
      </x:c>
      <x:c r="Y696">
        <x:f>(S696*IF(E696="G",F696,0))+(S696*IF(G696="G",H696,0))</x:f>
      </x:c>
      <x:c r="Z696">
        <x:f>(S696*IF(E696="E",F696,0))+(S696*IF(G696="E",H696,0))</x:f>
      </x:c>
      <x:c r="AA696">
        <x:f>(S696*IF(E696="T",F696,0))+(S696*IF(G696="T",H696,0))</x:f>
      </x:c>
      <x:c r="AB696">
        <x:f>(S696*IF(E696="L",F696,0))+(S696*IF(G696="L",H696,0))</x:f>
      </x:c>
      <x:c r="AC696">
        <x:f>(S696*IF(E696="H",F696,0))+(S696*IF(G696="H",H696,0))</x:f>
      </x:c>
      <x:c r="AD696">
        <x:f>(S696*IF(E696="V",F696,0))+(S696*IF(G696="V",H696,0))</x:f>
      </x:c>
      <x:c r="AE696">
        <x:f>(S696*IF(E696="R",F696,0))+(S696*IF(G696="R",H696,0))</x:f>
      </x:c>
      <x:c r="AF696">
        <x:f>(S696*IF(E696="F",F696,0))+(S696*IF(G696="F",H696,0))</x:f>
      </x:c>
      <x:c r="AG696">
        <x:f>(S696*IF(E696="W",F696,0))+(S696*IF(G696="W",H696,0))</x:f>
      </x:c>
      <x:c r="AH696" t="inlineStr">
        <x:is>
          <x:t xml:space="preserve">5. Human-Centric Culture</x:t>
        </x:is>
      </x:c>
      <x:c r="AI696" t="inlineStr">
        <x:is>
          <x:t xml:space="preserve">Personnel Security</x:t>
        </x:is>
      </x:c>
      <x:c r="AJ696" t="inlineStr">
        <x:is>
          <x:t xml:space="preserve">High-Risk Role Identification &amp; Control Tiers</x:t>
        </x:is>
      </x:c>
    </x:row>
    <x:row r="697">
      <x:c r="A697" t="inlineStr">
        <x:is>
          <x:t xml:space="preserve">RiskAudit</x:t>
        </x:is>
      </x:c>
      <x:c r="B697" t="inlineStr">
        <x:is>
          <x:t xml:space="preserve">AUD-D2-Q05</x:t>
        </x:is>
      </x:c>
      <x:c r="C697" t="inlineStr">
        <x:is>
          <x:t xml:space="preserve">T2</x:t>
        </x:is>
      </x:c>
      <x:c r="D697" t="inlineStr">
        <x:is>
          <x:t xml:space="preserve">9. Performance &amp; Reporting</x:t>
        </x:is>
      </x:c>
      <x:c r="E697" t="inlineStr">
        <x:is>
          <x:t xml:space="preserve">G</x:t>
        </x:is>
      </x:c>
      <x:c r="F697" t="n">
        <x:v>0.6</x:v>
      </x:c>
      <x:c r="G697" t="inlineStr">
        <x:is>
          <x:t xml:space="preserve">R</x:t>
        </x:is>
      </x:c>
      <x:c r="H697" t="n">
        <x:v>0.4</x:v>
      </x:c>
      <x:c r="I697" t="inlineStr">
        <x:is>
          <x:t xml:space="preserve">Are insider-risk KPIs/KRIs reported to leadership in a way that drives decisions (not just vanity metrics)?</x:t>
        </x:is>
      </x:c>
      <x:c r="J697" t="inlineStr">
        <x:is>
          <x:t xml:space="preserve">Examples: time-to-contain, high-risk clusters, repeated bypass patterns, trust indicators, losses avoided.</x:t>
        </x:is>
      </x:c>
      <x:c r="L697" t="inlineStr">
        <x:is>
          <x:t xml:space="preserve">GOV_STD</x:t>
        </x:is>
      </x:c>
      <x:c r="M697" t="n">
        <x:v>1</x:v>
      </x:c>
      <x:c r="P697" t="inlineStr">
        <x:is>
          <x:t xml:space="preserve">AUD-D2-Q05-A1</x:t>
        </x:is>
      </x:c>
      <x:c r="Q697" t="n">
        <x:v>2</x:v>
      </x:c>
      <x:c r="R697" t="inlineStr">
        <x:is>
          <x:t xml:space="preserve">Some: Occasional reporting but it doesn’t influence decisions.</x:t>
        </x:is>
      </x:c>
      <x:c r="S697" t="n">
        <x:v>1</x:v>
      </x:c>
      <x:c r="T697" t="inlineStr">
        <x:is>
          <x:t xml:space="preserve">operating_model_gap</x:t>
        </x:is>
      </x:c>
      <x:c r="U697" t="inlineStr">
        <x:is>
          <x:t xml:space="preserve">Operating Model Gap</x:t>
        </x:is>
      </x:c>
      <x:c r="V697" t="inlineStr">
        <x:is>
          <x:t xml:space="preserve">Decision_Oriented_Reporting</x:t>
        </x:is>
      </x:c>
      <x:c r="W697" t="inlineStr">
        <x:is>
          <x:t xml:space="preserve">N</x:t>
        </x:is>
      </x:c>
      <x:c r="Y697">
        <x:f>(S697*IF(E697="G",F697,0))+(S697*IF(G697="G",H697,0))</x:f>
      </x:c>
      <x:c r="Z697">
        <x:f>(S697*IF(E697="E",F697,0))+(S697*IF(G697="E",H697,0))</x:f>
      </x:c>
      <x:c r="AA697">
        <x:f>(S697*IF(E697="T",F697,0))+(S697*IF(G697="T",H697,0))</x:f>
      </x:c>
      <x:c r="AB697">
        <x:f>(S697*IF(E697="L",F697,0))+(S697*IF(G697="L",H697,0))</x:f>
      </x:c>
      <x:c r="AC697">
        <x:f>(S697*IF(E697="H",F697,0))+(S697*IF(G697="H",H697,0))</x:f>
      </x:c>
      <x:c r="AD697">
        <x:f>(S697*IF(E697="V",F697,0))+(S697*IF(G697="V",H697,0))</x:f>
      </x:c>
      <x:c r="AE697">
        <x:f>(S697*IF(E697="R",F697,0))+(S697*IF(G697="R",H697,0))</x:f>
      </x:c>
      <x:c r="AF697">
        <x:f>(S697*IF(E697="F",F697,0))+(S697*IF(G697="F",H697,0))</x:f>
      </x:c>
      <x:c r="AG697">
        <x:f>(S697*IF(E697="W",F697,0))+(S697*IF(G697="W",H697,0))</x:f>
      </x:c>
      <x:c r="AH697" t="inlineStr">
        <x:is>
          <x:t xml:space="preserve">5. Human-Centric Culture</x:t>
        </x:is>
      </x:c>
      <x:c r="AI697" t="inlineStr">
        <x:is>
          <x:t xml:space="preserve">Personnel Security</x:t>
        </x:is>
      </x:c>
      <x:c r="AJ697" t="inlineStr">
        <x:is>
          <x:t xml:space="preserve">High-Risk Role Identification &amp; Control Tiers</x:t>
        </x:is>
      </x:c>
    </x:row>
    <x:row r="698">
      <x:c r="A698" t="inlineStr">
        <x:is>
          <x:t xml:space="preserve">RiskAudit</x:t>
        </x:is>
      </x:c>
      <x:c r="B698" t="inlineStr">
        <x:is>
          <x:t xml:space="preserve">AUD-D2-Q05</x:t>
        </x:is>
      </x:c>
      <x:c r="C698" t="inlineStr">
        <x:is>
          <x:t xml:space="preserve">T2</x:t>
        </x:is>
      </x:c>
      <x:c r="D698" t="inlineStr">
        <x:is>
          <x:t xml:space="preserve">9. Performance &amp; Reporting</x:t>
        </x:is>
      </x:c>
      <x:c r="E698" t="inlineStr">
        <x:is>
          <x:t xml:space="preserve">G</x:t>
        </x:is>
      </x:c>
      <x:c r="F698" t="n">
        <x:v>0.6</x:v>
      </x:c>
      <x:c r="G698" t="inlineStr">
        <x:is>
          <x:t xml:space="preserve">R</x:t>
        </x:is>
      </x:c>
      <x:c r="H698" t="n">
        <x:v>0.4</x:v>
      </x:c>
      <x:c r="I698" t="inlineStr">
        <x:is>
          <x:t xml:space="preserve">Are insider-risk KPIs/KRIs reported to leadership in a way that drives decisions (not just vanity metrics)?</x:t>
        </x:is>
      </x:c>
      <x:c r="J698" t="inlineStr">
        <x:is>
          <x:t xml:space="preserve">Examples: time-to-contain, high-risk clusters, repeated bypass patterns, trust indicators, losses avoided.</x:t>
        </x:is>
      </x:c>
      <x:c r="L698" t="inlineStr">
        <x:is>
          <x:t xml:space="preserve">GOV_STD</x:t>
        </x:is>
      </x:c>
      <x:c r="M698" t="n">
        <x:v>1</x:v>
      </x:c>
      <x:c r="P698" t="inlineStr">
        <x:is>
          <x:t xml:space="preserve">AUD-D2-Q05-A2</x:t>
        </x:is>
      </x:c>
      <x:c r="Q698" t="n">
        <x:v>3</x:v>
      </x:c>
      <x:c r="R698" t="inlineStr">
        <x:is>
          <x:t xml:space="preserve">Yes: Regular leadership reporting with clear actions/owners.</x:t>
        </x:is>
      </x:c>
      <x:c r="S698" t="n">
        <x:v>3</x:v>
      </x:c>
      <x:c r="V698" t="inlineStr">
        <x:is>
          <x:t xml:space="preserve">Evidence_Request_KRI</x:t>
        </x:is>
      </x:c>
      <x:c r="W698" t="inlineStr">
        <x:is>
          <x:t xml:space="preserve">N</x:t>
        </x:is>
      </x:c>
      <x:c r="Y698">
        <x:f>(S698*IF(E698="G",F698,0))+(S698*IF(G698="G",H698,0))</x:f>
      </x:c>
      <x:c r="Z698">
        <x:f>(S698*IF(E698="E",F698,0))+(S698*IF(G698="E",H698,0))</x:f>
      </x:c>
      <x:c r="AA698">
        <x:f>(S698*IF(E698="T",F698,0))+(S698*IF(G698="T",H698,0))</x:f>
      </x:c>
      <x:c r="AB698">
        <x:f>(S698*IF(E698="L",F698,0))+(S698*IF(G698="L",H698,0))</x:f>
      </x:c>
      <x:c r="AC698">
        <x:f>(S698*IF(E698="H",F698,0))+(S698*IF(G698="H",H698,0))</x:f>
      </x:c>
      <x:c r="AD698">
        <x:f>(S698*IF(E698="V",F698,0))+(S698*IF(G698="V",H698,0))</x:f>
      </x:c>
      <x:c r="AE698">
        <x:f>(S698*IF(E698="R",F698,0))+(S698*IF(G698="R",H698,0))</x:f>
      </x:c>
      <x:c r="AF698">
        <x:f>(S698*IF(E698="F",F698,0))+(S698*IF(G698="F",H698,0))</x:f>
      </x:c>
      <x:c r="AG698">
        <x:f>(S698*IF(E698="W",F698,0))+(S698*IF(G698="W",H698,0))</x:f>
      </x:c>
      <x:c r="AH698" t="inlineStr">
        <x:is>
          <x:t xml:space="preserve">5. Human-Centric Culture</x:t>
        </x:is>
      </x:c>
      <x:c r="AI698" t="inlineStr">
        <x:is>
          <x:t xml:space="preserve">Personnel Security</x:t>
        </x:is>
      </x:c>
      <x:c r="AJ698" t="inlineStr">
        <x:is>
          <x:t xml:space="preserve">High-Risk Role Identification &amp; Control Tiers</x:t>
        </x:is>
      </x:c>
    </x:row>
    <x:row r="699">
      <x:c r="A699" t="inlineStr">
        <x:is>
          <x:t xml:space="preserve">RiskAudit</x:t>
        </x:is>
      </x:c>
      <x:c r="B699" t="inlineStr">
        <x:is>
          <x:t xml:space="preserve">AUD-D2-Q05</x:t>
        </x:is>
      </x:c>
      <x:c r="C699" t="inlineStr">
        <x:is>
          <x:t xml:space="preserve">T2</x:t>
        </x:is>
      </x:c>
      <x:c r="D699" t="inlineStr">
        <x:is>
          <x:t xml:space="preserve">9. Performance &amp; Reporting</x:t>
        </x:is>
      </x:c>
      <x:c r="E699" t="inlineStr">
        <x:is>
          <x:t xml:space="preserve">G</x:t>
        </x:is>
      </x:c>
      <x:c r="F699" t="n">
        <x:v>0.6</x:v>
      </x:c>
      <x:c r="G699" t="inlineStr">
        <x:is>
          <x:t xml:space="preserve">R</x:t>
        </x:is>
      </x:c>
      <x:c r="H699" t="n">
        <x:v>0.4</x:v>
      </x:c>
      <x:c r="I699" t="inlineStr">
        <x:is>
          <x:t xml:space="preserve">Are insider-risk KPIs/KRIs reported to leadership in a way that drives decisions (not just vanity metrics)?</x:t>
        </x:is>
      </x:c>
      <x:c r="J699" t="inlineStr">
        <x:is>
          <x:t xml:space="preserve">Examples: time-to-contain, high-risk clusters, repeated bypass patterns, trust indicators, losses avoided.</x:t>
        </x:is>
      </x:c>
      <x:c r="L699" t="inlineStr">
        <x:is>
          <x:t xml:space="preserve">GOV_STD</x:t>
        </x:is>
      </x:c>
      <x:c r="M699" t="n">
        <x:v>1</x:v>
      </x:c>
      <x:c r="P699" t="inlineStr">
        <x:is>
          <x:t xml:space="preserve">AUD-D2-Q05-A3</x:t>
        </x:is>
      </x:c>
      <x:c r="Q699" t="n">
        <x:v>4</x:v>
      </x:c>
      <x:c r="R699" t="inlineStr">
        <x:is>
          <x:t xml:space="preserve">Mature: Metrics tied to risk appetite and investment priorities; trend-based.</x:t>
        </x:is>
      </x:c>
      <x:c r="S699" t="n">
        <x:v>4</x:v>
      </x:c>
      <x:c r="V699" t="inlineStr">
        <x:is>
          <x:t xml:space="preserve">Maintain_and_Audit</x:t>
        </x:is>
      </x:c>
      <x:c r="W699" t="inlineStr">
        <x:is>
          <x:t xml:space="preserve">N</x:t>
        </x:is>
      </x:c>
      <x:c r="Y699">
        <x:f>(S699*IF(E699="G",F699,0))+(S699*IF(G699="G",H699,0))</x:f>
      </x:c>
      <x:c r="Z699">
        <x:f>(S699*IF(E699="E",F699,0))+(S699*IF(G699="E",H699,0))</x:f>
      </x:c>
      <x:c r="AA699">
        <x:f>(S699*IF(E699="T",F699,0))+(S699*IF(G699="T",H699,0))</x:f>
      </x:c>
      <x:c r="AB699">
        <x:f>(S699*IF(E699="L",F699,0))+(S699*IF(G699="L",H699,0))</x:f>
      </x:c>
      <x:c r="AC699">
        <x:f>(S699*IF(E699="H",F699,0))+(S699*IF(G699="H",H699,0))</x:f>
      </x:c>
      <x:c r="AD699">
        <x:f>(S699*IF(E699="V",F699,0))+(S699*IF(G699="V",H699,0))</x:f>
      </x:c>
      <x:c r="AE699">
        <x:f>(S699*IF(E699="R",F699,0))+(S699*IF(G699="R",H699,0))</x:f>
      </x:c>
      <x:c r="AF699">
        <x:f>(S699*IF(E699="F",F699,0))+(S699*IF(G699="F",H699,0))</x:f>
      </x:c>
      <x:c r="AG699">
        <x:f>(S699*IF(E699="W",F699,0))+(S699*IF(G699="W",H699,0))</x:f>
      </x:c>
      <x:c r="AH699" t="inlineStr">
        <x:is>
          <x:t xml:space="preserve">5. Human-Centric Culture</x:t>
        </x:is>
      </x:c>
      <x:c r="AI699" t="inlineStr">
        <x:is>
          <x:t xml:space="preserve">Personnel Security</x:t>
        </x:is>
      </x:c>
      <x:c r="AJ699" t="inlineStr">
        <x:is>
          <x:t xml:space="preserve">High-Risk Role Identification &amp; Control Tiers</x:t>
        </x:is>
      </x:c>
    </x:row>
    <x:row r="700">
      <x:c r="A700" t="inlineStr">
        <x:is>
          <x:t xml:space="preserve">RiskAudit</x:t>
        </x:is>
      </x:c>
      <x:c r="B700" t="inlineStr">
        <x:is>
          <x:t xml:space="preserve">AUD-D3-Q06</x:t>
        </x:is>
      </x:c>
      <x:c r="C700" t="inlineStr">
        <x:is>
          <x:t xml:space="preserve">T1</x:t>
        </x:is>
      </x:c>
      <x:c r="D700" t="inlineStr">
        <x:is>
          <x:t xml:space="preserve">2. Threat &amp; Change Events</x:t>
        </x:is>
      </x:c>
      <x:c r="E700" t="inlineStr">
        <x:is>
          <x:t xml:space="preserve">W</x:t>
        </x:is>
      </x:c>
      <x:c r="F700" t="n">
        <x:v>0.7</x:v>
      </x:c>
      <x:c r="G700" t="inlineStr">
        <x:is>
          <x:t xml:space="preserve">G</x:t>
        </x:is>
      </x:c>
      <x:c r="H700" t="n">
        <x:v>0.3</x:v>
      </x:c>
      <x:c r="I700" t="inlineStr">
        <x:is>
          <x:t xml:space="preserve">Are major change events (M&amp;A, layoffs, re-org, outsourcing) assessed for control lag and insider risk impact?</x:t>
        </x:is>
      </x:c>
      <x:c r="J700" t="inlineStr">
        <x:is>
          <x:t xml:space="preserve">Look for: pre-change checklist + post-change validation.</x:t>
        </x:is>
      </x:c>
      <x:c r="L700" t="inlineStr">
        <x:is>
          <x:t xml:space="preserve">RISK_STD</x:t>
        </x:is>
      </x:c>
      <x:c r="M700" t="n">
        <x:v>1.2</x:v>
      </x:c>
      <x:c r="P700" t="inlineStr">
        <x:is>
          <x:t xml:space="preserve">AUD-D3-Q06-A0</x:t>
        </x:is>
      </x:c>
      <x:c r="Q700" t="n">
        <x:v>1</x:v>
      </x:c>
      <x:c r="R700" t="inlineStr">
        <x:is>
          <x:t xml:space="preserve">No: Change events are handled operationally; risk controls lag behind.</x:t>
        </x:is>
      </x:c>
      <x:c r="S700" t="n">
        <x:v>0</x:v>
      </x:c>
      <x:c r="T700" t="inlineStr">
        <x:is>
          <x:t xml:space="preserve">control_lag</x:t>
        </x:is>
      </x:c>
      <x:c r="U700" t="inlineStr">
        <x:is>
          <x:t xml:space="preserve">Control Lag</x:t>
        </x:is>
      </x:c>
      <x:c r="V700" t="inlineStr">
        <x:is>
          <x:t xml:space="preserve">Change_Risk_Assessment</x:t>
        </x:is>
      </x:c>
      <x:c r="W700" t="inlineStr">
        <x:is>
          <x:t xml:space="preserve">N</x:t>
        </x:is>
      </x:c>
      <x:c r="Y700">
        <x:f>(S700*IF(E700="G",F700,0))+(S700*IF(G700="G",H700,0))</x:f>
      </x:c>
      <x:c r="Z700">
        <x:f>(S700*IF(E700="E",F700,0))+(S700*IF(G700="E",H700,0))</x:f>
      </x:c>
      <x:c r="AA700">
        <x:f>(S700*IF(E700="T",F700,0))+(S700*IF(G700="T",H700,0))</x:f>
      </x:c>
      <x:c r="AB700">
        <x:f>(S700*IF(E700="L",F700,0))+(S700*IF(G700="L",H700,0))</x:f>
      </x:c>
      <x:c r="AC700">
        <x:f>(S700*IF(E700="H",F700,0))+(S700*IF(G700="H",H700,0))</x:f>
      </x:c>
      <x:c r="AD700">
        <x:f>(S700*IF(E700="V",F700,0))+(S700*IF(G700="V",H700,0))</x:f>
      </x:c>
      <x:c r="AE700">
        <x:f>(S700*IF(E700="R",F700,0))+(S700*IF(G700="R",H700,0))</x:f>
      </x:c>
      <x:c r="AF700">
        <x:f>(S700*IF(E700="F",F700,0))+(S700*IF(G700="F",H700,0))</x:f>
      </x:c>
      <x:c r="AG700">
        <x:f>(S700*IF(E700="W",F700,0))+(S700*IF(G700="W",H700,0))</x:f>
      </x:c>
      <x:c r="AH700" t="inlineStr">
        <x:is>
          <x:t xml:space="preserve">9. Performance &amp; Resilience</x:t>
        </x:is>
      </x:c>
      <x:c r="AI700" t="inlineStr">
        <x:is>
          <x:t xml:space="preserve">Assurance &amp; Metrics</x:t>
        </x:is>
      </x:c>
      <x:c r="AJ700" t="inlineStr">
        <x:is>
          <x:t xml:space="preserve">Control testing &amp; continuous assurance</x:t>
        </x:is>
      </x:c>
    </x:row>
    <x:row r="701">
      <x:c r="A701" t="inlineStr">
        <x:is>
          <x:t xml:space="preserve">RiskAudit</x:t>
        </x:is>
      </x:c>
      <x:c r="B701" t="inlineStr">
        <x:is>
          <x:t xml:space="preserve">AUD-D3-Q06</x:t>
        </x:is>
      </x:c>
      <x:c r="C701" t="inlineStr">
        <x:is>
          <x:t xml:space="preserve">T1</x:t>
        </x:is>
      </x:c>
      <x:c r="D701" t="inlineStr">
        <x:is>
          <x:t xml:space="preserve">2. Threat &amp; Change Events</x:t>
        </x:is>
      </x:c>
      <x:c r="E701" t="inlineStr">
        <x:is>
          <x:t xml:space="preserve">W</x:t>
        </x:is>
      </x:c>
      <x:c r="F701" t="n">
        <x:v>0.7</x:v>
      </x:c>
      <x:c r="G701" t="inlineStr">
        <x:is>
          <x:t xml:space="preserve">G</x:t>
        </x:is>
      </x:c>
      <x:c r="H701" t="n">
        <x:v>0.3</x:v>
      </x:c>
      <x:c r="I701" t="inlineStr">
        <x:is>
          <x:t xml:space="preserve">Are major change events (M&amp;A, layoffs, re-org, outsourcing) assessed for control lag and insider risk impact?</x:t>
        </x:is>
      </x:c>
      <x:c r="J701" t="inlineStr">
        <x:is>
          <x:t xml:space="preserve">Look for: pre-change checklist + post-change validation.</x:t>
        </x:is>
      </x:c>
      <x:c r="L701" t="inlineStr">
        <x:is>
          <x:t xml:space="preserve">RISK_STD</x:t>
        </x:is>
      </x:c>
      <x:c r="M701" t="n">
        <x:v>1.2</x:v>
      </x:c>
      <x:c r="P701" t="inlineStr">
        <x:is>
          <x:t xml:space="preserve">AUD-D3-Q06-A1</x:t>
        </x:is>
      </x:c>
      <x:c r="Q701" t="n">
        <x:v>2</x:v>
      </x:c>
      <x:c r="R701" t="inlineStr">
        <x:is>
          <x:t xml:space="preserve">Ad-hoc: Some events trigger reviews, but criteria vary.</x:t>
        </x:is>
      </x:c>
      <x:c r="S701" t="n">
        <x:v>1</x:v>
      </x:c>
      <x:c r="T701" t="inlineStr">
        <x:is>
          <x:t xml:space="preserve">operating_model_gap</x:t>
        </x:is>
      </x:c>
      <x:c r="U701" t="inlineStr">
        <x:is>
          <x:t xml:space="preserve">Operating Model Gap</x:t>
        </x:is>
      </x:c>
      <x:c r="V701" t="inlineStr">
        <x:is>
          <x:t xml:space="preserve">Standardize_Change_Risk</x:t>
        </x:is>
      </x:c>
      <x:c r="W701" t="inlineStr">
        <x:is>
          <x:t xml:space="preserve">N</x:t>
        </x:is>
      </x:c>
      <x:c r="Y701">
        <x:f>(S701*IF(E701="G",F701,0))+(S701*IF(G701="G",H701,0))</x:f>
      </x:c>
      <x:c r="Z701">
        <x:f>(S701*IF(E701="E",F701,0))+(S701*IF(G701="E",H701,0))</x:f>
      </x:c>
      <x:c r="AA701">
        <x:f>(S701*IF(E701="T",F701,0))+(S701*IF(G701="T",H701,0))</x:f>
      </x:c>
      <x:c r="AB701">
        <x:f>(S701*IF(E701="L",F701,0))+(S701*IF(G701="L",H701,0))</x:f>
      </x:c>
      <x:c r="AC701">
        <x:f>(S701*IF(E701="H",F701,0))+(S701*IF(G701="H",H701,0))</x:f>
      </x:c>
      <x:c r="AD701">
        <x:f>(S701*IF(E701="V",F701,0))+(S701*IF(G701="V",H701,0))</x:f>
      </x:c>
      <x:c r="AE701">
        <x:f>(S701*IF(E701="R",F701,0))+(S701*IF(G701="R",H701,0))</x:f>
      </x:c>
      <x:c r="AF701">
        <x:f>(S701*IF(E701="F",F701,0))+(S701*IF(G701="F",H701,0))</x:f>
      </x:c>
      <x:c r="AG701">
        <x:f>(S701*IF(E701="W",F701,0))+(S701*IF(G701="W",H701,0))</x:f>
      </x:c>
      <x:c r="AH701" t="inlineStr">
        <x:is>
          <x:t xml:space="preserve">9. Performance &amp; Resilience</x:t>
        </x:is>
      </x:c>
      <x:c r="AI701" t="inlineStr">
        <x:is>
          <x:t xml:space="preserve">Assurance &amp; Metrics</x:t>
        </x:is>
      </x:c>
      <x:c r="AJ701" t="inlineStr">
        <x:is>
          <x:t xml:space="preserve">Control testing &amp; continuous assurance</x:t>
        </x:is>
      </x:c>
    </x:row>
    <x:row r="702">
      <x:c r="A702" t="inlineStr">
        <x:is>
          <x:t xml:space="preserve">RiskAudit</x:t>
        </x:is>
      </x:c>
      <x:c r="B702" t="inlineStr">
        <x:is>
          <x:t xml:space="preserve">AUD-D3-Q06</x:t>
        </x:is>
      </x:c>
      <x:c r="C702" t="inlineStr">
        <x:is>
          <x:t xml:space="preserve">T1</x:t>
        </x:is>
      </x:c>
      <x:c r="D702" t="inlineStr">
        <x:is>
          <x:t xml:space="preserve">2. Threat &amp; Change Events</x:t>
        </x:is>
      </x:c>
      <x:c r="E702" t="inlineStr">
        <x:is>
          <x:t xml:space="preserve">W</x:t>
        </x:is>
      </x:c>
      <x:c r="F702" t="n">
        <x:v>0.7</x:v>
      </x:c>
      <x:c r="G702" t="inlineStr">
        <x:is>
          <x:t xml:space="preserve">G</x:t>
        </x:is>
      </x:c>
      <x:c r="H702" t="n">
        <x:v>0.3</x:v>
      </x:c>
      <x:c r="I702" t="inlineStr">
        <x:is>
          <x:t xml:space="preserve">Are major change events (M&amp;A, layoffs, re-org, outsourcing) assessed for control lag and insider risk impact?</x:t>
        </x:is>
      </x:c>
      <x:c r="J702" t="inlineStr">
        <x:is>
          <x:t xml:space="preserve">Look for: pre-change checklist + post-change validation.</x:t>
        </x:is>
      </x:c>
      <x:c r="L702" t="inlineStr">
        <x:is>
          <x:t xml:space="preserve">RISK_STD</x:t>
        </x:is>
      </x:c>
      <x:c r="M702" t="n">
        <x:v>1.2</x:v>
      </x:c>
      <x:c r="P702" t="inlineStr">
        <x:is>
          <x:t xml:space="preserve">AUD-D3-Q06-A2</x:t>
        </x:is>
      </x:c>
      <x:c r="Q702" t="n">
        <x:v>3</x:v>
      </x:c>
      <x:c r="R702" t="inlineStr">
        <x:is>
          <x:t xml:space="preserve">Yes: Standard assessment is used for major events.</x:t>
        </x:is>
      </x:c>
      <x:c r="S702" t="n">
        <x:v>3</x:v>
      </x:c>
      <x:c r="V702" t="inlineStr">
        <x:is>
          <x:t xml:space="preserve">Evidence_Request_Change_Risk</x:t>
        </x:is>
      </x:c>
      <x:c r="W702" t="inlineStr">
        <x:is>
          <x:t xml:space="preserve">N</x:t>
        </x:is>
      </x:c>
      <x:c r="Y702">
        <x:f>(S702*IF(E702="G",F702,0))+(S702*IF(G702="G",H702,0))</x:f>
      </x:c>
      <x:c r="Z702">
        <x:f>(S702*IF(E702="E",F702,0))+(S702*IF(G702="E",H702,0))</x:f>
      </x:c>
      <x:c r="AA702">
        <x:f>(S702*IF(E702="T",F702,0))+(S702*IF(G702="T",H702,0))</x:f>
      </x:c>
      <x:c r="AB702">
        <x:f>(S702*IF(E702="L",F702,0))+(S702*IF(G702="L",H702,0))</x:f>
      </x:c>
      <x:c r="AC702">
        <x:f>(S702*IF(E702="H",F702,0))+(S702*IF(G702="H",H702,0))</x:f>
      </x:c>
      <x:c r="AD702">
        <x:f>(S702*IF(E702="V",F702,0))+(S702*IF(G702="V",H702,0))</x:f>
      </x:c>
      <x:c r="AE702">
        <x:f>(S702*IF(E702="R",F702,0))+(S702*IF(G702="R",H702,0))</x:f>
      </x:c>
      <x:c r="AF702">
        <x:f>(S702*IF(E702="F",F702,0))+(S702*IF(G702="F",H702,0))</x:f>
      </x:c>
      <x:c r="AG702">
        <x:f>(S702*IF(E702="W",F702,0))+(S702*IF(G702="W",H702,0))</x:f>
      </x:c>
      <x:c r="AH702" t="inlineStr">
        <x:is>
          <x:t xml:space="preserve">9. Performance &amp; Resilience</x:t>
        </x:is>
      </x:c>
      <x:c r="AI702" t="inlineStr">
        <x:is>
          <x:t xml:space="preserve">Assurance &amp; Metrics</x:t>
        </x:is>
      </x:c>
      <x:c r="AJ702" t="inlineStr">
        <x:is>
          <x:t xml:space="preserve">Control testing &amp; continuous assurance</x:t>
        </x:is>
      </x:c>
    </x:row>
    <x:row r="703">
      <x:c r="A703" t="inlineStr">
        <x:is>
          <x:t xml:space="preserve">RiskAudit</x:t>
        </x:is>
      </x:c>
      <x:c r="B703" t="inlineStr">
        <x:is>
          <x:t xml:space="preserve">AUD-D3-Q06</x:t>
        </x:is>
      </x:c>
      <x:c r="C703" t="inlineStr">
        <x:is>
          <x:t xml:space="preserve">T1</x:t>
        </x:is>
      </x:c>
      <x:c r="D703" t="inlineStr">
        <x:is>
          <x:t xml:space="preserve">2. Threat &amp; Change Events</x:t>
        </x:is>
      </x:c>
      <x:c r="E703" t="inlineStr">
        <x:is>
          <x:t xml:space="preserve">W</x:t>
        </x:is>
      </x:c>
      <x:c r="F703" t="n">
        <x:v>0.7</x:v>
      </x:c>
      <x:c r="G703" t="inlineStr">
        <x:is>
          <x:t xml:space="preserve">G</x:t>
        </x:is>
      </x:c>
      <x:c r="H703" t="n">
        <x:v>0.3</x:v>
      </x:c>
      <x:c r="I703" t="inlineStr">
        <x:is>
          <x:t xml:space="preserve">Are major change events (M&amp;A, layoffs, re-org, outsourcing) assessed for control lag and insider risk impact?</x:t>
        </x:is>
      </x:c>
      <x:c r="J703" t="inlineStr">
        <x:is>
          <x:t xml:space="preserve">Look for: pre-change checklist + post-change validation.</x:t>
        </x:is>
      </x:c>
      <x:c r="L703" t="inlineStr">
        <x:is>
          <x:t xml:space="preserve">RISK_STD</x:t>
        </x:is>
      </x:c>
      <x:c r="M703" t="n">
        <x:v>1.2</x:v>
      </x:c>
      <x:c r="P703" t="inlineStr">
        <x:is>
          <x:t xml:space="preserve">AUD-D3-Q06-A3</x:t>
        </x:is>
      </x:c>
      <x:c r="Q703" t="n">
        <x:v>4</x:v>
      </x:c>
      <x:c r="R703" t="inlineStr">
        <x:is>
          <x:t xml:space="preserve">Mature: Automated triggers + measured lag time + continuous improvement.</x:t>
        </x:is>
      </x:c>
      <x:c r="S703" t="n">
        <x:v>4</x:v>
      </x:c>
      <x:c r="V703" t="inlineStr">
        <x:is>
          <x:t xml:space="preserve">Maintain_and_Audit</x:t>
        </x:is>
      </x:c>
      <x:c r="W703" t="inlineStr">
        <x:is>
          <x:t xml:space="preserve">N</x:t>
        </x:is>
      </x:c>
      <x:c r="Y703">
        <x:f>(S703*IF(E703="G",F703,0))+(S703*IF(G703="G",H703,0))</x:f>
      </x:c>
      <x:c r="Z703">
        <x:f>(S703*IF(E703="E",F703,0))+(S703*IF(G703="E",H703,0))</x:f>
      </x:c>
      <x:c r="AA703">
        <x:f>(S703*IF(E703="T",F703,0))+(S703*IF(G703="T",H703,0))</x:f>
      </x:c>
      <x:c r="AB703">
        <x:f>(S703*IF(E703="L",F703,0))+(S703*IF(G703="L",H703,0))</x:f>
      </x:c>
      <x:c r="AC703">
        <x:f>(S703*IF(E703="H",F703,0))+(S703*IF(G703="H",H703,0))</x:f>
      </x:c>
      <x:c r="AD703">
        <x:f>(S703*IF(E703="V",F703,0))+(S703*IF(G703="V",H703,0))</x:f>
      </x:c>
      <x:c r="AE703">
        <x:f>(S703*IF(E703="R",F703,0))+(S703*IF(G703="R",H703,0))</x:f>
      </x:c>
      <x:c r="AF703">
        <x:f>(S703*IF(E703="F",F703,0))+(S703*IF(G703="F",H703,0))</x:f>
      </x:c>
      <x:c r="AG703">
        <x:f>(S703*IF(E703="W",F703,0))+(S703*IF(G703="W",H703,0))</x:f>
      </x:c>
      <x:c r="AH703" t="inlineStr">
        <x:is>
          <x:t xml:space="preserve">9. Performance &amp; Resilience</x:t>
        </x:is>
      </x:c>
      <x:c r="AI703" t="inlineStr">
        <x:is>
          <x:t xml:space="preserve">Assurance &amp; Metrics</x:t>
        </x:is>
      </x:c>
      <x:c r="AJ703" t="inlineStr">
        <x:is>
          <x:t xml:space="preserve">Control testing &amp; continuous assurance</x:t>
        </x:is>
      </x:c>
    </x:row>
    <x:row r="704">
      <x:c r="A704" t="inlineStr">
        <x:is>
          <x:t xml:space="preserve">RiskAudit</x:t>
        </x:is>
      </x:c>
      <x:c r="B704" t="inlineStr">
        <x:is>
          <x:t xml:space="preserve">AUD-D3-Q07</x:t>
        </x:is>
      </x:c>
      <x:c r="C704" t="inlineStr">
        <x:is>
          <x:t xml:space="preserve">T2</x:t>
        </x:is>
      </x:c>
      <x:c r="D704" t="inlineStr">
        <x:is>
          <x:t xml:space="preserve">4. Legal &amp; Privacy</x:t>
        </x:is>
      </x:c>
      <x:c r="E704" t="inlineStr">
        <x:is>
          <x:t xml:space="preserve">L</x:t>
        </x:is>
      </x:c>
      <x:c r="F704" t="n">
        <x:v>0.7</x:v>
      </x:c>
      <x:c r="G704" t="inlineStr">
        <x:is>
          <x:t xml:space="preserve">G</x:t>
        </x:is>
      </x:c>
      <x:c r="H704" t="n">
        <x:v>0.3</x:v>
      </x:c>
      <x:c r="I704" t="inlineStr">
        <x:is>
          <x:t xml:space="preserve">Is there independent review of monitoring legality and proportionality (beyond the program team)?</x:t>
        </x:is>
      </x:c>
      <x:c r="J704" t="inlineStr">
        <x:is>
          <x:t xml:space="preserve">Examples: privacy office, DPO, works council, legal, internal audit, or external counsel.</x:t>
        </x:is>
      </x:c>
      <x:c r="L704" t="inlineStr">
        <x:is>
          <x:t xml:space="preserve">LEG_STRICT</x:t>
        </x:is>
      </x:c>
      <x:c r="M704" t="n">
        <x:v>1.1</x:v>
      </x:c>
      <x:c r="P704" t="inlineStr">
        <x:is>
          <x:t xml:space="preserve">AUD-D3-Q07-A0</x:t>
        </x:is>
      </x:c>
      <x:c r="Q704" t="n">
        <x:v>1</x:v>
      </x:c>
      <x:c r="R704" t="inlineStr">
        <x:is>
          <x:t xml:space="preserve">No: The same team designs and approves monitoring.</x:t>
        </x:is>
      </x:c>
      <x:c r="S704" t="n">
        <x:v>0</x:v>
      </x:c>
      <x:c r="T704" t="inlineStr">
        <x:is>
          <x:t xml:space="preserve">legal_exposure</x:t>
        </x:is>
      </x:c>
      <x:c r="U704" t="inlineStr">
        <x:is>
          <x:t xml:space="preserve">Legal Exposure</x:t>
        </x:is>
      </x:c>
      <x:c r="V704" t="inlineStr">
        <x:is>
          <x:t xml:space="preserve">Independent_Review</x:t>
        </x:is>
      </x:c>
      <x:c r="W704" t="inlineStr">
        <x:is>
          <x:t xml:space="preserve">N</x:t>
        </x:is>
      </x:c>
      <x:c r="Y704">
        <x:f>(S704*IF(E704="G",F704,0))+(S704*IF(G704="G",H704,0))</x:f>
      </x:c>
      <x:c r="Z704">
        <x:f>(S704*IF(E704="E",F704,0))+(S704*IF(G704="E",H704,0))</x:f>
      </x:c>
      <x:c r="AA704">
        <x:f>(S704*IF(E704="T",F704,0))+(S704*IF(G704="T",H704,0))</x:f>
      </x:c>
      <x:c r="AB704">
        <x:f>(S704*IF(E704="L",F704,0))+(S704*IF(G704="L",H704,0))</x:f>
      </x:c>
      <x:c r="AC704">
        <x:f>(S704*IF(E704="H",F704,0))+(S704*IF(G704="H",H704,0))</x:f>
      </x:c>
      <x:c r="AD704">
        <x:f>(S704*IF(E704="V",F704,0))+(S704*IF(G704="V",H704,0))</x:f>
      </x:c>
      <x:c r="AE704">
        <x:f>(S704*IF(E704="R",F704,0))+(S704*IF(G704="R",H704,0))</x:f>
      </x:c>
      <x:c r="AF704">
        <x:f>(S704*IF(E704="F",F704,0))+(S704*IF(G704="F",H704,0))</x:f>
      </x:c>
      <x:c r="AG704">
        <x:f>(S704*IF(E704="W",F704,0))+(S704*IF(G704="W",H704,0))</x:f>
      </x:c>
      <x:c r="AH704" t="inlineStr">
        <x:is>
          <x:t xml:space="preserve">4. Legal, Privacy &amp; Ethics</x:t>
        </x:is>
      </x:c>
      <x:c r="AI704" t="inlineStr">
        <x:is>
          <x:t xml:space="preserve">Compliance &amp; Policy</x:t>
        </x:is>
      </x:c>
      <x:c r="AJ704" t="inlineStr">
        <x:is>
          <x:t xml:space="preserve">Works Council / Labor Alignment</x:t>
        </x:is>
      </x:c>
    </x:row>
    <x:row r="705">
      <x:c r="A705" t="inlineStr">
        <x:is>
          <x:t xml:space="preserve">RiskAudit</x:t>
        </x:is>
      </x:c>
      <x:c r="B705" t="inlineStr">
        <x:is>
          <x:t xml:space="preserve">AUD-D3-Q07</x:t>
        </x:is>
      </x:c>
      <x:c r="C705" t="inlineStr">
        <x:is>
          <x:t xml:space="preserve">T2</x:t>
        </x:is>
      </x:c>
      <x:c r="D705" t="inlineStr">
        <x:is>
          <x:t xml:space="preserve">4. Legal &amp; Privacy</x:t>
        </x:is>
      </x:c>
      <x:c r="E705" t="inlineStr">
        <x:is>
          <x:t xml:space="preserve">L</x:t>
        </x:is>
      </x:c>
      <x:c r="F705" t="n">
        <x:v>0.7</x:v>
      </x:c>
      <x:c r="G705" t="inlineStr">
        <x:is>
          <x:t xml:space="preserve">G</x:t>
        </x:is>
      </x:c>
      <x:c r="H705" t="n">
        <x:v>0.3</x:v>
      </x:c>
      <x:c r="I705" t="inlineStr">
        <x:is>
          <x:t xml:space="preserve">Is there independent review of monitoring legality and proportionality (beyond the program team)?</x:t>
        </x:is>
      </x:c>
      <x:c r="J705" t="inlineStr">
        <x:is>
          <x:t xml:space="preserve">Examples: privacy office, DPO, works council, legal, internal audit, or external counsel.</x:t>
        </x:is>
      </x:c>
      <x:c r="L705" t="inlineStr">
        <x:is>
          <x:t xml:space="preserve">LEG_STRICT</x:t>
        </x:is>
      </x:c>
      <x:c r="M705" t="n">
        <x:v>1.1</x:v>
      </x:c>
      <x:c r="P705" t="inlineStr">
        <x:is>
          <x:t xml:space="preserve">AUD-D3-Q07-A1</x:t>
        </x:is>
      </x:c>
      <x:c r="Q705" t="n">
        <x:v>2</x:v>
      </x:c>
      <x:c r="R705" t="inlineStr">
        <x:is>
          <x:t xml:space="preserve">Partial: Reviews happen sometimes but aren’t consistent or documented.</x:t>
        </x:is>
      </x:c>
      <x:c r="S705" t="n">
        <x:v>1</x:v>
      </x:c>
      <x:c r="T705" t="inlineStr">
        <x:is>
          <x:t xml:space="preserve">operating_model_gap</x:t>
        </x:is>
      </x:c>
      <x:c r="U705" t="inlineStr">
        <x:is>
          <x:t xml:space="preserve">Operating Model Gap</x:t>
        </x:is>
      </x:c>
      <x:c r="V705" t="inlineStr">
        <x:is>
          <x:t xml:space="preserve">Formalize_Independent_Review</x:t>
        </x:is>
      </x:c>
      <x:c r="W705" t="inlineStr">
        <x:is>
          <x:t xml:space="preserve">N</x:t>
        </x:is>
      </x:c>
      <x:c r="Y705">
        <x:f>(S705*IF(E705="G",F705,0))+(S705*IF(G705="G",H705,0))</x:f>
      </x:c>
      <x:c r="Z705">
        <x:f>(S705*IF(E705="E",F705,0))+(S705*IF(G705="E",H705,0))</x:f>
      </x:c>
      <x:c r="AA705">
        <x:f>(S705*IF(E705="T",F705,0))+(S705*IF(G705="T",H705,0))</x:f>
      </x:c>
      <x:c r="AB705">
        <x:f>(S705*IF(E705="L",F705,0))+(S705*IF(G705="L",H705,0))</x:f>
      </x:c>
      <x:c r="AC705">
        <x:f>(S705*IF(E705="H",F705,0))+(S705*IF(G705="H",H705,0))</x:f>
      </x:c>
      <x:c r="AD705">
        <x:f>(S705*IF(E705="V",F705,0))+(S705*IF(G705="V",H705,0))</x:f>
      </x:c>
      <x:c r="AE705">
        <x:f>(S705*IF(E705="R",F705,0))+(S705*IF(G705="R",H705,0))</x:f>
      </x:c>
      <x:c r="AF705">
        <x:f>(S705*IF(E705="F",F705,0))+(S705*IF(G705="F",H705,0))</x:f>
      </x:c>
      <x:c r="AG705">
        <x:f>(S705*IF(E705="W",F705,0))+(S705*IF(G705="W",H705,0))</x:f>
      </x:c>
      <x:c r="AH705" t="inlineStr">
        <x:is>
          <x:t xml:space="preserve">4. Legal, Privacy &amp; Ethics</x:t>
        </x:is>
      </x:c>
      <x:c r="AI705" t="inlineStr">
        <x:is>
          <x:t xml:space="preserve">Compliance &amp; Policy</x:t>
        </x:is>
      </x:c>
      <x:c r="AJ705" t="inlineStr">
        <x:is>
          <x:t xml:space="preserve">Works Council / Labor Alignment</x:t>
        </x:is>
      </x:c>
    </x:row>
    <x:row r="706">
      <x:c r="A706" t="inlineStr">
        <x:is>
          <x:t xml:space="preserve">RiskAudit</x:t>
        </x:is>
      </x:c>
      <x:c r="B706" t="inlineStr">
        <x:is>
          <x:t xml:space="preserve">AUD-D3-Q07</x:t>
        </x:is>
      </x:c>
      <x:c r="C706" t="inlineStr">
        <x:is>
          <x:t xml:space="preserve">T2</x:t>
        </x:is>
      </x:c>
      <x:c r="D706" t="inlineStr">
        <x:is>
          <x:t xml:space="preserve">4. Legal &amp; Privacy</x:t>
        </x:is>
      </x:c>
      <x:c r="E706" t="inlineStr">
        <x:is>
          <x:t xml:space="preserve">L</x:t>
        </x:is>
      </x:c>
      <x:c r="F706" t="n">
        <x:v>0.7</x:v>
      </x:c>
      <x:c r="G706" t="inlineStr">
        <x:is>
          <x:t xml:space="preserve">G</x:t>
        </x:is>
      </x:c>
      <x:c r="H706" t="n">
        <x:v>0.3</x:v>
      </x:c>
      <x:c r="I706" t="inlineStr">
        <x:is>
          <x:t xml:space="preserve">Is there independent review of monitoring legality and proportionality (beyond the program team)?</x:t>
        </x:is>
      </x:c>
      <x:c r="J706" t="inlineStr">
        <x:is>
          <x:t xml:space="preserve">Examples: privacy office, DPO, works council, legal, internal audit, or external counsel.</x:t>
        </x:is>
      </x:c>
      <x:c r="L706" t="inlineStr">
        <x:is>
          <x:t xml:space="preserve">LEG_STRICT</x:t>
        </x:is>
      </x:c>
      <x:c r="M706" t="n">
        <x:v>1.1</x:v>
      </x:c>
      <x:c r="P706" t="inlineStr">
        <x:is>
          <x:t xml:space="preserve">AUD-D3-Q07-A2</x:t>
        </x:is>
      </x:c>
      <x:c r="Q706" t="n">
        <x:v>3</x:v>
      </x:c>
      <x:c r="R706" t="inlineStr">
        <x:is>
          <x:t xml:space="preserve">Yes: Independent review is required for key monitoring changes.</x:t>
        </x:is>
      </x:c>
      <x:c r="S706" t="n">
        <x:v>3</x:v>
      </x:c>
      <x:c r="V706" t="inlineStr">
        <x:is>
          <x:t xml:space="preserve">Evidence_Request_Review</x:t>
        </x:is>
      </x:c>
      <x:c r="W706" t="inlineStr">
        <x:is>
          <x:t xml:space="preserve">N</x:t>
        </x:is>
      </x:c>
      <x:c r="Y706">
        <x:f>(S706*IF(E706="G",F706,0))+(S706*IF(G706="G",H706,0))</x:f>
      </x:c>
      <x:c r="Z706">
        <x:f>(S706*IF(E706="E",F706,0))+(S706*IF(G706="E",H706,0))</x:f>
      </x:c>
      <x:c r="AA706">
        <x:f>(S706*IF(E706="T",F706,0))+(S706*IF(G706="T",H706,0))</x:f>
      </x:c>
      <x:c r="AB706">
        <x:f>(S706*IF(E706="L",F706,0))+(S706*IF(G706="L",H706,0))</x:f>
      </x:c>
      <x:c r="AC706">
        <x:f>(S706*IF(E706="H",F706,0))+(S706*IF(G706="H",H706,0))</x:f>
      </x:c>
      <x:c r="AD706">
        <x:f>(S706*IF(E706="V",F706,0))+(S706*IF(G706="V",H706,0))</x:f>
      </x:c>
      <x:c r="AE706">
        <x:f>(S706*IF(E706="R",F706,0))+(S706*IF(G706="R",H706,0))</x:f>
      </x:c>
      <x:c r="AF706">
        <x:f>(S706*IF(E706="F",F706,0))+(S706*IF(G706="F",H706,0))</x:f>
      </x:c>
      <x:c r="AG706">
        <x:f>(S706*IF(E706="W",F706,0))+(S706*IF(G706="W",H706,0))</x:f>
      </x:c>
      <x:c r="AH706" t="inlineStr">
        <x:is>
          <x:t xml:space="preserve">4. Legal, Privacy &amp; Ethics</x:t>
        </x:is>
      </x:c>
      <x:c r="AI706" t="inlineStr">
        <x:is>
          <x:t xml:space="preserve">Compliance &amp; Policy</x:t>
        </x:is>
      </x:c>
      <x:c r="AJ706" t="inlineStr">
        <x:is>
          <x:t xml:space="preserve">Works Council / Labor Alignment</x:t>
        </x:is>
      </x:c>
    </x:row>
    <x:row r="707">
      <x:c r="A707" t="inlineStr">
        <x:is>
          <x:t xml:space="preserve">RiskAudit</x:t>
        </x:is>
      </x:c>
      <x:c r="B707" t="inlineStr">
        <x:is>
          <x:t xml:space="preserve">AUD-D3-Q07</x:t>
        </x:is>
      </x:c>
      <x:c r="C707" t="inlineStr">
        <x:is>
          <x:t xml:space="preserve">T2</x:t>
        </x:is>
      </x:c>
      <x:c r="D707" t="inlineStr">
        <x:is>
          <x:t xml:space="preserve">4. Legal &amp; Privacy</x:t>
        </x:is>
      </x:c>
      <x:c r="E707" t="inlineStr">
        <x:is>
          <x:t xml:space="preserve">L</x:t>
        </x:is>
      </x:c>
      <x:c r="F707" t="n">
        <x:v>0.7</x:v>
      </x:c>
      <x:c r="G707" t="inlineStr">
        <x:is>
          <x:t xml:space="preserve">G</x:t>
        </x:is>
      </x:c>
      <x:c r="H707" t="n">
        <x:v>0.3</x:v>
      </x:c>
      <x:c r="I707" t="inlineStr">
        <x:is>
          <x:t xml:space="preserve">Is there independent review of monitoring legality and proportionality (beyond the program team)?</x:t>
        </x:is>
      </x:c>
      <x:c r="J707" t="inlineStr">
        <x:is>
          <x:t xml:space="preserve">Examples: privacy office, DPO, works council, legal, internal audit, or external counsel.</x:t>
        </x:is>
      </x:c>
      <x:c r="L707" t="inlineStr">
        <x:is>
          <x:t xml:space="preserve">LEG_STRICT</x:t>
        </x:is>
      </x:c>
      <x:c r="M707" t="n">
        <x:v>1.1</x:v>
      </x:c>
      <x:c r="P707" t="inlineStr">
        <x:is>
          <x:t xml:space="preserve">AUD-D3-Q07-A3</x:t>
        </x:is>
      </x:c>
      <x:c r="Q707" t="n">
        <x:v>4</x:v>
      </x:c>
      <x:c r="R707" t="inlineStr">
        <x:is>
          <x:t xml:space="preserve">Mature: Periodic audits + documented safeguards + improvements tracked.</x:t>
        </x:is>
      </x:c>
      <x:c r="S707" t="n">
        <x:v>4</x:v>
      </x:c>
      <x:c r="V707" t="inlineStr">
        <x:is>
          <x:t xml:space="preserve">Maintain_and_Audit</x:t>
        </x:is>
      </x:c>
      <x:c r="W707" t="inlineStr">
        <x:is>
          <x:t xml:space="preserve">N</x:t>
        </x:is>
      </x:c>
      <x:c r="Y707">
        <x:f>(S707*IF(E707="G",F707,0))+(S707*IF(G707="G",H707,0))</x:f>
      </x:c>
      <x:c r="Z707">
        <x:f>(S707*IF(E707="E",F707,0))+(S707*IF(G707="E",H707,0))</x:f>
      </x:c>
      <x:c r="AA707">
        <x:f>(S707*IF(E707="T",F707,0))+(S707*IF(G707="T",H707,0))</x:f>
      </x:c>
      <x:c r="AB707">
        <x:f>(S707*IF(E707="L",F707,0))+(S707*IF(G707="L",H707,0))</x:f>
      </x:c>
      <x:c r="AC707">
        <x:f>(S707*IF(E707="H",F707,0))+(S707*IF(G707="H",H707,0))</x:f>
      </x:c>
      <x:c r="AD707">
        <x:f>(S707*IF(E707="V",F707,0))+(S707*IF(G707="V",H707,0))</x:f>
      </x:c>
      <x:c r="AE707">
        <x:f>(S707*IF(E707="R",F707,0))+(S707*IF(G707="R",H707,0))</x:f>
      </x:c>
      <x:c r="AF707">
        <x:f>(S707*IF(E707="F",F707,0))+(S707*IF(G707="F",H707,0))</x:f>
      </x:c>
      <x:c r="AG707">
        <x:f>(S707*IF(E707="W",F707,0))+(S707*IF(G707="W",H707,0))</x:f>
      </x:c>
      <x:c r="AH707" t="inlineStr">
        <x:is>
          <x:t xml:space="preserve">4. Legal, Privacy &amp; Ethics</x:t>
        </x:is>
      </x:c>
      <x:c r="AI707" t="inlineStr">
        <x:is>
          <x:t xml:space="preserve">Compliance &amp; Policy</x:t>
        </x:is>
      </x:c>
      <x:c r="AJ707" t="inlineStr">
        <x:is>
          <x:t xml:space="preserve">Works Council / Labor Alignment</x:t>
        </x:is>
      </x:c>
    </x:row>
    <x:row r="708">
      <x:c r="A708" t="inlineStr">
        <x:is>
          <x:t xml:space="preserve">RiskAudit</x:t>
        </x:is>
      </x:c>
      <x:c r="B708" t="inlineStr">
        <x:is>
          <x:t xml:space="preserve">AUD-D4-Q08</x:t>
        </x:is>
      </x:c>
      <x:c r="C708" t="inlineStr">
        <x:is>
          <x:t xml:space="preserve">T2</x:t>
        </x:is>
      </x:c>
      <x:c r="D708" t="inlineStr">
        <x:is>
          <x:t xml:space="preserve">1. Governance &amp; Third Parties</x:t>
        </x:is>
      </x:c>
      <x:c r="E708" t="inlineStr">
        <x:is>
          <x:t xml:space="preserve">G</x:t>
        </x:is>
      </x:c>
      <x:c r="F708" t="n">
        <x:v>0.5</x:v>
      </x:c>
      <x:c r="G708" t="inlineStr">
        <x:is>
          <x:t xml:space="preserve">V</x:t>
        </x:is>
      </x:c>
      <x:c r="H708" t="n">
        <x:v>0.5</x:v>
      </x:c>
      <x:c r="I708" t="inlineStr">
        <x:is>
          <x:t xml:space="preserve">Are third parties (MSSP/MSP/vendors) within scope of assurance (contract obligations, controls, and evidence)?</x:t>
        </x:is>
      </x:c>
      <x:c r="J708" t="inlineStr">
        <x:is>
          <x:t xml:space="preserve">Includes: access controls, logging, retention, and cooperation for investigations.</x:t>
        </x:is>
      </x:c>
      <x:c r="L708" t="inlineStr">
        <x:is>
          <x:t xml:space="preserve">GOV_STD</x:t>
        </x:is>
      </x:c>
      <x:c r="M708" t="n">
        <x:v>1</x:v>
      </x:c>
      <x:c r="P708" t="inlineStr">
        <x:is>
          <x:t xml:space="preserve">AUD-D4-Q08-A0</x:t>
        </x:is>
      </x:c>
      <x:c r="Q708" t="n">
        <x:v>1</x:v>
      </x:c>
      <x:c r="R708" t="inlineStr">
        <x:is>
          <x:t xml:space="preserve">No: Vendors are trusted by default; limited assurance.</x:t>
        </x:is>
      </x:c>
      <x:c r="S708" t="n">
        <x:v>0</x:v>
      </x:c>
      <x:c r="T708" t="inlineStr">
        <x:is>
          <x:t xml:space="preserve">visibility_gap</x:t>
        </x:is>
      </x:c>
      <x:c r="U708" t="inlineStr">
        <x:is>
          <x:t xml:space="preserve">Visibility Gap</x:t>
        </x:is>
      </x:c>
      <x:c r="V708" t="inlineStr">
        <x:is>
          <x:t xml:space="preserve">ThirdParty_Assurance</x:t>
        </x:is>
      </x:c>
      <x:c r="W708" t="inlineStr">
        <x:is>
          <x:t xml:space="preserve">N</x:t>
        </x:is>
      </x:c>
      <x:c r="Y708">
        <x:f>(S708*IF(E708="G",F708,0))+(S708*IF(G708="G",H708,0))</x:f>
      </x:c>
      <x:c r="Z708">
        <x:f>(S708*IF(E708="E",F708,0))+(S708*IF(G708="E",H708,0))</x:f>
      </x:c>
      <x:c r="AA708">
        <x:f>(S708*IF(E708="T",F708,0))+(S708*IF(G708="T",H708,0))</x:f>
      </x:c>
      <x:c r="AB708">
        <x:f>(S708*IF(E708="L",F708,0))+(S708*IF(G708="L",H708,0))</x:f>
      </x:c>
      <x:c r="AC708">
        <x:f>(S708*IF(E708="H",F708,0))+(S708*IF(G708="H",H708,0))</x:f>
      </x:c>
      <x:c r="AD708">
        <x:f>(S708*IF(E708="V",F708,0))+(S708*IF(G708="V",H708,0))</x:f>
      </x:c>
      <x:c r="AE708">
        <x:f>(S708*IF(E708="R",F708,0))+(S708*IF(G708="R",H708,0))</x:f>
      </x:c>
      <x:c r="AF708">
        <x:f>(S708*IF(E708="F",F708,0))+(S708*IF(G708="F",H708,0))</x:f>
      </x:c>
      <x:c r="AG708">
        <x:f>(S708*IF(E708="W",F708,0))+(S708*IF(G708="W",H708,0))</x:f>
      </x:c>
      <x:c r="AH708" t="inlineStr">
        <x:is>
          <x:t xml:space="preserve">4. Legal, Privacy &amp; Ethics</x:t>
        </x:is>
      </x:c>
      <x:c r="AI708" t="inlineStr">
        <x:is>
          <x:t xml:space="preserve">Privacy Engineering</x:t>
        </x:is>
      </x:c>
      <x:c r="AJ708" t="inlineStr">
        <x:is>
          <x:t xml:space="preserve">Retention, Purging &amp; Legal Hold</x:t>
        </x:is>
      </x:c>
    </x:row>
    <x:row r="709">
      <x:c r="A709" t="inlineStr">
        <x:is>
          <x:t xml:space="preserve">RiskAudit</x:t>
        </x:is>
      </x:c>
      <x:c r="B709" t="inlineStr">
        <x:is>
          <x:t xml:space="preserve">AUD-D4-Q08</x:t>
        </x:is>
      </x:c>
      <x:c r="C709" t="inlineStr">
        <x:is>
          <x:t xml:space="preserve">T2</x:t>
        </x:is>
      </x:c>
      <x:c r="D709" t="inlineStr">
        <x:is>
          <x:t xml:space="preserve">1. Governance &amp; Third Parties</x:t>
        </x:is>
      </x:c>
      <x:c r="E709" t="inlineStr">
        <x:is>
          <x:t xml:space="preserve">G</x:t>
        </x:is>
      </x:c>
      <x:c r="F709" t="n">
        <x:v>0.5</x:v>
      </x:c>
      <x:c r="G709" t="inlineStr">
        <x:is>
          <x:t xml:space="preserve">V</x:t>
        </x:is>
      </x:c>
      <x:c r="H709" t="n">
        <x:v>0.5</x:v>
      </x:c>
      <x:c r="I709" t="inlineStr">
        <x:is>
          <x:t xml:space="preserve">Are third parties (MSSP/MSP/vendors) within scope of assurance (contract obligations, controls, and evidence)?</x:t>
        </x:is>
      </x:c>
      <x:c r="J709" t="inlineStr">
        <x:is>
          <x:t xml:space="preserve">Includes: access controls, logging, retention, and cooperation for investigations.</x:t>
        </x:is>
      </x:c>
      <x:c r="L709" t="inlineStr">
        <x:is>
          <x:t xml:space="preserve">GOV_STD</x:t>
        </x:is>
      </x:c>
      <x:c r="M709" t="n">
        <x:v>1</x:v>
      </x:c>
      <x:c r="P709" t="inlineStr">
        <x:is>
          <x:t xml:space="preserve">AUD-D4-Q08-A1</x:t>
        </x:is>
      </x:c>
      <x:c r="Q709" t="n">
        <x:v>2</x:v>
      </x:c>
      <x:c r="R709" t="inlineStr">
        <x:is>
          <x:t xml:space="preserve">Partial: Contracts mention it, but evidence is rarely checked.</x:t>
        </x:is>
      </x:c>
      <x:c r="S709" t="n">
        <x:v>1</x:v>
      </x:c>
      <x:c r="T709" t="inlineStr">
        <x:is>
          <x:t xml:space="preserve">paper_dragon_signal</x:t>
        </x:is>
      </x:c>
      <x:c r="U709" t="inlineStr">
        <x:is>
          <x:t xml:space="preserve">Paper Dragon</x:t>
        </x:is>
      </x:c>
      <x:c r="V709" t="inlineStr">
        <x:is>
          <x:t xml:space="preserve">Enforce_Vendor_Evidence</x:t>
        </x:is>
      </x:c>
      <x:c r="W709" t="inlineStr">
        <x:is>
          <x:t xml:space="preserve">N</x:t>
        </x:is>
      </x:c>
      <x:c r="Y709">
        <x:f>(S709*IF(E709="G",F709,0))+(S709*IF(G709="G",H709,0))</x:f>
      </x:c>
      <x:c r="Z709">
        <x:f>(S709*IF(E709="E",F709,0))+(S709*IF(G709="E",H709,0))</x:f>
      </x:c>
      <x:c r="AA709">
        <x:f>(S709*IF(E709="T",F709,0))+(S709*IF(G709="T",H709,0))</x:f>
      </x:c>
      <x:c r="AB709">
        <x:f>(S709*IF(E709="L",F709,0))+(S709*IF(G709="L",H709,0))</x:f>
      </x:c>
      <x:c r="AC709">
        <x:f>(S709*IF(E709="H",F709,0))+(S709*IF(G709="H",H709,0))</x:f>
      </x:c>
      <x:c r="AD709">
        <x:f>(S709*IF(E709="V",F709,0))+(S709*IF(G709="V",H709,0))</x:f>
      </x:c>
      <x:c r="AE709">
        <x:f>(S709*IF(E709="R",F709,0))+(S709*IF(G709="R",H709,0))</x:f>
      </x:c>
      <x:c r="AF709">
        <x:f>(S709*IF(E709="F",F709,0))+(S709*IF(G709="F",H709,0))</x:f>
      </x:c>
      <x:c r="AG709">
        <x:f>(S709*IF(E709="W",F709,0))+(S709*IF(G709="W",H709,0))</x:f>
      </x:c>
      <x:c r="AH709" t="inlineStr">
        <x:is>
          <x:t xml:space="preserve">4. Legal, Privacy &amp; Ethics</x:t>
        </x:is>
      </x:c>
      <x:c r="AI709" t="inlineStr">
        <x:is>
          <x:t xml:space="preserve">Privacy Engineering</x:t>
        </x:is>
      </x:c>
      <x:c r="AJ709" t="inlineStr">
        <x:is>
          <x:t xml:space="preserve">Retention, Purging &amp; Legal Hold</x:t>
        </x:is>
      </x:c>
    </x:row>
    <x:row r="710">
      <x:c r="A710" t="inlineStr">
        <x:is>
          <x:t xml:space="preserve">RiskAudit</x:t>
        </x:is>
      </x:c>
      <x:c r="B710" t="inlineStr">
        <x:is>
          <x:t xml:space="preserve">AUD-D4-Q08</x:t>
        </x:is>
      </x:c>
      <x:c r="C710" t="inlineStr">
        <x:is>
          <x:t xml:space="preserve">T2</x:t>
        </x:is>
      </x:c>
      <x:c r="D710" t="inlineStr">
        <x:is>
          <x:t xml:space="preserve">1. Governance &amp; Third Parties</x:t>
        </x:is>
      </x:c>
      <x:c r="E710" t="inlineStr">
        <x:is>
          <x:t xml:space="preserve">G</x:t>
        </x:is>
      </x:c>
      <x:c r="F710" t="n">
        <x:v>0.5</x:v>
      </x:c>
      <x:c r="G710" t="inlineStr">
        <x:is>
          <x:t xml:space="preserve">V</x:t>
        </x:is>
      </x:c>
      <x:c r="H710" t="n">
        <x:v>0.5</x:v>
      </x:c>
      <x:c r="I710" t="inlineStr">
        <x:is>
          <x:t xml:space="preserve">Are third parties (MSSP/MSP/vendors) within scope of assurance (contract obligations, controls, and evidence)?</x:t>
        </x:is>
      </x:c>
      <x:c r="J710" t="inlineStr">
        <x:is>
          <x:t xml:space="preserve">Includes: access controls, logging, retention, and cooperation for investigations.</x:t>
        </x:is>
      </x:c>
      <x:c r="L710" t="inlineStr">
        <x:is>
          <x:t xml:space="preserve">GOV_STD</x:t>
        </x:is>
      </x:c>
      <x:c r="M710" t="n">
        <x:v>1</x:v>
      </x:c>
      <x:c r="P710" t="inlineStr">
        <x:is>
          <x:t xml:space="preserve">AUD-D4-Q08-A2</x:t>
        </x:is>
      </x:c>
      <x:c r="Q710" t="n">
        <x:v>3</x:v>
      </x:c>
      <x:c r="R710" t="inlineStr">
        <x:is>
          <x:t xml:space="preserve">Yes: Key vendors provide evidence and are reviewed periodically.</x:t>
        </x:is>
      </x:c>
      <x:c r="S710" t="n">
        <x:v>3</x:v>
      </x:c>
      <x:c r="V710" t="inlineStr">
        <x:is>
          <x:t xml:space="preserve">Evidence_Request_Vendor</x:t>
        </x:is>
      </x:c>
      <x:c r="W710" t="inlineStr">
        <x:is>
          <x:t xml:space="preserve">N</x:t>
        </x:is>
      </x:c>
      <x:c r="Y710">
        <x:f>(S710*IF(E710="G",F710,0))+(S710*IF(G710="G",H710,0))</x:f>
      </x:c>
      <x:c r="Z710">
        <x:f>(S710*IF(E710="E",F710,0))+(S710*IF(G710="E",H710,0))</x:f>
      </x:c>
      <x:c r="AA710">
        <x:f>(S710*IF(E710="T",F710,0))+(S710*IF(G710="T",H710,0))</x:f>
      </x:c>
      <x:c r="AB710">
        <x:f>(S710*IF(E710="L",F710,0))+(S710*IF(G710="L",H710,0))</x:f>
      </x:c>
      <x:c r="AC710">
        <x:f>(S710*IF(E710="H",F710,0))+(S710*IF(G710="H",H710,0))</x:f>
      </x:c>
      <x:c r="AD710">
        <x:f>(S710*IF(E710="V",F710,0))+(S710*IF(G710="V",H710,0))</x:f>
      </x:c>
      <x:c r="AE710">
        <x:f>(S710*IF(E710="R",F710,0))+(S710*IF(G710="R",H710,0))</x:f>
      </x:c>
      <x:c r="AF710">
        <x:f>(S710*IF(E710="F",F710,0))+(S710*IF(G710="F",H710,0))</x:f>
      </x:c>
      <x:c r="AG710">
        <x:f>(S710*IF(E710="W",F710,0))+(S710*IF(G710="W",H710,0))</x:f>
      </x:c>
      <x:c r="AH710" t="inlineStr">
        <x:is>
          <x:t xml:space="preserve">4. Legal, Privacy &amp; Ethics</x:t>
        </x:is>
      </x:c>
      <x:c r="AI710" t="inlineStr">
        <x:is>
          <x:t xml:space="preserve">Privacy Engineering</x:t>
        </x:is>
      </x:c>
      <x:c r="AJ710" t="inlineStr">
        <x:is>
          <x:t xml:space="preserve">Retention, Purging &amp; Legal Hold</x:t>
        </x:is>
      </x:c>
    </x:row>
    <x:row r="711">
      <x:c r="A711" t="inlineStr">
        <x:is>
          <x:t xml:space="preserve">RiskAudit</x:t>
        </x:is>
      </x:c>
      <x:c r="B711" t="inlineStr">
        <x:is>
          <x:t xml:space="preserve">AUD-D4-Q08</x:t>
        </x:is>
      </x:c>
      <x:c r="C711" t="inlineStr">
        <x:is>
          <x:t xml:space="preserve">T2</x:t>
        </x:is>
      </x:c>
      <x:c r="D711" t="inlineStr">
        <x:is>
          <x:t xml:space="preserve">1. Governance &amp; Third Parties</x:t>
        </x:is>
      </x:c>
      <x:c r="E711" t="inlineStr">
        <x:is>
          <x:t xml:space="preserve">G</x:t>
        </x:is>
      </x:c>
      <x:c r="F711" t="n">
        <x:v>0.5</x:v>
      </x:c>
      <x:c r="G711" t="inlineStr">
        <x:is>
          <x:t xml:space="preserve">V</x:t>
        </x:is>
      </x:c>
      <x:c r="H711" t="n">
        <x:v>0.5</x:v>
      </x:c>
      <x:c r="I711" t="inlineStr">
        <x:is>
          <x:t xml:space="preserve">Are third parties (MSSP/MSP/vendors) within scope of assurance (contract obligations, controls, and evidence)?</x:t>
        </x:is>
      </x:c>
      <x:c r="J711" t="inlineStr">
        <x:is>
          <x:t xml:space="preserve">Includes: access controls, logging, retention, and cooperation for investigations.</x:t>
        </x:is>
      </x:c>
      <x:c r="L711" t="inlineStr">
        <x:is>
          <x:t xml:space="preserve">GOV_STD</x:t>
        </x:is>
      </x:c>
      <x:c r="M711" t="n">
        <x:v>1</x:v>
      </x:c>
      <x:c r="P711" t="inlineStr">
        <x:is>
          <x:t xml:space="preserve">AUD-D4-Q08-A3</x:t>
        </x:is>
      </x:c>
      <x:c r="Q711" t="n">
        <x:v>4</x:v>
      </x:c>
      <x:c r="R711" t="inlineStr">
        <x:is>
          <x:t xml:space="preserve">Mature: Risk-based assurance with exit plans and exercise of cooperation clauses.</x:t>
        </x:is>
      </x:c>
      <x:c r="S711" t="n">
        <x:v>4</x:v>
      </x:c>
      <x:c r="V711" t="inlineStr">
        <x:is>
          <x:t xml:space="preserve">Maintain_and_Audit</x:t>
        </x:is>
      </x:c>
      <x:c r="W711" t="inlineStr">
        <x:is>
          <x:t xml:space="preserve">N</x:t>
        </x:is>
      </x:c>
      <x:c r="Y711">
        <x:f>(S711*IF(E711="G",F711,0))+(S711*IF(G711="G",H711,0))</x:f>
      </x:c>
      <x:c r="Z711">
        <x:f>(S711*IF(E711="E",F711,0))+(S711*IF(G711="E",H711,0))</x:f>
      </x:c>
      <x:c r="AA711">
        <x:f>(S711*IF(E711="T",F711,0))+(S711*IF(G711="T",H711,0))</x:f>
      </x:c>
      <x:c r="AB711">
        <x:f>(S711*IF(E711="L",F711,0))+(S711*IF(G711="L",H711,0))</x:f>
      </x:c>
      <x:c r="AC711">
        <x:f>(S711*IF(E711="H",F711,0))+(S711*IF(G711="H",H711,0))</x:f>
      </x:c>
      <x:c r="AD711">
        <x:f>(S711*IF(E711="V",F711,0))+(S711*IF(G711="V",H711,0))</x:f>
      </x:c>
      <x:c r="AE711">
        <x:f>(S711*IF(E711="R",F711,0))+(S711*IF(G711="R",H711,0))</x:f>
      </x:c>
      <x:c r="AF711">
        <x:f>(S711*IF(E711="F",F711,0))+(S711*IF(G711="F",H711,0))</x:f>
      </x:c>
      <x:c r="AG711">
        <x:f>(S711*IF(E711="W",F711,0))+(S711*IF(G711="W",H711,0))</x:f>
      </x:c>
      <x:c r="AH711" t="inlineStr">
        <x:is>
          <x:t xml:space="preserve">4. Legal, Privacy &amp; Ethics</x:t>
        </x:is>
      </x:c>
      <x:c r="AI711" t="inlineStr">
        <x:is>
          <x:t xml:space="preserve">Privacy Engineering</x:t>
        </x:is>
      </x:c>
      <x:c r="AJ711" t="inlineStr">
        <x:is>
          <x:t xml:space="preserve">Retention, Purging &amp; Legal Hold</x:t>
        </x:is>
      </x:c>
    </x:row>
    <x:row r="712">
      <x:c r="A712" t="inlineStr">
        <x:is>
          <x:t xml:space="preserve">RiskAudit</x:t>
        </x:is>
      </x:c>
      <x:c r="B712" t="inlineStr">
        <x:is>
          <x:t xml:space="preserve">AUD-D5-Q09</x:t>
        </x:is>
      </x:c>
      <x:c r="C712" t="inlineStr">
        <x:is>
          <x:t xml:space="preserve">T2</x:t>
        </x:is>
      </x:c>
      <x:c r="D712" t="inlineStr">
        <x:is>
          <x:t xml:space="preserve">8. Response &amp; Lessons Learned</x:t>
        </x:is>
      </x:c>
      <x:c r="E712" t="inlineStr">
        <x:is>
          <x:t xml:space="preserve">R</x:t>
        </x:is>
      </x:c>
      <x:c r="F712" t="n">
        <x:v>0.6</x:v>
      </x:c>
      <x:c r="G712" t="inlineStr">
        <x:is>
          <x:t xml:space="preserve">E</x:t>
        </x:is>
      </x:c>
      <x:c r="H712" t="n">
        <x:v>0.4</x:v>
      </x:c>
      <x:c r="I712" t="inlineStr">
        <x:is>
          <x:t xml:space="preserve">After incidents/near-misses, do we capture lessons learned and verify that control improvements actually happen?</x:t>
        </x:is>
      </x:c>
      <x:c r="J712" t="inlineStr">
        <x:is>
          <x:t xml:space="preserve">Look for: post-incident review + tracked follow-up + retesting.</x:t>
        </x:is>
      </x:c>
      <x:c r="L712" t="inlineStr">
        <x:is>
          <x:t xml:space="preserve">OPS_STD</x:t>
        </x:is>
      </x:c>
      <x:c r="M712" t="n">
        <x:v>1</x:v>
      </x:c>
      <x:c r="P712" t="inlineStr">
        <x:is>
          <x:t xml:space="preserve">AUD-D5-Q09-A0</x:t>
        </x:is>
      </x:c>
      <x:c r="Q712" t="n">
        <x:v>1</x:v>
      </x:c>
      <x:c r="R712" t="inlineStr">
        <x:is>
          <x:t xml:space="preserve">No: Reviews happen, but improvements are not tracked or retested.</x:t>
        </x:is>
      </x:c>
      <x:c r="S712" t="n">
        <x:v>0</x:v>
      </x:c>
      <x:c r="T712" t="inlineStr">
        <x:is>
          <x:t xml:space="preserve">resilience_gap</x:t>
        </x:is>
      </x:c>
      <x:c r="U712" t="inlineStr">
        <x:is>
          <x:t xml:space="preserve">Resilience Gap</x:t>
        </x:is>
      </x:c>
      <x:c r="V712" t="inlineStr">
        <x:is>
          <x:t xml:space="preserve">Lessons_Learned</x:t>
        </x:is>
      </x:c>
      <x:c r="W712" t="inlineStr">
        <x:is>
          <x:t xml:space="preserve">N</x:t>
        </x:is>
      </x:c>
      <x:c r="Y712">
        <x:f>(S712*IF(E712="G",F712,0))+(S712*IF(G712="G",H712,0))</x:f>
      </x:c>
      <x:c r="Z712">
        <x:f>(S712*IF(E712="E",F712,0))+(S712*IF(G712="E",H712,0))</x:f>
      </x:c>
      <x:c r="AA712">
        <x:f>(S712*IF(E712="T",F712,0))+(S712*IF(G712="T",H712,0))</x:f>
      </x:c>
      <x:c r="AB712">
        <x:f>(S712*IF(E712="L",F712,0))+(S712*IF(G712="L",H712,0))</x:f>
      </x:c>
      <x:c r="AC712">
        <x:f>(S712*IF(E712="H",F712,0))+(S712*IF(G712="H",H712,0))</x:f>
      </x:c>
      <x:c r="AD712">
        <x:f>(S712*IF(E712="V",F712,0))+(S712*IF(G712="V",H712,0))</x:f>
      </x:c>
      <x:c r="AE712">
        <x:f>(S712*IF(E712="R",F712,0))+(S712*IF(G712="R",H712,0))</x:f>
      </x:c>
      <x:c r="AF712">
        <x:f>(S712*IF(E712="F",F712,0))+(S712*IF(G712="F",H712,0))</x:f>
      </x:c>
      <x:c r="AG712">
        <x:f>(S712*IF(E712="W",F712,0))+(S712*IF(G712="W",H712,0))</x:f>
      </x:c>
      <x:c r="AH712" t="inlineStr">
        <x:is>
          <x:t xml:space="preserve">1. Strategy &amp; Governance</x:t>
        </x:is>
      </x:c>
      <x:c r="AI712" t="inlineStr">
        <x:is>
          <x:t xml:space="preserve">Scope &amp; Boundaries</x:t>
        </x:is>
      </x:c>
      <x:c r="AJ712" t="inlineStr">
        <x:is>
          <x:t xml:space="preserve">Scope boundary control</x:t>
        </x:is>
      </x:c>
    </x:row>
    <x:row r="713">
      <x:c r="A713" t="inlineStr">
        <x:is>
          <x:t xml:space="preserve">RiskAudit</x:t>
        </x:is>
      </x:c>
      <x:c r="B713" t="inlineStr">
        <x:is>
          <x:t xml:space="preserve">AUD-D5-Q09</x:t>
        </x:is>
      </x:c>
      <x:c r="C713" t="inlineStr">
        <x:is>
          <x:t xml:space="preserve">T2</x:t>
        </x:is>
      </x:c>
      <x:c r="D713" t="inlineStr">
        <x:is>
          <x:t xml:space="preserve">8. Response &amp; Lessons Learned</x:t>
        </x:is>
      </x:c>
      <x:c r="E713" t="inlineStr">
        <x:is>
          <x:t xml:space="preserve">R</x:t>
        </x:is>
      </x:c>
      <x:c r="F713" t="n">
        <x:v>0.6</x:v>
      </x:c>
      <x:c r="G713" t="inlineStr">
        <x:is>
          <x:t xml:space="preserve">E</x:t>
        </x:is>
      </x:c>
      <x:c r="H713" t="n">
        <x:v>0.4</x:v>
      </x:c>
      <x:c r="I713" t="inlineStr">
        <x:is>
          <x:t xml:space="preserve">After incidents/near-misses, do we capture lessons learned and verify that control improvements actually happen?</x:t>
        </x:is>
      </x:c>
      <x:c r="J713" t="inlineStr">
        <x:is>
          <x:t xml:space="preserve">Look for: post-incident review + tracked follow-up + retesting.</x:t>
        </x:is>
      </x:c>
      <x:c r="L713" t="inlineStr">
        <x:is>
          <x:t xml:space="preserve">OPS_STD</x:t>
        </x:is>
      </x:c>
      <x:c r="M713" t="n">
        <x:v>1</x:v>
      </x:c>
      <x:c r="P713" t="inlineStr">
        <x:is>
          <x:t xml:space="preserve">AUD-D5-Q09-A1</x:t>
        </x:is>
      </x:c>
      <x:c r="Q713" t="n">
        <x:v>2</x:v>
      </x:c>
      <x:c r="R713" t="inlineStr">
        <x:is>
          <x:t xml:space="preserve">Partial: Improvements are planned but often delayed.</x:t>
        </x:is>
      </x:c>
      <x:c r="S713" t="n">
        <x:v>1</x:v>
      </x:c>
      <x:c r="T713" t="inlineStr">
        <x:is>
          <x:t xml:space="preserve">operating_model_gap</x:t>
        </x:is>
      </x:c>
      <x:c r="U713" t="inlineStr">
        <x:is>
          <x:t xml:space="preserve">Operating Model Gap</x:t>
        </x:is>
      </x:c>
      <x:c r="V713" t="inlineStr">
        <x:is>
          <x:t xml:space="preserve">Track_Improvements</x:t>
        </x:is>
      </x:c>
      <x:c r="W713" t="inlineStr">
        <x:is>
          <x:t xml:space="preserve">N</x:t>
        </x:is>
      </x:c>
      <x:c r="Y713">
        <x:f>(S713*IF(E713="G",F713,0))+(S713*IF(G713="G",H713,0))</x:f>
      </x:c>
      <x:c r="Z713">
        <x:f>(S713*IF(E713="E",F713,0))+(S713*IF(G713="E",H713,0))</x:f>
      </x:c>
      <x:c r="AA713">
        <x:f>(S713*IF(E713="T",F713,0))+(S713*IF(G713="T",H713,0))</x:f>
      </x:c>
      <x:c r="AB713">
        <x:f>(S713*IF(E713="L",F713,0))+(S713*IF(G713="L",H713,0))</x:f>
      </x:c>
      <x:c r="AC713">
        <x:f>(S713*IF(E713="H",F713,0))+(S713*IF(G713="H",H713,0))</x:f>
      </x:c>
      <x:c r="AD713">
        <x:f>(S713*IF(E713="V",F713,0))+(S713*IF(G713="V",H713,0))</x:f>
      </x:c>
      <x:c r="AE713">
        <x:f>(S713*IF(E713="R",F713,0))+(S713*IF(G713="R",H713,0))</x:f>
      </x:c>
      <x:c r="AF713">
        <x:f>(S713*IF(E713="F",F713,0))+(S713*IF(G713="F",H713,0))</x:f>
      </x:c>
      <x:c r="AG713">
        <x:f>(S713*IF(E713="W",F713,0))+(S713*IF(G713="W",H713,0))</x:f>
      </x:c>
      <x:c r="AH713" t="inlineStr">
        <x:is>
          <x:t xml:space="preserve">1. Strategy &amp; Governance</x:t>
        </x:is>
      </x:c>
      <x:c r="AI713" t="inlineStr">
        <x:is>
          <x:t xml:space="preserve">Scope &amp; Boundaries</x:t>
        </x:is>
      </x:c>
      <x:c r="AJ713" t="inlineStr">
        <x:is>
          <x:t xml:space="preserve">Scope boundary control</x:t>
        </x:is>
      </x:c>
    </x:row>
    <x:row r="714">
      <x:c r="A714" t="inlineStr">
        <x:is>
          <x:t xml:space="preserve">RiskAudit</x:t>
        </x:is>
      </x:c>
      <x:c r="B714" t="inlineStr">
        <x:is>
          <x:t xml:space="preserve">AUD-D5-Q09</x:t>
        </x:is>
      </x:c>
      <x:c r="C714" t="inlineStr">
        <x:is>
          <x:t xml:space="preserve">T2</x:t>
        </x:is>
      </x:c>
      <x:c r="D714" t="inlineStr">
        <x:is>
          <x:t xml:space="preserve">8. Response &amp; Lessons Learned</x:t>
        </x:is>
      </x:c>
      <x:c r="E714" t="inlineStr">
        <x:is>
          <x:t xml:space="preserve">R</x:t>
        </x:is>
      </x:c>
      <x:c r="F714" t="n">
        <x:v>0.6</x:v>
      </x:c>
      <x:c r="G714" t="inlineStr">
        <x:is>
          <x:t xml:space="preserve">E</x:t>
        </x:is>
      </x:c>
      <x:c r="H714" t="n">
        <x:v>0.4</x:v>
      </x:c>
      <x:c r="I714" t="inlineStr">
        <x:is>
          <x:t xml:space="preserve">After incidents/near-misses, do we capture lessons learned and verify that control improvements actually happen?</x:t>
        </x:is>
      </x:c>
      <x:c r="J714" t="inlineStr">
        <x:is>
          <x:t xml:space="preserve">Look for: post-incident review + tracked follow-up + retesting.</x:t>
        </x:is>
      </x:c>
      <x:c r="L714" t="inlineStr">
        <x:is>
          <x:t xml:space="preserve">OPS_STD</x:t>
        </x:is>
      </x:c>
      <x:c r="M714" t="n">
        <x:v>1</x:v>
      </x:c>
      <x:c r="P714" t="inlineStr">
        <x:is>
          <x:t xml:space="preserve">AUD-D5-Q09-A2</x:t>
        </x:is>
      </x:c>
      <x:c r="Q714" t="n">
        <x:v>3</x:v>
      </x:c>
      <x:c r="R714" t="inlineStr">
        <x:is>
          <x:t xml:space="preserve">Yes: Reviews lead to changes and follow-up is verified.</x:t>
        </x:is>
      </x:c>
      <x:c r="S714" t="n">
        <x:v>3</x:v>
      </x:c>
      <x:c r="V714" t="inlineStr">
        <x:is>
          <x:t xml:space="preserve">Evidence_Request_PostMortem</x:t>
        </x:is>
      </x:c>
      <x:c r="W714" t="inlineStr">
        <x:is>
          <x:t xml:space="preserve">N</x:t>
        </x:is>
      </x:c>
      <x:c r="Y714">
        <x:f>(S714*IF(E714="G",F714,0))+(S714*IF(G714="G",H714,0))</x:f>
      </x:c>
      <x:c r="Z714">
        <x:f>(S714*IF(E714="E",F714,0))+(S714*IF(G714="E",H714,0))</x:f>
      </x:c>
      <x:c r="AA714">
        <x:f>(S714*IF(E714="T",F714,0))+(S714*IF(G714="T",H714,0))</x:f>
      </x:c>
      <x:c r="AB714">
        <x:f>(S714*IF(E714="L",F714,0))+(S714*IF(G714="L",H714,0))</x:f>
      </x:c>
      <x:c r="AC714">
        <x:f>(S714*IF(E714="H",F714,0))+(S714*IF(G714="H",H714,0))</x:f>
      </x:c>
      <x:c r="AD714">
        <x:f>(S714*IF(E714="V",F714,0))+(S714*IF(G714="V",H714,0))</x:f>
      </x:c>
      <x:c r="AE714">
        <x:f>(S714*IF(E714="R",F714,0))+(S714*IF(G714="R",H714,0))</x:f>
      </x:c>
      <x:c r="AF714">
        <x:f>(S714*IF(E714="F",F714,0))+(S714*IF(G714="F",H714,0))</x:f>
      </x:c>
      <x:c r="AG714">
        <x:f>(S714*IF(E714="W",F714,0))+(S714*IF(G714="W",H714,0))</x:f>
      </x:c>
      <x:c r="AH714" t="inlineStr">
        <x:is>
          <x:t xml:space="preserve">1. Strategy &amp; Governance</x:t>
        </x:is>
      </x:c>
      <x:c r="AI714" t="inlineStr">
        <x:is>
          <x:t xml:space="preserve">Scope &amp; Boundaries</x:t>
        </x:is>
      </x:c>
      <x:c r="AJ714" t="inlineStr">
        <x:is>
          <x:t xml:space="preserve">Scope boundary control</x:t>
        </x:is>
      </x:c>
    </x:row>
    <x:row r="715">
      <x:c r="A715" t="inlineStr">
        <x:is>
          <x:t xml:space="preserve">RiskAudit</x:t>
        </x:is>
      </x:c>
      <x:c r="B715" t="inlineStr">
        <x:is>
          <x:t xml:space="preserve">AUD-D5-Q09</x:t>
        </x:is>
      </x:c>
      <x:c r="C715" t="inlineStr">
        <x:is>
          <x:t xml:space="preserve">T2</x:t>
        </x:is>
      </x:c>
      <x:c r="D715" t="inlineStr">
        <x:is>
          <x:t xml:space="preserve">8. Response &amp; Lessons Learned</x:t>
        </x:is>
      </x:c>
      <x:c r="E715" t="inlineStr">
        <x:is>
          <x:t xml:space="preserve">R</x:t>
        </x:is>
      </x:c>
      <x:c r="F715" t="n">
        <x:v>0.6</x:v>
      </x:c>
      <x:c r="G715" t="inlineStr">
        <x:is>
          <x:t xml:space="preserve">E</x:t>
        </x:is>
      </x:c>
      <x:c r="H715" t="n">
        <x:v>0.4</x:v>
      </x:c>
      <x:c r="I715" t="inlineStr">
        <x:is>
          <x:t xml:space="preserve">After incidents/near-misses, do we capture lessons learned and verify that control improvements actually happen?</x:t>
        </x:is>
      </x:c>
      <x:c r="J715" t="inlineStr">
        <x:is>
          <x:t xml:space="preserve">Look for: post-incident review + tracked follow-up + retesting.</x:t>
        </x:is>
      </x:c>
      <x:c r="L715" t="inlineStr">
        <x:is>
          <x:t xml:space="preserve">OPS_STD</x:t>
        </x:is>
      </x:c>
      <x:c r="M715" t="n">
        <x:v>1</x:v>
      </x:c>
      <x:c r="P715" t="inlineStr">
        <x:is>
          <x:t xml:space="preserve">AUD-D5-Q09-A3</x:t>
        </x:is>
      </x:c>
      <x:c r="Q715" t="n">
        <x:v>4</x:v>
      </x:c>
      <x:c r="R715" t="inlineStr">
        <x:is>
          <x:t xml:space="preserve">Mature: Pattern analysis prevents recurrence; changes are measured for effectiveness.</x:t>
        </x:is>
      </x:c>
      <x:c r="S715" t="n">
        <x:v>4</x:v>
      </x:c>
      <x:c r="V715" t="inlineStr">
        <x:is>
          <x:t xml:space="preserve">Maintain_and_Audit</x:t>
        </x:is>
      </x:c>
      <x:c r="W715" t="inlineStr">
        <x:is>
          <x:t xml:space="preserve">N</x:t>
        </x:is>
      </x:c>
      <x:c r="Y715">
        <x:f>(S715*IF(E715="G",F715,0))+(S715*IF(G715="G",H715,0))</x:f>
      </x:c>
      <x:c r="Z715">
        <x:f>(S715*IF(E715="E",F715,0))+(S715*IF(G715="E",H715,0))</x:f>
      </x:c>
      <x:c r="AA715">
        <x:f>(S715*IF(E715="T",F715,0))+(S715*IF(G715="T",H715,0))</x:f>
      </x:c>
      <x:c r="AB715">
        <x:f>(S715*IF(E715="L",F715,0))+(S715*IF(G715="L",H715,0))</x:f>
      </x:c>
      <x:c r="AC715">
        <x:f>(S715*IF(E715="H",F715,0))+(S715*IF(G715="H",H715,0))</x:f>
      </x:c>
      <x:c r="AD715">
        <x:f>(S715*IF(E715="V",F715,0))+(S715*IF(G715="V",H715,0))</x:f>
      </x:c>
      <x:c r="AE715">
        <x:f>(S715*IF(E715="R",F715,0))+(S715*IF(G715="R",H715,0))</x:f>
      </x:c>
      <x:c r="AF715">
        <x:f>(S715*IF(E715="F",F715,0))+(S715*IF(G715="F",H715,0))</x:f>
      </x:c>
      <x:c r="AG715">
        <x:f>(S715*IF(E715="W",F715,0))+(S715*IF(G715="W",H715,0))</x:f>
      </x:c>
      <x:c r="AH715" t="inlineStr">
        <x:is>
          <x:t xml:space="preserve">1. Strategy &amp; Governance</x:t>
        </x:is>
      </x:c>
      <x:c r="AI715" t="inlineStr">
        <x:is>
          <x:t xml:space="preserve">Scope &amp; Boundaries</x:t>
        </x:is>
      </x:c>
      <x:c r="AJ715" t="inlineStr">
        <x:is>
          <x:t xml:space="preserve">Scope boundary control</x:t>
        </x:is>
      </x:c>
    </x:row>
    <x:row r="716">
      <x:c r="A716" t="inlineStr">
        <x:is>
          <x:t xml:space="preserve">RiskAudit</x:t>
        </x:is>
      </x:c>
      <x:c r="B716" t="inlineStr">
        <x:is>
          <x:t xml:space="preserve">AUD-D6-Q10</x:t>
        </x:is>
      </x:c>
      <x:c r="C716" t="inlineStr">
        <x:is>
          <x:t xml:space="preserve">T3</x:t>
        </x:is>
      </x:c>
      <x:c r="D716" t="inlineStr">
        <x:is>
          <x:t xml:space="preserve">4. Legal &amp; Privacy (Deep)</x:t>
        </x:is>
      </x:c>
      <x:c r="E716" t="inlineStr">
        <x:is>
          <x:t xml:space="preserve">L</x:t>
        </x:is>
      </x:c>
      <x:c r="F716" t="n">
        <x:v>0.5</x:v>
      </x:c>
      <x:c r="G716" t="inlineStr">
        <x:is>
          <x:t xml:space="preserve">T</x:t>
        </x:is>
      </x:c>
      <x:c r="H716" t="n">
        <x:v>0.5</x:v>
      </x:c>
      <x:c r="I716" t="inlineStr">
        <x:is>
          <x:t xml:space="preserve">Are monitoring datasets protected like high-value evidence (restricted access, audit logs, retention, periodic review)?</x:t>
        </x:is>
      </x:c>
      <x:c r="J716" t="inlineStr">
        <x:is>
          <x:t xml:space="preserve">This is about protecting the monitoring program itself from abuse.</x:t>
        </x:is>
      </x:c>
      <x:c r="L716" t="inlineStr">
        <x:is>
          <x:t xml:space="preserve">LEG_STRICT</x:t>
        </x:is>
      </x:c>
      <x:c r="M716" t="n">
        <x:v>1</x:v>
      </x:c>
      <x:c r="P716" t="inlineStr">
        <x:is>
          <x:t xml:space="preserve">AUD-D6-Q10-A0</x:t>
        </x:is>
      </x:c>
      <x:c r="Q716" t="n">
        <x:v>1</x:v>
      </x:c>
      <x:c r="R716" t="inlineStr">
        <x:is>
          <x:t xml:space="preserve">No: Monitoring data is broadly accessible or weakly controlled.</x:t>
        </x:is>
      </x:c>
      <x:c r="S716" t="n">
        <x:v>0</x:v>
      </x:c>
      <x:c r="T716" t="inlineStr">
        <x:is>
          <x:t xml:space="preserve">legal_exposure</x:t>
        </x:is>
      </x:c>
      <x:c r="U716" t="inlineStr">
        <x:is>
          <x:t xml:space="preserve">Legal Exposure</x:t>
        </x:is>
      </x:c>
      <x:c r="V716" t="inlineStr">
        <x:is>
          <x:t xml:space="preserve">Protect_Monitoring_Data</x:t>
        </x:is>
      </x:c>
      <x:c r="W716" t="inlineStr">
        <x:is>
          <x:t xml:space="preserve">N</x:t>
        </x:is>
      </x:c>
      <x:c r="Y716">
        <x:f>(S716*IF(E716="G",F716,0))+(S716*IF(G716="G",H716,0))</x:f>
      </x:c>
      <x:c r="Z716">
        <x:f>(S716*IF(E716="E",F716,0))+(S716*IF(G716="E",H716,0))</x:f>
      </x:c>
      <x:c r="AA716">
        <x:f>(S716*IF(E716="T",F716,0))+(S716*IF(G716="T",H716,0))</x:f>
      </x:c>
      <x:c r="AB716">
        <x:f>(S716*IF(E716="L",F716,0))+(S716*IF(G716="L",H716,0))</x:f>
      </x:c>
      <x:c r="AC716">
        <x:f>(S716*IF(E716="H",F716,0))+(S716*IF(G716="H",H716,0))</x:f>
      </x:c>
      <x:c r="AD716">
        <x:f>(S716*IF(E716="V",F716,0))+(S716*IF(G716="V",H716,0))</x:f>
      </x:c>
      <x:c r="AE716">
        <x:f>(S716*IF(E716="R",F716,0))+(S716*IF(G716="R",H716,0))</x:f>
      </x:c>
      <x:c r="AF716">
        <x:f>(S716*IF(E716="F",F716,0))+(S716*IF(G716="F",H716,0))</x:f>
      </x:c>
      <x:c r="AG716">
        <x:f>(S716*IF(E716="W",F716,0))+(S716*IF(G716="W",H716,0))</x:f>
      </x:c>
      <x:c r="AH716" t="inlineStr">
        <x:is>
          <x:t xml:space="preserve">3. Risk Management</x:t>
        </x:is>
      </x:c>
      <x:c r="AI716" t="inlineStr">
        <x:is>
          <x:t xml:space="preserve">Inventory &amp; Scope</x:t>
        </x:is>
      </x:c>
      <x:c r="AJ716" t="inlineStr">
        <x:is>
          <x:t xml:space="preserve">Crown jewels/HVA identification</x:t>
        </x:is>
      </x:c>
    </x:row>
    <x:row r="717">
      <x:c r="A717" t="inlineStr">
        <x:is>
          <x:t xml:space="preserve">RiskAudit</x:t>
        </x:is>
      </x:c>
      <x:c r="B717" t="inlineStr">
        <x:is>
          <x:t xml:space="preserve">AUD-D6-Q10</x:t>
        </x:is>
      </x:c>
      <x:c r="C717" t="inlineStr">
        <x:is>
          <x:t xml:space="preserve">T3</x:t>
        </x:is>
      </x:c>
      <x:c r="D717" t="inlineStr">
        <x:is>
          <x:t xml:space="preserve">4. Legal &amp; Privacy (Deep)</x:t>
        </x:is>
      </x:c>
      <x:c r="E717" t="inlineStr">
        <x:is>
          <x:t xml:space="preserve">L</x:t>
        </x:is>
      </x:c>
      <x:c r="F717" t="n">
        <x:v>0.5</x:v>
      </x:c>
      <x:c r="G717" t="inlineStr">
        <x:is>
          <x:t xml:space="preserve">T</x:t>
        </x:is>
      </x:c>
      <x:c r="H717" t="n">
        <x:v>0.5</x:v>
      </x:c>
      <x:c r="I717" t="inlineStr">
        <x:is>
          <x:t xml:space="preserve">Are monitoring datasets protected like high-value evidence (restricted access, audit logs, retention, periodic review)?</x:t>
        </x:is>
      </x:c>
      <x:c r="J717" t="inlineStr">
        <x:is>
          <x:t xml:space="preserve">This is about protecting the monitoring program itself from abuse.</x:t>
        </x:is>
      </x:c>
      <x:c r="L717" t="inlineStr">
        <x:is>
          <x:t xml:space="preserve">LEG_STRICT</x:t>
        </x:is>
      </x:c>
      <x:c r="M717" t="n">
        <x:v>1</x:v>
      </x:c>
      <x:c r="P717" t="inlineStr">
        <x:is>
          <x:t xml:space="preserve">AUD-D6-Q10-A1</x:t>
        </x:is>
      </x:c>
      <x:c r="Q717" t="n">
        <x:v>2</x:v>
      </x:c>
      <x:c r="R717" t="inlineStr">
        <x:is>
          <x:t xml:space="preserve">Partial: Controls exist but reviews are inconsistent.</x:t>
        </x:is>
      </x:c>
      <x:c r="S717" t="n">
        <x:v>1</x:v>
      </x:c>
      <x:c r="T717" t="inlineStr">
        <x:is>
          <x:t xml:space="preserve">operating_model_gap</x:t>
        </x:is>
      </x:c>
      <x:c r="U717" t="inlineStr">
        <x:is>
          <x:t xml:space="preserve">Operating Model Gap</x:t>
        </x:is>
      </x:c>
      <x:c r="V717" t="inlineStr">
        <x:is>
          <x:t xml:space="preserve">Periodic_Reviews</x:t>
        </x:is>
      </x:c>
      <x:c r="W717" t="inlineStr">
        <x:is>
          <x:t xml:space="preserve">N</x:t>
        </x:is>
      </x:c>
      <x:c r="Y717">
        <x:f>(S717*IF(E717="G",F717,0))+(S717*IF(G717="G",H717,0))</x:f>
      </x:c>
      <x:c r="Z717">
        <x:f>(S717*IF(E717="E",F717,0))+(S717*IF(G717="E",H717,0))</x:f>
      </x:c>
      <x:c r="AA717">
        <x:f>(S717*IF(E717="T",F717,0))+(S717*IF(G717="T",H717,0))</x:f>
      </x:c>
      <x:c r="AB717">
        <x:f>(S717*IF(E717="L",F717,0))+(S717*IF(G717="L",H717,0))</x:f>
      </x:c>
      <x:c r="AC717">
        <x:f>(S717*IF(E717="H",F717,0))+(S717*IF(G717="H",H717,0))</x:f>
      </x:c>
      <x:c r="AD717">
        <x:f>(S717*IF(E717="V",F717,0))+(S717*IF(G717="V",H717,0))</x:f>
      </x:c>
      <x:c r="AE717">
        <x:f>(S717*IF(E717="R",F717,0))+(S717*IF(G717="R",H717,0))</x:f>
      </x:c>
      <x:c r="AF717">
        <x:f>(S717*IF(E717="F",F717,0))+(S717*IF(G717="F",H717,0))</x:f>
      </x:c>
      <x:c r="AG717">
        <x:f>(S717*IF(E717="W",F717,0))+(S717*IF(G717="W",H717,0))</x:f>
      </x:c>
      <x:c r="AH717" t="inlineStr">
        <x:is>
          <x:t xml:space="preserve">3. Risk Management</x:t>
        </x:is>
      </x:c>
      <x:c r="AI717" t="inlineStr">
        <x:is>
          <x:t xml:space="preserve">Inventory &amp; Scope</x:t>
        </x:is>
      </x:c>
      <x:c r="AJ717" t="inlineStr">
        <x:is>
          <x:t xml:space="preserve">Crown jewels/HVA identification</x:t>
        </x:is>
      </x:c>
    </x:row>
    <x:row r="718">
      <x:c r="A718" t="inlineStr">
        <x:is>
          <x:t xml:space="preserve">RiskAudit</x:t>
        </x:is>
      </x:c>
      <x:c r="B718" t="inlineStr">
        <x:is>
          <x:t xml:space="preserve">AUD-D6-Q10</x:t>
        </x:is>
      </x:c>
      <x:c r="C718" t="inlineStr">
        <x:is>
          <x:t xml:space="preserve">T3</x:t>
        </x:is>
      </x:c>
      <x:c r="D718" t="inlineStr">
        <x:is>
          <x:t xml:space="preserve">4. Legal &amp; Privacy (Deep)</x:t>
        </x:is>
      </x:c>
      <x:c r="E718" t="inlineStr">
        <x:is>
          <x:t xml:space="preserve">L</x:t>
        </x:is>
      </x:c>
      <x:c r="F718" t="n">
        <x:v>0.5</x:v>
      </x:c>
      <x:c r="G718" t="inlineStr">
        <x:is>
          <x:t xml:space="preserve">T</x:t>
        </x:is>
      </x:c>
      <x:c r="H718" t="n">
        <x:v>0.5</x:v>
      </x:c>
      <x:c r="I718" t="inlineStr">
        <x:is>
          <x:t xml:space="preserve">Are monitoring datasets protected like high-value evidence (restricted access, audit logs, retention, periodic review)?</x:t>
        </x:is>
      </x:c>
      <x:c r="J718" t="inlineStr">
        <x:is>
          <x:t xml:space="preserve">This is about protecting the monitoring program itself from abuse.</x:t>
        </x:is>
      </x:c>
      <x:c r="L718" t="inlineStr">
        <x:is>
          <x:t xml:space="preserve">LEG_STRICT</x:t>
        </x:is>
      </x:c>
      <x:c r="M718" t="n">
        <x:v>1</x:v>
      </x:c>
      <x:c r="P718" t="inlineStr">
        <x:is>
          <x:t xml:space="preserve">AUD-D6-Q10-A2</x:t>
        </x:is>
      </x:c>
      <x:c r="Q718" t="n">
        <x:v>3</x:v>
      </x:c>
      <x:c r="R718" t="inlineStr">
        <x:is>
          <x:t xml:space="preserve">Yes: Strong controls and periodic reviews are in place.</x:t>
        </x:is>
      </x:c>
      <x:c r="S718" t="n">
        <x:v>3</x:v>
      </x:c>
      <x:c r="V718" t="inlineStr">
        <x:is>
          <x:t xml:space="preserve">Evidence_Request_Protection</x:t>
        </x:is>
      </x:c>
      <x:c r="W718" t="inlineStr">
        <x:is>
          <x:t xml:space="preserve">N</x:t>
        </x:is>
      </x:c>
      <x:c r="Y718">
        <x:f>(S718*IF(E718="G",F718,0))+(S718*IF(G718="G",H718,0))</x:f>
      </x:c>
      <x:c r="Z718">
        <x:f>(S718*IF(E718="E",F718,0))+(S718*IF(G718="E",H718,0))</x:f>
      </x:c>
      <x:c r="AA718">
        <x:f>(S718*IF(E718="T",F718,0))+(S718*IF(G718="T",H718,0))</x:f>
      </x:c>
      <x:c r="AB718">
        <x:f>(S718*IF(E718="L",F718,0))+(S718*IF(G718="L",H718,0))</x:f>
      </x:c>
      <x:c r="AC718">
        <x:f>(S718*IF(E718="H",F718,0))+(S718*IF(G718="H",H718,0))</x:f>
      </x:c>
      <x:c r="AD718">
        <x:f>(S718*IF(E718="V",F718,0))+(S718*IF(G718="V",H718,0))</x:f>
      </x:c>
      <x:c r="AE718">
        <x:f>(S718*IF(E718="R",F718,0))+(S718*IF(G718="R",H718,0))</x:f>
      </x:c>
      <x:c r="AF718">
        <x:f>(S718*IF(E718="F",F718,0))+(S718*IF(G718="F",H718,0))</x:f>
      </x:c>
      <x:c r="AG718">
        <x:f>(S718*IF(E718="W",F718,0))+(S718*IF(G718="W",H718,0))</x:f>
      </x:c>
      <x:c r="AH718" t="inlineStr">
        <x:is>
          <x:t xml:space="preserve">3. Risk Management</x:t>
        </x:is>
      </x:c>
      <x:c r="AI718" t="inlineStr">
        <x:is>
          <x:t xml:space="preserve">Inventory &amp; Scope</x:t>
        </x:is>
      </x:c>
      <x:c r="AJ718" t="inlineStr">
        <x:is>
          <x:t xml:space="preserve">Crown jewels/HVA identification</x:t>
        </x:is>
      </x:c>
    </x:row>
    <x:row r="719">
      <x:c r="A719" t="inlineStr">
        <x:is>
          <x:t xml:space="preserve">RiskAudit</x:t>
        </x:is>
      </x:c>
      <x:c r="B719" t="inlineStr">
        <x:is>
          <x:t xml:space="preserve">AUD-D6-Q10</x:t>
        </x:is>
      </x:c>
      <x:c r="C719" t="inlineStr">
        <x:is>
          <x:t xml:space="preserve">T3</x:t>
        </x:is>
      </x:c>
      <x:c r="D719" t="inlineStr">
        <x:is>
          <x:t xml:space="preserve">4. Legal &amp; Privacy (Deep)</x:t>
        </x:is>
      </x:c>
      <x:c r="E719" t="inlineStr">
        <x:is>
          <x:t xml:space="preserve">L</x:t>
        </x:is>
      </x:c>
      <x:c r="F719" t="n">
        <x:v>0.5</x:v>
      </x:c>
      <x:c r="G719" t="inlineStr">
        <x:is>
          <x:t xml:space="preserve">T</x:t>
        </x:is>
      </x:c>
      <x:c r="H719" t="n">
        <x:v>0.5</x:v>
      </x:c>
      <x:c r="I719" t="inlineStr">
        <x:is>
          <x:t xml:space="preserve">Are monitoring datasets protected like high-value evidence (restricted access, audit logs, retention, periodic review)?</x:t>
        </x:is>
      </x:c>
      <x:c r="J719" t="inlineStr">
        <x:is>
          <x:t xml:space="preserve">This is about protecting the monitoring program itself from abuse.</x:t>
        </x:is>
      </x:c>
      <x:c r="L719" t="inlineStr">
        <x:is>
          <x:t xml:space="preserve">LEG_STRICT</x:t>
        </x:is>
      </x:c>
      <x:c r="M719" t="n">
        <x:v>1</x:v>
      </x:c>
      <x:c r="P719" t="inlineStr">
        <x:is>
          <x:t xml:space="preserve">AUD-D6-Q10-A3</x:t>
        </x:is>
      </x:c>
      <x:c r="Q719" t="n">
        <x:v>4</x:v>
      </x:c>
      <x:c r="R719" t="inlineStr">
        <x:is>
          <x:t xml:space="preserve">Mature: Independent audits and continuous improvement.</x:t>
        </x:is>
      </x:c>
      <x:c r="S719" t="n">
        <x:v>4</x:v>
      </x:c>
      <x:c r="V719" t="inlineStr">
        <x:is>
          <x:t xml:space="preserve">Maintain_and_Audit</x:t>
        </x:is>
      </x:c>
      <x:c r="W719" t="inlineStr">
        <x:is>
          <x:t xml:space="preserve">N</x:t>
        </x:is>
      </x:c>
      <x:c r="Y719">
        <x:f>(S719*IF(E719="G",F719,0))+(S719*IF(G719="G",H719,0))</x:f>
      </x:c>
      <x:c r="Z719">
        <x:f>(S719*IF(E719="E",F719,0))+(S719*IF(G719="E",H719,0))</x:f>
      </x:c>
      <x:c r="AA719">
        <x:f>(S719*IF(E719="T",F719,0))+(S719*IF(G719="T",H719,0))</x:f>
      </x:c>
      <x:c r="AB719">
        <x:f>(S719*IF(E719="L",F719,0))+(S719*IF(G719="L",H719,0))</x:f>
      </x:c>
      <x:c r="AC719">
        <x:f>(S719*IF(E719="H",F719,0))+(S719*IF(G719="H",H719,0))</x:f>
      </x:c>
      <x:c r="AD719">
        <x:f>(S719*IF(E719="V",F719,0))+(S719*IF(G719="V",H719,0))</x:f>
      </x:c>
      <x:c r="AE719">
        <x:f>(S719*IF(E719="R",F719,0))+(S719*IF(G719="R",H719,0))</x:f>
      </x:c>
      <x:c r="AF719">
        <x:f>(S719*IF(E719="F",F719,0))+(S719*IF(G719="F",H719,0))</x:f>
      </x:c>
      <x:c r="AG719">
        <x:f>(S719*IF(E719="W",F719,0))+(S719*IF(G719="W",H719,0))</x:f>
      </x:c>
      <x:c r="AH719" t="inlineStr">
        <x:is>
          <x:t xml:space="preserve">3. Risk Management</x:t>
        </x:is>
      </x:c>
      <x:c r="AI719" t="inlineStr">
        <x:is>
          <x:t xml:space="preserve">Inventory &amp; Scope</x:t>
        </x:is>
      </x:c>
      <x:c r="AJ719" t="inlineStr">
        <x:is>
          <x:t xml:space="preserve">Crown jewels/HVA identification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0" customWidth="1"/>
    <x:col min="4" max="4" width="16" customWidth="1"/>
    <x:col min="5" max="5" width="16" customWidth="1"/>
    <x:col min="6" max="6" width="10" customWidth="1"/>
    <x:col min="7" max="7" width="10" customWidth="1"/>
    <x:col min="8" max="8" width="14" customWidth="1"/>
    <x:col min="9" max="9" width="21" customWidth="1"/>
    <x:col min="10" max="10" width="15" customWidth="1"/>
    <x:col min="11" max="11" width="11" customWidth="1"/>
    <x:col min="12" max="12" width="20" customWidth="1"/>
    <x:col min="13" max="13" width="10" customWidth="1"/>
  </x:cols>
  <x:sheetData>
    <x:row r="1">
      <x:c r="A1" s="1" t="inlineStr">
        <x:is>
          <x:t xml:space="preserve">AssessmentID</x:t>
        </x:is>
      </x:c>
      <x:c r="B1" s="1" t="inlineStr">
        <x:is>
          <x:t xml:space="preserve">Scope</x:t>
        </x:is>
      </x:c>
      <x:c r="C1" s="1" t="inlineStr">
        <x:is>
          <x:t xml:space="preserve">Pack</x:t>
        </x:is>
      </x:c>
      <x:c r="D1" s="1" t="inlineStr">
        <x:is>
          <x:t xml:space="preserve">RespondentRole</x:t>
        </x:is>
      </x:c>
      <x:c r="E1" s="1" t="inlineStr">
        <x:is>
          <x:t xml:space="preserve">RespondentType</x:t>
        </x:is>
      </x:c>
      <x:c r="F1" s="1" t="inlineStr">
        <x:is>
          <x:t xml:space="preserve">Q-ID</x:t>
        </x:is>
      </x:c>
      <x:c r="G1" s="1" t="inlineStr">
        <x:is>
          <x:t xml:space="preserve">A-ID</x:t>
        </x:is>
      </x:c>
      <x:c r="H1" s="1" t="inlineStr">
        <x:is>
          <x:t xml:space="preserve">EvidenceTier</x:t>
        </x:is>
      </x:c>
      <x:c r="I1" s="1" t="inlineStr">
        <x:is>
          <x:t xml:space="preserve">EvidenceRecencyDays</x:t>
        </x:is>
      </x:c>
      <x:c r="J1" s="1" t="inlineStr">
        <x:is>
          <x:t xml:space="preserve">ScopeCoverage</x:t>
        </x:is>
      </x:c>
      <x:c r="K1" s="1" t="inlineStr">
        <x:is>
          <x:t xml:space="preserve">SamplingN</x:t>
        </x:is>
      </x:c>
      <x:c r="L1" s="1" t="inlineStr">
        <x:is>
          <x:t xml:space="preserve">AssessorConfidence</x:t>
        </x:is>
      </x:c>
      <x:c r="M1" s="1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Check</x:t>
        </x:is>
      </x:c>
      <x:c r="B1" t="inlineStr">
        <x:is>
          <x:t xml:space="preserve">SourceQID</x:t>
        </x:is>
      </x:c>
      <x:c r="C1" t="inlineStr">
        <x:is>
          <x:t xml:space="preserve">Field</x:t>
        </x:is>
      </x:c>
      <x:c r="D1" t="inlineStr">
        <x:is>
          <x:t xml:space="preserve">Target</x:t>
        </x:is>
      </x:c>
      <x:c r="E1" t="inlineStr">
        <x:is>
          <x:t xml:space="preserve">Status</x:t>
        </x:is>
      </x:c>
    </x:row>
    <x:row r="3">
      <x:c r="A3" t="inlineStr">
        <x:is>
          <x:t xml:space="preserve">Check</x:t>
        </x:is>
      </x:c>
      <x:c r="B3" t="inlineStr">
        <x:is>
          <x:t xml:space="preserve">SourceQID</x:t>
        </x:is>
      </x:c>
      <x:c r="C3" t="inlineStr">
        <x:is>
          <x:t xml:space="preserve">Field</x:t>
        </x:is>
      </x:c>
      <x:c r="D3" t="inlineStr">
        <x:is>
          <x:t xml:space="preserve">Target</x:t>
        </x:is>
      </x:c>
      <x:c r="E3" t="inlineStr">
        <x:is>
          <x:t xml:space="preserve">Status</x:t>
        </x:is>
      </x:c>
    </x:row>
    <x:row r="4">
      <x:c r="A4" t="inlineStr">
        <x:is>
          <x:t xml:space="preserve">FrameworkMap</x:t>
        </x:is>
      </x:c>
      <x:c r="B4" t="inlineStr">
        <x:is>
          <x:t xml:space="preserve">EXCO-D2-Q02</x:t>
        </x:is>
      </x:c>
      <x:c r="C4" t="inlineStr">
        <x:is>
          <x:t xml:space="preserve">IRMMF Sub-capability</x:t>
        </x:is>
      </x:c>
      <x:c r="D4" t="inlineStr">
        <x:is>
          <x:t xml:space="preserve">Charter &amp; authority model</x:t>
        </x:is>
      </x:c>
      <x:c r="E4" t="inlineStr">
        <x:is>
          <x:t xml:space="preserve">LOW_CONF_0.026</x:t>
        </x:is>
      </x:c>
    </x:row>
    <x:row r="5">
      <x:c r="A5" t="inlineStr">
        <x:is>
          <x:t xml:space="preserve">FrameworkMap</x:t>
        </x:is>
      </x:c>
      <x:c r="B5" t="inlineStr">
        <x:is>
          <x:t xml:space="preserve">EXCO-D2-Q05</x:t>
        </x:is>
      </x:c>
      <x:c r="C5" t="inlineStr">
        <x:is>
          <x:t xml:space="preserve">IRMMF Sub-capability</x:t>
        </x:is>
      </x:c>
      <x:c r="D5" t="inlineStr">
        <x:is>
          <x:t xml:space="preserve">Insider response playbooks (by scenario)</x:t>
        </x:is>
      </x:c>
      <x:c r="E5" t="inlineStr">
        <x:is>
          <x:t xml:space="preserve">LOW_CONF_0.095</x:t>
        </x:is>
      </x:c>
    </x:row>
    <x:row r="6">
      <x:c r="A6" t="inlineStr">
        <x:is>
          <x:t xml:space="preserve">FrameworkMap</x:t>
        </x:is>
      </x:c>
      <x:c r="B6" t="inlineStr">
        <x:is>
          <x:t xml:space="preserve">EXCO-D3-Q04</x:t>
        </x:is>
      </x:c>
      <x:c r="C6" t="inlineStr">
        <x:is>
          <x:t xml:space="preserve">IRMMF Sub-capability</x:t>
        </x:is>
      </x:c>
      <x:c r="D6" t="inlineStr">
        <x:is>
          <x:t xml:space="preserve">Privacy guardrails for investigations</x:t>
        </x:is>
      </x:c>
      <x:c r="E6" t="inlineStr">
        <x:is>
          <x:t xml:space="preserve">LOW_CONF_0.088</x:t>
        </x:is>
      </x:c>
    </x:row>
    <x:row r="7">
      <x:c r="A7" t="inlineStr">
        <x:is>
          <x:t xml:space="preserve">FrameworkMap</x:t>
        </x:is>
      </x:c>
      <x:c r="B7" t="inlineStr">
        <x:is>
          <x:t xml:space="preserve">EXCO-D3-Q05</x:t>
        </x:is>
      </x:c>
      <x:c r="C7" t="inlineStr">
        <x:is>
          <x:t xml:space="preserve">IRMMF Sub-capability</x:t>
        </x:is>
      </x:c>
      <x:c r="D7" t="inlineStr">
        <x:is>
          <x:t xml:space="preserve">Forensic readiness &amp; evidence preservation</x:t>
        </x:is>
      </x:c>
      <x:c r="E7" t="inlineStr">
        <x:is>
          <x:t xml:space="preserve">LOW_CONF_0.116</x:t>
        </x:is>
      </x:c>
    </x:row>
    <x:row r="8">
      <x:c r="A8" t="inlineStr">
        <x:is>
          <x:t xml:space="preserve">FrameworkMap</x:t>
        </x:is>
      </x:c>
      <x:c r="B8" t="inlineStr">
        <x:is>
          <x:t xml:space="preserve">EXCO-D4-Q03</x:t>
        </x:is>
      </x:c>
      <x:c r="C8" t="inlineStr">
        <x:is>
          <x:t xml:space="preserve">IRMMF Sub-capability</x:t>
        </x:is>
      </x:c>
      <x:c r="D8" t="inlineStr">
        <x:is>
          <x:t xml:space="preserve">Policy &amp; Standards Suite</x:t>
        </x:is>
      </x:c>
      <x:c r="E8" t="inlineStr">
        <x:is>
          <x:t xml:space="preserve">LOW_CONF_0.091</x:t>
        </x:is>
      </x:c>
    </x:row>
    <x:row r="9">
      <x:c r="A9" t="inlineStr">
        <x:is>
          <x:t xml:space="preserve">FrameworkMap</x:t>
        </x:is>
      </x:c>
      <x:c r="B9" t="inlineStr">
        <x:is>
          <x:t xml:space="preserve">EXCO-D5-Q03</x:t>
        </x:is>
      </x:c>
      <x:c r="C9" t="inlineStr">
        <x:is>
          <x:t xml:space="preserve">IRMMF Sub-capability</x:t>
        </x:is>
      </x:c>
      <x:c r="D9" t="inlineStr">
        <x:is>
          <x:t xml:space="preserve">People-Signal Governance</x:t>
        </x:is>
      </x:c>
      <x:c r="E9" t="inlineStr">
        <x:is>
          <x:t xml:space="preserve">LOW_CONF_0.093</x:t>
        </x:is>
      </x:c>
    </x:row>
    <x:row r="10">
      <x:c r="A10" t="inlineStr">
        <x:is>
          <x:t xml:space="preserve">FrameworkMap</x:t>
        </x:is>
      </x:c>
      <x:c r="B10" t="inlineStr">
        <x:is>
          <x:t xml:space="preserve">EXCO-D8-Q02</x:t>
        </x:is>
      </x:c>
      <x:c r="C10" t="inlineStr">
        <x:is>
          <x:t xml:space="preserve">IRMMF Sub-capability</x:t>
        </x:is>
      </x:c>
      <x:c r="D10" t="inlineStr">
        <x:is>
          <x:t xml:space="preserve">Review, Redress &amp; Assurance</x:t>
        </x:is>
      </x:c>
      <x:c r="E10" t="inlineStr">
        <x:is>
          <x:t xml:space="preserve">LOW_CONF_0.088</x:t>
        </x:is>
      </x:c>
    </x:row>
    <x:row r="11">
      <x:c r="A11" t="inlineStr">
        <x:is>
          <x:t xml:space="preserve">FrameworkMap</x:t>
        </x:is>
      </x:c>
      <x:c r="B11" t="inlineStr">
        <x:is>
          <x:t xml:space="preserve">HR-D2-Q06</x:t>
        </x:is>
      </x:c>
      <x:c r="C11" t="inlineStr">
        <x:is>
          <x:t xml:space="preserve">IRMMF Sub-capability</x:t>
        </x:is>
      </x:c>
      <x:c r="D11" t="inlineStr">
        <x:is>
          <x:t xml:space="preserve">Maturity benchmarking &amp; audit readiness</x:t>
        </x:is>
      </x:c>
      <x:c r="E11" t="inlineStr">
        <x:is>
          <x:t xml:space="preserve">LOW_CONF_0.081</x:t>
        </x:is>
      </x:c>
    </x:row>
    <x:row r="12">
      <x:c r="A12" t="inlineStr">
        <x:is>
          <x:t xml:space="preserve">FrameworkMap</x:t>
        </x:is>
      </x:c>
      <x:c r="B12" t="inlineStr">
        <x:is>
          <x:t xml:space="preserve">HR-D2-Q08</x:t>
        </x:is>
      </x:c>
      <x:c r="C12" t="inlineStr">
        <x:is>
          <x:t xml:space="preserve">IRMMF Sub-capability</x:t>
        </x:is>
      </x:c>
      <x:c r="D12" t="inlineStr">
        <x:is>
          <x:t xml:space="preserve">Forensic readiness &amp; evidence preservation</x:t>
        </x:is>
      </x:c>
      <x:c r="E12" t="inlineStr">
        <x:is>
          <x:t xml:space="preserve">LOW_CONF_0.083</x:t>
        </x:is>
      </x:c>
    </x:row>
    <x:row r="13">
      <x:c r="A13" t="inlineStr">
        <x:is>
          <x:t xml:space="preserve">FrameworkMap</x:t>
        </x:is>
      </x:c>
      <x:c r="B13" t="inlineStr">
        <x:is>
          <x:t xml:space="preserve">HR-D3-Q09</x:t>
        </x:is>
      </x:c>
      <x:c r="C13" t="inlineStr">
        <x:is>
          <x:t xml:space="preserve">IRMMF Sub-capability</x:t>
        </x:is>
      </x:c>
      <x:c r="D13" t="inlineStr">
        <x:is>
          <x:t xml:space="preserve">Risk appetite &amp; tolerance</x:t>
        </x:is>
      </x:c>
      <x:c r="E13" t="inlineStr">
        <x:is>
          <x:t xml:space="preserve">LOW_CONF_0.077</x:t>
        </x:is>
      </x:c>
    </x:row>
    <x:row r="14">
      <x:c r="A14" t="inlineStr">
        <x:is>
          <x:t xml:space="preserve">FrameworkMap</x:t>
        </x:is>
      </x:c>
      <x:c r="B14" t="inlineStr">
        <x:is>
          <x:t xml:space="preserve">HR-D3-Q10</x:t>
        </x:is>
      </x:c>
      <x:c r="C14" t="inlineStr">
        <x:is>
          <x:t xml:space="preserve">IRMMF Sub-capability</x:t>
        </x:is>
      </x:c>
      <x:c r="D14" t="inlineStr">
        <x:is>
          <x:t xml:space="preserve">Works Council / Labor Alignment</x:t>
        </x:is>
      </x:c>
      <x:c r="E14" t="inlineStr">
        <x:is>
          <x:t xml:space="preserve">LOW_CONF_0.075</x:t>
        </x:is>
      </x:c>
    </x:row>
    <x:row r="15">
      <x:c r="A15" t="inlineStr">
        <x:is>
          <x:t xml:space="preserve">FrameworkMap</x:t>
        </x:is>
      </x:c>
      <x:c r="B15" t="inlineStr">
        <x:is>
          <x:t xml:space="preserve">HR-D4-Q16</x:t>
        </x:is>
      </x:c>
      <x:c r="C15" t="inlineStr">
        <x:is>
          <x:t xml:space="preserve">IRMMF Sub-capability</x:t>
        </x:is>
      </x:c>
      <x:c r="D15" t="inlineStr">
        <x:is>
          <x:t xml:space="preserve">Data Minimization &amp; Purpose Limitation</x:t>
        </x:is>
      </x:c>
      <x:c r="E15" t="inlineStr">
        <x:is>
          <x:t xml:space="preserve">LOW_CONF_0.067</x:t>
        </x:is>
      </x:c>
    </x:row>
    <x:row r="16">
      <x:c r="A16" t="inlineStr">
        <x:is>
          <x:t xml:space="preserve">FrameworkMap</x:t>
        </x:is>
      </x:c>
      <x:c r="B16" t="inlineStr">
        <x:is>
          <x:t xml:space="preserve">HR-D5-Q17</x:t>
        </x:is>
      </x:c>
      <x:c r="C16" t="inlineStr">
        <x:is>
          <x:t xml:space="preserve">IRMMF Sub-capability</x:t>
        </x:is>
      </x:c>
      <x:c r="D16" t="inlineStr">
        <x:is>
          <x:t xml:space="preserve">Crisis management &amp; communications</x:t>
        </x:is>
      </x:c>
      <x:c r="E16" t="inlineStr">
        <x:is>
          <x:t xml:space="preserve">LOW_CONF_0.079</x:t>
        </x:is>
      </x:c>
    </x:row>
    <x:row r="17">
      <x:c r="A17" t="inlineStr">
        <x:is>
          <x:t xml:space="preserve">FrameworkMap</x:t>
        </x:is>
      </x:c>
      <x:c r="B17" t="inlineStr">
        <x:is>
          <x:t xml:space="preserve">HR-D5-Q18</x:t>
        </x:is>
      </x:c>
      <x:c r="C17" t="inlineStr">
        <x:is>
          <x:t xml:space="preserve">IRMMF Sub-capability</x:t>
        </x:is>
      </x:c>
      <x:c r="D17" t="inlineStr">
        <x:is>
          <x:t xml:space="preserve">Root cause analysis &amp; corrective actions</x:t>
        </x:is>
      </x:c>
      <x:c r="E17" t="inlineStr">
        <x:is>
          <x:t xml:space="preserve">LOW_CONF_0.073</x:t>
        </x:is>
      </x:c>
    </x:row>
    <x:row r="18">
      <x:c r="A18" t="inlineStr">
        <x:is>
          <x:t xml:space="preserve">FrameworkMap</x:t>
        </x:is>
      </x:c>
      <x:c r="B18" t="inlineStr">
        <x:is>
          <x:t xml:space="preserve">HR-D7-Q23</x:t>
        </x:is>
      </x:c>
      <x:c r="C18" t="inlineStr">
        <x:is>
          <x:t xml:space="preserve">IRMMF Sub-capability</x:t>
        </x:is>
      </x:c>
      <x:c r="D18" t="inlineStr">
        <x:is>
          <x:t xml:space="preserve">Case management (process + tooling)</x:t>
        </x:is>
      </x:c>
      <x:c r="E18" t="inlineStr">
        <x:is>
          <x:t xml:space="preserve">LOW_CONF_0.103</x:t>
        </x:is>
      </x:c>
    </x:row>
    <x:row r="19">
      <x:c r="A19" t="inlineStr">
        <x:is>
          <x:t xml:space="preserve">FrameworkMap</x:t>
        </x:is>
      </x:c>
      <x:c r="B19" t="inlineStr">
        <x:is>
          <x:t xml:space="preserve">SEC-D1-Q01</x:t>
        </x:is>
      </x:c>
      <x:c r="C19" t="inlineStr">
        <x:is>
          <x:t xml:space="preserve">IRMMF Sub-capability</x:t>
        </x:is>
      </x:c>
      <x:c r="D19" t="inlineStr">
        <x:is>
          <x:t xml:space="preserve">Multidisciplinary triage (ITWG) operations</x:t>
        </x:is>
      </x:c>
      <x:c r="E19" t="inlineStr">
        <x:is>
          <x:t xml:space="preserve">LOW_CONF_0.087</x:t>
        </x:is>
      </x:c>
    </x:row>
    <x:row r="20">
      <x:c r="A20" t="inlineStr">
        <x:is>
          <x:t xml:space="preserve">FrameworkMap</x:t>
        </x:is>
      </x:c>
      <x:c r="B20" t="inlineStr">
        <x:is>
          <x:t xml:space="preserve">SEC-D2-Q06</x:t>
        </x:is>
      </x:c>
      <x:c r="C20" t="inlineStr">
        <x:is>
          <x:t xml:space="preserve">IRMMF Sub-capability</x:t>
        </x:is>
      </x:c>
      <x:c r="D20" t="inlineStr">
        <x:is>
          <x:t xml:space="preserve">Data Minimization &amp; Purpose Limitation</x:t>
        </x:is>
      </x:c>
      <x:c r="E20" t="inlineStr">
        <x:is>
          <x:t xml:space="preserve">LOW_CONF_0.075</x:t>
        </x:is>
      </x:c>
    </x:row>
    <x:row r="21">
      <x:c r="A21" t="inlineStr">
        <x:is>
          <x:t xml:space="preserve">FrameworkMap</x:t>
        </x:is>
      </x:c>
      <x:c r="B21" t="inlineStr">
        <x:is>
          <x:t xml:space="preserve">SEC-D3-Q07</x:t>
        </x:is>
      </x:c>
      <x:c r="C21" t="inlineStr">
        <x:is>
          <x:t xml:space="preserve">IRMMF Sub-capability</x:t>
        </x:is>
      </x:c>
      <x:c r="D21" t="inlineStr">
        <x:is>
          <x:t xml:space="preserve">Containment &amp; eradication actions</x:t>
        </x:is>
      </x:c>
      <x:c r="E21" t="inlineStr">
        <x:is>
          <x:t xml:space="preserve">LOW_CONF_0.087</x:t>
        </x:is>
      </x:c>
    </x:row>
    <x:row r="22">
      <x:c r="A22" t="inlineStr">
        <x:is>
          <x:t xml:space="preserve">FrameworkMap</x:t>
        </x:is>
      </x:c>
      <x:c r="B22" t="inlineStr">
        <x:is>
          <x:t xml:space="preserve">SEC-D3-Q08</x:t>
        </x:is>
      </x:c>
      <x:c r="C22" t="inlineStr">
        <x:is>
          <x:t xml:space="preserve">IRMMF Sub-capability</x:t>
        </x:is>
      </x:c>
      <x:c r="D22" t="inlineStr">
        <x:is>
          <x:t xml:space="preserve">Operational working group (ITWG/triage cell)</x:t>
        </x:is>
      </x:c>
      <x:c r="E22" t="inlineStr">
        <x:is>
          <x:t xml:space="preserve">LOW_CONF_0.106</x:t>
        </x:is>
      </x:c>
    </x:row>
    <x:row r="23">
      <x:c r="A23" t="inlineStr">
        <x:is>
          <x:t xml:space="preserve">FrameworkMap</x:t>
        </x:is>
      </x:c>
      <x:c r="B23" t="inlineStr">
        <x:is>
          <x:t xml:space="preserve">SEC-D4-Q11</x:t>
        </x:is>
      </x:c>
      <x:c r="C23" t="inlineStr">
        <x:is>
          <x:t xml:space="preserve">IRMMF Sub-capability</x:t>
        </x:is>
      </x:c>
      <x:c r="D23" t="inlineStr">
        <x:is>
          <x:t xml:space="preserve">Physical access governance (critical areas)</x:t>
        </x:is>
      </x:c>
      <x:c r="E23" t="inlineStr">
        <x:is>
          <x:t xml:space="preserve">LOW_CONF_0.085</x:t>
        </x:is>
      </x:c>
    </x:row>
    <x:row r="24">
      <x:c r="A24" t="inlineStr">
        <x:is>
          <x:t xml:space="preserve">FrameworkMap</x:t>
        </x:is>
      </x:c>
      <x:c r="B24" t="inlineStr">
        <x:is>
          <x:t xml:space="preserve">SEC-D5-Q14</x:t>
        </x:is>
      </x:c>
      <x:c r="C24" t="inlineStr">
        <x:is>
          <x:t xml:space="preserve">IRMMF Sub-capability</x:t>
        </x:is>
      </x:c>
      <x:c r="D24" t="inlineStr">
        <x:is>
          <x:t xml:space="preserve">Exceptions &amp; risk acceptance</x:t>
        </x:is>
      </x:c>
      <x:c r="E24" t="inlineStr">
        <x:is>
          <x:t xml:space="preserve">LOW_CONF_0.068</x:t>
        </x:is>
      </x:c>
    </x:row>
    <x:row r="25">
      <x:c r="A25" t="inlineStr">
        <x:is>
          <x:t xml:space="preserve">FrameworkMap</x:t>
        </x:is>
      </x:c>
      <x:c r="B25" t="inlineStr">
        <x:is>
          <x:t xml:space="preserve">SEC-D7-Q20</x:t>
        </x:is>
      </x:c>
      <x:c r="C25" t="inlineStr">
        <x:is>
          <x:t xml:space="preserve">IRMMF Sub-capability</x:t>
        </x:is>
      </x:c>
      <x:c r="D25" t="inlineStr">
        <x:is>
          <x:t xml:space="preserve">Forensic readiness &amp; evidence preservation</x:t>
        </x:is>
      </x:c>
      <x:c r="E25" t="inlineStr">
        <x:is>
          <x:t xml:space="preserve">LOW_CONF_0.098</x:t>
        </x:is>
      </x:c>
    </x:row>
    <x:row r="26">
      <x:c r="A26" t="inlineStr">
        <x:is>
          <x:t xml:space="preserve">FrameworkMap</x:t>
        </x:is>
      </x:c>
      <x:c r="B26" t="inlineStr">
        <x:is>
          <x:t xml:space="preserve">SEC-D8-Q22</x:t>
        </x:is>
      </x:c>
      <x:c r="C26" t="inlineStr">
        <x:is>
          <x:t xml:space="preserve">IRMMF Sub-capability</x:t>
        </x:is>
      </x:c>
      <x:c r="D26" t="inlineStr">
        <x:is>
          <x:t xml:space="preserve">Physical access governance (critical areas)</x:t>
        </x:is>
      </x:c>
      <x:c r="E26" t="inlineStr">
        <x:is>
          <x:t xml:space="preserve">LOW_CONF_0.085</x:t>
        </x:is>
      </x:c>
    </x:row>
    <x:row r="27">
      <x:c r="A27" t="inlineStr">
        <x:is>
          <x:t xml:space="preserve">FrameworkMap</x:t>
        </x:is>
      </x:c>
      <x:c r="B27" t="inlineStr">
        <x:is>
          <x:t xml:space="preserve">SEC-D9-Q25</x:t>
        </x:is>
      </x:c>
      <x:c r="C27" t="inlineStr">
        <x:is>
          <x:t xml:space="preserve">IRMMF Sub-capability</x:t>
        </x:is>
      </x:c>
      <x:c r="D27" t="inlineStr">
        <x:is>
          <x:t xml:space="preserve">Alert triage workflow &amp; quality management</x:t>
        </x:is>
      </x:c>
      <x:c r="E27" t="inlineStr">
        <x:is>
          <x:t xml:space="preserve">LOW_CONF_0.083</x:t>
        </x:is>
      </x:c>
    </x:row>
    <x:row r="28">
      <x:c r="A28" t="inlineStr">
        <x:is>
          <x:t xml:space="preserve">FrameworkMap</x:t>
        </x:is>
      </x:c>
      <x:c r="B28" t="inlineStr">
        <x:is>
          <x:t xml:space="preserve">SEC-D9-Q26</x:t>
        </x:is>
      </x:c>
      <x:c r="C28" t="inlineStr">
        <x:is>
          <x:t xml:space="preserve">IRMMF Sub-capability</x:t>
        </x:is>
      </x:c>
      <x:c r="D28" t="inlineStr">
        <x:is>
          <x:t xml:space="preserve">Review, Redress &amp; Assurance</x:t>
        </x:is>
      </x:c>
      <x:c r="E28" t="inlineStr">
        <x:is>
          <x:t xml:space="preserve">LOW_CONF_0.083</x:t>
        </x:is>
      </x:c>
    </x:row>
    <x:row r="29">
      <x:c r="A29" t="inlineStr">
        <x:is>
          <x:t xml:space="preserve">FrameworkMap</x:t>
        </x:is>
      </x:c>
      <x:c r="B29" t="inlineStr">
        <x:is>
          <x:t xml:space="preserve">SEC-D10-Q30</x:t>
        </x:is>
      </x:c>
      <x:c r="C29" t="inlineStr">
        <x:is>
          <x:t xml:space="preserve">IRMMF Sub-capability</x:t>
        </x:is>
      </x:c>
      <x:c r="D29" t="inlineStr">
        <x:is>
          <x:t xml:space="preserve">Monitoring Access Governance</x:t>
        </x:is>
      </x:c>
      <x:c r="E29" t="inlineStr">
        <x:is>
          <x:t xml:space="preserve">LOW_CONF_0.104</x:t>
        </x:is>
      </x:c>
    </x:row>
    <x:row r="30">
      <x:c r="A30" t="inlineStr">
        <x:is>
          <x:t xml:space="preserve">FrameworkMap</x:t>
        </x:is>
      </x:c>
      <x:c r="B30" t="inlineStr">
        <x:is>
          <x:t xml:space="preserve">SEC-D11-Q31</x:t>
        </x:is>
      </x:c>
      <x:c r="C30" t="inlineStr">
        <x:is>
          <x:t xml:space="preserve">IRMMF Sub-capability</x:t>
        </x:is>
      </x:c>
      <x:c r="D30" t="inlineStr">
        <x:is>
          <x:t xml:space="preserve">MFA/adaptive access &amp; device posture</x:t>
        </x:is>
      </x:c>
      <x:c r="E30" t="inlineStr">
        <x:is>
          <x:t xml:space="preserve">LOW_CONF_0.082</x:t>
        </x:is>
      </x:c>
    </x:row>
    <x:row r="31">
      <x:c r="A31" t="inlineStr">
        <x:is>
          <x:t xml:space="preserve">FrameworkMap</x:t>
        </x:is>
      </x:c>
      <x:c r="B31" t="inlineStr">
        <x:is>
          <x:t xml:space="preserve">LEG-D1-Q01</x:t>
        </x:is>
      </x:c>
      <x:c r="C31" t="inlineStr">
        <x:is>
          <x:t xml:space="preserve">IRMMF Sub-capability</x:t>
        </x:is>
      </x:c>
      <x:c r="D31" t="inlineStr">
        <x:is>
          <x:t xml:space="preserve">Monitoring Access Governance</x:t>
        </x:is>
      </x:c>
      <x:c r="E31" t="inlineStr">
        <x:is>
          <x:t xml:space="preserve">LOW_CONF_0.106</x:t>
        </x:is>
      </x:c>
    </x:row>
    <x:row r="32">
      <x:c r="A32" t="inlineStr">
        <x:is>
          <x:t xml:space="preserve">FrameworkMap</x:t>
        </x:is>
      </x:c>
      <x:c r="B32" t="inlineStr">
        <x:is>
          <x:t xml:space="preserve">LEG-D1-Q02</x:t>
        </x:is>
      </x:c>
      <x:c r="C32" t="inlineStr">
        <x:is>
          <x:t xml:space="preserve">IRMMF Sub-capability</x:t>
        </x:is>
      </x:c>
      <x:c r="D32" t="inlineStr">
        <x:is>
          <x:t xml:space="preserve">Policy &amp; Standards Suite</x:t>
        </x:is>
      </x:c>
      <x:c r="E32" t="inlineStr">
        <x:is>
          <x:t xml:space="preserve">LOW_CONF_0.065</x:t>
        </x:is>
      </x:c>
    </x:row>
    <x:row r="33">
      <x:c r="A33" t="inlineStr">
        <x:is>
          <x:t xml:space="preserve">FrameworkMap</x:t>
        </x:is>
      </x:c>
      <x:c r="B33" t="inlineStr">
        <x:is>
          <x:t xml:space="preserve">LEG-D1-Q04</x:t>
        </x:is>
      </x:c>
      <x:c r="C33" t="inlineStr">
        <x:is>
          <x:t xml:space="preserve">IRMMF Sub-capability</x:t>
        </x:is>
      </x:c>
      <x:c r="D33" t="inlineStr">
        <x:is>
          <x:t xml:space="preserve">Privacy guardrails for investigations</x:t>
        </x:is>
      </x:c>
      <x:c r="E33" t="inlineStr">
        <x:is>
          <x:t xml:space="preserve">LOW_CONF_0.098</x:t>
        </x:is>
      </x:c>
    </x:row>
    <x:row r="34">
      <x:c r="A34" t="inlineStr">
        <x:is>
          <x:t xml:space="preserve">FrameworkMap</x:t>
        </x:is>
      </x:c>
      <x:c r="B34" t="inlineStr">
        <x:is>
          <x:t xml:space="preserve">LEG-D3-Q11</x:t>
        </x:is>
      </x:c>
      <x:c r="C34" t="inlineStr">
        <x:is>
          <x:t xml:space="preserve">IRMMF Sub-capability</x:t>
        </x:is>
      </x:c>
      <x:c r="D34" t="inlineStr">
        <x:is>
          <x:t xml:space="preserve">Forensic readiness &amp; evidence preservation</x:t>
        </x:is>
      </x:c>
      <x:c r="E34" t="inlineStr">
        <x:is>
          <x:t xml:space="preserve">LOW_CONF_0.091</x:t>
        </x:is>
      </x:c>
    </x:row>
    <x:row r="35">
      <x:c r="A35" t="inlineStr">
        <x:is>
          <x:t xml:space="preserve">FrameworkMap</x:t>
        </x:is>
      </x:c>
      <x:c r="B35" t="inlineStr">
        <x:is>
          <x:t xml:space="preserve">LEG-D4-Q14</x:t>
        </x:is>
      </x:c>
      <x:c r="C35" t="inlineStr">
        <x:is>
          <x:t xml:space="preserve">IRMMF Sub-capability</x:t>
        </x:is>
      </x:c>
      <x:c r="D35" t="inlineStr">
        <x:is>
          <x:t xml:space="preserve">DPIA/PIA per Use-Case</x:t>
        </x:is>
      </x:c>
      <x:c r="E35" t="inlineStr">
        <x:is>
          <x:t xml:space="preserve">LOW_CONF_0.089</x:t>
        </x:is>
      </x:c>
    </x:row>
    <x:row r="36">
      <x:c r="A36" t="inlineStr">
        <x:is>
          <x:t xml:space="preserve">FrameworkMap</x:t>
        </x:is>
      </x:c>
      <x:c r="B36" t="inlineStr">
        <x:is>
          <x:t xml:space="preserve">LEG-D6-Q17</x:t>
        </x:is>
      </x:c>
      <x:c r="C36" t="inlineStr">
        <x:is>
          <x:t xml:space="preserve">IRMMF Sub-capability</x:t>
        </x:is>
      </x:c>
      <x:c r="D36" t="inlineStr">
        <x:is>
          <x:t xml:space="preserve">Monitoring Access Governance</x:t>
        </x:is>
      </x:c>
      <x:c r="E36" t="inlineStr">
        <x:is>
          <x:t xml:space="preserve">LOW_CONF_0.087</x:t>
        </x:is>
      </x:c>
    </x:row>
    <x:row r="37">
      <x:c r="A37" t="inlineStr">
        <x:is>
          <x:t xml:space="preserve">FrameworkMap</x:t>
        </x:is>
      </x:c>
      <x:c r="B37" t="inlineStr">
        <x:is>
          <x:t xml:space="preserve">LEG-D7-Q18</x:t>
        </x:is>
      </x:c>
      <x:c r="C37" t="inlineStr">
        <x:is>
          <x:t xml:space="preserve">IRMMF Sub-capability</x:t>
        </x:is>
      </x:c>
      <x:c r="D37" t="inlineStr">
        <x:is>
          <x:t xml:space="preserve">Review, Redress &amp; Assurance</x:t>
        </x:is>
      </x:c>
      <x:c r="E37" t="inlineStr">
        <x:is>
          <x:t xml:space="preserve">LOW_CONF_0.118</x:t>
        </x:is>
      </x:c>
    </x:row>
    <x:row r="38">
      <x:c r="A38" t="inlineStr">
        <x:is>
          <x:t xml:space="preserve">FrameworkMap</x:t>
        </x:is>
      </x:c>
      <x:c r="B38" t="inlineStr">
        <x:is>
          <x:t xml:space="preserve">DATA-D2-Q05</x:t>
        </x:is>
      </x:c>
      <x:c r="C38" t="inlineStr">
        <x:is>
          <x:t xml:space="preserve">IRMMF Sub-capability</x:t>
        </x:is>
      </x:c>
      <x:c r="D38" t="inlineStr">
        <x:is>
          <x:t xml:space="preserve">Control testing &amp; continuous assurance</x:t>
        </x:is>
      </x:c>
      <x:c r="E38" t="inlineStr">
        <x:is>
          <x:t xml:space="preserve">LOW_CONF_0.100</x:t>
        </x:is>
      </x:c>
    </x:row>
    <x:row r="39">
      <x:c r="A39" t="inlineStr">
        <x:is>
          <x:t xml:space="preserve">FrameworkMap</x:t>
        </x:is>
      </x:c>
      <x:c r="B39" t="inlineStr">
        <x:is>
          <x:t xml:space="preserve">DATA-D3-Q06</x:t>
        </x:is>
      </x:c>
      <x:c r="C39" t="inlineStr">
        <x:is>
          <x:t xml:space="preserve">IRMMF Sub-capability</x:t>
        </x:is>
      </x:c>
      <x:c r="D39" t="inlineStr">
        <x:is>
          <x:t xml:space="preserve">DLP (endpoint + cloud + SaaS)</x:t>
        </x:is>
      </x:c>
      <x:c r="E39" t="inlineStr">
        <x:is>
          <x:t xml:space="preserve">LOW_CONF_0.093</x:t>
        </x:is>
      </x:c>
    </x:row>
    <x:row r="40">
      <x:c r="A40" t="inlineStr">
        <x:is>
          <x:t xml:space="preserve">FrameworkMap</x:t>
        </x:is>
      </x:c>
      <x:c r="B40" t="inlineStr">
        <x:is>
          <x:t xml:space="preserve">ITIAM-D1-Q01</x:t>
        </x:is>
      </x:c>
      <x:c r="C40" t="inlineStr">
        <x:is>
          <x:t xml:space="preserve">IRMMF Sub-capability</x:t>
        </x:is>
      </x:c>
      <x:c r="D40" t="inlineStr">
        <x:is>
          <x:t xml:space="preserve">Exceptions &amp; risk acceptance</x:t>
        </x:is>
      </x:c>
      <x:c r="E40" t="inlineStr">
        <x:is>
          <x:t xml:space="preserve">LOW_CONF_0.111</x:t>
        </x:is>
      </x:c>
    </x:row>
    <x:row r="41">
      <x:c r="A41" t="inlineStr">
        <x:is>
          <x:t xml:space="preserve">FrameworkMap</x:t>
        </x:is>
      </x:c>
      <x:c r="B41" t="inlineStr">
        <x:is>
          <x:t xml:space="preserve">ITIAM-D1-Q02</x:t>
        </x:is>
      </x:c>
      <x:c r="C41" t="inlineStr">
        <x:is>
          <x:t xml:space="preserve">IRMMF Sub-capability</x:t>
        </x:is>
      </x:c>
      <x:c r="D41" t="inlineStr">
        <x:is>
          <x:t xml:space="preserve">OT privileged access &amp; engineering workstation governance</x:t>
        </x:is>
      </x:c>
      <x:c r="E41" t="inlineStr">
        <x:is>
          <x:t xml:space="preserve">LOW_CONF_0.095</x:t>
        </x:is>
      </x:c>
    </x:row>
    <x:row r="42">
      <x:c r="A42" t="inlineStr">
        <x:is>
          <x:t xml:space="preserve">FrameworkMap</x:t>
        </x:is>
      </x:c>
      <x:c r="B42" t="inlineStr">
        <x:is>
          <x:t xml:space="preserve">ITIAM-D3-Q07</x:t>
        </x:is>
      </x:c>
      <x:c r="C42" t="inlineStr">
        <x:is>
          <x:t xml:space="preserve">IRMMF Sub-capability</x:t>
        </x:is>
      </x:c>
      <x:c r="D42" t="inlineStr">
        <x:is>
          <x:t xml:space="preserve">EDR for insider use-cases</x:t>
        </x:is>
      </x:c>
      <x:c r="E42" t="inlineStr">
        <x:is>
          <x:t xml:space="preserve">LOW_CONF_0.100</x:t>
        </x:is>
      </x:c>
    </x:row>
    <x:row r="43">
      <x:c r="A43" t="inlineStr">
        <x:is>
          <x:t xml:space="preserve">FrameworkMap</x:t>
        </x:is>
      </x:c>
      <x:c r="B43" t="inlineStr">
        <x:is>
          <x:t xml:space="preserve">ITIAM-D7-Q15</x:t>
        </x:is>
      </x:c>
      <x:c r="C43" t="inlineStr">
        <x:is>
          <x:t xml:space="preserve">IRMMF Sub-capability</x:t>
        </x:is>
      </x:c>
      <x:c r="D43" t="inlineStr">
        <x:is>
          <x:t xml:space="preserve">Containment &amp; eradication actions</x:t>
        </x:is>
      </x:c>
      <x:c r="E43" t="inlineStr">
        <x:is>
          <x:t xml:space="preserve">LOW_CONF_0.088</x:t>
        </x:is>
      </x:c>
    </x:row>
    <x:row r="44">
      <x:c r="A44" t="inlineStr">
        <x:is>
          <x:t xml:space="preserve">FrameworkMap</x:t>
        </x:is>
      </x:c>
      <x:c r="B44" t="inlineStr">
        <x:is>
          <x:t xml:space="preserve">ITIAM-D8-Q16</x:t>
        </x:is>
      </x:c>
      <x:c r="C44" t="inlineStr">
        <x:is>
          <x:t xml:space="preserve">IRMMF Sub-capability</x:t>
        </x:is>
      </x:c>
      <x:c r="D44" t="inlineStr">
        <x:is>
          <x:t xml:space="preserve">Scope boundary control</x:t>
        </x:is>
      </x:c>
      <x:c r="E44" t="inlineStr">
        <x:is>
          <x:t xml:space="preserve">LOW_CONF_0.086</x:t>
        </x:is>
      </x:c>
    </x:row>
    <x:row r="45">
      <x:c r="A45" t="inlineStr">
        <x:is>
          <x:t xml:space="preserve">FrameworkMap</x:t>
        </x:is>
      </x:c>
      <x:c r="B45" t="inlineStr">
        <x:is>
          <x:t xml:space="preserve">ITIAM-D9-Q17</x:t>
        </x:is>
      </x:c>
      <x:c r="C45" t="inlineStr">
        <x:is>
          <x:t xml:space="preserve">IRMMF Sub-capability</x:t>
        </x:is>
      </x:c>
      <x:c r="D45" t="inlineStr">
        <x:is>
          <x:t xml:space="preserve">Privacy guardrails for investigations</x:t>
        </x:is>
      </x:c>
      <x:c r="E45" t="inlineStr">
        <x:is>
          <x:t xml:space="preserve">LOW_CONF_0.088</x:t>
        </x:is>
      </x:c>
    </x:row>
    <x:row r="46">
      <x:c r="A46" t="inlineStr">
        <x:is>
          <x:t xml:space="preserve">FrameworkMap</x:t>
        </x:is>
      </x:c>
      <x:c r="B46" t="inlineStr">
        <x:is>
          <x:t xml:space="preserve">AUD-D1-Q03</x:t>
        </x:is>
      </x:c>
      <x:c r="C46" t="inlineStr">
        <x:is>
          <x:t xml:space="preserve">IRMMF Sub-capability</x:t>
        </x:is>
      </x:c>
      <x:c r="D46" t="inlineStr">
        <x:is>
          <x:t xml:space="preserve">Policy &amp; Standards Suite</x:t>
        </x:is>
      </x:c>
      <x:c r="E46" t="inlineStr">
        <x:is>
          <x:t xml:space="preserve">LOW_CONF_0.100</x:t>
        </x:is>
      </x:c>
    </x:row>
    <x:row r="47">
      <x:c r="A47" t="inlineStr">
        <x:is>
          <x:t xml:space="preserve">FrameworkMap</x:t>
        </x:is>
      </x:c>
      <x:c r="B47" t="inlineStr">
        <x:is>
          <x:t xml:space="preserve">AUD-D2-Q04</x:t>
        </x:is>
      </x:c>
      <x:c r="C47" t="inlineStr">
        <x:is>
          <x:t xml:space="preserve">IRMMF Sub-capability</x:t>
        </x:is>
      </x:c>
      <x:c r="D47" t="inlineStr">
        <x:is>
          <x:t xml:space="preserve">Exceptions &amp; risk acceptance</x:t>
        </x:is>
      </x:c>
      <x:c r="E47" t="inlineStr">
        <x:is>
          <x:t xml:space="preserve">LOW_CONF_0.108</x:t>
        </x:is>
      </x:c>
    </x:row>
    <x:row r="48">
      <x:c r="A48" t="inlineStr">
        <x:is>
          <x:t xml:space="preserve">FrameworkMap</x:t>
        </x:is>
      </x:c>
      <x:c r="B48" t="inlineStr">
        <x:is>
          <x:t xml:space="preserve">AUD-D2-Q05</x:t>
        </x:is>
      </x:c>
      <x:c r="C48" t="inlineStr">
        <x:is>
          <x:t xml:space="preserve">IRMMF Sub-capability</x:t>
        </x:is>
      </x:c>
      <x:c r="D48" t="inlineStr">
        <x:is>
          <x:t xml:space="preserve">High-Risk Role Identification &amp; Control Tiers</x:t>
        </x:is>
      </x:c>
      <x:c r="E48" t="inlineStr">
        <x:is>
          <x:t xml:space="preserve">LOW_CONF_0.113</x:t>
        </x:is>
      </x:c>
    </x:row>
    <x:row r="49">
      <x:c r="A49" t="inlineStr">
        <x:is>
          <x:t xml:space="preserve">FrameworkMap</x:t>
        </x:is>
      </x:c>
      <x:c r="B49" t="inlineStr">
        <x:is>
          <x:t xml:space="preserve">AUD-D3-Q06</x:t>
        </x:is>
      </x:c>
      <x:c r="C49" t="inlineStr">
        <x:is>
          <x:t xml:space="preserve">IRMMF Sub-capability</x:t>
        </x:is>
      </x:c>
      <x:c r="D49" t="inlineStr">
        <x:is>
          <x:t xml:space="preserve">Control testing &amp; continuous assurance</x:t>
        </x:is>
      </x:c>
      <x:c r="E49" t="inlineStr">
        <x:is>
          <x:t xml:space="preserve">LOW_CONF_0.103</x:t>
        </x:is>
      </x:c>
    </x:row>
    <x:row r="50">
      <x:c r="A50" t="inlineStr">
        <x:is>
          <x:t xml:space="preserve">FrameworkMap</x:t>
        </x:is>
      </x:c>
      <x:c r="B50" t="inlineStr">
        <x:is>
          <x:t xml:space="preserve">AUD-D5-Q09</x:t>
        </x:is>
      </x:c>
      <x:c r="C50" t="inlineStr">
        <x:is>
          <x:t xml:space="preserve">IRMMF Sub-capability</x:t>
        </x:is>
      </x:c>
      <x:c r="D50" t="inlineStr">
        <x:is>
          <x:t xml:space="preserve">Scope boundary control</x:t>
        </x:is>
      </x:c>
      <x:c r="E50" t="inlineStr">
        <x:is>
          <x:t xml:space="preserve">LOW_CONF_0.086</x:t>
        </x:is>
      </x:c>
    </x:row>
    <x:row r="51">
      <x:c r="A51" t="inlineStr">
        <x:is>
          <x:t xml:space="preserve">FrameworkMap</x:t>
        </x:is>
      </x:c>
      <x:c r="B51" t="inlineStr">
        <x:is>
          <x:t xml:space="preserve">HR-D1-Q01</x:t>
        </x:is>
      </x:c>
      <x:c r="C51" t="inlineStr">
        <x:is>
          <x:t xml:space="preserve">IRMMF Domain</x:t>
        </x:is>
      </x:c>
      <x:c r="D51" t="inlineStr">
        <x:is>
          <x:t xml:space="preserve">1. Strategy &amp; Governance</x:t>
        </x:is>
      </x:c>
      <x:c r="E51" t="inlineStr">
        <x:is>
          <x:t xml:space="preserve">OUT_OF_EXPECTED_5. Human-Centric Culture</x:t>
        </x:is>
      </x:c>
    </x:row>
    <x:row r="52">
      <x:c r="A52" t="inlineStr">
        <x:is>
          <x:t xml:space="preserve">FrameworkMap</x:t>
        </x:is>
      </x:c>
      <x:c r="B52" t="inlineStr">
        <x:is>
          <x:t xml:space="preserve">HR-D1-Q03</x:t>
        </x:is>
      </x:c>
      <x:c r="C52" t="inlineStr">
        <x:is>
          <x:t xml:space="preserve">IRMMF Domain</x:t>
        </x:is>
      </x:c>
      <x:c r="D52" t="inlineStr">
        <x:is>
          <x:t xml:space="preserve">1. Strategy &amp; Governance</x:t>
        </x:is>
      </x:c>
      <x:c r="E52" t="inlineStr">
        <x:is>
          <x:t xml:space="preserve">OUT_OF_EXPECTED_5. Human-Centric Culture</x:t>
        </x:is>
      </x:c>
    </x:row>
    <x:row r="53">
      <x:c r="A53" t="inlineStr">
        <x:is>
          <x:t xml:space="preserve">FrameworkMap</x:t>
        </x:is>
      </x:c>
      <x:c r="B53" t="inlineStr">
        <x:is>
          <x:t xml:space="preserve">HR-D1-Q04</x:t>
        </x:is>
      </x:c>
      <x:c r="C53" t="inlineStr">
        <x:is>
          <x:t xml:space="preserve">IRMMF Domain</x:t>
        </x:is>
      </x:c>
      <x:c r="D53" t="inlineStr">
        <x:is>
          <x:t xml:space="preserve">1. Strategy &amp; Governance</x:t>
        </x:is>
      </x:c>
      <x:c r="E53" t="inlineStr">
        <x:is>
          <x:t xml:space="preserve">OUT_OF_EXPECTED_5. Human-Centric Culture</x:t>
        </x:is>
      </x:c>
    </x:row>
    <x:row r="54">
      <x:c r="A54" t="inlineStr">
        <x:is>
          <x:t xml:space="preserve">FrameworkMap</x:t>
        </x:is>
      </x:c>
      <x:c r="B54" t="inlineStr">
        <x:is>
          <x:t xml:space="preserve">HR-D2-Q05</x:t>
        </x:is>
      </x:c>
      <x:c r="C54" t="inlineStr">
        <x:is>
          <x:t xml:space="preserve">IRMMF Domain</x:t>
        </x:is>
      </x:c>
      <x:c r="D54" t="inlineStr">
        <x:is>
          <x:t xml:space="preserve">4. Legal, Privacy &amp; Ethics</x:t>
        </x:is>
      </x:c>
      <x:c r="E54" t="inlineStr">
        <x:is>
          <x:t xml:space="preserve">OUT_OF_EXPECTED_5. Human-Centric Culture</x:t>
        </x:is>
      </x:c>
    </x:row>
    <x:row r="55">
      <x:c r="A55" t="inlineStr">
        <x:is>
          <x:t xml:space="preserve">FrameworkMap</x:t>
        </x:is>
      </x:c>
      <x:c r="B55" t="inlineStr">
        <x:is>
          <x:t xml:space="preserve">HR-D2-Q06</x:t>
        </x:is>
      </x:c>
      <x:c r="C55" t="inlineStr">
        <x:is>
          <x:t xml:space="preserve">IRMMF Domain</x:t>
        </x:is>
      </x:c>
      <x:c r="D55" t="inlineStr">
        <x:is>
          <x:t xml:space="preserve">9. Performance &amp; Resilience</x:t>
        </x:is>
      </x:c>
      <x:c r="E55" t="inlineStr">
        <x:is>
          <x:t xml:space="preserve">OUT_OF_EXPECTED_5. Human-Centric Culture</x:t>
        </x:is>
      </x:c>
    </x:row>
    <x:row r="56">
      <x:c r="A56" t="inlineStr">
        <x:is>
          <x:t xml:space="preserve">FrameworkMap</x:t>
        </x:is>
      </x:c>
      <x:c r="B56" t="inlineStr">
        <x:is>
          <x:t xml:space="preserve">HR-D2-Q08</x:t>
        </x:is>
      </x:c>
      <x:c r="C56" t="inlineStr">
        <x:is>
          <x:t xml:space="preserve">IRMMF Domain</x:t>
        </x:is>
      </x:c>
      <x:c r="D56" t="inlineStr">
        <x:is>
          <x:t xml:space="preserve">8. Investigation &amp; Response</x:t>
        </x:is>
      </x:c>
      <x:c r="E56" t="inlineStr">
        <x:is>
          <x:t xml:space="preserve">OUT_OF_EXPECTED_5. Human-Centric Culture</x:t>
        </x:is>
      </x:c>
    </x:row>
    <x:row r="57">
      <x:c r="A57" t="inlineStr">
        <x:is>
          <x:t xml:space="preserve">FrameworkMap</x:t>
        </x:is>
      </x:c>
      <x:c r="B57" t="inlineStr">
        <x:is>
          <x:t xml:space="preserve">HR-D3-Q09</x:t>
        </x:is>
      </x:c>
      <x:c r="C57" t="inlineStr">
        <x:is>
          <x:t xml:space="preserve">IRMMF Domain</x:t>
        </x:is>
      </x:c>
      <x:c r="D57" t="inlineStr">
        <x:is>
          <x:t xml:space="preserve">3. Risk Management</x:t>
        </x:is>
      </x:c>
      <x:c r="E57" t="inlineStr">
        <x:is>
          <x:t xml:space="preserve">OUT_OF_EXPECTED_5. Human-Centric Culture</x:t>
        </x:is>
      </x:c>
    </x:row>
    <x:row r="58">
      <x:c r="A58" t="inlineStr">
        <x:is>
          <x:t xml:space="preserve">FrameworkMap</x:t>
        </x:is>
      </x:c>
      <x:c r="B58" t="inlineStr">
        <x:is>
          <x:t xml:space="preserve">HR-D3-Q10</x:t>
        </x:is>
      </x:c>
      <x:c r="C58" t="inlineStr">
        <x:is>
          <x:t xml:space="preserve">IRMMF Domain</x:t>
        </x:is>
      </x:c>
      <x:c r="D58" t="inlineStr">
        <x:is>
          <x:t xml:space="preserve">4. Legal, Privacy &amp; Ethics</x:t>
        </x:is>
      </x:c>
      <x:c r="E58" t="inlineStr">
        <x:is>
          <x:t xml:space="preserve">OUT_OF_EXPECTED_5. Human-Centric Culture</x:t>
        </x:is>
      </x:c>
    </x:row>
    <x:row r="59">
      <x:c r="A59" t="inlineStr">
        <x:is>
          <x:t xml:space="preserve">FrameworkMap</x:t>
        </x:is>
      </x:c>
      <x:c r="B59" t="inlineStr">
        <x:is>
          <x:t xml:space="preserve">HR-D3-Q12</x:t>
        </x:is>
      </x:c>
      <x:c r="C59" t="inlineStr">
        <x:is>
          <x:t xml:space="preserve">IRMMF Domain</x:t>
        </x:is>
      </x:c>
      <x:c r="D59" t="inlineStr">
        <x:is>
          <x:t xml:space="preserve">9. Performance &amp; Resilience</x:t>
        </x:is>
      </x:c>
      <x:c r="E59" t="inlineStr">
        <x:is>
          <x:t xml:space="preserve">OUT_OF_EXPECTED_5. Human-Centric Culture</x:t>
        </x:is>
      </x:c>
    </x:row>
    <x:row r="60">
      <x:c r="A60" t="inlineStr">
        <x:is>
          <x:t xml:space="preserve">FrameworkMap</x:t>
        </x:is>
      </x:c>
      <x:c r="B60" t="inlineStr">
        <x:is>
          <x:t xml:space="preserve">HR-D4-Q15</x:t>
        </x:is>
      </x:c>
      <x:c r="C60" t="inlineStr">
        <x:is>
          <x:t xml:space="preserve">IRMMF Domain</x:t>
        </x:is>
      </x:c>
      <x:c r="D60" t="inlineStr">
        <x:is>
          <x:t xml:space="preserve">6. Technical Controls</x:t>
        </x:is>
      </x:c>
      <x:c r="E60" t="inlineStr">
        <x:is>
          <x:t xml:space="preserve">OUT_OF_EXPECTED_5. Human-Centric Culture</x:t>
        </x:is>
      </x:c>
    </x:row>
    <x:row r="61">
      <x:c r="A61" t="inlineStr">
        <x:is>
          <x:t xml:space="preserve">FrameworkMap</x:t>
        </x:is>
      </x:c>
      <x:c r="B61" t="inlineStr">
        <x:is>
          <x:t xml:space="preserve">HR-D4-Q16</x:t>
        </x:is>
      </x:c>
      <x:c r="C61" t="inlineStr">
        <x:is>
          <x:t xml:space="preserve">IRMMF Domain</x:t>
        </x:is>
      </x:c>
      <x:c r="D61" t="inlineStr">
        <x:is>
          <x:t xml:space="preserve">4. Legal, Privacy &amp; Ethics</x:t>
        </x:is>
      </x:c>
      <x:c r="E61" t="inlineStr">
        <x:is>
          <x:t xml:space="preserve">OUT_OF_EXPECTED_5. Human-Centric Culture</x:t>
        </x:is>
      </x:c>
    </x:row>
    <x:row r="62">
      <x:c r="A62" t="inlineStr">
        <x:is>
          <x:t xml:space="preserve">FrameworkMap</x:t>
        </x:is>
      </x:c>
      <x:c r="B62" t="inlineStr">
        <x:is>
          <x:t xml:space="preserve">HR-D5-Q17</x:t>
        </x:is>
      </x:c>
      <x:c r="C62" t="inlineStr">
        <x:is>
          <x:t xml:space="preserve">IRMMF Domain</x:t>
        </x:is>
      </x:c>
      <x:c r="D62" t="inlineStr">
        <x:is>
          <x:t xml:space="preserve">8. Investigation &amp; Response</x:t>
        </x:is>
      </x:c>
      <x:c r="E62" t="inlineStr">
        <x:is>
          <x:t xml:space="preserve">OUT_OF_EXPECTED_5. Human-Centric Culture</x:t>
        </x:is>
      </x:c>
    </x:row>
    <x:row r="63">
      <x:c r="A63" t="inlineStr">
        <x:is>
          <x:t xml:space="preserve">FrameworkMap</x:t>
        </x:is>
      </x:c>
      <x:c r="B63" t="inlineStr">
        <x:is>
          <x:t xml:space="preserve">HR-D5-Q18</x:t>
        </x:is>
      </x:c>
      <x:c r="C63" t="inlineStr">
        <x:is>
          <x:t xml:space="preserve">IRMMF Domain</x:t>
        </x:is>
      </x:c>
      <x:c r="D63" t="inlineStr">
        <x:is>
          <x:t xml:space="preserve">8. Investigation &amp; Response</x:t>
        </x:is>
      </x:c>
      <x:c r="E63" t="inlineStr">
        <x:is>
          <x:t xml:space="preserve">OUT_OF_EXPECTED_5. Human-Centric Culture</x:t>
        </x:is>
      </x:c>
    </x:row>
    <x:row r="64">
      <x:c r="A64" t="inlineStr">
        <x:is>
          <x:t xml:space="preserve">FrameworkMap</x:t>
        </x:is>
      </x:c>
      <x:c r="B64" t="inlineStr">
        <x:is>
          <x:t xml:space="preserve">HR-D5-Q19</x:t>
        </x:is>
      </x:c>
      <x:c r="C64" t="inlineStr">
        <x:is>
          <x:t xml:space="preserve">IRMMF Domain</x:t>
        </x:is>
      </x:c>
      <x:c r="D64" t="inlineStr">
        <x:is>
          <x:t xml:space="preserve">1. Strategy &amp; Governance</x:t>
        </x:is>
      </x:c>
      <x:c r="E64" t="inlineStr">
        <x:is>
          <x:t xml:space="preserve">OUT_OF_EXPECTED_5. Human-Centric Culture</x:t>
        </x:is>
      </x:c>
    </x:row>
    <x:row r="65">
      <x:c r="A65" t="inlineStr">
        <x:is>
          <x:t xml:space="preserve">FrameworkMap</x:t>
        </x:is>
      </x:c>
      <x:c r="B65" t="inlineStr">
        <x:is>
          <x:t xml:space="preserve">HR-D6-Q21</x:t>
        </x:is>
      </x:c>
      <x:c r="C65" t="inlineStr">
        <x:is>
          <x:t xml:space="preserve">IRMMF Domain</x:t>
        </x:is>
      </x:c>
      <x:c r="D65" t="inlineStr">
        <x:is>
          <x:t xml:space="preserve">3. Risk Management</x:t>
        </x:is>
      </x:c>
      <x:c r="E65" t="inlineStr">
        <x:is>
          <x:t xml:space="preserve">OUT_OF_EXPECTED_5. Human-Centric Culture</x:t>
        </x:is>
      </x:c>
    </x:row>
    <x:row r="66">
      <x:c r="A66" t="inlineStr">
        <x:is>
          <x:t xml:space="preserve">FrameworkMap</x:t>
        </x:is>
      </x:c>
      <x:c r="B66" t="inlineStr">
        <x:is>
          <x:t xml:space="preserve">HR-D6-Q22</x:t>
        </x:is>
      </x:c>
      <x:c r="C66" t="inlineStr">
        <x:is>
          <x:t xml:space="preserve">IRMMF Domain</x:t>
        </x:is>
      </x:c>
      <x:c r="D66" t="inlineStr">
        <x:is>
          <x:t xml:space="preserve">1. Strategy &amp; Governance</x:t>
        </x:is>
      </x:c>
      <x:c r="E66" t="inlineStr">
        <x:is>
          <x:t xml:space="preserve">OUT_OF_EXPECTED_5. Human-Centric Culture</x:t>
        </x:is>
      </x:c>
    </x:row>
    <x:row r="67">
      <x:c r="A67" t="inlineStr">
        <x:is>
          <x:t xml:space="preserve">FrameworkMap</x:t>
        </x:is>
      </x:c>
      <x:c r="B67" t="inlineStr">
        <x:is>
          <x:t xml:space="preserve">HR-D7-Q23</x:t>
        </x:is>
      </x:c>
      <x:c r="C67" t="inlineStr">
        <x:is>
          <x:t xml:space="preserve">IRMMF Domain</x:t>
        </x:is>
      </x:c>
      <x:c r="D67" t="inlineStr">
        <x:is>
          <x:t xml:space="preserve">8. Investigation &amp; Response</x:t>
        </x:is>
      </x:c>
      <x:c r="E67" t="inlineStr">
        <x:is>
          <x:t xml:space="preserve">OUT_OF_EXPECTED_5. Human-Centric Culture</x:t>
        </x:is>
      </x:c>
    </x:row>
    <x:row r="68">
      <x:c r="A68" t="inlineStr">
        <x:is>
          <x:t xml:space="preserve">FrameworkMap</x:t>
        </x:is>
      </x:c>
      <x:c r="B68" t="inlineStr">
        <x:is>
          <x:t xml:space="preserve">HR-D7-Q24</x:t>
        </x:is>
      </x:c>
      <x:c r="C68" t="inlineStr">
        <x:is>
          <x:t xml:space="preserve">IRMMF Domain</x:t>
        </x:is>
      </x:c>
      <x:c r="D68" t="inlineStr">
        <x:is>
          <x:t xml:space="preserve">1. Strategy &amp; Governance</x:t>
        </x:is>
      </x:c>
      <x:c r="E68" t="inlineStr">
        <x:is>
          <x:t xml:space="preserve">OUT_OF_EXPECTED_5. Human-Centric Culture</x:t>
        </x:is>
      </x:c>
    </x:row>
    <x:row r="69">
      <x:c r="A69" t="inlineStr">
        <x:is>
          <x:t xml:space="preserve">FrameworkMap</x:t>
        </x:is>
      </x:c>
      <x:c r="B69" t="inlineStr">
        <x:is>
          <x:t xml:space="preserve">HR-D7-Q25</x:t>
        </x:is>
      </x:c>
      <x:c r="C69" t="inlineStr">
        <x:is>
          <x:t xml:space="preserve">IRMMF Domain</x:t>
        </x:is>
      </x:c>
      <x:c r="D69" t="inlineStr">
        <x:is>
          <x:t xml:space="preserve">4. Legal, Privacy &amp; Ethics</x:t>
        </x:is>
      </x:c>
      <x:c r="E69" t="inlineStr">
        <x:is>
          <x:t xml:space="preserve">OUT_OF_EXPECTED_5. Human-Centric Culture</x:t>
        </x:is>
      </x:c>
    </x:row>
    <x:row r="70">
      <x:c r="A70" t="inlineStr">
        <x:is>
          <x:t xml:space="preserve">FrameworkMap</x:t>
        </x:is>
      </x:c>
      <x:c r="B70" t="inlineStr">
        <x:is>
          <x:t xml:space="preserve">HR-D7-Q26</x:t>
        </x:is>
      </x:c>
      <x:c r="C70" t="inlineStr">
        <x:is>
          <x:t xml:space="preserve">IRMMF Domain</x:t>
        </x:is>
      </x:c>
      <x:c r="D70" t="inlineStr">
        <x:is>
          <x:t xml:space="preserve">8. Investigation &amp; Response</x:t>
        </x:is>
      </x:c>
      <x:c r="E70" t="inlineStr">
        <x:is>
          <x:t xml:space="preserve">OUT_OF_EXPECTED_5. Human-Centric Culture</x:t>
        </x:is>
      </x:c>
    </x:row>
    <x:row r="71">
      <x:c r="A71" t="inlineStr">
        <x:is>
          <x:t xml:space="preserve">FrameworkMap</x:t>
        </x:is>
      </x:c>
      <x:c r="B71" t="inlineStr">
        <x:is>
          <x:t xml:space="preserve">HR-D8-Q27</x:t>
        </x:is>
      </x:c>
      <x:c r="C71" t="inlineStr">
        <x:is>
          <x:t xml:space="preserve">IRMMF Domain</x:t>
        </x:is>
      </x:c>
      <x:c r="D71" t="inlineStr">
        <x:is>
          <x:t xml:space="preserve">9. Performance &amp; Resilience</x:t>
        </x:is>
      </x:c>
      <x:c r="E71" t="inlineStr">
        <x:is>
          <x:t xml:space="preserve">OUT_OF_EXPECTED_5. Human-Centric Culture</x:t>
        </x:is>
      </x:c>
    </x:row>
    <x:row r="72">
      <x:c r="A72" t="inlineStr">
        <x:is>
          <x:t xml:space="preserve">FrameworkMap</x:t>
        </x:is>
      </x:c>
      <x:c r="B72" t="inlineStr">
        <x:is>
          <x:t xml:space="preserve">HR-D8-Q28</x:t>
        </x:is>
      </x:c>
      <x:c r="C72" t="inlineStr">
        <x:is>
          <x:t xml:space="preserve">IRMMF Domain</x:t>
        </x:is>
      </x:c>
      <x:c r="D72" t="inlineStr">
        <x:is>
          <x:t xml:space="preserve">3. Risk Management</x:t>
        </x:is>
      </x:c>
      <x:c r="E72" t="inlineStr">
        <x:is>
          <x:t xml:space="preserve">OUT_OF_EXPECTED_5. Human-Centric Culture</x:t>
        </x:is>
      </x:c>
    </x:row>
    <x:row r="73">
      <x:c r="A73" t="inlineStr">
        <x:is>
          <x:t xml:space="preserve">FrameworkMap</x:t>
        </x:is>
      </x:c>
      <x:c r="B73" t="inlineStr">
        <x:is>
          <x:t xml:space="preserve">HR-D8-Q29</x:t>
        </x:is>
      </x:c>
      <x:c r="C73" t="inlineStr">
        <x:is>
          <x:t xml:space="preserve">IRMMF Domain</x:t>
        </x:is>
      </x:c>
      <x:c r="D73" t="inlineStr">
        <x:is>
          <x:t xml:space="preserve">6. Technical Controls</x:t>
        </x:is>
      </x:c>
      <x:c r="E73" t="inlineStr">
        <x:is>
          <x:t xml:space="preserve">OUT_OF_EXPECTED_5. Human-Centric Culture</x:t>
        </x:is>
      </x:c>
    </x:row>
    <x:row r="74">
      <x:c r="A74" t="inlineStr">
        <x:is>
          <x:t xml:space="preserve">FrameworkMap</x:t>
        </x:is>
      </x:c>
      <x:c r="B74" t="inlineStr">
        <x:is>
          <x:t xml:space="preserve">LEG-D1-Q03</x:t>
        </x:is>
      </x:c>
      <x:c r="C74" t="inlineStr">
        <x:is>
          <x:t xml:space="preserve">IRMMF Domain</x:t>
        </x:is>
      </x:c>
      <x:c r="D74" t="inlineStr">
        <x:is>
          <x:t xml:space="preserve">3. Risk Management</x:t>
        </x:is>
      </x:c>
      <x:c r="E74" t="inlineStr">
        <x:is>
          <x:t xml:space="preserve">OUT_OF_EXPECTED_4. Legal, Privacy &amp; Ethics</x:t>
        </x:is>
      </x:c>
    </x:row>
    <x:row r="75">
      <x:c r="A75" t="inlineStr">
        <x:is>
          <x:t xml:space="preserve">FrameworkMap</x:t>
        </x:is>
      </x:c>
      <x:c r="B75" t="inlineStr">
        <x:is>
          <x:t xml:space="preserve">LEG-D1-Q04</x:t>
        </x:is>
      </x:c>
      <x:c r="C75" t="inlineStr">
        <x:is>
          <x:t xml:space="preserve">IRMMF Domain</x:t>
        </x:is>
      </x:c>
      <x:c r="D75" t="inlineStr">
        <x:is>
          <x:t xml:space="preserve">8. Investigation &amp; Response</x:t>
        </x:is>
      </x:c>
      <x:c r="E75" t="inlineStr">
        <x:is>
          <x:t xml:space="preserve">OUT_OF_EXPECTED_4. Legal, Privacy &amp; Ethics</x:t>
        </x:is>
      </x:c>
    </x:row>
    <x:row r="76">
      <x:c r="A76" t="inlineStr">
        <x:is>
          <x:t xml:space="preserve">FrameworkMap</x:t>
        </x:is>
      </x:c>
      <x:c r="B76" t="inlineStr">
        <x:is>
          <x:t xml:space="preserve">LEG-D2-Q09</x:t>
        </x:is>
      </x:c>
      <x:c r="C76" t="inlineStr">
        <x:is>
          <x:t xml:space="preserve">IRMMF Domain</x:t>
        </x:is>
      </x:c>
      <x:c r="D76" t="inlineStr">
        <x:is>
          <x:t xml:space="preserve">8. Investigation &amp; Response</x:t>
        </x:is>
      </x:c>
      <x:c r="E76" t="inlineStr">
        <x:is>
          <x:t xml:space="preserve">OUT_OF_EXPECTED_4. Legal, Privacy &amp; Ethics</x:t>
        </x:is>
      </x:c>
    </x:row>
    <x:row r="77">
      <x:c r="A77" t="inlineStr">
        <x:is>
          <x:t xml:space="preserve">FrameworkMap</x:t>
        </x:is>
      </x:c>
      <x:c r="B77" t="inlineStr">
        <x:is>
          <x:t xml:space="preserve">LEG-D3-Q11</x:t>
        </x:is>
      </x:c>
      <x:c r="C77" t="inlineStr">
        <x:is>
          <x:t xml:space="preserve">IRMMF Domain</x:t>
        </x:is>
      </x:c>
      <x:c r="D77" t="inlineStr">
        <x:is>
          <x:t xml:space="preserve">8. Investigation &amp; Response</x:t>
        </x:is>
      </x:c>
      <x:c r="E77" t="inlineStr">
        <x:is>
          <x:t xml:space="preserve">OUT_OF_EXPECTED_4. Legal, Privacy &amp; Ethics</x:t>
        </x:is>
      </x:c>
    </x:row>
    <x:row r="78">
      <x:c r="A78" t="inlineStr">
        <x:is>
          <x:t xml:space="preserve">FrameworkMap</x:t>
        </x:is>
      </x:c>
      <x:c r="B78" t="inlineStr">
        <x:is>
          <x:t xml:space="preserve">LEG-D3-Q12</x:t>
        </x:is>
      </x:c>
      <x:c r="C78" t="inlineStr">
        <x:is>
          <x:t xml:space="preserve">IRMMF Domain</x:t>
        </x:is>
      </x:c>
      <x:c r="D78" t="inlineStr">
        <x:is>
          <x:t xml:space="preserve">8. Investigation &amp; Response</x:t>
        </x:is>
      </x:c>
      <x:c r="E78" t="inlineStr">
        <x:is>
          <x:t xml:space="preserve">OUT_OF_EXPECTED_4. Legal, Privacy &amp; Ethics</x:t>
        </x:is>
      </x:c>
    </x:row>
    <x:row r="79">
      <x:c r="A79" t="inlineStr">
        <x:is>
          <x:t xml:space="preserve">FrameworkMap</x:t>
        </x:is>
      </x:c>
      <x:c r="B79" t="inlineStr">
        <x:is>
          <x:t xml:space="preserve">LEG-D4-Q13</x:t>
        </x:is>
      </x:c>
      <x:c r="C79" t="inlineStr">
        <x:is>
          <x:t xml:space="preserve">IRMMF Domain</x:t>
        </x:is>
      </x:c>
      <x:c r="D79" t="inlineStr">
        <x:is>
          <x:t xml:space="preserve">5. Human-Centric Culture</x:t>
        </x:is>
      </x:c>
      <x:c r="E79" t="inlineStr">
        <x:is>
          <x:t xml:space="preserve">OUT_OF_EXPECTED_4. Legal, Privacy &amp; Ethics</x:t>
        </x:is>
      </x:c>
    </x:row>
    <x:row r="80">
      <x:c r="A80" t="inlineStr">
        <x:is>
          <x:t xml:space="preserve">FrameworkMap</x:t>
        </x:is>
      </x:c>
      <x:c r="B80" t="inlineStr">
        <x:is>
          <x:t xml:space="preserve">LEG-D5-Q15</x:t>
        </x:is>
      </x:c>
      <x:c r="C80" t="inlineStr">
        <x:is>
          <x:t xml:space="preserve">IRMMF Domain</x:t>
        </x:is>
      </x:c>
      <x:c r="D80" t="inlineStr">
        <x:is>
          <x:t xml:space="preserve">3. Risk Management</x:t>
        </x:is>
      </x:c>
      <x:c r="E80" t="inlineStr">
        <x:is>
          <x:t xml:space="preserve">OUT_OF_EXPECTED_4. Legal, Privacy &amp; Ethics</x:t>
        </x:is>
      </x:c>
    </x:row>
    <x:row r="81">
      <x:c r="A81" t="inlineStr">
        <x:is>
          <x:t xml:space="preserve">FrameworkMap</x:t>
        </x:is>
      </x:c>
      <x:c r="B81" t="inlineStr">
        <x:is>
          <x:t xml:space="preserve">LEG-D6-Q16</x:t>
        </x:is>
      </x:c>
      <x:c r="C81" t="inlineStr">
        <x:is>
          <x:t xml:space="preserve">IRMMF Domain</x:t>
        </x:is>
      </x:c>
      <x:c r="D81" t="inlineStr">
        <x:is>
          <x:t xml:space="preserve">8. Investigation &amp; Response</x:t>
        </x:is>
      </x:c>
      <x:c r="E81" t="inlineStr">
        <x:is>
          <x:t xml:space="preserve">OUT_OF_EXPECTED_4. Legal, Privacy &amp; Ethics</x:t>
        </x:is>
      </x:c>
    </x:row>
  </x:sheetData>
  <x:pageMargins left="0.7" right="0.7" top="0.75" bottom="0.75" header="0.3" footer="0.3"/>
</x:worksheet>
</file>